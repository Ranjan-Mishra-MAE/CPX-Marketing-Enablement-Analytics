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ineplex-my.sharepoint.com/personal/patrick_dixon_cineplex_com/Documents/Desktop/"/>
    </mc:Choice>
  </mc:AlternateContent>
  <xr:revisionPtr revIDLastSave="8" documentId="8_{8DAD646B-3D37-45B3-8AFA-94DCE01C48B7}" xr6:coauthVersionLast="47" xr6:coauthVersionMax="47" xr10:uidLastSave="{30F9302A-40C9-4905-A361-CCFDE784894C}"/>
  <bookViews>
    <workbookView xWindow="28680" yWindow="-120" windowWidth="29040" windowHeight="15840" firstSheet="48" activeTab="53" xr2:uid="{00000000-000D-0000-FFFF-FFFF00000000}"/>
  </bookViews>
  <sheets>
    <sheet name="Week of Dec 29-Jan 4" sheetId="31" r:id="rId1"/>
    <sheet name="Week of Jan 5-Jan 11" sheetId="32" r:id="rId2"/>
    <sheet name="Week of Jan 12-Jan 18" sheetId="34" r:id="rId3"/>
    <sheet name="Week of Jan 19-Jan 25" sheetId="35" r:id="rId4"/>
    <sheet name="Week of Jan 26-Feb 1" sheetId="36" r:id="rId5"/>
    <sheet name="Week of Feb 2-Feb 8" sheetId="37" r:id="rId6"/>
    <sheet name="Week of Feb 9-Feb 15" sheetId="38" r:id="rId7"/>
    <sheet name="Week of Feb 16-Feb 22" sheetId="39" r:id="rId8"/>
    <sheet name="Week of Feb 23-Feb 29" sheetId="40" r:id="rId9"/>
    <sheet name="Week of Mar 1-Mar 7" sheetId="41" r:id="rId10"/>
    <sheet name="Week of Mar 8-Mar 14" sheetId="42" r:id="rId11"/>
    <sheet name="Week of Mar 15-Mar 21" sheetId="43" r:id="rId12"/>
    <sheet name="Week of Mar 22-Mar 28" sheetId="44" r:id="rId13"/>
    <sheet name="Week of Mar 29-Apr 4" sheetId="45" r:id="rId14"/>
    <sheet name="Week of Apr 5-Apr 11" sheetId="46" r:id="rId15"/>
    <sheet name="Week of Apr 12-Apr 18" sheetId="49" r:id="rId16"/>
    <sheet name="Week of Apr 19-Apr 25" sheetId="50" r:id="rId17"/>
    <sheet name="Week of Apr 26-May 2" sheetId="51" r:id="rId18"/>
    <sheet name="Week of May 3-May 9" sheetId="52" r:id="rId19"/>
    <sheet name="Week of May 10-May 16" sheetId="53" r:id="rId20"/>
    <sheet name="Week of May 17-May 23" sheetId="54" r:id="rId21"/>
    <sheet name="Week of May 24-May 30" sheetId="55" r:id="rId22"/>
    <sheet name="Week of May 31-June 6" sheetId="56" r:id="rId23"/>
    <sheet name="Week of June 7-June 13" sheetId="57" r:id="rId24"/>
    <sheet name="Week of June 14-June 20" sheetId="58" r:id="rId25"/>
    <sheet name="Week of June 21-June 27" sheetId="59" r:id="rId26"/>
    <sheet name="Week of June 28-July 4" sheetId="60" r:id="rId27"/>
    <sheet name="Week of July 5-July 11" sheetId="61" r:id="rId28"/>
    <sheet name="Week of July 12-July 18" sheetId="62" r:id="rId29"/>
    <sheet name="Week of July 19-July 25" sheetId="63" r:id="rId30"/>
    <sheet name="Week of July 26-Aug 1" sheetId="64" r:id="rId31"/>
    <sheet name="Week of Aug 2-Aug 8" sheetId="65" r:id="rId32"/>
    <sheet name="Week of Aug 9-Aug 15" sheetId="66" r:id="rId33"/>
    <sheet name="Week of Aug 16-Aug 22" sheetId="67" r:id="rId34"/>
    <sheet name="Week of Aug 23-Aug 29" sheetId="68" r:id="rId35"/>
    <sheet name="Week of Aug 30-Sept 5" sheetId="70" r:id="rId36"/>
    <sheet name="Week of Sept 6-Sept 12" sheetId="71" r:id="rId37"/>
    <sheet name="Week of Sept 13-Sept 19" sheetId="72" r:id="rId38"/>
    <sheet name="Week of Sept 20-Sept 26" sheetId="73" r:id="rId39"/>
    <sheet name="Week of Sept 27-Oct 3" sheetId="74" r:id="rId40"/>
    <sheet name="Week of Oct 4-Oct 10" sheetId="75" r:id="rId41"/>
    <sheet name="Week of Oct 11-Oct 17" sheetId="76" r:id="rId42"/>
    <sheet name="Week of Oct 18-Oct 24" sheetId="77" r:id="rId43"/>
    <sheet name="Week of Oct 25-Oct 31" sheetId="79" r:id="rId44"/>
    <sheet name="Week of Nov 1-Nov 7" sheetId="80" r:id="rId45"/>
    <sheet name="Week of Nov 8-Nov 14" sheetId="81" r:id="rId46"/>
    <sheet name="Week of Nov 15-Nov 21" sheetId="82" r:id="rId47"/>
    <sheet name="Week of Nov 22-Nov 28" sheetId="83" r:id="rId48"/>
    <sheet name="Week of Nov 29-Dec 5" sheetId="84" r:id="rId49"/>
    <sheet name="Week of Dec 6-Dec 12" sheetId="85" r:id="rId50"/>
    <sheet name="Week of Dec 13-Dec 19" sheetId="86" r:id="rId51"/>
    <sheet name="Week of Dec 20-Dec 26" sheetId="87" r:id="rId52"/>
    <sheet name="Week of Dec 27-Jan 2" sheetId="88" r:id="rId53"/>
    <sheet name="All AJO Emails" sheetId="16" r:id="rId54"/>
    <sheet name="YTD Weekly Metrics" sheetId="4" state="hidden" r:id="rId55"/>
    <sheet name="WOW Revenue" sheetId="78" state="hidden" r:id="rId56"/>
  </sheets>
  <definedNames>
    <definedName name="_xlnm._FilterDatabase" localSheetId="53" hidden="1">'All AJO Emails'!$A$1:$K$1505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6" i="16" l="1"/>
  <c r="E1506" i="16"/>
  <c r="D1506" i="16"/>
  <c r="G55" i="4"/>
  <c r="F55" i="4"/>
  <c r="D55" i="4"/>
  <c r="E55" i="4"/>
  <c r="C55" i="4"/>
  <c r="B55" i="4"/>
  <c r="I64" i="88"/>
  <c r="H64" i="88"/>
  <c r="F64" i="88"/>
  <c r="G64" i="88"/>
  <c r="E64" i="88"/>
  <c r="D64" i="88"/>
  <c r="I53" i="88"/>
  <c r="H53" i="88"/>
  <c r="G53" i="88"/>
  <c r="F53" i="88"/>
  <c r="E53" i="88"/>
  <c r="D53" i="88"/>
  <c r="I37" i="88"/>
  <c r="H37" i="88"/>
  <c r="G37" i="88"/>
  <c r="F37" i="88"/>
  <c r="E37" i="88"/>
  <c r="D37" i="88"/>
  <c r="I28" i="88"/>
  <c r="H28" i="88"/>
  <c r="G28" i="88"/>
  <c r="F28" i="88"/>
  <c r="E28" i="88"/>
  <c r="D28" i="88"/>
  <c r="I54" i="87"/>
  <c r="H54" i="87"/>
  <c r="F54" i="87"/>
  <c r="G54" i="87"/>
  <c r="E54" i="87"/>
  <c r="D54" i="87"/>
  <c r="I47" i="87"/>
  <c r="H47" i="87"/>
  <c r="G47" i="87"/>
  <c r="F47" i="87"/>
  <c r="E47" i="87"/>
  <c r="D47" i="87"/>
  <c r="I33" i="87"/>
  <c r="H33" i="87"/>
  <c r="G33" i="87"/>
  <c r="F33" i="87"/>
  <c r="E33" i="87"/>
  <c r="D33" i="87"/>
  <c r="I23" i="87"/>
  <c r="H23" i="87"/>
  <c r="G23" i="87"/>
  <c r="F23" i="87"/>
  <c r="E23" i="87"/>
  <c r="D23" i="87"/>
  <c r="I70" i="86"/>
  <c r="H70" i="86"/>
  <c r="F70" i="86"/>
  <c r="G70" i="86"/>
  <c r="E70" i="86"/>
  <c r="D70" i="86"/>
  <c r="D65" i="86"/>
  <c r="E65" i="86"/>
  <c r="F65" i="86"/>
  <c r="G65" i="86"/>
  <c r="H65" i="86"/>
  <c r="I65" i="86"/>
  <c r="I40" i="86"/>
  <c r="H40" i="86"/>
  <c r="G40" i="86"/>
  <c r="F40" i="86"/>
  <c r="E40" i="86"/>
  <c r="D40" i="86"/>
  <c r="I31" i="86"/>
  <c r="H31" i="86"/>
  <c r="G31" i="86"/>
  <c r="F31" i="86"/>
  <c r="E31" i="86"/>
  <c r="D31" i="86"/>
  <c r="I76" i="85"/>
  <c r="H76" i="85"/>
  <c r="G76" i="85"/>
  <c r="F76" i="85"/>
  <c r="E76" i="85"/>
  <c r="D76" i="85"/>
  <c r="I68" i="85"/>
  <c r="H68" i="85"/>
  <c r="G68" i="85"/>
  <c r="F68" i="85"/>
  <c r="E68" i="85"/>
  <c r="D68" i="85"/>
  <c r="I44" i="85"/>
  <c r="H44" i="85"/>
  <c r="G44" i="85"/>
  <c r="F44" i="85"/>
  <c r="E44" i="85"/>
  <c r="D44" i="85"/>
  <c r="I34" i="85"/>
  <c r="H34" i="85"/>
  <c r="G34" i="85"/>
  <c r="F34" i="85"/>
  <c r="E34" i="85"/>
  <c r="D34" i="85"/>
  <c r="D101" i="84"/>
  <c r="E101" i="84"/>
  <c r="F101" i="84"/>
  <c r="G101" i="84"/>
  <c r="H101" i="84"/>
  <c r="I101" i="84"/>
  <c r="I106" i="84"/>
  <c r="H106" i="84"/>
  <c r="G106" i="84"/>
  <c r="F106" i="84"/>
  <c r="E106" i="84"/>
  <c r="D106" i="84"/>
  <c r="I58" i="84"/>
  <c r="H58" i="84"/>
  <c r="G58" i="84"/>
  <c r="F58" i="84"/>
  <c r="E58" i="84"/>
  <c r="D58" i="84"/>
  <c r="I49" i="84"/>
  <c r="H49" i="84"/>
  <c r="G49" i="84"/>
  <c r="F49" i="84"/>
  <c r="E49" i="84"/>
  <c r="D49" i="84"/>
  <c r="I66" i="83"/>
  <c r="H66" i="83"/>
  <c r="G66" i="83"/>
  <c r="F66" i="83"/>
  <c r="E66" i="83"/>
  <c r="D66" i="83"/>
  <c r="I60" i="83"/>
  <c r="H60" i="83"/>
  <c r="G60" i="83"/>
  <c r="F60" i="83"/>
  <c r="E60" i="83"/>
  <c r="D60" i="83"/>
  <c r="I39" i="83"/>
  <c r="H39" i="83"/>
  <c r="G39" i="83"/>
  <c r="F39" i="83"/>
  <c r="E39" i="83"/>
  <c r="D39" i="83"/>
  <c r="I29" i="83"/>
  <c r="H29" i="83"/>
  <c r="G29" i="83"/>
  <c r="F29" i="83"/>
  <c r="E29" i="83"/>
  <c r="D29" i="83"/>
  <c r="I84" i="82"/>
  <c r="H84" i="82"/>
  <c r="G84" i="82"/>
  <c r="F84" i="82"/>
  <c r="E84" i="82"/>
  <c r="D84" i="82"/>
  <c r="I79" i="82"/>
  <c r="H79" i="82"/>
  <c r="G79" i="82"/>
  <c r="F79" i="82"/>
  <c r="E79" i="82"/>
  <c r="D79" i="82"/>
  <c r="I47" i="82"/>
  <c r="H47" i="82"/>
  <c r="G47" i="82"/>
  <c r="F47" i="82"/>
  <c r="E47" i="82"/>
  <c r="D47" i="82"/>
  <c r="I38" i="82"/>
  <c r="H38" i="82"/>
  <c r="G38" i="82"/>
  <c r="F38" i="82"/>
  <c r="E38" i="82"/>
  <c r="D38" i="82"/>
  <c r="I56" i="81"/>
  <c r="H56" i="81"/>
  <c r="G56" i="81"/>
  <c r="F56" i="81"/>
  <c r="E56" i="81"/>
  <c r="D56" i="81"/>
  <c r="I51" i="81"/>
  <c r="H51" i="81"/>
  <c r="G51" i="81"/>
  <c r="F51" i="81"/>
  <c r="E51" i="81"/>
  <c r="D51" i="81"/>
  <c r="I34" i="81"/>
  <c r="H34" i="81"/>
  <c r="G34" i="81"/>
  <c r="F34" i="81"/>
  <c r="E34" i="81"/>
  <c r="D34" i="81"/>
  <c r="I24" i="81"/>
  <c r="H24" i="81"/>
  <c r="G24" i="81"/>
  <c r="F24" i="81"/>
  <c r="E24" i="81"/>
  <c r="D24" i="81"/>
  <c r="D28" i="80"/>
  <c r="E28" i="80"/>
  <c r="F28" i="80"/>
  <c r="G28" i="80"/>
  <c r="H28" i="80"/>
  <c r="I28" i="80"/>
  <c r="G64" i="80"/>
  <c r="E64" i="80"/>
  <c r="D64" i="80"/>
  <c r="I64" i="80"/>
  <c r="H64" i="80"/>
  <c r="I57" i="80"/>
  <c r="H57" i="80"/>
  <c r="G57" i="80"/>
  <c r="F57" i="80"/>
  <c r="E57" i="80"/>
  <c r="D57" i="80"/>
  <c r="I37" i="80"/>
  <c r="H37" i="80"/>
  <c r="G37" i="80"/>
  <c r="F37" i="80"/>
  <c r="E37" i="80"/>
  <c r="D37" i="80"/>
  <c r="F26" i="79"/>
  <c r="I1242" i="16"/>
  <c r="I1241" i="16"/>
  <c r="I1506" i="16" s="1"/>
  <c r="H1242" i="16"/>
  <c r="H1241" i="16"/>
  <c r="H1506" i="16" s="1"/>
  <c r="F1242" i="16"/>
  <c r="F1241" i="16"/>
  <c r="F1506" i="16" s="1"/>
  <c r="F60" i="79"/>
  <c r="G60" i="79"/>
  <c r="E60" i="79"/>
  <c r="D60" i="79"/>
  <c r="I57" i="79"/>
  <c r="I60" i="79" s="1"/>
  <c r="I56" i="79"/>
  <c r="H57" i="79"/>
  <c r="H56" i="79"/>
  <c r="H60" i="79" s="1"/>
  <c r="F57" i="79"/>
  <c r="F56" i="79"/>
  <c r="H26" i="79"/>
  <c r="I26" i="79"/>
  <c r="D26" i="79"/>
  <c r="E26" i="79"/>
  <c r="G26" i="79"/>
  <c r="I51" i="79"/>
  <c r="H51" i="79"/>
  <c r="G51" i="79"/>
  <c r="F51" i="79"/>
  <c r="E51" i="79"/>
  <c r="D51" i="79"/>
  <c r="I36" i="79"/>
  <c r="H36" i="79"/>
  <c r="G36" i="79"/>
  <c r="F36" i="79"/>
  <c r="E36" i="79"/>
  <c r="D36" i="79"/>
  <c r="G21" i="78"/>
  <c r="E21" i="78"/>
  <c r="C21" i="78"/>
  <c r="G19" i="78"/>
  <c r="E19" i="78"/>
  <c r="C19" i="78"/>
  <c r="G17" i="78"/>
  <c r="E17" i="78"/>
  <c r="C17" i="78"/>
  <c r="G15" i="78"/>
  <c r="E15" i="78"/>
  <c r="C15" i="78"/>
  <c r="G10" i="78"/>
  <c r="E10" i="78"/>
  <c r="C10" i="78"/>
  <c r="G5" i="78"/>
  <c r="E5" i="78"/>
  <c r="C5" i="78"/>
  <c r="I94" i="77"/>
  <c r="H94" i="77"/>
  <c r="G94" i="77"/>
  <c r="F94" i="77"/>
  <c r="E94" i="77"/>
  <c r="D94" i="77"/>
  <c r="I85" i="77"/>
  <c r="H85" i="77"/>
  <c r="G85" i="77"/>
  <c r="F85" i="77"/>
  <c r="E85" i="77"/>
  <c r="D85" i="77"/>
  <c r="I52" i="77"/>
  <c r="H52" i="77"/>
  <c r="G52" i="77"/>
  <c r="F52" i="77"/>
  <c r="E52" i="77"/>
  <c r="D52" i="77"/>
  <c r="I43" i="77"/>
  <c r="H43" i="77"/>
  <c r="G43" i="77"/>
  <c r="F43" i="77"/>
  <c r="E43" i="77"/>
  <c r="D43" i="77"/>
  <c r="H36" i="75"/>
  <c r="H42" i="76"/>
  <c r="D42" i="76"/>
  <c r="E42" i="76"/>
  <c r="F42" i="76"/>
  <c r="G42" i="76"/>
  <c r="I42" i="76"/>
  <c r="I92" i="76"/>
  <c r="H92" i="76"/>
  <c r="G92" i="76"/>
  <c r="F92" i="76"/>
  <c r="E92" i="76"/>
  <c r="D92" i="76"/>
  <c r="I77" i="76"/>
  <c r="H77" i="76"/>
  <c r="G77" i="76"/>
  <c r="F77" i="76"/>
  <c r="E77" i="76"/>
  <c r="D77" i="76"/>
  <c r="I52" i="76"/>
  <c r="H52" i="76"/>
  <c r="G52" i="76"/>
  <c r="F52" i="76"/>
  <c r="E52" i="76"/>
  <c r="D52" i="76"/>
  <c r="I36" i="75"/>
  <c r="F36" i="75"/>
  <c r="G36" i="75"/>
  <c r="E36" i="75"/>
  <c r="D36" i="75"/>
  <c r="F63" i="75"/>
  <c r="F80" i="75"/>
  <c r="I80" i="75"/>
  <c r="H80" i="75"/>
  <c r="G80" i="75"/>
  <c r="E80" i="75"/>
  <c r="D80" i="75"/>
  <c r="I63" i="75"/>
  <c r="H63" i="75"/>
  <c r="G63" i="75"/>
  <c r="E63" i="75"/>
  <c r="D63" i="75"/>
  <c r="I45" i="75"/>
  <c r="H45" i="75"/>
  <c r="G45" i="75"/>
  <c r="F45" i="75"/>
  <c r="E45" i="75"/>
  <c r="D45" i="75"/>
  <c r="I84" i="74"/>
  <c r="H84" i="74"/>
  <c r="F84" i="74"/>
  <c r="G84" i="74"/>
  <c r="E84" i="74"/>
  <c r="D84" i="74"/>
  <c r="I67" i="74"/>
  <c r="H67" i="74"/>
  <c r="G67" i="74"/>
  <c r="F67" i="74"/>
  <c r="E67" i="74"/>
  <c r="D67" i="74"/>
  <c r="I48" i="74"/>
  <c r="H48" i="74"/>
  <c r="G48" i="74"/>
  <c r="F48" i="74"/>
  <c r="E48" i="74"/>
  <c r="D48" i="74"/>
  <c r="I38" i="74"/>
  <c r="H38" i="74"/>
  <c r="G38" i="74"/>
  <c r="F38" i="74"/>
  <c r="E38" i="74"/>
  <c r="D38" i="74"/>
  <c r="I72" i="73"/>
  <c r="H72" i="73"/>
  <c r="G72" i="73"/>
  <c r="F72" i="73"/>
  <c r="E72" i="73"/>
  <c r="D72" i="73"/>
  <c r="I59" i="73"/>
  <c r="H59" i="73"/>
  <c r="G59" i="73"/>
  <c r="F59" i="73"/>
  <c r="E59" i="73"/>
  <c r="D59" i="73"/>
  <c r="I41" i="73"/>
  <c r="H41" i="73"/>
  <c r="G41" i="73"/>
  <c r="F41" i="73"/>
  <c r="E41" i="73"/>
  <c r="D41" i="73"/>
  <c r="I32" i="73"/>
  <c r="H32" i="73"/>
  <c r="G32" i="73"/>
  <c r="F32" i="73"/>
  <c r="E32" i="73"/>
  <c r="D32" i="73"/>
  <c r="I80" i="72"/>
  <c r="H80" i="72"/>
  <c r="G80" i="72"/>
  <c r="F80" i="72"/>
  <c r="E80" i="72"/>
  <c r="D80" i="72"/>
  <c r="I73" i="72"/>
  <c r="H73" i="72"/>
  <c r="G73" i="72"/>
  <c r="F73" i="72"/>
  <c r="E73" i="72"/>
  <c r="D73" i="72"/>
  <c r="I48" i="72"/>
  <c r="H48" i="72"/>
  <c r="G48" i="72"/>
  <c r="F48" i="72"/>
  <c r="E48" i="72"/>
  <c r="D48" i="72"/>
  <c r="I36" i="72"/>
  <c r="H36" i="72"/>
  <c r="G36" i="72"/>
  <c r="F36" i="72"/>
  <c r="E36" i="72"/>
  <c r="D36" i="72"/>
  <c r="F64" i="80" l="1"/>
  <c r="G60" i="71" l="1"/>
  <c r="I60" i="71"/>
  <c r="H60" i="71"/>
  <c r="F60" i="71"/>
  <c r="E60" i="71"/>
  <c r="D60" i="71"/>
  <c r="I53" i="71"/>
  <c r="H53" i="71"/>
  <c r="G53" i="71"/>
  <c r="F53" i="71"/>
  <c r="E53" i="71"/>
  <c r="D53" i="71"/>
  <c r="I36" i="71"/>
  <c r="H36" i="71"/>
  <c r="G36" i="71"/>
  <c r="F36" i="71"/>
  <c r="E36" i="71"/>
  <c r="D36" i="71"/>
  <c r="I26" i="71"/>
  <c r="H26" i="71"/>
  <c r="G26" i="71"/>
  <c r="F26" i="71"/>
  <c r="E26" i="71"/>
  <c r="D26" i="71"/>
  <c r="D69" i="70"/>
  <c r="E69" i="70"/>
  <c r="F69" i="70"/>
  <c r="G69" i="70"/>
  <c r="H69" i="70"/>
  <c r="I69" i="70"/>
  <c r="I74" i="70"/>
  <c r="H74" i="70"/>
  <c r="G74" i="70"/>
  <c r="F74" i="70"/>
  <c r="E74" i="70"/>
  <c r="D74" i="70"/>
  <c r="I45" i="70"/>
  <c r="H45" i="70"/>
  <c r="G45" i="70"/>
  <c r="F45" i="70"/>
  <c r="E45" i="70"/>
  <c r="D45" i="70"/>
  <c r="I33" i="70"/>
  <c r="H33" i="70"/>
  <c r="G33" i="70"/>
  <c r="F33" i="70"/>
  <c r="E33" i="70"/>
  <c r="D33" i="70"/>
  <c r="D25" i="31"/>
  <c r="I58" i="68"/>
  <c r="H58" i="68"/>
  <c r="G58" i="68"/>
  <c r="F58" i="68"/>
  <c r="E58" i="68"/>
  <c r="D58" i="68"/>
  <c r="I50" i="68"/>
  <c r="H50" i="68"/>
  <c r="G50" i="68"/>
  <c r="F50" i="68"/>
  <c r="E50" i="68"/>
  <c r="D50" i="68"/>
  <c r="I36" i="68"/>
  <c r="H36" i="68"/>
  <c r="G36" i="68"/>
  <c r="F36" i="68"/>
  <c r="E36" i="68"/>
  <c r="D36" i="68"/>
  <c r="I25" i="68"/>
  <c r="H25" i="68"/>
  <c r="G25" i="68"/>
  <c r="F25" i="68"/>
  <c r="E25" i="68"/>
  <c r="D25" i="68"/>
  <c r="D72" i="67"/>
  <c r="E72" i="67"/>
  <c r="F72" i="67"/>
  <c r="G72" i="67"/>
  <c r="H72" i="67"/>
  <c r="I72" i="67"/>
  <c r="I78" i="67"/>
  <c r="H78" i="67"/>
  <c r="G78" i="67"/>
  <c r="F78" i="67"/>
  <c r="E78" i="67"/>
  <c r="D78" i="67"/>
  <c r="I47" i="67"/>
  <c r="H47" i="67"/>
  <c r="G47" i="67"/>
  <c r="F47" i="67"/>
  <c r="E47" i="67"/>
  <c r="D47" i="67"/>
  <c r="I35" i="67"/>
  <c r="H35" i="67"/>
  <c r="G35" i="67"/>
  <c r="F35" i="67"/>
  <c r="E35" i="67"/>
  <c r="D35" i="67"/>
  <c r="I60" i="66"/>
  <c r="H60" i="66"/>
  <c r="G60" i="66"/>
  <c r="F60" i="66"/>
  <c r="E60" i="66"/>
  <c r="D60" i="66"/>
  <c r="I52" i="66"/>
  <c r="H52" i="66"/>
  <c r="G52" i="66"/>
  <c r="F52" i="66"/>
  <c r="E52" i="66"/>
  <c r="D52" i="66"/>
  <c r="I37" i="66"/>
  <c r="H37" i="66"/>
  <c r="G37" i="66"/>
  <c r="F37" i="66"/>
  <c r="E37" i="66"/>
  <c r="D37" i="66"/>
  <c r="I26" i="66"/>
  <c r="H26" i="66"/>
  <c r="G26" i="66"/>
  <c r="F26" i="66"/>
  <c r="E26" i="66"/>
  <c r="D26" i="66"/>
  <c r="I70" i="65"/>
  <c r="H70" i="65"/>
  <c r="G70" i="65"/>
  <c r="F70" i="65"/>
  <c r="E70" i="65"/>
  <c r="D70" i="65"/>
  <c r="I63" i="65"/>
  <c r="H63" i="65"/>
  <c r="G63" i="65"/>
  <c r="F63" i="65"/>
  <c r="E63" i="65"/>
  <c r="D63" i="65"/>
  <c r="I43" i="65"/>
  <c r="H43" i="65"/>
  <c r="G43" i="65"/>
  <c r="F43" i="65"/>
  <c r="E43" i="65"/>
  <c r="D43" i="65"/>
  <c r="I31" i="65"/>
  <c r="H31" i="65"/>
  <c r="G31" i="65"/>
  <c r="F31" i="65"/>
  <c r="E31" i="65"/>
  <c r="D31" i="65"/>
  <c r="I68" i="64" l="1"/>
  <c r="H68" i="64"/>
  <c r="F68" i="64"/>
  <c r="G68" i="64"/>
  <c r="E68" i="64"/>
  <c r="D68" i="64"/>
  <c r="I76" i="64"/>
  <c r="H76" i="64"/>
  <c r="G76" i="64"/>
  <c r="F76" i="64"/>
  <c r="E76" i="64"/>
  <c r="D76" i="64"/>
  <c r="I47" i="64"/>
  <c r="H47" i="64"/>
  <c r="G47" i="64"/>
  <c r="F47" i="64"/>
  <c r="E47" i="64"/>
  <c r="D47" i="64"/>
  <c r="I34" i="64"/>
  <c r="H34" i="64"/>
  <c r="G34" i="64"/>
  <c r="F34" i="64"/>
  <c r="E34" i="64"/>
  <c r="D34" i="64"/>
  <c r="I62" i="63"/>
  <c r="H62" i="63"/>
  <c r="G62" i="63"/>
  <c r="F62" i="63"/>
  <c r="E62" i="63"/>
  <c r="D62" i="63"/>
  <c r="I54" i="63"/>
  <c r="H54" i="63"/>
  <c r="G54" i="63"/>
  <c r="F54" i="63"/>
  <c r="E54" i="63"/>
  <c r="D54" i="63"/>
  <c r="I41" i="63"/>
  <c r="H41" i="63"/>
  <c r="G41" i="63"/>
  <c r="F41" i="63"/>
  <c r="E41" i="63"/>
  <c r="D41" i="63"/>
  <c r="I27" i="63"/>
  <c r="H27" i="63"/>
  <c r="G27" i="63"/>
  <c r="F27" i="63"/>
  <c r="E27" i="63"/>
  <c r="D27" i="63"/>
  <c r="I80" i="62"/>
  <c r="H80" i="62"/>
  <c r="G80" i="62"/>
  <c r="F80" i="62"/>
  <c r="E80" i="62"/>
  <c r="D80" i="62"/>
  <c r="I72" i="62"/>
  <c r="H72" i="62"/>
  <c r="G72" i="62"/>
  <c r="F72" i="62"/>
  <c r="E72" i="62"/>
  <c r="D72" i="62"/>
  <c r="I49" i="62"/>
  <c r="H49" i="62"/>
  <c r="G49" i="62"/>
  <c r="F49" i="62"/>
  <c r="E49" i="62"/>
  <c r="D49" i="62"/>
  <c r="I36" i="62"/>
  <c r="H36" i="62"/>
  <c r="G36" i="62"/>
  <c r="F36" i="62"/>
  <c r="E36" i="62"/>
  <c r="D36" i="62"/>
  <c r="I60" i="61"/>
  <c r="H60" i="61"/>
  <c r="G60" i="61"/>
  <c r="F60" i="61"/>
  <c r="E60" i="61"/>
  <c r="D60" i="61"/>
  <c r="I53" i="61"/>
  <c r="H53" i="61"/>
  <c r="G53" i="61"/>
  <c r="F53" i="61"/>
  <c r="E53" i="61"/>
  <c r="D53" i="61"/>
  <c r="I38" i="61"/>
  <c r="H38" i="61"/>
  <c r="G38" i="61"/>
  <c r="F38" i="61"/>
  <c r="E38" i="61"/>
  <c r="D38" i="61"/>
  <c r="I26" i="61"/>
  <c r="H26" i="61"/>
  <c r="G26" i="61"/>
  <c r="F26" i="61"/>
  <c r="E26" i="61"/>
  <c r="D26" i="61"/>
  <c r="I60" i="60"/>
  <c r="H60" i="60"/>
  <c r="G60" i="60"/>
  <c r="F60" i="60"/>
  <c r="E60" i="60"/>
  <c r="D60" i="60"/>
  <c r="I53" i="60"/>
  <c r="H53" i="60"/>
  <c r="G53" i="60"/>
  <c r="F53" i="60"/>
  <c r="E53" i="60"/>
  <c r="D53" i="60"/>
  <c r="I39" i="60"/>
  <c r="H39" i="60"/>
  <c r="G39" i="60"/>
  <c r="F39" i="60"/>
  <c r="E39" i="60"/>
  <c r="D39" i="60"/>
  <c r="I26" i="60"/>
  <c r="H26" i="60"/>
  <c r="G26" i="60"/>
  <c r="F26" i="60"/>
  <c r="E26" i="60"/>
  <c r="D26" i="60"/>
  <c r="I74" i="59"/>
  <c r="H74" i="59"/>
  <c r="G74" i="59"/>
  <c r="F74" i="59"/>
  <c r="E74" i="59"/>
  <c r="D74" i="59"/>
  <c r="I67" i="59"/>
  <c r="H67" i="59"/>
  <c r="G67" i="59"/>
  <c r="F67" i="59"/>
  <c r="E67" i="59"/>
  <c r="D67" i="59"/>
  <c r="I43" i="59"/>
  <c r="H43" i="59"/>
  <c r="G43" i="59"/>
  <c r="F43" i="59"/>
  <c r="E43" i="59"/>
  <c r="D43" i="59"/>
  <c r="I33" i="59"/>
  <c r="H33" i="59"/>
  <c r="G33" i="59"/>
  <c r="F33" i="59"/>
  <c r="E33" i="59"/>
  <c r="D33" i="59"/>
  <c r="D71" i="58"/>
  <c r="E71" i="58"/>
  <c r="F71" i="58"/>
  <c r="G71" i="58"/>
  <c r="H71" i="58"/>
  <c r="I71" i="58"/>
  <c r="I78" i="58"/>
  <c r="H78" i="58"/>
  <c r="G78" i="58"/>
  <c r="F78" i="58"/>
  <c r="E78" i="58"/>
  <c r="D78" i="58"/>
  <c r="I46" i="58"/>
  <c r="H46" i="58"/>
  <c r="G46" i="58"/>
  <c r="F46" i="58"/>
  <c r="E46" i="58"/>
  <c r="D46" i="58"/>
  <c r="I35" i="58"/>
  <c r="H35" i="58"/>
  <c r="G35" i="58"/>
  <c r="F35" i="58"/>
  <c r="E35" i="58"/>
  <c r="D35" i="58"/>
  <c r="I54" i="57"/>
  <c r="H54" i="57"/>
  <c r="G54" i="57"/>
  <c r="F54" i="57"/>
  <c r="E54" i="57"/>
  <c r="D54" i="57"/>
  <c r="I45" i="57"/>
  <c r="H45" i="57"/>
  <c r="G45" i="57"/>
  <c r="F45" i="57"/>
  <c r="E45" i="57"/>
  <c r="D45" i="57"/>
  <c r="I35" i="57"/>
  <c r="H35" i="57"/>
  <c r="G35" i="57"/>
  <c r="F35" i="57"/>
  <c r="E35" i="57"/>
  <c r="D35" i="57"/>
  <c r="I23" i="57"/>
  <c r="H23" i="57"/>
  <c r="G23" i="57"/>
  <c r="F23" i="57"/>
  <c r="E23" i="57"/>
  <c r="D23" i="57"/>
  <c r="F71" i="56"/>
  <c r="I80" i="56"/>
  <c r="H80" i="56"/>
  <c r="G80" i="56"/>
  <c r="F80" i="56"/>
  <c r="E80" i="56"/>
  <c r="D80" i="56"/>
  <c r="I71" i="56"/>
  <c r="H71" i="56"/>
  <c r="G71" i="56"/>
  <c r="E71" i="56"/>
  <c r="D71" i="56"/>
  <c r="I47" i="56"/>
  <c r="H47" i="56"/>
  <c r="G47" i="56"/>
  <c r="F47" i="56"/>
  <c r="E47" i="56"/>
  <c r="D47" i="56"/>
  <c r="I36" i="56"/>
  <c r="H36" i="56"/>
  <c r="G36" i="56"/>
  <c r="F36" i="56"/>
  <c r="E36" i="56"/>
  <c r="D36" i="56"/>
  <c r="I80" i="55"/>
  <c r="H80" i="55"/>
  <c r="G80" i="55"/>
  <c r="F80" i="55"/>
  <c r="E80" i="55"/>
  <c r="D80" i="55"/>
  <c r="I69" i="55"/>
  <c r="H69" i="55"/>
  <c r="G69" i="55"/>
  <c r="F69" i="55"/>
  <c r="E69" i="55"/>
  <c r="D69" i="55"/>
  <c r="I50" i="55"/>
  <c r="H50" i="55"/>
  <c r="G50" i="55"/>
  <c r="F50" i="55"/>
  <c r="E50" i="55"/>
  <c r="D50" i="55"/>
  <c r="I36" i="55"/>
  <c r="H36" i="55"/>
  <c r="G36" i="55"/>
  <c r="F36" i="55"/>
  <c r="E36" i="55"/>
  <c r="D36" i="55"/>
  <c r="I70" i="54"/>
  <c r="H70" i="54"/>
  <c r="G70" i="54"/>
  <c r="F70" i="54"/>
  <c r="E70" i="54"/>
  <c r="D70" i="54"/>
  <c r="I61" i="54"/>
  <c r="H61" i="54"/>
  <c r="G61" i="54"/>
  <c r="F61" i="54"/>
  <c r="E61" i="54"/>
  <c r="D61" i="54"/>
  <c r="I40" i="54"/>
  <c r="H40" i="54"/>
  <c r="G40" i="54"/>
  <c r="F40" i="54"/>
  <c r="E40" i="54"/>
  <c r="D40" i="54"/>
  <c r="I31" i="54"/>
  <c r="H31" i="54"/>
  <c r="G31" i="54"/>
  <c r="F31" i="54"/>
  <c r="E31" i="54"/>
  <c r="D31" i="54"/>
  <c r="I70" i="53"/>
  <c r="H70" i="53"/>
  <c r="G70" i="53"/>
  <c r="F70" i="53"/>
  <c r="E70" i="53"/>
  <c r="D70" i="53"/>
  <c r="I61" i="53"/>
  <c r="H61" i="53"/>
  <c r="G61" i="53"/>
  <c r="F61" i="53"/>
  <c r="E61" i="53"/>
  <c r="D61" i="53"/>
  <c r="I41" i="53"/>
  <c r="H41" i="53"/>
  <c r="G41" i="53"/>
  <c r="F41" i="53"/>
  <c r="E41" i="53"/>
  <c r="D41" i="53"/>
  <c r="I31" i="53"/>
  <c r="H31" i="53"/>
  <c r="G31" i="53"/>
  <c r="F31" i="53"/>
  <c r="E31" i="53"/>
  <c r="D31" i="53"/>
  <c r="I62" i="52"/>
  <c r="H62" i="52"/>
  <c r="G62" i="52"/>
  <c r="F62" i="52"/>
  <c r="E62" i="52"/>
  <c r="D62" i="52"/>
  <c r="I55" i="52"/>
  <c r="H55" i="52"/>
  <c r="G55" i="52"/>
  <c r="F55" i="52"/>
  <c r="E55" i="52"/>
  <c r="D55" i="52"/>
  <c r="I36" i="52"/>
  <c r="H36" i="52"/>
  <c r="G36" i="52"/>
  <c r="F36" i="52"/>
  <c r="E36" i="52"/>
  <c r="D36" i="52"/>
  <c r="I27" i="52"/>
  <c r="H27" i="52"/>
  <c r="G27" i="52"/>
  <c r="F27" i="52"/>
  <c r="E27" i="52"/>
  <c r="D27" i="52"/>
  <c r="I42" i="51"/>
  <c r="H42" i="51"/>
  <c r="F42" i="51"/>
  <c r="G42" i="51"/>
  <c r="E42" i="51"/>
  <c r="D42" i="51"/>
  <c r="I68" i="51"/>
  <c r="H68" i="51"/>
  <c r="G68" i="51"/>
  <c r="F68" i="51"/>
  <c r="E68" i="51"/>
  <c r="D68" i="51"/>
  <c r="I61" i="51"/>
  <c r="H61" i="51"/>
  <c r="G61" i="51"/>
  <c r="F61" i="51"/>
  <c r="E61" i="51"/>
  <c r="D61" i="51"/>
  <c r="I30" i="51"/>
  <c r="H30" i="51"/>
  <c r="G30" i="51"/>
  <c r="F30" i="51"/>
  <c r="E30" i="51"/>
  <c r="D30" i="51"/>
  <c r="G24" i="50"/>
  <c r="D49" i="50"/>
  <c r="E49" i="50"/>
  <c r="F49" i="50"/>
  <c r="G49" i="50"/>
  <c r="H49" i="50"/>
  <c r="I49" i="50"/>
  <c r="D24" i="50"/>
  <c r="E24" i="50"/>
  <c r="F24" i="50"/>
  <c r="H24" i="50"/>
  <c r="I24" i="50"/>
  <c r="I56" i="50"/>
  <c r="H56" i="50"/>
  <c r="G56" i="50"/>
  <c r="F56" i="50"/>
  <c r="E56" i="50"/>
  <c r="D56" i="50"/>
  <c r="I33" i="50"/>
  <c r="H33" i="50"/>
  <c r="G33" i="50"/>
  <c r="F33" i="50"/>
  <c r="E33" i="50"/>
  <c r="D33" i="50"/>
  <c r="I50" i="49"/>
  <c r="H50" i="49"/>
  <c r="G50" i="49"/>
  <c r="F50" i="49"/>
  <c r="E50" i="49"/>
  <c r="D50" i="49"/>
  <c r="I41" i="49"/>
  <c r="H41" i="49"/>
  <c r="G41" i="49"/>
  <c r="F41" i="49"/>
  <c r="E41" i="49"/>
  <c r="D41" i="49"/>
  <c r="I31" i="49"/>
  <c r="H31" i="49"/>
  <c r="G31" i="49"/>
  <c r="F31" i="49"/>
  <c r="E31" i="49"/>
  <c r="D31" i="49"/>
  <c r="I21" i="49"/>
  <c r="H21" i="49"/>
  <c r="G21" i="49"/>
  <c r="F21" i="49"/>
  <c r="E21" i="49"/>
  <c r="D21" i="49"/>
  <c r="I70" i="46" l="1"/>
  <c r="H70" i="46"/>
  <c r="G70" i="46"/>
  <c r="F70" i="46"/>
  <c r="E70" i="46"/>
  <c r="D70" i="46"/>
  <c r="I61" i="46"/>
  <c r="H61" i="46"/>
  <c r="G61" i="46"/>
  <c r="F61" i="46"/>
  <c r="E61" i="46"/>
  <c r="D61" i="46"/>
  <c r="I40" i="46"/>
  <c r="H40" i="46"/>
  <c r="G40" i="46"/>
  <c r="F40" i="46"/>
  <c r="E40" i="46"/>
  <c r="D40" i="46"/>
  <c r="I31" i="46"/>
  <c r="H31" i="46"/>
  <c r="G31" i="46"/>
  <c r="F31" i="46"/>
  <c r="E31" i="46"/>
  <c r="D31" i="46"/>
  <c r="I54" i="45"/>
  <c r="H54" i="45"/>
  <c r="G54" i="45"/>
  <c r="F54" i="45"/>
  <c r="E54" i="45"/>
  <c r="D54" i="45"/>
  <c r="I47" i="45"/>
  <c r="H47" i="45"/>
  <c r="G47" i="45"/>
  <c r="F47" i="45"/>
  <c r="E47" i="45"/>
  <c r="D47" i="45"/>
  <c r="I33" i="45"/>
  <c r="H33" i="45"/>
  <c r="G33" i="45"/>
  <c r="F33" i="45"/>
  <c r="E33" i="45"/>
  <c r="D33" i="45"/>
  <c r="I23" i="45"/>
  <c r="H23" i="45"/>
  <c r="G23" i="45"/>
  <c r="F23" i="45"/>
  <c r="E23" i="45"/>
  <c r="D23" i="45"/>
  <c r="I41" i="44"/>
  <c r="H41" i="44"/>
  <c r="F41" i="44"/>
  <c r="G41" i="44"/>
  <c r="E41" i="44"/>
  <c r="D41" i="44"/>
  <c r="D61" i="44"/>
  <c r="E61" i="44"/>
  <c r="F61" i="44"/>
  <c r="G61" i="44"/>
  <c r="H61" i="44"/>
  <c r="I61" i="44"/>
  <c r="D30" i="44"/>
  <c r="E30" i="44"/>
  <c r="F30" i="44"/>
  <c r="G30" i="44"/>
  <c r="H30" i="44"/>
  <c r="I30" i="44"/>
  <c r="I68" i="44"/>
  <c r="H68" i="44"/>
  <c r="G68" i="44"/>
  <c r="F68" i="44"/>
  <c r="E68" i="44"/>
  <c r="D68" i="44"/>
  <c r="G66" i="43"/>
  <c r="I66" i="43"/>
  <c r="H66" i="43"/>
  <c r="F66" i="43"/>
  <c r="E66" i="43"/>
  <c r="D66" i="43"/>
  <c r="D29" i="43"/>
  <c r="E29" i="43"/>
  <c r="F29" i="43"/>
  <c r="G29" i="43"/>
  <c r="H29" i="43"/>
  <c r="I29" i="43"/>
  <c r="I57" i="43"/>
  <c r="H57" i="43"/>
  <c r="G57" i="43"/>
  <c r="F57" i="43"/>
  <c r="E57" i="43"/>
  <c r="D57" i="43"/>
  <c r="I39" i="43"/>
  <c r="H39" i="43"/>
  <c r="G39" i="43"/>
  <c r="F39" i="43"/>
  <c r="E39" i="43"/>
  <c r="D39" i="43"/>
  <c r="F28" i="42"/>
  <c r="I64" i="42"/>
  <c r="H64" i="42"/>
  <c r="G64" i="42"/>
  <c r="F64" i="42"/>
  <c r="E64" i="42"/>
  <c r="D64" i="42"/>
  <c r="I57" i="42"/>
  <c r="H57" i="42"/>
  <c r="G57" i="42"/>
  <c r="F57" i="42"/>
  <c r="E57" i="42"/>
  <c r="D57" i="42"/>
  <c r="I37" i="42"/>
  <c r="H37" i="42"/>
  <c r="G37" i="42"/>
  <c r="F37" i="42"/>
  <c r="E37" i="42"/>
  <c r="D37" i="42"/>
  <c r="I28" i="42"/>
  <c r="H28" i="42"/>
  <c r="G28" i="42"/>
  <c r="E28" i="42"/>
  <c r="D28" i="42"/>
  <c r="D73" i="41"/>
  <c r="E73" i="41"/>
  <c r="F73" i="41"/>
  <c r="G73" i="41"/>
  <c r="H73" i="41"/>
  <c r="I73" i="41"/>
  <c r="F38" i="41"/>
  <c r="I38" i="41"/>
  <c r="H38" i="41"/>
  <c r="G38" i="41"/>
  <c r="E38" i="41"/>
  <c r="D38" i="41"/>
  <c r="I84" i="41"/>
  <c r="H84" i="41"/>
  <c r="G84" i="41"/>
  <c r="F84" i="41"/>
  <c r="E84" i="41"/>
  <c r="D84" i="41"/>
  <c r="I48" i="41"/>
  <c r="H48" i="41"/>
  <c r="G48" i="41"/>
  <c r="F48" i="41"/>
  <c r="E48" i="41"/>
  <c r="D48" i="41"/>
  <c r="I62" i="40"/>
  <c r="H62" i="40"/>
  <c r="G62" i="40"/>
  <c r="F62" i="40"/>
  <c r="E62" i="40"/>
  <c r="D62" i="40"/>
  <c r="I53" i="40"/>
  <c r="H53" i="40"/>
  <c r="G53" i="40"/>
  <c r="F53" i="40"/>
  <c r="E53" i="40"/>
  <c r="D53" i="40"/>
  <c r="I38" i="40"/>
  <c r="H38" i="40"/>
  <c r="G38" i="40"/>
  <c r="F38" i="40"/>
  <c r="E38" i="40"/>
  <c r="D38" i="40"/>
  <c r="I27" i="40"/>
  <c r="H27" i="40"/>
  <c r="G27" i="40"/>
  <c r="F27" i="40"/>
  <c r="E27" i="40"/>
  <c r="D27" i="40"/>
  <c r="F84" i="39"/>
  <c r="I84" i="39"/>
  <c r="H84" i="39"/>
  <c r="G84" i="39"/>
  <c r="E84" i="39"/>
  <c r="D84" i="39"/>
  <c r="I71" i="39"/>
  <c r="H71" i="39"/>
  <c r="G71" i="39"/>
  <c r="F71" i="39"/>
  <c r="E71" i="39"/>
  <c r="D71" i="39"/>
  <c r="I50" i="39"/>
  <c r="H50" i="39"/>
  <c r="G50" i="39"/>
  <c r="F50" i="39"/>
  <c r="E50" i="39"/>
  <c r="D50" i="39"/>
  <c r="I38" i="39"/>
  <c r="H38" i="39"/>
  <c r="G38" i="39"/>
  <c r="F38" i="39"/>
  <c r="E38" i="39"/>
  <c r="D38" i="39"/>
  <c r="I70" i="38" l="1"/>
  <c r="H70" i="38"/>
  <c r="G70" i="38"/>
  <c r="F70" i="38"/>
  <c r="E70" i="38"/>
  <c r="D70" i="38"/>
  <c r="I62" i="38"/>
  <c r="H62" i="38"/>
  <c r="G62" i="38"/>
  <c r="F62" i="38"/>
  <c r="E62" i="38"/>
  <c r="D62" i="38"/>
  <c r="I42" i="38"/>
  <c r="H42" i="38"/>
  <c r="G42" i="38"/>
  <c r="F42" i="38"/>
  <c r="E42" i="38"/>
  <c r="D42" i="38"/>
  <c r="I31" i="38"/>
  <c r="H31" i="38"/>
  <c r="G31" i="38"/>
  <c r="F31" i="38"/>
  <c r="E31" i="38"/>
  <c r="D31" i="38"/>
  <c r="I56" i="37"/>
  <c r="H56" i="37"/>
  <c r="G56" i="37"/>
  <c r="F56" i="37"/>
  <c r="E56" i="37"/>
  <c r="D56" i="37"/>
  <c r="I48" i="37"/>
  <c r="H48" i="37"/>
  <c r="G48" i="37"/>
  <c r="F48" i="37"/>
  <c r="E48" i="37"/>
  <c r="D48" i="37"/>
  <c r="I34" i="37"/>
  <c r="H34" i="37"/>
  <c r="G34" i="37"/>
  <c r="F34" i="37"/>
  <c r="E34" i="37"/>
  <c r="D34" i="37"/>
  <c r="I24" i="37"/>
  <c r="H24" i="37"/>
  <c r="G24" i="37"/>
  <c r="F24" i="37"/>
  <c r="E24" i="37"/>
  <c r="D24" i="37"/>
  <c r="I66" i="36"/>
  <c r="H66" i="36"/>
  <c r="G66" i="36"/>
  <c r="F66" i="36"/>
  <c r="E66" i="36"/>
  <c r="D66" i="36"/>
  <c r="I60" i="36"/>
  <c r="H60" i="36"/>
  <c r="G60" i="36"/>
  <c r="F60" i="36"/>
  <c r="E60" i="36"/>
  <c r="D60" i="36"/>
  <c r="I38" i="36"/>
  <c r="H38" i="36"/>
  <c r="G38" i="36"/>
  <c r="F38" i="36"/>
  <c r="E38" i="36"/>
  <c r="D38" i="36"/>
  <c r="I29" i="36"/>
  <c r="H29" i="36"/>
  <c r="G29" i="36"/>
  <c r="F29" i="36"/>
  <c r="E29" i="36"/>
  <c r="D29" i="36"/>
  <c r="I46" i="35"/>
  <c r="H46" i="35"/>
  <c r="G46" i="35"/>
  <c r="F46" i="35"/>
  <c r="E46" i="35"/>
  <c r="D46" i="35"/>
  <c r="I41" i="35"/>
  <c r="H41" i="35"/>
  <c r="G41" i="35"/>
  <c r="F41" i="35"/>
  <c r="E41" i="35"/>
  <c r="D41" i="35"/>
  <c r="I29" i="35"/>
  <c r="H29" i="35"/>
  <c r="G29" i="35"/>
  <c r="F29" i="35"/>
  <c r="E29" i="35"/>
  <c r="D29" i="35"/>
  <c r="I19" i="35"/>
  <c r="H19" i="35"/>
  <c r="G19" i="35"/>
  <c r="F19" i="35"/>
  <c r="E19" i="35"/>
  <c r="D19" i="35"/>
  <c r="I54" i="34"/>
  <c r="H54" i="34"/>
  <c r="G54" i="34"/>
  <c r="F54" i="34"/>
  <c r="E54" i="34"/>
  <c r="D54" i="34"/>
  <c r="I68" i="34"/>
  <c r="H68" i="34"/>
  <c r="G68" i="34"/>
  <c r="F68" i="34"/>
  <c r="E68" i="34"/>
  <c r="D68" i="34"/>
  <c r="I39" i="34"/>
  <c r="H39" i="34"/>
  <c r="G39" i="34"/>
  <c r="F39" i="34"/>
  <c r="E39" i="34"/>
  <c r="D39" i="34"/>
  <c r="I30" i="34"/>
  <c r="H30" i="34"/>
  <c r="G30" i="34"/>
  <c r="F30" i="34"/>
  <c r="E30" i="34"/>
  <c r="D30" i="34"/>
  <c r="D54" i="32"/>
  <c r="E54" i="32"/>
  <c r="F54" i="32"/>
  <c r="G54" i="32"/>
  <c r="H54" i="32"/>
  <c r="I54" i="32"/>
  <c r="D32" i="32"/>
  <c r="E32" i="32"/>
  <c r="F32" i="32"/>
  <c r="G32" i="32"/>
  <c r="H32" i="32"/>
  <c r="I32" i="32"/>
  <c r="I72" i="32"/>
  <c r="H72" i="32"/>
  <c r="G72" i="32"/>
  <c r="F72" i="32"/>
  <c r="E72" i="32"/>
  <c r="D72" i="32"/>
  <c r="I42" i="32"/>
  <c r="H42" i="32"/>
  <c r="G42" i="32"/>
  <c r="F42" i="32"/>
  <c r="E42" i="32"/>
  <c r="D42" i="32"/>
  <c r="E25" i="31"/>
  <c r="I25" i="31"/>
  <c r="H25" i="31"/>
  <c r="G25" i="31"/>
  <c r="F25" i="31"/>
  <c r="I58" i="31"/>
  <c r="H58" i="31"/>
  <c r="G58" i="31"/>
  <c r="F58" i="31"/>
  <c r="E58" i="31"/>
  <c r="D58" i="31"/>
  <c r="I42" i="31"/>
  <c r="H42" i="31"/>
  <c r="G42" i="31"/>
  <c r="F42" i="31"/>
  <c r="E42" i="31"/>
  <c r="D42" i="31"/>
  <c r="I34" i="31"/>
  <c r="H34" i="31"/>
  <c r="G34" i="31"/>
  <c r="F34" i="31"/>
  <c r="E34" i="31"/>
  <c r="D34" i="31"/>
</calcChain>
</file>

<file path=xl/sharedStrings.xml><?xml version="1.0" encoding="utf-8"?>
<sst xmlns="http://schemas.openxmlformats.org/spreadsheetml/2006/main" count="13567" uniqueCount="1141">
  <si>
    <t>Send Date</t>
  </si>
  <si>
    <t>Journey Name</t>
  </si>
  <si>
    <t>Version</t>
  </si>
  <si>
    <t>Sent</t>
  </si>
  <si>
    <t>Unique Opens</t>
  </si>
  <si>
    <t>Unique Open Rate</t>
  </si>
  <si>
    <t>Unique Clicks</t>
  </si>
  <si>
    <t>CTO</t>
  </si>
  <si>
    <t>CTR</t>
  </si>
  <si>
    <t>[Production] 23_0001_MKTT_FridayWhatsOn_Dec29_FINAL2</t>
  </si>
  <si>
    <t>Email - English</t>
  </si>
  <si>
    <t>Email - French</t>
  </si>
  <si>
    <t>[Production] 23-0564-Store_Newsletter_Dec29</t>
  </si>
  <si>
    <t>[Production] CineClub_Monthly December offer 2 Month Non Active</t>
  </si>
  <si>
    <t>Email - English - Reminder</t>
  </si>
  <si>
    <t>[Production] Survey - Film Anticipation - January</t>
  </si>
  <si>
    <t>[Production] 23_0002_MKTT_TuesDeals_Jan2</t>
  </si>
  <si>
    <t>[Production] 23-0710-MKTT-Night Swim Dedicated_FINAL</t>
  </si>
  <si>
    <t>[Production] (22858) Migration - English</t>
  </si>
  <si>
    <t>Email - RFM -English</t>
  </si>
  <si>
    <t>[Production] (22858) Migration - French</t>
  </si>
  <si>
    <t>Email - RFM - French</t>
  </si>
  <si>
    <t>[Production] (36897) Ferrari - English</t>
  </si>
  <si>
    <t>Email - 2nd Week No-Offer - English</t>
  </si>
  <si>
    <t>[Production] (26897) Ferrari - French</t>
  </si>
  <si>
    <t>Email - 2nd Week No-Offer - French</t>
  </si>
  <si>
    <t>[Production] (33558) Aquaman - English</t>
  </si>
  <si>
    <t>Email - RFM - English</t>
  </si>
  <si>
    <t>[Production] (33558) Aquaman - French</t>
  </si>
  <si>
    <t>[Production] (35292) The Color Purple - English</t>
  </si>
  <si>
    <t>[Production] (35311) Wonka - English</t>
  </si>
  <si>
    <t>Email - MDP - English</t>
  </si>
  <si>
    <t>Email - MDP - French</t>
  </si>
  <si>
    <t>[Production] (36736) Anyone But You - English</t>
  </si>
  <si>
    <t>[Production] (37167) Dunki - English</t>
  </si>
  <si>
    <t>Total</t>
  </si>
  <si>
    <t>Weekly</t>
  </si>
  <si>
    <t>Dedicated/ Ad Hoc</t>
  </si>
  <si>
    <t>Attendance Workstream</t>
  </si>
  <si>
    <t>[Production] 23-0564-Store_Newsletter_Jan5</t>
  </si>
  <si>
    <t>[Production] 24_0001_MKTT_FridayWhatsOn_Jan05</t>
  </si>
  <si>
    <t>24-0003-EVCN-January Arts Culture Newsletter</t>
  </si>
  <si>
    <t>[Production] 24_0002_MKTT_TuesDeals_Jan9</t>
  </si>
  <si>
    <t>[Production] 23-0427-EVCN-Met-Carmen_FINAL</t>
  </si>
  <si>
    <t>[Production] 23-0682-MKTT-Mean Girls Dedicated Email_FINAL</t>
  </si>
  <si>
    <t>[Production] 23-0713-MKTT-The Book of Clarence_FINAL</t>
  </si>
  <si>
    <t>23-0714-MKTT-The Beekeeper - Dedicated Email_FINAL</t>
  </si>
  <si>
    <t xml:space="preserve">Email - MDP Offer </t>
  </si>
  <si>
    <t>Email - MDP Offer</t>
  </si>
  <si>
    <t>Email - RFM Offer</t>
  </si>
  <si>
    <t>[Production] (35292) The Color Purple - French</t>
  </si>
  <si>
    <t>[Production] (35677) Night Swim - English</t>
  </si>
  <si>
    <t>Email - 2nd week offer email</t>
  </si>
  <si>
    <t>[Production] (35677) Night Swim - French</t>
  </si>
  <si>
    <t>[Production] (36736) Anyone But You - French</t>
  </si>
  <si>
    <t>[Production] (37051) American Fiction - English</t>
  </si>
  <si>
    <t>[Production] (37051) American Fiction - French</t>
  </si>
  <si>
    <t>[Production] 24_0001_MKTT_FridayWhatsOn_Jan12_FINAL</t>
  </si>
  <si>
    <t>[Production] 24-0091-STOR-Weekly Store Newsletter_Jan12_EN ONLY</t>
  </si>
  <si>
    <t>[Production] CineClub Focus Group Opt-In Survey</t>
  </si>
  <si>
    <t>[Production] CineClub Focus Group Opt-In Survey_Send2</t>
  </si>
  <si>
    <t>[Production] CineClub Focus Group Opt-In Survey_Send3</t>
  </si>
  <si>
    <t>[Production] 24_0002_MKTT_TuesDeals_Jan16_FINAL</t>
  </si>
  <si>
    <t>[Production] (36891) The Beekeeper - English</t>
  </si>
  <si>
    <t>Email - 2nd Week - English</t>
  </si>
  <si>
    <t>[Production] (36891) The Beekeeper - French</t>
  </si>
  <si>
    <t>Email - 2nd Week - French</t>
  </si>
  <si>
    <t>[Production] (37052) Mean Girls - English</t>
  </si>
  <si>
    <t>[Production] 23-0602-MKTB-National Popcorn Day 2024_SCENE_2</t>
  </si>
  <si>
    <t>[Production] 23-0602-MKTB-National Popcorn Day 2024-STORE_2</t>
  </si>
  <si>
    <t>[Production] 24-0016-MKTI-International Cinema January Newsletter_2.0</t>
  </si>
  <si>
    <t>[Production] 24-0043-MKTT-National Theatre Dear England Offer_FINAL</t>
  </si>
  <si>
    <t>Email - English - Offer</t>
  </si>
  <si>
    <t>Email - French - Offer</t>
  </si>
  <si>
    <t>Email - English - Control</t>
  </si>
  <si>
    <t>Email - French - Control</t>
  </si>
  <si>
    <t>[Production] 24_0001_MKTT_FridayWhatsOn_Jan19_FINAL</t>
  </si>
  <si>
    <t>[Production] 24-0027-RECR-TRR Super Bowl</t>
  </si>
  <si>
    <t>[Production] 24-0091-STOR-Weekly Store Newsletter_Jan19</t>
  </si>
  <si>
    <t>[Production] 24-0004-EVCN-January Family Monthly Newsletter</t>
  </si>
  <si>
    <t>[Production] 24-0027-RECR-TRR Valentine's Day Comedy Show</t>
  </si>
  <si>
    <t>[Production] 24-0013-MKTI-International Cinema 2024_FIGHTER_Jan22</t>
  </si>
  <si>
    <t>[Production] 24_0002_MKTT_TuesDeals_Jan23_FINAL</t>
  </si>
  <si>
    <t>[Production] 24-0033-MKTT-Argylle Scene+ Points Offer</t>
  </si>
  <si>
    <t>Email - English - No Offer</t>
  </si>
  <si>
    <t>Email - French - No Offer</t>
  </si>
  <si>
    <t>[Production] 24_0001_MKTT_FridayWhatsOn_Jan26_FINAL</t>
  </si>
  <si>
    <t>[Production] 24-0089-MKTT-Dune: Part 2 Advance Ticketing_Jan26</t>
  </si>
  <si>
    <t>[Production] 24-0091-STOR-Weekly Store Newsletter_Jan26</t>
  </si>
  <si>
    <t>[Production] 23-0709-MKTT-Madame Web - Advance Ticketing</t>
  </si>
  <si>
    <t>Email - English - 800 Offer</t>
  </si>
  <si>
    <t>Email - English - Connect</t>
  </si>
  <si>
    <t>Email - French - 800 Offer</t>
  </si>
  <si>
    <t>Email - French - Connect</t>
  </si>
  <si>
    <t xml:space="preserve">[Production] 24_0002_MKTT_TuesDeals_Jan30_FINAL </t>
  </si>
  <si>
    <t>[Production] 24_0002_MKTT_TuesDeals_Jan30_FINAL</t>
  </si>
  <si>
    <t>[Production] 24-0031-STOR-Q4 Store Dedicated Emails-Wonka</t>
  </si>
  <si>
    <t>[Production] 23-0709-MKTT-Madame Web - Advance Ticketing_Send2</t>
  </si>
  <si>
    <t>[Production] (36891) Beekeeper - English</t>
  </si>
  <si>
    <t>[Production] (37273) Fighter - English</t>
  </si>
  <si>
    <t>[Production] 23-0660-RECR-LBE Newsletter_2</t>
  </si>
  <si>
    <t>Email - Avalon</t>
  </si>
  <si>
    <t>Email - Barrie</t>
  </si>
  <si>
    <t>Email - Burnaby</t>
  </si>
  <si>
    <t>Email - Generic</t>
  </si>
  <si>
    <t xml:space="preserve">[Production] 23-0660-RECR-LBE Newsletter_2 </t>
  </si>
  <si>
    <t>Email - Masonville</t>
  </si>
  <si>
    <t>[Production] 24-0106-MKTT-Feb Tues Promo_Initial</t>
  </si>
  <si>
    <t xml:space="preserve">[Production] Survey - Film Anticipation - February </t>
  </si>
  <si>
    <t>[Production] Survey - Film Anticipation - February</t>
  </si>
  <si>
    <t>[Production] 24_0001_MKTT_FridayWhatsOn_Feb2_FINAL</t>
  </si>
  <si>
    <t>[Production] 24-0091-STOR-Weekly Store Newsletter_Feb2</t>
  </si>
  <si>
    <t>[Production] 24-0003-EVCN-February Arts Culture Newsletter</t>
  </si>
  <si>
    <t>[Production] 24-0027-RECR-TRR Super Bowl_Reminder_Email</t>
  </si>
  <si>
    <t>[Production] 24_0002_MKTT_TuesDeals_Feb6_FINAL</t>
  </si>
  <si>
    <t>[Production] 24-0027-RECR-TRR Valentine's Day Comedy Show_Reminder_Email</t>
  </si>
  <si>
    <t>[Production] (36840) Argylle - English</t>
  </si>
  <si>
    <t>Email - English - 2nd-Week No Offer</t>
  </si>
  <si>
    <t>[Production] (36840) Argylle - French</t>
  </si>
  <si>
    <t>Email - French - 2nd-Week No Offer</t>
  </si>
  <si>
    <t>[Production] (36840) Argylle Film Propensity - English</t>
  </si>
  <si>
    <t>[Production] (36840) Argylle Film Propensity - French</t>
  </si>
  <si>
    <t>Email - English - RFM Offer</t>
  </si>
  <si>
    <t>[Production] 24-0016-MKTI-International Cinema February Newsletter_FINAL</t>
  </si>
  <si>
    <t>[Production] 24-0032-MKTT-Lisa Frankenstein Dedicated_FINAL_NoPersonalization</t>
  </si>
  <si>
    <t>[Production] Scene Bonus Point - RFM Testing</t>
  </si>
  <si>
    <t>Email - English - 250 (Week 3)</t>
  </si>
  <si>
    <t>Email - French - 250 (Week 3)</t>
  </si>
  <si>
    <t>Email - English - 500 (Week 3)</t>
  </si>
  <si>
    <t>Email - French - 500 (Week 3)</t>
  </si>
  <si>
    <t>[Production] 24_0001_MKTT_FridayWhatsOn_Feb9_5YearTest</t>
  </si>
  <si>
    <t>Email - English - 5 Year</t>
  </si>
  <si>
    <t>Email - French - 5 Year</t>
  </si>
  <si>
    <t>[Production] 24-0091-STOR-Weekly Store Newsletter_Feb09_EN Only</t>
  </si>
  <si>
    <t>[Production] Giannis Documentary - Amazon Early Screening Time Change</t>
  </si>
  <si>
    <t>[Production] CineClub - 500 Acquisition - Valentines</t>
  </si>
  <si>
    <t>Email - English Offer</t>
  </si>
  <si>
    <t>[Production] 24_0002_MKTT_TuesDeals_Feb13_FINAL</t>
  </si>
  <si>
    <t>[Production] Survey - Alcohol Awareness</t>
  </si>
  <si>
    <t>Email - English - 18+ Provinces</t>
  </si>
  <si>
    <t>Email - English - 19+ Provinces</t>
  </si>
  <si>
    <t>Email - French - 18+ Provinces</t>
  </si>
  <si>
    <t>Email - French - 19+ Provinces</t>
  </si>
  <si>
    <t>[Production] CineClub - 500 Acquisition - Valentines Reminder</t>
  </si>
  <si>
    <t>Email - French - RFM Offer</t>
  </si>
  <si>
    <t>Email - English - MDP Offer</t>
  </si>
  <si>
    <t>[Production] 24-0021-CPGC-BM&amp;P Joint Email - Employee Appreciation_EN-FR_LBE</t>
  </si>
  <si>
    <t>[Production] 24-0021-CPGC-BM&amp;P Joint Email - Employee Appreciation_FR-EN_No_LBE_FINAL</t>
  </si>
  <si>
    <t>[Production] 24-0044-EVCN-Vanya Scene+ Offer Email_Feb15</t>
  </si>
  <si>
    <t>[Production] 24-0045-MKTT-Bob Marley: One Love Scene+ Points Offer</t>
  </si>
  <si>
    <t>[Production] 24_0001_MKTT_FridayWhatsOn_Feb16_5YearTest_FINAL</t>
  </si>
  <si>
    <t>[Production] 24_0155_MKTT_Y&amp;E_Theatre_IMAX_Dune2_FINAL</t>
  </si>
  <si>
    <t>[Production] 24-0064-RECR-LBE Spring Bonus Credit Offer_TRR Initial_2</t>
  </si>
  <si>
    <t>[Production] 24-0091-STOR-Weekly Store Newsletter_Feb16</t>
  </si>
  <si>
    <t>[Production] 24-0004-EVCN-February Family Monthly Newsletter_EN</t>
  </si>
  <si>
    <t>[Production] 24-0064-RECR-2024 LBE Spring Bonus Credit Offer_PDM-Initial</t>
  </si>
  <si>
    <t>[Production] 24-0106-MKTT-Feb Tues Promo_Reminder</t>
  </si>
  <si>
    <t>[Production] 24_0002_MKTT_TuesDeals_Feb20_FINAL_2</t>
  </si>
  <si>
    <t>[Production] 24-0053-MKTT-Ordinary Angels_FINAL</t>
  </si>
  <si>
    <t>[Production] 24-0109-MKTT-Scene Member Pricing Promo_Final_EN</t>
  </si>
  <si>
    <t>[Production] 24-0128-MKTT-Drive Away Dolls - Dedicated Email</t>
  </si>
  <si>
    <t>[Production] 24-0148-MKTT-Dune Part Two ScreenX &amp; 4DX Scene+_Offer_FINAL</t>
  </si>
  <si>
    <t>[Production] Demon Slayer - Dedicated Email_FINAL</t>
  </si>
  <si>
    <t>Email - English - Demon Slayer Films</t>
  </si>
  <si>
    <t>Email - English - Non Demon Slayer Films</t>
  </si>
  <si>
    <t>[Production] (35839) Bob Marley: One Love - English</t>
  </si>
  <si>
    <t>[Production] (35839) Bob Marley: One Love - French</t>
  </si>
  <si>
    <t>[Production] (35927) Madame Web - English</t>
  </si>
  <si>
    <t>[Production] (35927) Madame Web - French</t>
  </si>
  <si>
    <t>[Production] (35927) Madame Web Film Propensity - English</t>
  </si>
  <si>
    <t>Email  - English - Propensity</t>
  </si>
  <si>
    <t>[Production] (35927) Madame Web Film Propensity - French</t>
  </si>
  <si>
    <t>Email  - French - Propensity</t>
  </si>
  <si>
    <t>Email - French - MDP Offer</t>
  </si>
  <si>
    <t>[Production] 24-0017-EVCN-Stage Owned &amp; Met Opera Assets_LaForza</t>
  </si>
  <si>
    <t>[Production] 24_0001_MKTT_FridayWhatsOn_Feb23_5YearTest_FINAL</t>
  </si>
  <si>
    <t>[Production] 24-0031-STOR-Store Dedicated Dune_FINAL_2</t>
  </si>
  <si>
    <t>[Production] 24-0091-STOR-Weekly Store Newsletter_Feb23_EN Only</t>
  </si>
  <si>
    <t>[Production] 24-0109-MKTT-Scene Member Pricing Promo_Final_FR</t>
  </si>
  <si>
    <t>[Production] CineClub Dune2_ScreenX Fan Event_Final _w French</t>
  </si>
  <si>
    <t>[Production] 24-0004-EVCN-February Family Monthly Newsletter_FR_FINAL</t>
  </si>
  <si>
    <t>[Production] 24-0066-LBE Easter Events TRR_Initial and Reminder</t>
  </si>
  <si>
    <t>Email - English_Initial_Feb26</t>
  </si>
  <si>
    <t>[Production] 24_0002_MKTT_TuesDeals_Feb27_FINAL</t>
  </si>
  <si>
    <t>[Production] 24-0066-LBE Easter Events_PDM-Initial_Reminder</t>
  </si>
  <si>
    <t>Email - Initial English_Feb27</t>
  </si>
  <si>
    <t>[Production] 24-0175-MKTT-Echo à Delta - Dedicated_FINAL_2</t>
  </si>
  <si>
    <t>Email - English - RFM</t>
  </si>
  <si>
    <t>Email - French - RFM</t>
  </si>
  <si>
    <t>Email - English - Propensity RFM</t>
  </si>
  <si>
    <t>Email - French - Propensity RFM</t>
  </si>
  <si>
    <t>[Production] 24-0041-MKTT-Ghostbusters: Frozen Empire – Advance Tickets_FINAL</t>
  </si>
  <si>
    <t>[Production] 24-0166-MKTT-Ordinary Angels - Scene+ Points Offer Second Weekend Email_FINAL_2</t>
  </si>
  <si>
    <t>[Production] 23-0722-FOOD-Reese’s Caramel Big Cup LTO_FINAL_2</t>
  </si>
  <si>
    <t>[Production] 24_0001_MKTT_FridayDeals_March1</t>
  </si>
  <si>
    <t>[Production] 24-0091-STOR-Weekly Store Newsletter_Mar1</t>
  </si>
  <si>
    <t>[Production] 24-0165-RECR-LBE Newsletter 2024_March_1</t>
  </si>
  <si>
    <t>[Production] Survey - Film Anticipation - March</t>
  </si>
  <si>
    <t>[Production] 24-0003-EVCN-Arts Culture Monthly Newsletter_March</t>
  </si>
  <si>
    <t>[Production] 24-0067-RECR-TRR St. Patrick’s Day_FINAL</t>
  </si>
  <si>
    <t>[Production] 24-0064-RECR-LBE Spring Bonus Credit Offer_TRR_Reminder_LastChance</t>
  </si>
  <si>
    <t>Email - Reminder - English_Mar4</t>
  </si>
  <si>
    <t>[Production] 24_0002_MKTT_TuesdayDeals_March5_FINAL</t>
  </si>
  <si>
    <t>[Production] 24-0064-RECR-2024 LBE Spring Bonus Credit Offer_PDM-Reminder_LastChance</t>
  </si>
  <si>
    <t>Email - Reminder - English_Mar5</t>
  </si>
  <si>
    <t>[Production] 24-0017-EVCN-The Met Romeo et Juliette_FINAL</t>
  </si>
  <si>
    <t>[Production] 24-0055-MKTT-Imaginary - Dedicated Email_Mar6</t>
  </si>
  <si>
    <t>[Production] 24-0193-MKTT-Cabrini Dedicated Email_Mar6</t>
  </si>
  <si>
    <t>[Production] (35640) Dune: Part 2 - English</t>
  </si>
  <si>
    <t>Email - 2nd week offer email - English</t>
  </si>
  <si>
    <t>[Production] (35640) Dune: Part 2 - French</t>
  </si>
  <si>
    <t>Email - 2nd week offer email - French</t>
  </si>
  <si>
    <t>Email - Propensity - MDP - English</t>
  </si>
  <si>
    <t>Email - Propensity - MDP - French</t>
  </si>
  <si>
    <t>[Production] 24-0016-MKTI-International Cinema March Newsletter</t>
  </si>
  <si>
    <t>[Production] 24-0031-STOR-Store Dedicated Emails Award Season_FINAL_2</t>
  </si>
  <si>
    <t>[Production] 24-0091-STOR-Weekly Store Newsletter_Mar8_EN Only</t>
  </si>
  <si>
    <t>[Production] 24-0130-MKTT-Brizicam Activation_FINAL</t>
  </si>
  <si>
    <t>[Production] 24-0194-MKTT-Weekly_Friday_March8_FINAL</t>
  </si>
  <si>
    <t>[Production] 24-0150-MKTT-Love Lies Bleeding_FINAL</t>
  </si>
  <si>
    <t>[Production] 24-0087-MKTB-Enhanced Experience_Frequency</t>
  </si>
  <si>
    <t>Email - English - Initial - Frequency</t>
  </si>
  <si>
    <t>Email - French - Initial - Frequency</t>
  </si>
  <si>
    <t>[Production] 24-0087-MKTB-Enhanced Experience_Trial</t>
  </si>
  <si>
    <t>Email - Weekday - Initial - English</t>
  </si>
  <si>
    <t>Email - Weekday - Initial - French</t>
  </si>
  <si>
    <t>[Production] 24-0079-GREV-GandE Grad Celebrations Campaign_EN-FR_LBE</t>
  </si>
  <si>
    <t>Email - English - French</t>
  </si>
  <si>
    <t>[Production] 24-0079-GREV-GandE Grad Celebrations Campaign_FR_EN_CPX Only</t>
  </si>
  <si>
    <t>Email - French - English</t>
  </si>
  <si>
    <t>[Production] 24-0194-MKTT-Weekly_Tuesday_March12_FINAL</t>
  </si>
  <si>
    <t>[Production] 24-0133-MKTT-One Life - Dedicated Email_FINAL</t>
  </si>
  <si>
    <t>[Production] 24-0150-MKTT-Love Lies Bleeding_Resend</t>
  </si>
  <si>
    <t>[Production] 24-0151-MKTT-Godzilla x Kong: The New Empire Advance Ticketing Dedicated Email_FINAL</t>
  </si>
  <si>
    <t>Email - RFM Offer - English</t>
  </si>
  <si>
    <t>Email - RFM Offer - French</t>
  </si>
  <si>
    <t>[Production] (36155) Kung Fu Panda 4 - English</t>
  </si>
  <si>
    <t>[Production] (36155) Kung Fu Panda 4 - French</t>
  </si>
  <si>
    <t>Email - Weekend - Initial - English</t>
  </si>
  <si>
    <t>Email - Weekend - Initial - French</t>
  </si>
  <si>
    <t>[Production] 24-0091-STOR-Weekly Store Newsletter_Mar15_FINAL</t>
  </si>
  <si>
    <t>[Production] 24-0194-MKTT-Weekly_Friday_March15</t>
  </si>
  <si>
    <t>[Production] 24-0004-EVCN-March Family Monthly Newsletter</t>
  </si>
  <si>
    <t>Email - English - Reminder - Frequency</t>
  </si>
  <si>
    <t>Email - French - Reminder - Frequency</t>
  </si>
  <si>
    <t>Email - Weekday - Reminder - English</t>
  </si>
  <si>
    <t>Email - Weekday - Reminder - French</t>
  </si>
  <si>
    <t>[Production] 24-0164-GREV-Faith Based Film Email_FINAL_EN_2</t>
  </si>
  <si>
    <t>[Production] 24-0164-GREV-Faith Based Film Email_FINAL_FR_2</t>
  </si>
  <si>
    <t>[Production] 24-0194-MKTT-Weekly_Tuesday_March19</t>
  </si>
  <si>
    <t>[Production] 24-0069-CPGC-CPX Easter E-Gift Card Offer_FINAL</t>
  </si>
  <si>
    <t>[Production] 24-0112-MKTT-Queen of My Dreams - Dedicated Email_Mar20_FINAL</t>
  </si>
  <si>
    <t>[Production] 24-0168-MKTT-Ghostbusters UltraAVX Pins</t>
  </si>
  <si>
    <t>Email - MDP Offer - English</t>
  </si>
  <si>
    <t>Email - Watch It Again - 1000 pts - English</t>
  </si>
  <si>
    <t>Email - MDP Offer - French</t>
  </si>
  <si>
    <t>Email - Watch It Again - 1000 pts - French</t>
  </si>
  <si>
    <t>Email - Weekend - Reminder - English</t>
  </si>
  <si>
    <t>Email - Weekend - Reminder - French</t>
  </si>
  <si>
    <t>[Production] 24-0066-LBE Easter Events TRR_Reminder_Only Version 1.0</t>
  </si>
  <si>
    <t>Email - English_Reminder_Mar22</t>
  </si>
  <si>
    <t>[Production] 24-0091-STOR-Weekly Store Newsletter_Mar22_FINAL Version 1.0</t>
  </si>
  <si>
    <t>[Production] 24-0194-MKTT-Weekly_Friday_March22 Version 1.0</t>
  </si>
  <si>
    <t>Email - English - With Block</t>
  </si>
  <si>
    <t>Email - French - With Block</t>
  </si>
  <si>
    <t>[Production] 24-0066-LBE Easter Events_PDM-Reminder-Only Version 1.0</t>
  </si>
  <si>
    <t>Email - English_Reminder_Brampton</t>
  </si>
  <si>
    <t>[Production] 24-0031-STOR-Store Dedicated Emails Godzilla Vs Kong_FINAL Version 1.0</t>
  </si>
  <si>
    <t>[Production] 24-0064-RECR-LBE Spring Bonus Credit Offer_TRR_Reminder_LastChance Version 1.0</t>
  </si>
  <si>
    <t>Email - English_LastChance_Mar25</t>
  </si>
  <si>
    <t>[Production] 24-0064-RECR-2024 LBE Spring Bonus Credit Offer_PDM-Reminder_LastChance Version 1.0</t>
  </si>
  <si>
    <t>Email - Last Chance English_Mar26</t>
  </si>
  <si>
    <t>[Production] 24-0194-MKTT-Weekly_Tuesday_March26 Version 1.0</t>
  </si>
  <si>
    <t>[Production] 24-0069-CPGC-CPX Easter E-Gift Card Offer_FINAL Version 1.0</t>
  </si>
  <si>
    <t>Email - French - Reminder</t>
  </si>
  <si>
    <t>[Production] 24-0142-MKTT-The Fall Guy Scene+ Points Offer_FINAL_2 Version 1.0</t>
  </si>
  <si>
    <t>[Production] CineClub - Saskatchewan Win-Back Offer Version 1.0</t>
  </si>
  <si>
    <t>[Production] CineClub Fall Guy - Early Screenings Message Version 1.0</t>
  </si>
  <si>
    <t>[Production] (36065) Ghostbusters: Frozen Empire_2 - English Version 1.0</t>
  </si>
  <si>
    <t>Email - 2nd week offer - English</t>
  </si>
  <si>
    <t>[Production] (36065) Ghostbusters: Frozen Empire_2 - French Version 1.0</t>
  </si>
  <si>
    <t>Email - 2nd week offer - French</t>
  </si>
  <si>
    <t>[Production] (36155) Kung Fu Panda 4 - English Version 1.0</t>
  </si>
  <si>
    <t>Email - MDP Week 4 - English</t>
  </si>
  <si>
    <t>[Production] (36155) Kung Fu Panda 4 - French Version 1.0</t>
  </si>
  <si>
    <t>Email - MDP Week 4 - French</t>
  </si>
  <si>
    <t>[Production] Dedicated_Kubrick-Month-With-Offer Version 1.0</t>
  </si>
  <si>
    <t>Email - English No Offer</t>
  </si>
  <si>
    <t>Email - English Scene Offer</t>
  </si>
  <si>
    <t>[Production] 24-0091-STOR-Weekly Store Newsletter_Mar29 Version 1.0</t>
  </si>
  <si>
    <t>[Production] 24-0194-MKTT-Weekly_Friday_March29 Version 1.0</t>
  </si>
  <si>
    <t>[Production] 24-0165-RECR-LBE Newsletter 2024_April_1_FINAL Version 1.0</t>
  </si>
  <si>
    <t>[Production] Survey - Film Anticipation - April Version 1.0</t>
  </si>
  <si>
    <t>[Production] 24-0194-MKTT-Weekly_Tuesday_April2 Version 1.0</t>
  </si>
  <si>
    <t>[Production] 24-0017-EVCN-The Met La Rondine Version 1.0</t>
  </si>
  <si>
    <t>[Production] 24-0153-MKTT-Monkey Man Dedicated Email_April3 Version 1.0</t>
  </si>
  <si>
    <t>[Production] (36065) Ghostbusters: Frozen Empire - English Version 1.0</t>
  </si>
  <si>
    <t>[Production] (36065) Ghostbusters: Frozen Empire - French Version 1.0</t>
  </si>
  <si>
    <t>[Production] (36072) Godzilla x Kong - English Version 1.0</t>
  </si>
  <si>
    <t>Email - 2nd Week 800 Offer -English</t>
  </si>
  <si>
    <t>[Production] (36072) Godzilla x Kong - French Version 1.0</t>
  </si>
  <si>
    <t>Email - 2nd Week 800 Offer - French</t>
  </si>
  <si>
    <t xml:space="preserve"> </t>
  </si>
  <si>
    <t>[Production] 24-0091-STOR-Weekly Store Newsletter_Apr5_EN-Only Version 1.0</t>
  </si>
  <si>
    <t>[Production] 24-0194-MKTT-Weekly_Friday_April5 Version 1.0</t>
  </si>
  <si>
    <t>[Production] 24-0209-MKTT-One Summer – Les Apre`s-Midi Francos_Apr5 Version 1.0</t>
  </si>
  <si>
    <t>[Production] 24-0139-RECR-TRR Mothers Day Drag Brunch_Initial_April5 Version 1.0</t>
  </si>
  <si>
    <t>Email - English_Initial_Apr5</t>
  </si>
  <si>
    <t>[Production] CineClub Civil War -  Fan Event Version 1.0</t>
  </si>
  <si>
    <t>Email - Calgary</t>
  </si>
  <si>
    <t>Email - GTA</t>
  </si>
  <si>
    <t>Email - Ottawa</t>
  </si>
  <si>
    <t>Email - Vancouver</t>
  </si>
  <si>
    <t>[Production] 24-0003-EVCN-Arts Culture Monthly Newsletter_April Version 1.0</t>
  </si>
  <si>
    <t>[Production] 24-0013-MKTI-International Cinema 2024_Bade Version 1.0</t>
  </si>
  <si>
    <t>[Production] 24-0059-CPGC-B2B Admin Day_EN_FR Version 1.0</t>
  </si>
  <si>
    <t>Email - English_French</t>
  </si>
  <si>
    <t>[Production] 24-0059-CPGC-B2B Admin Day_FR_EN Version 1.0</t>
  </si>
  <si>
    <t>Email - French_English</t>
  </si>
  <si>
    <t>[Production] 24-0194-MKTT-Weekly_Tuesday_April9 Version 1.0</t>
  </si>
  <si>
    <t>[Production] 24-0180-BMPT-Book Movie Club Launch_The_Notebook_EN Only Version 1.0</t>
  </si>
  <si>
    <t>[Production] 24-0182-GREV-G&amp;E Email - Newsletter April_CPX Only_FR-EN Version 1.0</t>
  </si>
  <si>
    <t>[Production] 24-0212-MKTT-Civil War - Dedicated Email Version 1.0</t>
  </si>
  <si>
    <t>24-0182-GREV-G&amp;E Email - Newsletter April_CPX_LBE_EN-FR Version 1.0</t>
  </si>
  <si>
    <t>[Production] (36611) Monkey Man - English Version 1.0</t>
  </si>
  <si>
    <t>Email - 2nd Week Offer - English</t>
  </si>
  <si>
    <t>[Production] (36611) Monkey Man - French Version 1.0</t>
  </si>
  <si>
    <t>Email - 2nd Week Offer - French</t>
  </si>
  <si>
    <t>[Production] 24-0016-MKTI-International Cinema April Newsletter Version 1.0</t>
  </si>
  <si>
    <t>[Production] 24-0091-STOR-Weekly Store Newsletter_Apr12</t>
  </si>
  <si>
    <t>[Production] 24-0194-MKTT-Weekly_Friday_April12</t>
  </si>
  <si>
    <t>[Production] 24-0210-MKTL-Scene+ It, Win It Campaign</t>
  </si>
  <si>
    <t>[Production] BoyKillsWorld_CineclubDedicated_Apr15_FINAL</t>
  </si>
  <si>
    <t>[Production] 24-0194-MKTT-Weekly_Tuesday_April16</t>
  </si>
  <si>
    <t>[Production] 24-0154-MKTT-Abigail Dedicated Email_Apr17</t>
  </si>
  <si>
    <t>[Production] (36072) Godzilla x Kong - English</t>
  </si>
  <si>
    <t>[Production] (36072) Godzilla x Kong - French</t>
  </si>
  <si>
    <t>[Production] (36611) Monkey Man - English</t>
  </si>
  <si>
    <t>[Production] (36611) Monkey Man - French</t>
  </si>
  <si>
    <t>[Production] (37254) Civil War - English</t>
  </si>
  <si>
    <t>[Production] (37254) Civil War - French</t>
  </si>
  <si>
    <t>[Production] 24-0253-EVCN-Wings Over Water Dedicated Email_EN_Only</t>
  </si>
  <si>
    <t>[Production] 24-0031-STOR-Dedicated Emails_Kung Fu Panda 4</t>
  </si>
  <si>
    <t>[Production] 24-0091-STOR-Weekly Store Newsletter_Apr19_EN_Only</t>
  </si>
  <si>
    <t>[Production] 24-0194-MKTT-Weekly_Friday_April19</t>
  </si>
  <si>
    <t>[Production] 24-0004-EVCN-April Family Monthly Newsletter</t>
  </si>
  <si>
    <t>[Production] 24-0238-MKTB-Bridgewater Closure</t>
  </si>
  <si>
    <t>[Production] 24-0194-MKTT-Weekly_Tuesday_April23</t>
  </si>
  <si>
    <t>[Production] 24-0250-MKTT-Unsung Hero-Dedicated Email_Apr24</t>
  </si>
  <si>
    <t>[Production] 24-0257-MKTT-The King Tide – Dedicated Email</t>
  </si>
  <si>
    <t>[Production] 24-0258-MKTT-Boy Kills World Dedicated Email</t>
  </si>
  <si>
    <t>[Production] Boy Kills World - Wider Scene Send</t>
  </si>
  <si>
    <t>Email - MDP Week 4 Offer - English</t>
  </si>
  <si>
    <t>Email - MDP Week 4 Offer - French</t>
  </si>
  <si>
    <t>[Production] See Any Movie - RFM 250 Scene+ Offer - April_v2</t>
  </si>
  <si>
    <t>Email - English - 250</t>
  </si>
  <si>
    <t>Email - French - 250</t>
  </si>
  <si>
    <t>[Production] 24-0091-STOR-Weekly Store Newsletter_Apr26</t>
  </si>
  <si>
    <t>[Production] 24-0194-MKTT-Weekly_Friday_April26</t>
  </si>
  <si>
    <t>[Production] Survey - Cineplex Merchandise</t>
  </si>
  <si>
    <t>[Production] 24-0017-EVCN-The Met Madama Butterfly Dedicated Email</t>
  </si>
  <si>
    <t>[Production] 24-0194-MKTT-Weekly_Tuesday_April30</t>
  </si>
  <si>
    <t>[Production] 24-0165-RECR-LBE Newsletter 2024_May_1</t>
  </si>
  <si>
    <t>[Production] 24-0239-MKTB-Eau Claire Closure_EN Only</t>
  </si>
  <si>
    <t>[Production] 24-0259-MKTT-Tarot - Dedicated Email_May1</t>
  </si>
  <si>
    <t>[Production] 24-0271-MKTT-Roku Retail Offer 2024 – Dedicated Email</t>
  </si>
  <si>
    <t>[Production] Survey - Film Anticipation - May</t>
  </si>
  <si>
    <t>[Production] (36669) Challengers - English</t>
  </si>
  <si>
    <t>[Production] (36669) Challengers - French</t>
  </si>
  <si>
    <t>[Production] 24-0063-MKTB-CPX Spring Gift Pack 2024_Mothers_Day</t>
  </si>
  <si>
    <t>[Production] 24-0194-MKTT-Weekly_Friday_May3</t>
  </si>
  <si>
    <t>Email - English - Thursday</t>
  </si>
  <si>
    <t>Email - French - Thursday</t>
  </si>
  <si>
    <t>[Production] 24-0091-STOR-Weekly Store Newsletter_May3</t>
  </si>
  <si>
    <t>[Production] 24-0003-EVCN-Arts Culture Monthly Newsletter_May</t>
  </si>
  <si>
    <t>[Production] 24-0139-RECR-TRR Mothers Day Drag Brunch_Reminder_May5</t>
  </si>
  <si>
    <t>[Production] 24-0194-MKTT-Weekly_Tuesday_May7</t>
  </si>
  <si>
    <t>[Production] 24-0152-MKTT-Furiosa A Mad Max Saga Advance Ticketing Dedicated Email_May8</t>
  </si>
  <si>
    <t>[Production] 24-0252-MKTT-ScreenX - Furiosa A Mad Max Saga Scene+ Offer</t>
  </si>
  <si>
    <t>[Production] (36154) The Fall Guy - English</t>
  </si>
  <si>
    <t>[Production] (36154) The Fall Guy - French</t>
  </si>
  <si>
    <t>[Production] 24-0141-MKTT-Kingdom of the Planet of the Apes_AVX Offer</t>
  </si>
  <si>
    <t>[Production] CineClub Mothers Day Offer</t>
  </si>
  <si>
    <t>Email - Mothers Day - English</t>
  </si>
  <si>
    <t>[Production] Survey - Self Refund</t>
  </si>
  <si>
    <t>Email - English - Been to theatre L6M</t>
  </si>
  <si>
    <t>Email - English - Self Refund List</t>
  </si>
  <si>
    <t>[Production] 24-0091-STOR-Weekly Store Newsletter_May10</t>
  </si>
  <si>
    <t>[Production] 24-0194-MKTT-Weekly_Friday_May10</t>
  </si>
  <si>
    <t>[Production] CineClub Mothers Day Offer - Reminder</t>
  </si>
  <si>
    <t>[Production] 24-0194-MKTT-Weekly_Tuesday_May14</t>
  </si>
  <si>
    <t>[Production] 24-0063-MKTB-CPX Spring Gift Pack 2024_Generic_FULL</t>
  </si>
  <si>
    <t>Email - English_Champions</t>
  </si>
  <si>
    <t>Email - English_Others</t>
  </si>
  <si>
    <t>Email - English_Promising</t>
  </si>
  <si>
    <t>Email - English_Value</t>
  </si>
  <si>
    <t>Email - French_Value</t>
  </si>
  <si>
    <t>[Production] 24-0243-MKTT-Back To Black_Dedicated_May15</t>
  </si>
  <si>
    <t>[Production] 24-0288-BMPT-Book Movie Club_Crazy_Rich_Asians_Dedicated</t>
  </si>
  <si>
    <t>[Production] (36322) Kingdom of the Planet of the Apes - English</t>
  </si>
  <si>
    <t>Email - 2nd Week ScreenX Offer - English</t>
  </si>
  <si>
    <t>[Production] (36322) Kingdom of the Planet of the Apes - French</t>
  </si>
  <si>
    <t>Email - 2nd Week ScreenX Offer - French</t>
  </si>
  <si>
    <t>Email - Week 4 MDP Offer - English</t>
  </si>
  <si>
    <t>Email - Week 4 MDP Offer - French</t>
  </si>
  <si>
    <t>[Production] 24-0311-MKTT-The Strangers Chapter 1_Scene+ Points Offer_May16_V2</t>
  </si>
  <si>
    <t>24-0116-MKTT-IF_Scene+ Points Offer_May16</t>
  </si>
  <si>
    <t>[Production] 24-0031-STOR-Store Dedicated_Mad Max Fury Road_May 17</t>
  </si>
  <si>
    <t>[Production] 24-0031-STOR-Store Dedicated_Mad Max Fury Road_May17_V2</t>
  </si>
  <si>
    <t>[Production] 24-0091-STOR-Weekly Store Newsletter_May17_EN-Only</t>
  </si>
  <si>
    <t>[Production] 24-0194-MKTT-Weekly_Friday_May17</t>
  </si>
  <si>
    <t>[Production] See Any Movie - Champion 500 Scene+ Offer - May_Final_v3</t>
  </si>
  <si>
    <t>Email - Reminder - English</t>
  </si>
  <si>
    <t>Email - Reminder - French</t>
  </si>
  <si>
    <t>[Production] Survey - Series Ticketing</t>
  </si>
  <si>
    <t>Email - English - Send 1</t>
  </si>
  <si>
    <t>[Production] 24-0004-EVCN-May Family Monthly Newsletter</t>
  </si>
  <si>
    <t>[Production] 24-0135-MKTT-The Garfield Movie_Scene+ Points Offer_May19_v2</t>
  </si>
  <si>
    <t>[Production] 24-0194-MKTT-Weekly_Tuesday_May21</t>
  </si>
  <si>
    <t>[Production] 24-0288-BMPT-Book Movie Club_Crazy_Rich_Asians_Pre-Arrival_May22</t>
  </si>
  <si>
    <t>[Production] 24-0299-MKTT-Sight_Dedicated_May22</t>
  </si>
  <si>
    <t>[Production] 24-0300-MKTT-Hit Man_Dedicated_May22</t>
  </si>
  <si>
    <t>[Production] (35397) IF - English</t>
  </si>
  <si>
    <t>Email - 2nd Week Email - English</t>
  </si>
  <si>
    <t>[Production] (35397) IF - French</t>
  </si>
  <si>
    <t>Email - 2nd Week Email - French</t>
  </si>
  <si>
    <t>[Production] 24-0091-STOR-Weekly Store Newsletter_May24</t>
  </si>
  <si>
    <t>[Production] 24-0194-MKTT-Weekly_Friday_May24</t>
  </si>
  <si>
    <t>Email - English - Furiosa Hero</t>
  </si>
  <si>
    <t>Email - English - Garfield Hero</t>
  </si>
  <si>
    <t>Email - English - Normal</t>
  </si>
  <si>
    <t>Email - French - Furiosa Hero</t>
  </si>
  <si>
    <t>Email - French - Garfield Hero</t>
  </si>
  <si>
    <t>Email - French - Normal</t>
  </si>
  <si>
    <t>[Production] 24-0194-MKTT-Weekly_Tuesday_May28</t>
  </si>
  <si>
    <t>[Production] - Bad Boys: Ride or Die - Advanced Screening Offer</t>
  </si>
  <si>
    <t>[Production] CineClub - Apple Event - Presumed Innocent</t>
  </si>
  <si>
    <t>Email - Calgary - English</t>
  </si>
  <si>
    <t>Email - Edmonton - English</t>
  </si>
  <si>
    <t>Email - GTA - English</t>
  </si>
  <si>
    <t>Email - Halifax - English</t>
  </si>
  <si>
    <t>Email - Moncton - English</t>
  </si>
  <si>
    <t>Email - Ottawa - English</t>
  </si>
  <si>
    <t>Email - Richomond BC - English</t>
  </si>
  <si>
    <t>Email - Saskatoon - English</t>
  </si>
  <si>
    <t>Email - Winnipeg - English</t>
  </si>
  <si>
    <t>[Production] (35290) Furiosa - English</t>
  </si>
  <si>
    <t>Email - 2nd Week D-BOX Offer - English</t>
  </si>
  <si>
    <t>[Production] (35290) Furiosa - French</t>
  </si>
  <si>
    <t>Email - 2nd Week D-BOX Offer - French</t>
  </si>
  <si>
    <t>[Production] (36131) Garfield - English</t>
  </si>
  <si>
    <t>Email - 2nd Week 400 Offer - English</t>
  </si>
  <si>
    <t>[Production] (36131) Garfield - French</t>
  </si>
  <si>
    <t>Email - 2nd Week 400 Offer - French</t>
  </si>
  <si>
    <t>[Production] (36322) Kingdom of the Planet of the Apes - English copy</t>
  </si>
  <si>
    <t>Email - RFM - Week 4 Offer Email</t>
  </si>
  <si>
    <t>Email - Connect Email 3</t>
  </si>
  <si>
    <t>[Production] 24-0207-MKTT-A Quite Place Day One_Dedicated_May30</t>
  </si>
  <si>
    <t>Email - English - Scene Offer</t>
  </si>
  <si>
    <t>Email - French - Scene Offer</t>
  </si>
  <si>
    <t>[Production] 24-0264-MKTT_South Edmonton Cinemas_IMAX_May30</t>
  </si>
  <si>
    <t>[Production] - ICC Men’s T20 World Cup</t>
  </si>
  <si>
    <t>[Production] 24-0091-STOR-Weekly Store Newsletter_May31_EN-Only</t>
  </si>
  <si>
    <t>[Production] 24-0194-MKTT-Weekly_Friday_May31</t>
  </si>
  <si>
    <t>Email - English - No Copy</t>
  </si>
  <si>
    <t>Email - English - With Copy</t>
  </si>
  <si>
    <t>Email - French - No Copy</t>
  </si>
  <si>
    <t>Email - French - With Copy</t>
  </si>
  <si>
    <t>[Production] 24-0003-EVCN-Arts Culture Monthly Newsletter_June</t>
  </si>
  <si>
    <t>[Production] Scene+ - Kitchener Competitive Offer</t>
  </si>
  <si>
    <t>[Production] Survey - Film Anticipation - June</t>
  </si>
  <si>
    <t>[Production] CineClub- Scene - AppleTV+ Presumed Innocent Resend</t>
  </si>
  <si>
    <t>Email - English - Moncton</t>
  </si>
  <si>
    <t>Email - English - Saskatoon</t>
  </si>
  <si>
    <t>[Production] 24-0165-RECR-LBE Newsletter 2024_June</t>
  </si>
  <si>
    <t>Email - Masonviille</t>
  </si>
  <si>
    <t>[Production] 24-0194-MKTT-Weekly_Tuesday_June4</t>
  </si>
  <si>
    <t>[Production] 24-0063-MKTB-CPX Spring Gift Pack 2024_Fathers_Day</t>
  </si>
  <si>
    <t>[Production] 24-0303-MKTT-Bad Boys Ride or Die_Dedicated_Jun05</t>
  </si>
  <si>
    <t>[Production] 24-0016-MKTI-International Cinema June Newsletter</t>
  </si>
  <si>
    <t>[Production] 24-0137-MKTT-Despicable Me 4_Dedicated_Jun06</t>
  </si>
  <si>
    <t>[Production] 24-0091-STOR-Weekly Store Newsletter_JUN07</t>
  </si>
  <si>
    <t>[Production] 24-0194-MKTT-Weekly_Friday_Jun7</t>
  </si>
  <si>
    <t>[Production] 24-0258-MKTT-RU Les Après-Midi Francos_Dedicated_Jun07</t>
  </si>
  <si>
    <t>[Production] 24-0194-MKTT-Weekly_Tuesday_June11</t>
  </si>
  <si>
    <t>[Production] 24-0308-CPGC-LBE Graduations Email_PDM_June11</t>
  </si>
  <si>
    <t>[Production] 24-0288-BMPT-Movie Book Club_Talented_Mr_Ripley_Dedicated</t>
  </si>
  <si>
    <t>[Production] 24-0308-CPGC-LBE Graduations Email_TRR_June12</t>
  </si>
  <si>
    <t>[Production] CineClub Fathers Day Offer</t>
  </si>
  <si>
    <t>Email - Fathers Day - English</t>
  </si>
  <si>
    <t>[Production] (36907) Bad Boys: Ride or Die - English</t>
  </si>
  <si>
    <t>[Production] (36907) Bad Boys: Ride or Die - French</t>
  </si>
  <si>
    <t>[Production] 24-0091-STOR-Weekly Store Newsletter_JUN14_EN_only</t>
  </si>
  <si>
    <t>[Production] 24-0194-MKTT-Weekly_Friday_Jun14</t>
  </si>
  <si>
    <t>[Production] 24-0283-MKTT-Twisters Scene+ Points Offer_June14</t>
  </si>
  <si>
    <t>[Production] 24-0004-EVCN-June Family Monthly Newsletter</t>
  </si>
  <si>
    <t>Email - Fathers Day - Reminder - English</t>
  </si>
  <si>
    <t>[Production] 24-0205-RECR-TRR Deal of the Day_Initial</t>
  </si>
  <si>
    <t>[Production] 24-0063-MKTB-CPX Spring Gift Pack 2024_Grads_Day</t>
  </si>
  <si>
    <t>[Production] 24-0194-MKTT-Weekly_Tuesday_June18</t>
  </si>
  <si>
    <t>[Production] 24-0233-MKTT-The Bikeriders_Dedicated_Jun19</t>
  </si>
  <si>
    <t>[Production] 24-0452-MKTT-Fancy Dance_Dedicated_Jun19</t>
  </si>
  <si>
    <t>[Production] See Any Movie - Potential Loyalist 1000 Scene+ Offer - June19</t>
  </si>
  <si>
    <t>Email - English - Initial</t>
  </si>
  <si>
    <t>Email - French - Initial</t>
  </si>
  <si>
    <t>[Production] (36233) Inside Out 2 - English</t>
  </si>
  <si>
    <t>[Production] (36233) Inside Out 2 - French</t>
  </si>
  <si>
    <t>[Production] 24-0455-MKTT-Thelma-Dedicated-Email-June20</t>
  </si>
  <si>
    <t>[Production] 24-0464-GREV-G&amp;E TRR Summer Patio Push_Jun20</t>
  </si>
  <si>
    <t>[Production] Advanced  - Horizon: Part 1  Advanced Scene+ 500 Offer</t>
  </si>
  <si>
    <t>[Production] 24-0091-STOR-Weekly Store Newsletter_JUN21</t>
  </si>
  <si>
    <t>[Production] 24-0194-MKTT-Weekly_Friday_Jun21_2.0</t>
  </si>
  <si>
    <t>[Production] Scene - Redemption - Deadpool and Wolverine</t>
  </si>
  <si>
    <t>[Production] ICC Men’s T20 World Cup - Second Send</t>
  </si>
  <si>
    <t>Email - English - Last Chance</t>
  </si>
  <si>
    <t>[Production] 24-0194-MKTT-Weekly_Tuesday_June25</t>
  </si>
  <si>
    <t>[Production] 24-0013-MKTI-International Cinema 2024_Jatt_Juliet_June26</t>
  </si>
  <si>
    <t>[Production] 24-0063-MKTB-CPX Spring Gift Pack 2024_Last_Chance_June26</t>
  </si>
  <si>
    <t>[Production] 24-0489-MKTT-Blue Lock: Episode Nagi - Dedicated Email</t>
  </si>
  <si>
    <t>[Production] Advanced  - Despicable Me 4 - Advanced Scene+ 250 Child Offer</t>
  </si>
  <si>
    <t>[Production] See Any Movie - Potential Loyalist 1000 Scene+ Offer - Reminder</t>
  </si>
  <si>
    <t>[Production] 24-0198-MKTT-A Quiet Place: Day One - Dedicated Email_Jun27</t>
  </si>
  <si>
    <t>[Production] 24-0091-STOR-Weekly Store Newsletter_June28</t>
  </si>
  <si>
    <t>[Production] Friday What's On - Propensity Test _Final</t>
  </si>
  <si>
    <t>Email - Control - English</t>
  </si>
  <si>
    <t>Email - Control - French</t>
  </si>
  <si>
    <t>Email - FWO - English</t>
  </si>
  <si>
    <t>Email - FWO - French</t>
  </si>
  <si>
    <t>Email - Propensity - English</t>
  </si>
  <si>
    <t>Email - Propensity - French</t>
  </si>
  <si>
    <t>[Production] 24-0031-STOR-Store Dedicated Email-Summer TV Offer_2.0</t>
  </si>
  <si>
    <t>[Production] 24-0165-RECR-LBE Newsletter 2024_July</t>
  </si>
  <si>
    <t>[Production] Survey - Film Anticipation - July</t>
  </si>
  <si>
    <t>[Production] 24-0194-MKTT-Weekly_Tuesday_July2</t>
  </si>
  <si>
    <t>[Production] 24-0497-MKTT-MaXXXine Dedicated Email</t>
  </si>
  <si>
    <t>[Production] CineClub Nos Belles-Soeurs Fan Event</t>
  </si>
  <si>
    <t>Email - Gatineau</t>
  </si>
  <si>
    <t>Email - Quebec City</t>
  </si>
  <si>
    <t>[Production] Dedicated  - Kill (Hindi w/e.s.t.)</t>
  </si>
  <si>
    <t>[Production] Summer of IMAX - IMAX 1500 Scene+ Offer</t>
  </si>
  <si>
    <t>Email - English - Coq- Initial</t>
  </si>
  <si>
    <t>Email - English - SEC- Initial</t>
  </si>
  <si>
    <t>[Production] (35456) A Quiet Place: Day One - English</t>
  </si>
  <si>
    <t>Email - 2nd Week Ticketing - English</t>
  </si>
  <si>
    <t>[Production] (35456) A Quiet Place: Day One - French</t>
  </si>
  <si>
    <t>Email - 2nd Week Ticketing - French</t>
  </si>
  <si>
    <t>[Production] 24-0091-STOR-Weekly Store Newsletter_July5</t>
  </si>
  <si>
    <t>[Production] Friday What's On - Propensity Test 2</t>
  </si>
  <si>
    <t>[Production] 24-0003-EVCN-Arts Culture Monthly Newsletter_Jul6</t>
  </si>
  <si>
    <t>[Production] 24-0246-MKTX-XSCAPE Summer Bonus Credit Offer_July8</t>
  </si>
  <si>
    <t>[Production] 24-0441-MKTB-Brockville Decommission_July8</t>
  </si>
  <si>
    <t>[Production] Scene+ Nos Belles-Soeurs - Gatineau Resend</t>
  </si>
  <si>
    <t>Email - Gatineau - Scene</t>
  </si>
  <si>
    <t>[Production] 24-0194-MKTT-Weekly_Tuesday_July9</t>
  </si>
  <si>
    <t>[Production] 24-0288-BMPT-MBC-The Great Gatsby-July10</t>
  </si>
  <si>
    <t>[Production] 24-0438-EVCN-The Met Opera 2024-25 Season Launch-Email 1-Jul10</t>
  </si>
  <si>
    <t>24-0498-MKTT-Scene Member Pricing_July10</t>
  </si>
  <si>
    <t>[Production] (35589) Despicable Me 4 - English</t>
  </si>
  <si>
    <t>[Production] (35589) Despicable Me 4 - French</t>
  </si>
  <si>
    <t>[Production] 24-0016-MKTI-International Cinema July Newsletter</t>
  </si>
  <si>
    <t>[Production] 24-0091-STOR-Weekly Store Newsletter_July12</t>
  </si>
  <si>
    <t>[Production] 24-0453-MKTT-Longlegs Scene+ Points Offer_July12</t>
  </si>
  <si>
    <t>[Production] Friday What's On - Propensity Test 3</t>
  </si>
  <si>
    <t>[Production] 24-0194-MKTT-Weekly_Tuesday_July16</t>
  </si>
  <si>
    <t>[Production] CineClub - The Fabulous Four_July16</t>
  </si>
  <si>
    <t>Email - Vancouver - English</t>
  </si>
  <si>
    <t>[Production] It Ends WIth Us_Cineclub-Dedicated_July17</t>
  </si>
  <si>
    <t>Email - English - Coq - Reminder 1</t>
  </si>
  <si>
    <t>Email - English - SEC - Reminder 1</t>
  </si>
  <si>
    <t>[Production] Survey - User Research - TRR &amp; PDM</t>
  </si>
  <si>
    <t>[Production] (37170) Nos belles-soeurs - French</t>
  </si>
  <si>
    <t>[Production] 24-0438-EVCN-The Met Opera 2024-25 Season Launch-Email 2-Jul18</t>
  </si>
  <si>
    <t>[Production] Fly Me To The Moon - 2nd Week VIP Offer_July18</t>
  </si>
  <si>
    <t>[Production] Longlegs - Scene Offer_July18</t>
  </si>
  <si>
    <t>Email - Connect Email 1</t>
  </si>
  <si>
    <t>Email - Now Playing for CC members</t>
  </si>
  <si>
    <t>[Production] 24-0091-STOR-Weekly Store Newsletter_July19</t>
  </si>
  <si>
    <t>[Production] Friday What's On - Propensity Test 4</t>
  </si>
  <si>
    <t>[Production] Scene &amp; Connect - It Ends With Us_July19</t>
  </si>
  <si>
    <t>Email - English - Coq - Last Chance</t>
  </si>
  <si>
    <t>Email - English - South Edmonton - Last Chance</t>
  </si>
  <si>
    <t>[Production] 24-0004-EVCN-Family Monthly Newsletter- July</t>
  </si>
  <si>
    <t>[Production] Survey - User Research - TRR &amp; PDM_Send#2</t>
  </si>
  <si>
    <t>Email - English - Send 2</t>
  </si>
  <si>
    <t>[Production] 24-0194-MKTT-Weekly_Tuesday_July23</t>
  </si>
  <si>
    <t>[Production] (36471) Twisters - English</t>
  </si>
  <si>
    <t>[Production] (36471) Twisters - French</t>
  </si>
  <si>
    <t>[Production] MKTT-ScreenX - Deadpool &amp; Wolverine Scene+ Offer</t>
  </si>
  <si>
    <t>[Production] Scene Offer - Inside Out 2 - July 25</t>
  </si>
  <si>
    <t>[Production] 24-0091-STOR-Weekly Store Newsletter_July26</t>
  </si>
  <si>
    <t>[Production] Friday What's On - Propensity Test 5</t>
  </si>
  <si>
    <t>[Production] 24-0246-MKTX-XSCAPE Summer Bonus Credit Offer_July29</t>
  </si>
  <si>
    <t>[Production] 24-0194-MKTT-Weekly_Tuesday_Jul30</t>
  </si>
  <si>
    <t>[Production] 24-0282-MKTT-Alien: Romulus Dolby Atmos_Jul30</t>
  </si>
  <si>
    <t>[Production] 24-0529-MKTT-Alien Romulus ScreenX Screen+ Points Offer_Jul30</t>
  </si>
  <si>
    <t>[Production] CineClub - Borderlands_July31</t>
  </si>
  <si>
    <t>Email - Forum Montreal - English</t>
  </si>
  <si>
    <t>Email - Scotiabank - English</t>
  </si>
  <si>
    <t>Email - Starcite Montreal - French</t>
  </si>
  <si>
    <t>Email - Ste Foy</t>
  </si>
  <si>
    <t>[Production] (36278) Deadpool and Wolverine - English</t>
  </si>
  <si>
    <t>[Production] (36278) Deadpool and Wolverine - French</t>
  </si>
  <si>
    <t>[Production] 24-0301-MKTT-Harold and the Purple Crayon Scene+ Points Offer_Aug1</t>
  </si>
  <si>
    <t>[Production] Survey - Film Anticipation - August</t>
  </si>
  <si>
    <t>[Production] 24-0091-STOR-Weekly Store Newsletter_Aug2</t>
  </si>
  <si>
    <t>[Production] 24-0502-RECR-TRR eNewsletter_Generic_August</t>
  </si>
  <si>
    <t>[Production] Friday What's On - Propensity Test 6</t>
  </si>
  <si>
    <t>[Production] 24-0003-EVCN-Arts Culture Monthly Newsletter – August 3</t>
  </si>
  <si>
    <t>[Production] 24-0031-STOR-TV Summer Sale-House of the Dragon S2</t>
  </si>
  <si>
    <t>[Production] 24-0031-STOR-Dedicated Emails_Despicable Me 4_Aug6</t>
  </si>
  <si>
    <t>[Production] 24-0194-MKTT-Weekly_Tuesday_Aug6</t>
  </si>
  <si>
    <t>[Production] 24-0286-MKTT-Andre Rieu Summer 2024 Scene+ Points Offer_Aug7</t>
  </si>
  <si>
    <t>[Production] 24-0472-CPGC-UGO Promotion 2024_EN_FR</t>
  </si>
  <si>
    <t>[Production] 24-0472-CPGC-UGO Promotion 2024_FR_EN</t>
  </si>
  <si>
    <t>[Production] 24-0016-MKTI-International Cinema August Newsletter</t>
  </si>
  <si>
    <t>[Production] 24-0434-RECR-Q3 LBE Scene+ Offer_TRR_Aug8</t>
  </si>
  <si>
    <t>[Production] Film Propensity Dedicated Email - Borderlands</t>
  </si>
  <si>
    <t>Email - English - 0-7</t>
  </si>
  <si>
    <t>Email - English - 8-9</t>
  </si>
  <si>
    <t>Email - English - 9-10</t>
  </si>
  <si>
    <t>[Production] 24-0091-STOR-Weekly Store Newsletter_Aug9</t>
  </si>
  <si>
    <t>[Production] 24-0434-RECR-Q3 LBE Scene+ Inital Offer_PDM_Aug9</t>
  </si>
  <si>
    <t>[Production] 24-0448-GREV-G&amp;E Holiday 2024 Campaign_EN_FR_Aug09</t>
  </si>
  <si>
    <t>Email - English-French</t>
  </si>
  <si>
    <t>[Production] 24-0448-GREV-G&amp;E Holiday 2024 Campaign_FR_EN_Aug09</t>
  </si>
  <si>
    <t>Email - French-English</t>
  </si>
  <si>
    <t>[Production] 24-0549-MKTT-Alien: Romulus Giveaway CineClub Email-Aug9</t>
  </si>
  <si>
    <t>[Production] CineClub - FLY IMAX - August 9</t>
  </si>
  <si>
    <t>[Production] Friday What's On - Propensity Test 7</t>
  </si>
  <si>
    <t>[Production] Reminder-Alien Romulus ScreenX Screen+ Points Offer_Aug 12</t>
  </si>
  <si>
    <t>[Production] 24-0194-MKTT-Weekly_Tuesday_Aug13</t>
  </si>
  <si>
    <t>[Production] (36886) It Ends With Us - English</t>
  </si>
  <si>
    <t>[Production] (36886) It Ends With Us - French</t>
  </si>
  <si>
    <t>[Production] (36945) La femme cachee - French</t>
  </si>
  <si>
    <t>[Production] 24-0472-CPGC-UGO Promotion 2024_Reminder_EN_FR</t>
  </si>
  <si>
    <t>[Production] 24-0472-CPGC-UGO Promotion 2024_Reminder_FR_EN</t>
  </si>
  <si>
    <t>[Production] 24-0474-RECR-TRR TRH – Taylor Swift Weekend Event - Aug 15</t>
  </si>
  <si>
    <t>[Production] 24-0560-MKTT-Fredricton-Recliners-Aug15</t>
  </si>
  <si>
    <t>[Production] 24-0091-STOR-Weekly Store Newsletter_Aug16</t>
  </si>
  <si>
    <t>[Production] 24-0461-MKTT-Le comte de Monte-Cristo - Scene+ Points Offer_Aug16</t>
  </si>
  <si>
    <t>[Production] Friday What's On - Propensity Test 8</t>
  </si>
  <si>
    <t>[Production] 24-0004-EVCN-August Family Monthly Newsletter</t>
  </si>
  <si>
    <t>[Production] 24-0503-FOOD-Jolly Ranchers Unhinged Flavour_Aug19</t>
  </si>
  <si>
    <t>[Production] 24-0194-MKTT-Weekly_Tuesday_Aug20</t>
  </si>
  <si>
    <t>[Production] 24-0205-RECR-TRR Deal of the Day_Reminder_Aug20_Resend</t>
  </si>
  <si>
    <t>[Production] 24-0246-MKTX-XSCAPE Summer Bonus Credit Offer_Aug20</t>
  </si>
  <si>
    <t>[Production] 24-0472-CPGC-UGO Promotion 2024_Partners_EN_FR_Aug20</t>
  </si>
  <si>
    <t>[Production] 24-0247-MKTT-Strange Darling- Dedicated Email_Aug21</t>
  </si>
  <si>
    <t>[Production] 24-0286-MKTT-Andre Rieu Summer 2024 Dedicated Email_Aug21</t>
  </si>
  <si>
    <t>[Production] 24-0504-MKTT-The Forge-DedicatedEmail-Aug21</t>
  </si>
  <si>
    <t>[Production] 24-0200-EVCN-Classic Film Series-Keanu Fest-Dedicated Email</t>
  </si>
  <si>
    <t>[Production] 24-0547-MKTL-Cineclub Terms &amp; Conditions Update</t>
  </si>
  <si>
    <t>[Production] CineClub - Deaner '89 Ticket Contest</t>
  </si>
  <si>
    <t>[Production] Film Propensity Dedicated Email - Blink Twice</t>
  </si>
  <si>
    <t>Email - English - 7-8</t>
  </si>
  <si>
    <t>[Production] 24-0091-STOR-Weekly Store Newsletter_Aug23</t>
  </si>
  <si>
    <t>[Production] 24-0462-MKTT-Ababouiné Scene Points Offer Email-Aug23</t>
  </si>
  <si>
    <t>[Production] Friday What's On - Propensity Test 9</t>
  </si>
  <si>
    <t>[Production] 24-0472-CPGC-UGO Promotion 2024_Last_Chance_EN_FR</t>
  </si>
  <si>
    <t>[Production] 24-0472-CPGC-UGO Promotion 2024_Last_Chance_FR_EN</t>
  </si>
  <si>
    <t>[Production] Survey - Global Cinema Federation</t>
  </si>
  <si>
    <t>[Production] 24-0194-MKTT-Weekly_Tuesday_Aug27</t>
  </si>
  <si>
    <t>[Production] 24-0472-CPGC-UGO Promotion 2024_Partnership_Reminder_Aug27</t>
  </si>
  <si>
    <t>[Production] 24-0568-MKTT-You Gotta Believe-Dedicated Email</t>
  </si>
  <si>
    <t>[Production] (37531) Blink Twice - English</t>
  </si>
  <si>
    <t>[Production] (37531) Blink Twice - French</t>
  </si>
  <si>
    <t>[Production] 24-0527-MKTB-Cineplex Community Day 2024-CPX-Save-The-Date</t>
  </si>
  <si>
    <t>[Production] 24-0091-STOR-Weekly Store Newsletter_Aug30</t>
  </si>
  <si>
    <t>[Production] 24-0194-MKTT-Weekly_Friday_Aug30</t>
  </si>
  <si>
    <t>[Production] 24-0527-MKTB-Cineplex Community Day 2024-PDM</t>
  </si>
  <si>
    <t>[Production] 24-0527-MKTB-Cineplex Community Day 2024-TRR</t>
  </si>
  <si>
    <t>[Production] Scene Offer - Deadpool &amp; Wolverine- August 30</t>
  </si>
  <si>
    <t>[Production] Stree 2 - 500 point offer</t>
  </si>
  <si>
    <t>Email - English - Offer - English Comps</t>
  </si>
  <si>
    <t>Email - English - Offer - Hindi Punjabi</t>
  </si>
  <si>
    <t>[Production] 24-0502-RECR-TRR eNewsletter_Generic_September</t>
  </si>
  <si>
    <t>[Production] 24-0194-MKTT-Weekly_Tuesday_Sep3</t>
  </si>
  <si>
    <t>[Production] - Pricing Workstream - Test 1</t>
  </si>
  <si>
    <t>Email - Email - $5 - English</t>
  </si>
  <si>
    <t>Email - Email - $5 - French</t>
  </si>
  <si>
    <t>Email - Email - $8 - English</t>
  </si>
  <si>
    <t>Email - Email - $8 - French</t>
  </si>
  <si>
    <t>[Production] 24-0071-CPGC-LBE Evergreen E-Gift Card Offers-PDM-Intro</t>
  </si>
  <si>
    <t>[Production] Survey - Film Anticipation - September</t>
  </si>
  <si>
    <t>[Production] 24-0527-MKTB-Cineplex Community Day 2024-CPX-Tickets-Available</t>
  </si>
  <si>
    <t>[Production] 24-0552-MKTT-Deaner 89 Scene+ Points Offer_Sept05</t>
  </si>
  <si>
    <t>[Production] See Any Movie - RFM 250 Scene+ Offer - September 2024</t>
  </si>
  <si>
    <t>[Production] 24-0071-CPGC-LBE Evergreen E-Gift Card Offers-TRR-Intro</t>
  </si>
  <si>
    <t>[Production] 24-0091-STOR-Weekly Store Newsletter_Sept6</t>
  </si>
  <si>
    <t>[Production] 24-0194-MKTT-Weekly_Friday_Sept6</t>
  </si>
  <si>
    <t>Email - English - Sec Hero No Copy</t>
  </si>
  <si>
    <t>[Production] 24-0003-EVCN-Arts Culture Monthly Newsletter_Sept</t>
  </si>
  <si>
    <t>[Production] 24-0031-STOR-Dedicated Emails_Borderlands</t>
  </si>
  <si>
    <t>[Production] 24-0511-MKTT-Joker Folie à Deux - Advance Ticketing email</t>
  </si>
  <si>
    <t>[Production] 24-0194-MKTT-Weekly_Tuesday_Sep10</t>
  </si>
  <si>
    <t>Email - Reminder - $5 - English</t>
  </si>
  <si>
    <t>Email - Reminder - $5 - French</t>
  </si>
  <si>
    <t>Email - Reminder - $8 - English</t>
  </si>
  <si>
    <t>Email - Reminder - $8 - French</t>
  </si>
  <si>
    <t>[Production] (36766) Beetlejuice Beetlejuice - English</t>
  </si>
  <si>
    <t>[Production] (36766) Beetlejuice Beetlejuice - French</t>
  </si>
  <si>
    <t>[Production] 24-0016-MKTI-International Cinema September Newsletter</t>
  </si>
  <si>
    <t>[Production] 24-0284-MKTT-Speak No Evil-Dedicated Email</t>
  </si>
  <si>
    <t>[Production] 24-0091-STOR-Weekly Store Newsletter_Sept13</t>
  </si>
  <si>
    <t>[Production] 24-0194-MKTT-Weekly_Friday_Sept13</t>
  </si>
  <si>
    <t>Email - French - Sec Hero No Copy</t>
  </si>
  <si>
    <t>[Production] 24-0565-MKTT-Tous Toques-Scene+ Offer Email</t>
  </si>
  <si>
    <t>[Production] 24-0434-RECR-Q3 LBE Scene+ Offer-REMINDER_TRR_Sep14</t>
  </si>
  <si>
    <t>[Production] 24-0434-RECR-Q3 LBE Scene+ Offer-REMINDER_PDM_Sep15</t>
  </si>
  <si>
    <t>[Production] Cineclub Terms &amp; Conditions French Resend - Sept 16</t>
  </si>
  <si>
    <t>[Production] WhiteBird_Cineclub-Dedicated_Sept16</t>
  </si>
  <si>
    <t>[Production] 24-0194-MKTT-Weekly_Tuesday_Sep17</t>
  </si>
  <si>
    <t>[Production] 24-0457-RECR-LBE Halloween Event-PDM-First Email</t>
  </si>
  <si>
    <t>[Production] 24-0071-CPGC-LBE Evergreen E-Gift Card Offers-PDM-Reminder</t>
  </si>
  <si>
    <t>[Production] 24-0457-RECR-LBE Halloween Event-TRR-First Email</t>
  </si>
  <si>
    <t>[Production] 24-0579-MKTT-The Substance-Dedicated Email</t>
  </si>
  <si>
    <t>[Production] (36715) Speak No Evil - English</t>
  </si>
  <si>
    <t>[Production] (36715) Speak No Evil - French</t>
  </si>
  <si>
    <t>[Production] 24-0459-MKTT-Transformers One Dedicated Email-Scene+ Points Offer</t>
  </si>
  <si>
    <t>[Production] 24-0465-GREV-G&amp;E EXH Education Screenings Email_EN_FR_September</t>
  </si>
  <si>
    <t>[Production] 24-0465-GREV-G&amp;E EXH Education Screenings Email_FR_EN_September</t>
  </si>
  <si>
    <t>[Production] CineClub_Samplers in Cancelled - September Offer</t>
  </si>
  <si>
    <t>Email - Champions Non CC - English</t>
  </si>
  <si>
    <t>Email - Samplers - English</t>
  </si>
  <si>
    <t>[Production] Scene Offer - Wolfs - Sept 19</t>
  </si>
  <si>
    <t>[Production] 24-0071-CPGC-LBE Evergreen E-Gift Card Offers-TRR-Reminder</t>
  </si>
  <si>
    <t>[Production] 24-0091-STOR-Weekly Store Newsletter_Sept20</t>
  </si>
  <si>
    <t>[Production] 24-0194-MKTT-Weekly_Friday_Sept20</t>
  </si>
  <si>
    <t>[Production] 24-0004-EVCN-September Family Monthly Newsletter</t>
  </si>
  <si>
    <t>[Production] Survey - VIP Food Ordering - Sept 23</t>
  </si>
  <si>
    <t>Email - English - No VIP L2Y</t>
  </si>
  <si>
    <t>Email - English - Purchased VIP P6M</t>
  </si>
  <si>
    <t>[Production] 24-0194-MKTT-Weekly_Tuesday_Sep24</t>
  </si>
  <si>
    <t>[Production] 24-0285-MKTT-The Wild Robot Dedicated Email</t>
  </si>
  <si>
    <t>[Production] CineClub - Shudder Series - V/H/S/BEYOND</t>
  </si>
  <si>
    <t>[Production] Film Dedicated - Megalopolis - Sept 25</t>
  </si>
  <si>
    <t>[Production] - Pricing Workstream - Test 2</t>
  </si>
  <si>
    <t>Email - Initial - $3 - English</t>
  </si>
  <si>
    <t>Email - Initial - $5 - English</t>
  </si>
  <si>
    <t>Email - RFM - Week 4 No Offer Email - English</t>
  </si>
  <si>
    <t>Email - RFM - Week 4 Offer Email - English</t>
  </si>
  <si>
    <t>Email - Connect Email 3 - English</t>
  </si>
  <si>
    <t>Email - Connect Email 3 - French</t>
  </si>
  <si>
    <t>Email - RFM - Week 4 Sent No Offer Email - French</t>
  </si>
  <si>
    <t>Email - RFM - Week 4 Sent Offer Email - French</t>
  </si>
  <si>
    <t>[Production] (36796) Transformers One - English</t>
  </si>
  <si>
    <t>[Production] (36796) Transformers One - French</t>
  </si>
  <si>
    <t>Email - 2nd Week ticketing - French</t>
  </si>
  <si>
    <t>[Production] 24-0458-EVCN-Les Contes d'Hoffmann-Dedicated-EN</t>
  </si>
  <si>
    <t>[Production] 24-0481-GREV-G&amp;E LBE Education-Field Trips Email-September</t>
  </si>
  <si>
    <t>[Production] 24-0091-STOR-Weekly Store Newsletter_Sept27</t>
  </si>
  <si>
    <t>[Production] 24-0194-MKTT-Weekly_Friday_Sept27</t>
  </si>
  <si>
    <t>[Production] 24-0564-RECR-TRR GRV + BRE-Taylor Swift Event-Initial Email</t>
  </si>
  <si>
    <t>[Production] Scene Offer - Joker- IMAX Fan Event - Sept 27</t>
  </si>
  <si>
    <t>[Production] Survey - VIP Food Ordering #2 - Sept 27</t>
  </si>
  <si>
    <t>[Production] Coquitlam_Theatre_ScreenX_Sept 2024</t>
  </si>
  <si>
    <t>[Production] CineClub - Shudder Series - V/H/S/BEYOND_Send2</t>
  </si>
  <si>
    <t>[Production] Scene &amp; Connect - White Bird</t>
  </si>
  <si>
    <t>[Production] 24-0194-MKTT-Weekly_Tuesday_Oct1</t>
  </si>
  <si>
    <t>[Production] 24-0502-RECR-TRR eNewsletter_Generic_October</t>
  </si>
  <si>
    <t>[Production] 24-0458-EVCN-Les Contes d'Hoffmann-Dedicated-FR</t>
  </si>
  <si>
    <t>[Production] Dedicated - My Hero Academia: You're Next - Oct2</t>
  </si>
  <si>
    <t>[Production] Scene - Shudder Series - Daddy's Head_Oct2</t>
  </si>
  <si>
    <t>Email - Reminder - $3 - English</t>
  </si>
  <si>
    <t>Email - Week 4 Offer - English</t>
  </si>
  <si>
    <t>Email - Week 4 No Offer - English</t>
  </si>
  <si>
    <t>Email - Week 4 Offer - French</t>
  </si>
  <si>
    <t>Email - Week 4 No Offer - French</t>
  </si>
  <si>
    <t>[Production] (36726) The Wild Robot - English</t>
  </si>
  <si>
    <t>[Production] (36726) The Wild Robot - French</t>
  </si>
  <si>
    <t>Email - RFM No Offer - English</t>
  </si>
  <si>
    <t>Email - Connect Email 2 - English</t>
  </si>
  <si>
    <t>Email - RFM No Offer - French</t>
  </si>
  <si>
    <t>Email - Connect Email 2 - French</t>
  </si>
  <si>
    <t>[Production] 24-0091-STOR-Weekly Store Newsletter_Oct4</t>
  </si>
  <si>
    <t>[Production] 24-0194-MKTT-Weekly_Friday_Oct4</t>
  </si>
  <si>
    <t>[Production] 24-0003-EVCN-Arts Culture Monthly Newsletter_Oct5</t>
  </si>
  <si>
    <t>[Production] 24-0434-RECR-Q3 LBE Scene+ Offer-LASTCHANCE_PDM_Oct7</t>
  </si>
  <si>
    <t>[Production] 24-0194-MKTT-Weekly_Tuesday_Oct8</t>
  </si>
  <si>
    <t>[Production] 24-0434-RECR-Q3 LBE Scene+ Offer-LASTCHANCE_TRR_Oct8</t>
  </si>
  <si>
    <t>[Production] Dedicated - Gladiator 2 - Advance Ticketing_Oct8</t>
  </si>
  <si>
    <t>[Production] 24-0550-PDM-Playdium Newsletter_Oct9_2</t>
  </si>
  <si>
    <t>[Production] 24-0557-MKTT-Piece By Piece-Dedicated Email_Oct9</t>
  </si>
  <si>
    <t>[Production] 24-0612-MKTT-Wicked-Giveaway_Oct9</t>
  </si>
  <si>
    <t>[Production] Scene - Shudder Series - MadS_Oct9</t>
  </si>
  <si>
    <t>[Production] Scene Offer - Saturday Night - Oct 9</t>
  </si>
  <si>
    <t>[Production] (35705) Joker: Folie a Deux - English</t>
  </si>
  <si>
    <t>[Production] (35705) Joker: Folie a Deux - French</t>
  </si>
  <si>
    <t>Email - RFM NO OFFER - English</t>
  </si>
  <si>
    <t>Email - RFM NO OFFER - French</t>
  </si>
  <si>
    <t>Email - RFM - Week 4 No Offer - English</t>
  </si>
  <si>
    <t>Email - RFM - Week 4 Offer - English</t>
  </si>
  <si>
    <t>Email - RFM - Week 4 Sent No Offer - French</t>
  </si>
  <si>
    <t>Email - RFM - Week 4 Sent Offer - French</t>
  </si>
  <si>
    <t>[Production] 24-0091-STOR-Weekly Store Newsletter_Oct11</t>
  </si>
  <si>
    <t>[Production] 24-0194-MKTT-Weekly_Friday_Oct11</t>
  </si>
  <si>
    <t>[Production] 24-0448-GREV-G&amp;E Joint Business Marketing Holiday Email_EN_FR</t>
  </si>
  <si>
    <t>[Production] 24-0448-GREV-G&amp;E Joint Business Marketing Holiday Email_FR_EN</t>
  </si>
  <si>
    <t>Email - French_english</t>
  </si>
  <si>
    <t>[Production] 24-0580-MKTT-Woman of the Hour-Dedicated Email</t>
  </si>
  <si>
    <t>[Production] 24-0605-MKTT-Terrifier 3-Dedicated Email</t>
  </si>
  <si>
    <t>[Production] 24-0016-MKTI-International Cinema October Newsletter_Oct12</t>
  </si>
  <si>
    <t>[Production] 24-0458-EVCN-Grounded Dedicated_Oct14</t>
  </si>
  <si>
    <t>[Production] 24-0194-MKTT-Weekly_Tuesday_Oct15</t>
  </si>
  <si>
    <t>[Production] 24-0453-MKTB-Junxion–Halloween Event-Erin Mills_Oct15</t>
  </si>
  <si>
    <t>[Production] 24-0453-MKTB-Junxion–Halloween Event-Kildonan Place_Oct15</t>
  </si>
  <si>
    <t>[Production[ 24-629-MKTT-Here Dedicated Email &amp; Scene+ Points Offer_Oct16</t>
  </si>
  <si>
    <t>[Production] 24-0512-CPGC-Prepaid B2B Holiday Campaign 2024-First Email-EN-FR_Oct16</t>
  </si>
  <si>
    <t>[Production] 24-0512-CPGC-Prepaid B2B Holiday Campaign 2024-First Email-FR-EN_Oct16</t>
  </si>
  <si>
    <t>[Production] Dedicated - KENSUKE’S KINGDOM - Oct 16</t>
  </si>
  <si>
    <t>[Production] Scene - Shudder Series - Black Cab_Oct16</t>
  </si>
  <si>
    <t>Email - Connect Email 2</t>
  </si>
  <si>
    <t>Email - NO OFFER - RFM VARIANT</t>
  </si>
  <si>
    <t>Email - RFM VARIANTS</t>
  </si>
  <si>
    <t>Email - RFM - Week 4 No Offer Email</t>
  </si>
  <si>
    <t>Email - RFM - Week 4 Sent No Offer Email</t>
  </si>
  <si>
    <t>Email - RFM - Week 4 Sent Offer Email</t>
  </si>
  <si>
    <t>[Production] 24-0619-MKTB-Windsor CineClub Offer_Oct17</t>
  </si>
  <si>
    <t>Email - English-Members</t>
  </si>
  <si>
    <t>Email - English-Non Members</t>
  </si>
  <si>
    <t>[Production] 24-0091-STOR-Weekly Store Newsletter_Oct18</t>
  </si>
  <si>
    <t>[Production] 24-0194-MKTT-Weekly_Friday_Oct18</t>
  </si>
  <si>
    <t>[Production] 24-0457-RECR-LBE Halloween Event-TRR-Reminder Email_Oct18</t>
  </si>
  <si>
    <t>[Production] 24-0460-MKTT-Smile 2 Dedicated Email &amp; Scene+ Points Offer_Oct18</t>
  </si>
  <si>
    <t>[Production] See Any Movie - RFM 500 Scene+ Offer - October 2024</t>
  </si>
  <si>
    <t>Email - English - 500 - Champ/PL</t>
  </si>
  <si>
    <t>Email - French - 500 - Champ/PL</t>
  </si>
  <si>
    <t>[Production] Venom: The Last Dance - Special Screening_Oct18</t>
  </si>
  <si>
    <t>Email - Coquitlam - English</t>
  </si>
  <si>
    <t>[Production] We Live in Time - Dedicated Email &amp; Scene+ Points Offer_Oct18</t>
  </si>
  <si>
    <t>[Production] 24-0004-EVCN-November Family Monthly Newsletter_Oct19</t>
  </si>
  <si>
    <t>[Production] 24-0457-RECR-LBE Halloween Event-PDM-Reminder_Oct19</t>
  </si>
  <si>
    <t>[Production] 24-0194-MKTT-Weekly_Tuesday_Oct22</t>
  </si>
  <si>
    <t>[Production] - Pricing Workstream - Test 3_Oct23</t>
  </si>
  <si>
    <t>Email - Initial - $1 - English</t>
  </si>
  <si>
    <t>[Production] 24-0463-CPGC-CPX New Gift Cards_Oct23</t>
  </si>
  <si>
    <t>[Production] 24-0463-CPGC-LBE New Gift Cards-PDM_Oct23</t>
  </si>
  <si>
    <t>[Production] Survey - VIP Food Ordering #3 - Oct23_V2</t>
  </si>
  <si>
    <t>[Production] 24-0031-STOR-Dedicated Email_Beetlejuice Beetlejuice_Oct24_V2</t>
  </si>
  <si>
    <t>[Production] 24-0463-CPGC-LBE New Gift Cards-TRR_Oct24</t>
  </si>
  <si>
    <t>[Production] Affinity Test 1 - Smile 2</t>
  </si>
  <si>
    <t>Email - Affinity Not Comp</t>
  </si>
  <si>
    <t>Email - Comp And Affinity</t>
  </si>
  <si>
    <t>Email - Comp Not Affinity</t>
  </si>
  <si>
    <t>[Production] Dedicated - Shawn Mendes_Oct24</t>
  </si>
  <si>
    <t>[Production] 24-0091-STOR-Weekly Store Newsletter_Oct25</t>
  </si>
  <si>
    <t>[Production] 24-0194-MKTT-Weekly_Friday_Oct25</t>
  </si>
  <si>
    <t>[Production] 24-0530-PDM Santa Visit Email-Initial_Oct28</t>
  </si>
  <si>
    <t>[Production] 24-0194-MKTT-Weekly_Tuesday_Oct29</t>
  </si>
  <si>
    <t>[Production] - Pricing Workstream - Test 3_Reminder</t>
  </si>
  <si>
    <t>Email - Reminder - $1 - English</t>
  </si>
  <si>
    <t>[Production] 24-0641-MKTT-Hitpig! Dedicated Email</t>
  </si>
  <si>
    <t>[Production] Dedicated - Lumina - Oct 30</t>
  </si>
  <si>
    <t>[Production] Dedicated - Moana 2 Advanced - Oct 30</t>
  </si>
  <si>
    <t>[Production] (37053) Smile 2 - English</t>
  </si>
  <si>
    <t>[Production] (37053) Smile 2 - French</t>
  </si>
  <si>
    <t>[Production] Affinity Test 2 - Venom: The Last Dance_Oct31</t>
  </si>
  <si>
    <t>[Production] Scene Offer -Wild Robot - Oct 31</t>
  </si>
  <si>
    <t>[Production] 24-0091-STOR-Weekly Store Newsletter_Nov1</t>
  </si>
  <si>
    <t>[Production] 24-0194-MKTT-Weekly_Friday_Nov1</t>
  </si>
  <si>
    <t>[Production] Dedicated - Juror #2 Advanced - Varsity_Nov1</t>
  </si>
  <si>
    <t>[Production] 24-0003-EVCN-Arts Culture Monthly Newsletter_Nov2</t>
  </si>
  <si>
    <t>[Production] 24-0550-PDM-Playdium Newsletter_Nov2_V2</t>
  </si>
  <si>
    <t>[Production] 24-0502-RECR-TRR eNewsletter_Generic_Nov2_V2</t>
  </si>
  <si>
    <t>[Production] Scene+ It - Power Up Campaign_Nov4</t>
  </si>
  <si>
    <t>[Production] 24-0474-RECR-TRR TRH – Taylor Swift Weekend Event - Reminder_Nov4</t>
  </si>
  <si>
    <t>[Production] 24-0194-MKTT-Weekly_Tuesday_Nov5</t>
  </si>
  <si>
    <t>[Production] B2B Holiday Email - November</t>
  </si>
  <si>
    <t>[Production] 24-0630-GREV-G&amp;E Email - School Groups Moana 2 Email-EN-FR_Nov 6</t>
  </si>
  <si>
    <t>[Production] 24-0630-GREV-G&amp;E Email - School Groups Moana 2 Email-FR-EN_Nov 6</t>
  </si>
  <si>
    <t>[Production] 24-0655-MKTL-2X Scene Point Offer_Nov 6</t>
  </si>
  <si>
    <t>[Production] 24-0608-MKTT-Heretic-Dedicated_Nov 6</t>
  </si>
  <si>
    <t>[Production] Dedicated - Best Christmas Pageant- Nov 6</t>
  </si>
  <si>
    <t>[Production] (36908) Venom: The Last Dance - English</t>
  </si>
  <si>
    <t>[Production] (36908) Venom: The Last Dance - French</t>
  </si>
  <si>
    <t>[Production] 24-0016-MKTI-International Cinema November Newsletter</t>
  </si>
  <si>
    <t>[Production] 24-0091-STOR-Weekly Store Newsletter_Nov8</t>
  </si>
  <si>
    <t>[Production] 24-0194-MKTT-Weekly_Friday_Nov8</t>
  </si>
  <si>
    <t>[Production] 24-0315-CPGC-CPX 2024 Holiday Gift Bundle-First Email_Nov9</t>
  </si>
  <si>
    <t>[Production] 24-0530-PLAY-PDM Santa Visit Email-Reminder_Nov 10</t>
  </si>
  <si>
    <t>[Production] 24-0616-RECR-LBE NYE Events-TRR-First Email-NOV-EN</t>
  </si>
  <si>
    <t>[Production] 24-0194-MKTT-Weekly_Tuesday_Nov12</t>
  </si>
  <si>
    <t>[Production] 24-0316-CPGC-LBE 2024 Holiday Gift Bundle-TRR-First Email_Nov12</t>
  </si>
  <si>
    <t>[Production] 24-0616-RECR-LBE NYE Events-PDM-First Email-Nov12</t>
  </si>
  <si>
    <t>[Production] 24-0621-MKTB-Junxion Holiday Event-Erin Mills_Nov12</t>
  </si>
  <si>
    <t>[Production] 24-0621-MKTB-Junxion Holiday Event-Kildonan Place_Nov12</t>
  </si>
  <si>
    <t>[Production] 24-0316-CPGC-LBE 2024 Holiday Gift Bundle-PDM-First_Nov13</t>
  </si>
  <si>
    <t>[Production] 24-0458-EVCN-Tosca Dedicated Email_Nov13</t>
  </si>
  <si>
    <t>[Production] Affinity Test 3 - Red One_Nov 14</t>
  </si>
  <si>
    <t>[Production] 24-0091-STOR-Weekly Store Newsletter_Nov15</t>
  </si>
  <si>
    <t>[Production] 24-0194-MKTT-Weekly_Friday_Nov15</t>
  </si>
  <si>
    <t>[Production] 24-0611-MKTT-Wicked Ticket Offer-Concession Offer_Nov15</t>
  </si>
  <si>
    <t>[Production] 24-0721-MKTT-Bergers - Scene+ Offer_Nov15</t>
  </si>
  <si>
    <t>[Production] DBOX Scene Offer - Nov 15</t>
  </si>
  <si>
    <t>[Production] IMAX_Vancouver_Nov15</t>
  </si>
  <si>
    <t>[Production] SCREENX Scene Offer - Nov 15</t>
  </si>
  <si>
    <t>[Production] 24-0004-EVCN-November Family Monthly Newsletter_Nov16</t>
  </si>
  <si>
    <t>[Production] 24-0474-RECR-TRR TRH – Taylor Swift Weekend Event - Final_Nov17</t>
  </si>
  <si>
    <t>[Production] 24-0469-RECR-TRR Royalmount New Opening-ROYALMOUNT-CPX_CineClub_Invite_Nov18</t>
  </si>
  <si>
    <t>[Production] 24-0469-RECR-TRR Royalmount New Opening-ROYALMOUNT-CPX_SCENE_Invite_Nov18</t>
  </si>
  <si>
    <t>[Production] Survey - CineClub Awareness - Nov 18</t>
  </si>
  <si>
    <t>[Production] 24-0194-MKTT-Weekly_Tuesday_Nov19</t>
  </si>
  <si>
    <t>[Production] 24-0616-RECR-LBE NYE Events-TRR Royalmount-1st Email_FR_Nov19</t>
  </si>
  <si>
    <t>[Production] 24-0631-EVCN-Andre Rieu Winter 2024 Dedicated Email #1_Nov20</t>
  </si>
  <si>
    <t>[Production] Scene+ - Windsor Competitive Offer - Nov | Dec</t>
  </si>
  <si>
    <t>[Production] Wicked Concession Offer - Congratulations_Nov20</t>
  </si>
  <si>
    <t>[Production] 24-0315-CPGC-CPX 2024 Holiday Gift Bundle-Holiday cards available_Nov21</t>
  </si>
  <si>
    <t>[Production] (37532) Red One - English</t>
  </si>
  <si>
    <t>[Production] (37532) Red One - French</t>
  </si>
  <si>
    <t>[Production] 24-0551-MKTT-Gladiator 2 - Advanced Ticketing and Scene+ Offer Emails</t>
  </si>
  <si>
    <t>[Production] 24-0091-STOR-Weekly Store Newsletter_Nov22</t>
  </si>
  <si>
    <t>[Production] 24-0194-MKTT-Weekly_Friday_Nov22</t>
  </si>
  <si>
    <t>[Production] 24-0316-CPGC-LBE 2024 Holiday Gift Bundle-TRR-Second_Nov22</t>
  </si>
  <si>
    <t>[Production] 24-0656-FOOD-Mobile Ordering Offer Email-GLADIATOR 2</t>
  </si>
  <si>
    <t>[Production] 24-0656-FOOD-Mobile Ordering Offer Email-WICKED_v2</t>
  </si>
  <si>
    <t>[Production] IMAX_New Brunswick_Nov22</t>
  </si>
  <si>
    <t>[Production] 24-0593-MKBT-Clubhouse Refresh_With_Locations_EN</t>
  </si>
  <si>
    <t>[Production] Skeleton Crew - Sneak Screening_Nov23_v3</t>
  </si>
  <si>
    <t>[Production] 24-0316-CPGC-LBE 2024 Holiday Gift Bundle-PDM-Second _Nov25</t>
  </si>
  <si>
    <t>[Production] CineClub - Trailer Park Boys Ticket Contest_Nov25</t>
  </si>
  <si>
    <t>[Production] 24-0194-MKTT-Weekly_Tuesday_Nov26</t>
  </si>
  <si>
    <t>[Production] 24-0505-MKTB-CPX Royalmount Pre-Open/Now Open_Nov26</t>
  </si>
  <si>
    <t>[Production] 24-0727-GREV-G&amp;E Early Graduation/Prom Planning Email Push-EN-FR_Nov27</t>
  </si>
  <si>
    <t>[Production] 24-0727-GREV-G&amp;E Early Graduation/Prom Planning Email Push-FR-EN_Nov27</t>
  </si>
  <si>
    <t>[Production] Dedicated - Maria - Nov 27</t>
  </si>
  <si>
    <t>Email - English - Reminder  1</t>
  </si>
  <si>
    <t>[Production] (22303) Wicked - English</t>
  </si>
  <si>
    <t>Email - Enhanced Experience Offer - English</t>
  </si>
  <si>
    <t>[Production] (36582) Gladiator 2 - English</t>
  </si>
  <si>
    <t>[Production] (36582) Gladiator 2 - French</t>
  </si>
  <si>
    <t>Email - 2nd Week Ticketing (No Offer) - French</t>
  </si>
  <si>
    <t>[Production] 24-0091-STOR-Weekly Store Newsletter_Nov29</t>
  </si>
  <si>
    <t>[Production] 24-0194-MKTT-Weekly_Friday_Nov29</t>
  </si>
  <si>
    <t>[Production] 24-0469-RECR-TRR Royalmount New Opening-ROYALMOUNT-CPX_SCENE_Dedicated_Gaming_Offer_Nov29</t>
  </si>
  <si>
    <t>[Production] 24-0678-MKTL-CineClub Black Friday 2024_Nov29</t>
  </si>
  <si>
    <t>Email - English-CINECLUB SCENE+</t>
  </si>
  <si>
    <t>Email - English-NON CINECLUB NON-SCENE+</t>
  </si>
  <si>
    <t>Email - English-NON CINECLUB SCENE+</t>
  </si>
  <si>
    <t>Email - French-CINECLUB SCENE+</t>
  </si>
  <si>
    <t>Email - French-NON CINECLUB NON-SCENE+</t>
  </si>
  <si>
    <t>Email - French-NON CINECLUB SCENE+</t>
  </si>
  <si>
    <t>[Production] 24-0724-MKTT-Monsieur Aznavour Scene+_Nov29</t>
  </si>
  <si>
    <t>[Production] 24-0031-STOR-Dedicated Email_12_Days_Of_Christmas_Nov30</t>
  </si>
  <si>
    <t>[Production] DBOX Scene Offer - Reminder - Nov 30</t>
  </si>
  <si>
    <t>[Production] SCREENX Scene Offer - Reminder #1 - Nov 30</t>
  </si>
  <si>
    <t>[Production] 24-0502-RECR-TRR eNewsletter_Generic_Dec1</t>
  </si>
  <si>
    <t>Email - Email - English</t>
  </si>
  <si>
    <t>[Production] 24-0550-PDM-Playdium Newsletter_Dec1</t>
  </si>
  <si>
    <t>[Production] 24-0607-MKTB-December Frequency Offer (Sherwood Park &amp; Quebec City)_Dec1</t>
  </si>
  <si>
    <t>[Production] 24-0469-RECR-TRR ROYALMOUNT New Opening - CineClub Email (Now Open)_Dec2</t>
  </si>
  <si>
    <t>[Production] 24-0512-CPGC-Prepaid B2B Holiday Campaign 2024-Third Email-EN-FR-Dec 2</t>
  </si>
  <si>
    <t>[Production] 24-0512-CPGC-Prepaid B2B Holiday Campaign 2024-Third Email-FR-EN-Dec 2</t>
  </si>
  <si>
    <t>[Production] 24-0559-MKTT-Mufasa: The Lion King-Dedicated-Giveaway_Dec2_V2</t>
  </si>
  <si>
    <t>[Production] 24-0678-MKTL-CineClub Black Friday 2024-Reminder_Dec2</t>
  </si>
  <si>
    <t>Email - English-CINECLUB SCENE+ Reminder</t>
  </si>
  <si>
    <t>Email - English-NON CINECLUB SCENE+ Reminder</t>
  </si>
  <si>
    <t>Email - French-CINECLUB SCENE+ Reminder</t>
  </si>
  <si>
    <t>Email - French-NON CINECLUB SCENE+ Reminder</t>
  </si>
  <si>
    <t>[Production] 24-0194-MKTT-Weekly_Tuesday_Dec3</t>
  </si>
  <si>
    <t>[Production] 24-0316-CPGC-LBE 2024 Holiday Gift Bundle-PDM-Third_Dec3</t>
  </si>
  <si>
    <t>[Production] 24-0315-CPGC-CPX 2024 Holiday Gift Bundle-Third_Dec4</t>
  </si>
  <si>
    <t>[Production] 24-0316-CPGC-LBE 2024 Holiday Gift Bundle-TRR-Third_Dec4</t>
  </si>
  <si>
    <t>[Production] 24-0631-EVCN-Andre Rieu Winter 2024 Dedicated-Email 2-Reminder_Dec4</t>
  </si>
  <si>
    <t>[Production] (37153) Moana 2 - English</t>
  </si>
  <si>
    <t>[Production] (37153) Moana 2 - French</t>
  </si>
  <si>
    <t>Email - 2nd Week No Offer - French</t>
  </si>
  <si>
    <t>[Production] Affinity International Test 2 - Pushpa 2: The Rule_Dec5</t>
  </si>
  <si>
    <t>Email - Pushpa 2: The Rule</t>
  </si>
  <si>
    <t>[Production] See Any Movie - 500 Scene+ Offer - Dec5</t>
  </si>
  <si>
    <t>Email - English - 500 - 3 visits</t>
  </si>
  <si>
    <t>Email - French - 500 - 3 visits</t>
  </si>
  <si>
    <t>[Production] Survey - VIP Food Ordering #4 - Menu Testing_Dec5</t>
  </si>
  <si>
    <t>[Production] See Any Movie - 500 Scene+ Offer - Dec5[28a8]</t>
  </si>
  <si>
    <t>[Production] - Pricing Workstream - December Send</t>
  </si>
  <si>
    <t>Email - $3 - English</t>
  </si>
  <si>
    <t>Email - $5 - English</t>
  </si>
  <si>
    <t>Email - $8 - English</t>
  </si>
  <si>
    <t>[Production] 24-0091-STOR-Weekly Store Newsletter_Dec6</t>
  </si>
  <si>
    <t>[Production] 24-0194-MKTT-Weekly_Friday_Dec6</t>
  </si>
  <si>
    <t>[Production] 24-0612-MKTT-Wicked-CineClub Upsell_Dec6</t>
  </si>
  <si>
    <t>[Production] 24-0003-EVCN-Arts Culture Monthly Newsletter_Dec7</t>
  </si>
  <si>
    <t>[Production] Dedicated - Les apres midi Francos - Ababouiné - Dec7</t>
  </si>
  <si>
    <t>[Production] Dedicated_VIP - Gladiator/Wicked_Dec7</t>
  </si>
  <si>
    <t>[Production] 24-0194-MKTT-Weekly_Tuesday_Dec10</t>
  </si>
  <si>
    <t>[Production] CineClub Wrapped</t>
  </si>
  <si>
    <t>Email - Annual Wrapped - French</t>
  </si>
  <si>
    <t>Email - Annual Wrapped - English</t>
  </si>
  <si>
    <t>Email - Generic - English</t>
  </si>
  <si>
    <t>Email - Generic - French</t>
  </si>
  <si>
    <t>[Production] 24-0733-MKTT-Queer Dedicated Email_Dec11</t>
  </si>
  <si>
    <t>Email - English - Reminder  2</t>
  </si>
  <si>
    <t>Email - 4th Week MDP Offer - English</t>
  </si>
  <si>
    <t>Email - 4th Week MDP Offer - French</t>
  </si>
  <si>
    <t>[Production] (37135) Moana 2 - French</t>
  </si>
  <si>
    <t>[Production] 24-0016-MKTI-International Cinema December Newsletter_Dec12</t>
  </si>
  <si>
    <t>[Production] Kraven the Hunter - Scene+ Offer_Dec12</t>
  </si>
  <si>
    <t>[Production] 24-0091-STOR-Weekly Store Newsletter_Dec13</t>
  </si>
  <si>
    <t>[Production] 24-0194-MKTT-Weekly_Friday_Dec13</t>
  </si>
  <si>
    <t>[Production] 24-0469-RECR-TRR GRANVILLE NOW OPEN - CineClub Email (Now Open)_Dec13</t>
  </si>
  <si>
    <t>[Production] 24-0469-RECR-TRR GRANVILLE NOW OPEN-SCENE_Gaming_Offer_Dec13</t>
  </si>
  <si>
    <t>[Production] CineClub 2000 Holiday Offer_Dec14</t>
  </si>
  <si>
    <t>[Production] - Pricing Workstream - December Send - Reminder</t>
  </si>
  <si>
    <t>Email - $3 - English - Reminder</t>
  </si>
  <si>
    <t>Email - $3 - French - Reminder</t>
  </si>
  <si>
    <t>Email - $5 - English - Reminder</t>
  </si>
  <si>
    <t>Email - $5 - French - Reminder</t>
  </si>
  <si>
    <t>Email - $8 - English  - Reminder</t>
  </si>
  <si>
    <t>Email - $8 - French - Reminder</t>
  </si>
  <si>
    <t>[Production] 24-0316-CPGC-LBE 2024 Holiday Gift Bundle-PDM-Fifth_Dec16</t>
  </si>
  <si>
    <t>[Production] 24-0194-MKTT-Weekly_Tuesday_Dec17</t>
  </si>
  <si>
    <t>[Production] 24-0315-CPGC-CPX 2024 Holiday Gift Bundle-Fourth_Dec18</t>
  </si>
  <si>
    <t>Email - English - Reminder  3</t>
  </si>
  <si>
    <t>[Production] (37135) Moana 2 - English</t>
  </si>
  <si>
    <t>[Production] DBOX Scene Offer - Reminder - Dec 19</t>
  </si>
  <si>
    <t>[Production] Dedicated Offer - Sonic 3 - Dec 19_V2</t>
  </si>
  <si>
    <t>[Production] SCREENX Scene Offer - Reminder #2 - Dec 19</t>
  </si>
  <si>
    <t>[Production] 24-0091-STOR-Weekly Store Newsletter_Dec20</t>
  </si>
  <si>
    <t>[Production] 24-0194-MKTT-Weekly_Friday_Dec20</t>
  </si>
  <si>
    <t>[Production] 24-0456-PLAY-PDM Fairview New Opening - Gaming Offer _Dec20</t>
  </si>
  <si>
    <t>24-0316-CPGC-LBE 2024 Holiday Gift Bundle-TRR-Fourth Email</t>
  </si>
  <si>
    <t>[Production] 24-0004-EVCN-December Family Monthly Newsletter_Dec21</t>
  </si>
  <si>
    <t>[Production] 24-0456-PLAY-PDM Fairview New Opening-Dedicated_CineClub_Dec22</t>
  </si>
  <si>
    <t>[Production] 24-0616-RECR-LBE NYE Events-TRR-Second Email-DEC22</t>
  </si>
  <si>
    <t>[Production] 24-0315-CPGC-CPX 2024 Holiday Gift Bundle-Fifth_Dec23</t>
  </si>
  <si>
    <t>[Production] 24-0609-MKTT-Nosferatu Dedicated_Dec23</t>
  </si>
  <si>
    <t>[Production] 24-0616-RECR-LBE NYE Events-PDM-Second Email-Dec23</t>
  </si>
  <si>
    <t>[Production] 24-0194-MKTT-Weekly_Tuesday_Dec24</t>
  </si>
  <si>
    <t>[Production] (36149) Sonic the Hedgehog: 3 - English</t>
  </si>
  <si>
    <t>Email - 2nd week EE offer - English</t>
  </si>
  <si>
    <t>[Production] (36149) Sonic the Hedgehog: 3 - French</t>
  </si>
  <si>
    <t>Email - 2nd week no offer - French</t>
  </si>
  <si>
    <t>[Production] (36234) Mufasa: The Lion King - English</t>
  </si>
  <si>
    <t>[Production] (36234) Mufasa: The Lion King - French</t>
  </si>
  <si>
    <t>[Production] 24-0091-STOR-Weekly Store Newsletter_Dec27</t>
  </si>
  <si>
    <t>[Production] 24-0194-MKTT-Weekly_Friday_Dec27</t>
  </si>
  <si>
    <t>[Production] 24-0316-CPGC-LBE 2024 Holiday Gift Bundle-TRR-Fifth_Dec27</t>
  </si>
  <si>
    <t>[Production] 24-0315-CPGC-CPX 2024 Holiday Gift Bundle-Sixth_Dec28</t>
  </si>
  <si>
    <t>[Production] 24-0316-CPGC-LBE 2024 Holiday Gift Bundle-PDM-Fifth_Dec28</t>
  </si>
  <si>
    <t>Email - English - Reminder  4</t>
  </si>
  <si>
    <t>[Production] 24-0031-STOR-Dedicated Email_Wicked_Dec31</t>
  </si>
  <si>
    <t>[Production] 24-0194-MKTT-Weekly_Tuesday_Dec31</t>
  </si>
  <si>
    <t>[Production] Dedicated - L’amour ouf - Jan1</t>
  </si>
  <si>
    <t>[Production] (37214) Nosferatu - English</t>
  </si>
  <si>
    <t>[Production] (37214) Nosferatu - French</t>
  </si>
  <si>
    <t>[Production] (37816) A Complete Unknown - English</t>
  </si>
  <si>
    <t>Email - 2nd week no offer - English</t>
  </si>
  <si>
    <t>[Production] (37816) A Complete Unknown - French</t>
  </si>
  <si>
    <t>[Production] 24-0550-PDM-Playdium Newsletter_Jan2_2025</t>
  </si>
  <si>
    <t>[Production] 24-0632-EVCN-Fincher Classics Series_Jan2</t>
  </si>
  <si>
    <t>[Production] 25-0024-RECR-TRR eNewsletter_Jan2_2025</t>
  </si>
  <si>
    <t>Version Language</t>
  </si>
  <si>
    <t>LOB</t>
  </si>
  <si>
    <t>Ticket Driving</t>
  </si>
  <si>
    <t>Survey</t>
  </si>
  <si>
    <t>N</t>
  </si>
  <si>
    <t>Film</t>
  </si>
  <si>
    <t>Y</t>
  </si>
  <si>
    <t>Store</t>
  </si>
  <si>
    <t>CineClub</t>
  </si>
  <si>
    <t>Brand</t>
  </si>
  <si>
    <t>LBE</t>
  </si>
  <si>
    <t>BM&amp;P</t>
  </si>
  <si>
    <t>[Production] Shudder Series - V/H/S/BEYOND_Send2</t>
  </si>
  <si>
    <t>Scene</t>
  </si>
  <si>
    <t>[Production] (22303) Wicked - French</t>
  </si>
  <si>
    <t>Total &amp; Click Metrics</t>
  </si>
  <si>
    <t>Date Range</t>
  </si>
  <si>
    <t>Sends</t>
  </si>
  <si>
    <t>Open Rate</t>
  </si>
  <si>
    <t>Dec 29 - Jan 4</t>
  </si>
  <si>
    <t>Jan 5 - Jan 11</t>
  </si>
  <si>
    <t>Jan 12 - Jan 18</t>
  </si>
  <si>
    <t>Jan 19 - Jan 25</t>
  </si>
  <si>
    <t>Jan 26 - Feb 1</t>
  </si>
  <si>
    <t>Feb 2 - Feb 8</t>
  </si>
  <si>
    <t>Feb 9 - Feb 15</t>
  </si>
  <si>
    <t>Feb 16 - Feb 22</t>
  </si>
  <si>
    <t>Feb 23 - Feb 29</t>
  </si>
  <si>
    <t>Mar 1 - Mar 7</t>
  </si>
  <si>
    <t>Mar 8 - Mar 14</t>
  </si>
  <si>
    <t>Mar 15 - Mar 21</t>
  </si>
  <si>
    <t>Mar 22 - Mar 28</t>
  </si>
  <si>
    <t>Mar 29 - Apr 4</t>
  </si>
  <si>
    <t>Apr 5 - Apr 11</t>
  </si>
  <si>
    <t>Apr 12 - Apr 18</t>
  </si>
  <si>
    <t>Apr 19 - Apr 25</t>
  </si>
  <si>
    <t>Apr 26 - May 2</t>
  </si>
  <si>
    <t>May 3 - May 9</t>
  </si>
  <si>
    <t>May 10 - May 16</t>
  </si>
  <si>
    <t>May 17 - May 23</t>
  </si>
  <si>
    <t>May 24 - May 30</t>
  </si>
  <si>
    <t>May 31 - June 6</t>
  </si>
  <si>
    <t>June 7 - June 13</t>
  </si>
  <si>
    <t>June 14 - June 20</t>
  </si>
  <si>
    <t>June 21 - June 27</t>
  </si>
  <si>
    <t>June 28 - July 4</t>
  </si>
  <si>
    <t>July 5 - July 11</t>
  </si>
  <si>
    <t>July 12 - July 18</t>
  </si>
  <si>
    <t>July 19 - July 25</t>
  </si>
  <si>
    <t>July 26 - Aug 1</t>
  </si>
  <si>
    <t>Aug 2 - Aug 8</t>
  </si>
  <si>
    <t>Aug 9 - Aug 15</t>
  </si>
  <si>
    <t>Aug 16 - Aug 22</t>
  </si>
  <si>
    <t>Aug 23 - Aug 29</t>
  </si>
  <si>
    <t>Aug 30 - Sept 5</t>
  </si>
  <si>
    <t>Sept 6 - Sept 12</t>
  </si>
  <si>
    <t>Sept 13 - Sept 19</t>
  </si>
  <si>
    <t>Sept 20 - Sept 26</t>
  </si>
  <si>
    <t>Sept 27 - Oct 3</t>
  </si>
  <si>
    <t>Oct 4 - Oct 10</t>
  </si>
  <si>
    <t>Oct 11 - Oct 17</t>
  </si>
  <si>
    <t>Oct 18 - Oct 24</t>
  </si>
  <si>
    <t>Oct 25 - Oct 31</t>
  </si>
  <si>
    <t>Nov 1 - Nov 7</t>
  </si>
  <si>
    <t>Nov 8 - Nov 14</t>
  </si>
  <si>
    <t>Nov 15 - Nov 21</t>
  </si>
  <si>
    <t>Nov 22 - Nov 28</t>
  </si>
  <si>
    <t>Nov 29 - Dec 5</t>
  </si>
  <si>
    <t>Dec 6 - Dec 12</t>
  </si>
  <si>
    <t>Dec 13 - Dec 19</t>
  </si>
  <si>
    <t>Dec 20 - Dec 26</t>
  </si>
  <si>
    <t>Dec 27 - Jan 2, 2025</t>
  </si>
  <si>
    <t>Week of December 27 - January 2, 2025*</t>
  </si>
  <si>
    <t>LW = Last Week (Dec 20 - Dec 26)</t>
  </si>
  <si>
    <t>Email Channel Stats</t>
  </si>
  <si>
    <t>LW - Sends</t>
  </si>
  <si>
    <t>LW OR</t>
  </si>
  <si>
    <t>LW CTO</t>
  </si>
  <si>
    <t>WOW</t>
  </si>
  <si>
    <t>Email Channel Performance</t>
  </si>
  <si>
    <t>LW - Revenue</t>
  </si>
  <si>
    <t>LW Orders</t>
  </si>
  <si>
    <t>LW Tickets</t>
  </si>
  <si>
    <t>Revenue</t>
  </si>
  <si>
    <t>Orders</t>
  </si>
  <si>
    <t>Tickets</t>
  </si>
  <si>
    <t>TOP BAU Performance</t>
  </si>
  <si>
    <t>Friday What's On</t>
  </si>
  <si>
    <t>Tuesday Deals</t>
  </si>
  <si>
    <t>Theatrical Abandoned Cart</t>
  </si>
  <si>
    <t>*Data is based on UTM tracking (em &amp; email) using last touch 14-day attribution for .com only and was pulled on January 8, 2025.
 Adobe revenue is only directional and not a true revenue source. Revenue is inclusive to OBF.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</si>
</sst>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%;\-0.00%;0.00%"/>
    <numFmt numFmtId="165" formatCode="yyyy\-mm\-dd;@"/>
    <numFmt numFmtId="166" formatCode="_(* #,##0_);_(* \(#,##0\);_(* &quot;-&quot;??_);_(@_)"/>
    <numFmt numFmtId="167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CE8E3"/>
        <bgColor indexed="64"/>
      </patternFill>
    </fill>
    <fill>
      <patternFill patternType="solid">
        <fgColor rgb="FFE8A92B"/>
        <bgColor indexed="64"/>
      </patternFill>
    </fill>
    <fill>
      <patternFill patternType="solid">
        <fgColor rgb="FFFF45E3"/>
        <bgColor indexed="64"/>
      </patternFill>
    </fill>
    <fill>
      <patternFill patternType="solid">
        <fgColor rgb="FF1AF20B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75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9" xfId="0" applyBorder="1"/>
    <xf numFmtId="0" fontId="2" fillId="3" borderId="6" xfId="0" applyFont="1" applyFill="1" applyBorder="1"/>
    <xf numFmtId="0" fontId="0" fillId="3" borderId="0" xfId="0" applyFill="1"/>
    <xf numFmtId="0" fontId="0" fillId="3" borderId="7" xfId="0" applyFill="1" applyBorder="1"/>
    <xf numFmtId="16" fontId="0" fillId="0" borderId="6" xfId="0" applyNumberFormat="1" applyBorder="1"/>
    <xf numFmtId="164" fontId="0" fillId="0" borderId="7" xfId="0" applyNumberFormat="1" applyBorder="1"/>
    <xf numFmtId="3" fontId="2" fillId="0" borderId="0" xfId="0" applyNumberFormat="1" applyFont="1"/>
    <xf numFmtId="10" fontId="0" fillId="0" borderId="7" xfId="0" applyNumberFormat="1" applyBorder="1"/>
    <xf numFmtId="16" fontId="2" fillId="0" borderId="8" xfId="0" applyNumberFormat="1" applyFont="1" applyBorder="1" applyAlignment="1">
      <alignment horizontal="left"/>
    </xf>
    <xf numFmtId="3" fontId="2" fillId="0" borderId="9" xfId="0" applyNumberFormat="1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0" fontId="2" fillId="3" borderId="1" xfId="0" applyFont="1" applyFill="1" applyBorder="1"/>
    <xf numFmtId="0" fontId="0" fillId="3" borderId="3" xfId="0" applyFill="1" applyBorder="1"/>
    <xf numFmtId="0" fontId="0" fillId="3" borderId="5" xfId="0" applyFill="1" applyBorder="1"/>
    <xf numFmtId="16" fontId="0" fillId="0" borderId="0" xfId="0" applyNumberFormat="1"/>
    <xf numFmtId="16" fontId="2" fillId="0" borderId="0" xfId="0" applyNumberFormat="1" applyFont="1" applyAlignment="1">
      <alignment horizontal="left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2" fillId="0" borderId="12" xfId="0" applyNumberFormat="1" applyFont="1" applyBorder="1"/>
    <xf numFmtId="16" fontId="0" fillId="0" borderId="13" xfId="0" applyNumberFormat="1" applyBorder="1"/>
    <xf numFmtId="164" fontId="0" fillId="0" borderId="14" xfId="0" applyNumberFormat="1" applyBorder="1"/>
    <xf numFmtId="10" fontId="0" fillId="0" borderId="14" xfId="0" applyNumberFormat="1" applyBorder="1"/>
    <xf numFmtId="3" fontId="4" fillId="0" borderId="0" xfId="0" applyNumberFormat="1" applyFont="1"/>
    <xf numFmtId="164" fontId="4" fillId="0" borderId="12" xfId="0" applyNumberFormat="1" applyFont="1" applyBorder="1"/>
    <xf numFmtId="3" fontId="4" fillId="0" borderId="9" xfId="0" applyNumberFormat="1" applyFont="1" applyBorder="1"/>
    <xf numFmtId="164" fontId="4" fillId="0" borderId="9" xfId="0" applyNumberFormat="1" applyFont="1" applyBorder="1"/>
    <xf numFmtId="164" fontId="4" fillId="0" borderId="10" xfId="0" applyNumberFormat="1" applyFont="1" applyBorder="1"/>
    <xf numFmtId="16" fontId="4" fillId="0" borderId="8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6" borderId="0" xfId="0" applyNumberFormat="1" applyFill="1"/>
    <xf numFmtId="0" fontId="0" fillId="6" borderId="0" xfId="0" applyFill="1"/>
    <xf numFmtId="3" fontId="0" fillId="6" borderId="0" xfId="0" applyNumberFormat="1" applyFill="1"/>
    <xf numFmtId="164" fontId="0" fillId="6" borderId="0" xfId="0" applyNumberFormat="1" applyFill="1"/>
    <xf numFmtId="0" fontId="0" fillId="0" borderId="15" xfId="0" applyBorder="1"/>
    <xf numFmtId="3" fontId="0" fillId="0" borderId="15" xfId="0" applyNumberFormat="1" applyBorder="1"/>
    <xf numFmtId="164" fontId="0" fillId="0" borderId="15" xfId="0" applyNumberFormat="1" applyBorder="1"/>
    <xf numFmtId="164" fontId="0" fillId="0" borderId="15" xfId="0" applyNumberFormat="1" applyBorder="1" applyAlignment="1">
      <alignment horizontal="center"/>
    </xf>
    <xf numFmtId="0" fontId="0" fillId="6" borderId="15" xfId="0" applyFill="1" applyBorder="1"/>
    <xf numFmtId="3" fontId="0" fillId="6" borderId="15" xfId="0" applyNumberFormat="1" applyFill="1" applyBorder="1"/>
    <xf numFmtId="164" fontId="0" fillId="6" borderId="15" xfId="0" applyNumberFormat="1" applyFill="1" applyBorder="1"/>
    <xf numFmtId="164" fontId="0" fillId="6" borderId="15" xfId="0" applyNumberFormat="1" applyFill="1" applyBorder="1" applyAlignment="1">
      <alignment horizontal="center"/>
    </xf>
    <xf numFmtId="10" fontId="0" fillId="6" borderId="15" xfId="0" applyNumberFormat="1" applyFill="1" applyBorder="1"/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0" fontId="0" fillId="0" borderId="15" xfId="0" applyNumberFormat="1" applyBorder="1"/>
    <xf numFmtId="16" fontId="0" fillId="0" borderId="15" xfId="0" applyNumberFormat="1" applyBorder="1" applyAlignment="1">
      <alignment horizontal="center"/>
    </xf>
    <xf numFmtId="16" fontId="0" fillId="6" borderId="15" xfId="0" applyNumberFormat="1" applyFill="1" applyBorder="1" applyAlignment="1">
      <alignment horizontal="center"/>
    </xf>
    <xf numFmtId="0" fontId="1" fillId="2" borderId="5" xfId="0" applyFont="1" applyFill="1" applyBorder="1" applyAlignment="1">
      <alignment vertical="center"/>
    </xf>
    <xf numFmtId="3" fontId="0" fillId="0" borderId="15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65" fontId="1" fillId="4" borderId="21" xfId="0" applyNumberFormat="1" applyFont="1" applyFill="1" applyBorder="1" applyAlignment="1">
      <alignment horizontal="center" vertical="center"/>
    </xf>
    <xf numFmtId="3" fontId="1" fillId="4" borderId="22" xfId="0" applyNumberFormat="1" applyFont="1" applyFill="1" applyBorder="1" applyAlignment="1">
      <alignment horizontal="center" vertical="center"/>
    </xf>
    <xf numFmtId="10" fontId="1" fillId="4" borderId="22" xfId="0" applyNumberFormat="1" applyFont="1" applyFill="1" applyBorder="1" applyAlignment="1">
      <alignment horizontal="center" vertical="center"/>
    </xf>
    <xf numFmtId="10" fontId="1" fillId="4" borderId="23" xfId="0" applyNumberFormat="1" applyFont="1" applyFill="1" applyBorder="1" applyAlignment="1">
      <alignment horizontal="center" vertical="center"/>
    </xf>
    <xf numFmtId="3" fontId="1" fillId="4" borderId="25" xfId="0" applyNumberFormat="1" applyFont="1" applyFill="1" applyBorder="1" applyAlignment="1">
      <alignment horizontal="center"/>
    </xf>
    <xf numFmtId="10" fontId="1" fillId="4" borderId="25" xfId="1" applyNumberFormat="1" applyFont="1" applyFill="1" applyBorder="1" applyAlignment="1">
      <alignment horizontal="center"/>
    </xf>
    <xf numFmtId="164" fontId="4" fillId="0" borderId="0" xfId="0" applyNumberFormat="1" applyFont="1"/>
    <xf numFmtId="0" fontId="0" fillId="0" borderId="18" xfId="0" applyBorder="1" applyAlignment="1">
      <alignment horizontal="center"/>
    </xf>
    <xf numFmtId="3" fontId="0" fillId="0" borderId="19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9" fillId="8" borderId="21" xfId="0" applyFont="1" applyFill="1" applyBorder="1" applyAlignment="1">
      <alignment horizontal="center"/>
    </xf>
    <xf numFmtId="0" fontId="9" fillId="8" borderId="23" xfId="0" applyFont="1" applyFill="1" applyBorder="1" applyAlignment="1">
      <alignment horizontal="center"/>
    </xf>
    <xf numFmtId="0" fontId="9" fillId="9" borderId="21" xfId="0" applyFont="1" applyFill="1" applyBorder="1" applyAlignment="1">
      <alignment horizontal="center"/>
    </xf>
    <xf numFmtId="0" fontId="9" fillId="9" borderId="23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0" fontId="9" fillId="10" borderId="23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9" fillId="12" borderId="21" xfId="0" applyFont="1" applyFill="1" applyBorder="1" applyAlignment="1">
      <alignment horizontal="center"/>
    </xf>
    <xf numFmtId="0" fontId="9" fillId="12" borderId="23" xfId="0" applyFont="1" applyFill="1" applyBorder="1" applyAlignment="1">
      <alignment horizontal="center"/>
    </xf>
    <xf numFmtId="166" fontId="0" fillId="0" borderId="0" xfId="3" applyNumberFormat="1" applyFont="1" applyFill="1" applyBorder="1"/>
    <xf numFmtId="167" fontId="10" fillId="0" borderId="24" xfId="4" applyNumberFormat="1" applyFont="1" applyBorder="1" applyAlignment="1">
      <alignment horizontal="center" vertical="center"/>
    </xf>
    <xf numFmtId="9" fontId="10" fillId="0" borderId="26" xfId="1" applyFont="1" applyBorder="1" applyAlignment="1">
      <alignment horizontal="center" vertical="center"/>
    </xf>
    <xf numFmtId="166" fontId="10" fillId="0" borderId="24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12" borderId="21" xfId="0" applyFont="1" applyFill="1" applyBorder="1" applyAlignment="1">
      <alignment horizontal="center" vertical="center"/>
    </xf>
    <xf numFmtId="0" fontId="9" fillId="12" borderId="23" xfId="0" applyFont="1" applyFill="1" applyBorder="1" applyAlignment="1">
      <alignment horizontal="center" vertical="center"/>
    </xf>
    <xf numFmtId="10" fontId="10" fillId="0" borderId="24" xfId="1" applyNumberFormat="1" applyFont="1" applyBorder="1" applyAlignment="1">
      <alignment horizontal="center" vertical="center"/>
    </xf>
    <xf numFmtId="0" fontId="4" fillId="15" borderId="30" xfId="0" applyFont="1" applyFill="1" applyBorder="1" applyAlignment="1">
      <alignment horizontal="center" vertical="center"/>
    </xf>
    <xf numFmtId="0" fontId="4" fillId="16" borderId="30" xfId="0" applyFont="1" applyFill="1" applyBorder="1" applyAlignment="1">
      <alignment horizontal="center" vertical="center"/>
    </xf>
    <xf numFmtId="0" fontId="4" fillId="17" borderId="30" xfId="0" applyFont="1" applyFill="1" applyBorder="1" applyAlignment="1">
      <alignment horizontal="center" vertical="center"/>
    </xf>
    <xf numFmtId="0" fontId="5" fillId="11" borderId="3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1" fillId="0" borderId="0" xfId="0" applyFont="1" applyAlignment="1">
      <alignment vertical="top" wrapText="1"/>
    </xf>
    <xf numFmtId="10" fontId="0" fillId="0" borderId="0" xfId="3" applyNumberFormat="1" applyFont="1"/>
    <xf numFmtId="10" fontId="0" fillId="0" borderId="0" xfId="1" applyNumberFormat="1" applyFont="1"/>
    <xf numFmtId="10" fontId="0" fillId="0" borderId="0" xfId="3" applyNumberFormat="1" applyFont="1" applyBorder="1"/>
    <xf numFmtId="10" fontId="0" fillId="0" borderId="0" xfId="1" applyNumberFormat="1" applyFont="1" applyBorder="1"/>
    <xf numFmtId="10" fontId="0" fillId="0" borderId="7" xfId="1" applyNumberFormat="1" applyFont="1" applyBorder="1"/>
    <xf numFmtId="3" fontId="0" fillId="5" borderId="19" xfId="0" applyNumberFormat="1" applyFill="1" applyBorder="1" applyAlignment="1">
      <alignment horizontal="center"/>
    </xf>
    <xf numFmtId="164" fontId="0" fillId="5" borderId="19" xfId="0" applyNumberFormat="1" applyFill="1" applyBorder="1" applyAlignment="1">
      <alignment horizontal="center"/>
    </xf>
    <xf numFmtId="164" fontId="0" fillId="5" borderId="20" xfId="0" applyNumberFormat="1" applyFill="1" applyBorder="1" applyAlignment="1">
      <alignment horizontal="center"/>
    </xf>
    <xf numFmtId="10" fontId="0" fillId="0" borderId="15" xfId="3" applyNumberFormat="1" applyFont="1" applyFill="1" applyBorder="1"/>
    <xf numFmtId="10" fontId="0" fillId="0" borderId="15" xfId="1" applyNumberFormat="1" applyFont="1" applyFill="1" applyBorder="1"/>
    <xf numFmtId="16" fontId="0" fillId="0" borderId="19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3" fontId="5" fillId="4" borderId="33" xfId="0" applyNumberFormat="1" applyFont="1" applyFill="1" applyBorder="1"/>
    <xf numFmtId="164" fontId="5" fillId="4" borderId="33" xfId="0" applyNumberFormat="1" applyFont="1" applyFill="1" applyBorder="1"/>
    <xf numFmtId="0" fontId="0" fillId="6" borderId="18" xfId="0" applyFill="1" applyBorder="1" applyAlignment="1">
      <alignment horizontal="center"/>
    </xf>
    <xf numFmtId="3" fontId="0" fillId="6" borderId="19" xfId="0" applyNumberFormat="1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4" fillId="14" borderId="30" xfId="0" applyFont="1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166" fontId="14" fillId="0" borderId="30" xfId="3" applyNumberFormat="1" applyFont="1" applyBorder="1" applyAlignment="1">
      <alignment horizontal="center" vertical="center"/>
    </xf>
    <xf numFmtId="10" fontId="14" fillId="0" borderId="30" xfId="1" applyNumberFormat="1" applyFont="1" applyBorder="1" applyAlignment="1">
      <alignment horizontal="center" vertical="center"/>
    </xf>
    <xf numFmtId="167" fontId="14" fillId="0" borderId="30" xfId="4" applyNumberFormat="1" applyFont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10" fillId="15" borderId="27" xfId="0" applyFont="1" applyFill="1" applyBorder="1" applyAlignment="1">
      <alignment horizontal="center" vertical="center"/>
    </xf>
    <xf numFmtId="0" fontId="10" fillId="15" borderId="28" xfId="0" applyFont="1" applyFill="1" applyBorder="1" applyAlignment="1">
      <alignment horizontal="center" vertical="center"/>
    </xf>
    <xf numFmtId="0" fontId="10" fillId="15" borderId="29" xfId="0" applyFont="1" applyFill="1" applyBorder="1" applyAlignment="1">
      <alignment horizontal="center" vertical="center"/>
    </xf>
    <xf numFmtId="0" fontId="10" fillId="16" borderId="27" xfId="0" applyFont="1" applyFill="1" applyBorder="1" applyAlignment="1">
      <alignment horizontal="center" vertical="center"/>
    </xf>
    <xf numFmtId="0" fontId="10" fillId="16" borderId="28" xfId="0" applyFont="1" applyFill="1" applyBorder="1" applyAlignment="1">
      <alignment horizontal="center" vertical="center"/>
    </xf>
    <xf numFmtId="0" fontId="10" fillId="16" borderId="29" xfId="0" applyFont="1" applyFill="1" applyBorder="1" applyAlignment="1">
      <alignment horizontal="center" vertical="center"/>
    </xf>
    <xf numFmtId="0" fontId="10" fillId="17" borderId="27" xfId="0" applyFont="1" applyFill="1" applyBorder="1" applyAlignment="1">
      <alignment horizontal="center" vertical="center"/>
    </xf>
    <xf numFmtId="0" fontId="10" fillId="17" borderId="28" xfId="0" applyFont="1" applyFill="1" applyBorder="1" applyAlignment="1">
      <alignment horizontal="center" vertical="center"/>
    </xf>
    <xf numFmtId="0" fontId="10" fillId="17" borderId="29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2" fillId="7" borderId="27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1" borderId="28" xfId="0" applyFont="1" applyFill="1" applyBorder="1" applyAlignment="1">
      <alignment horizontal="center"/>
    </xf>
    <xf numFmtId="0" fontId="8" fillId="11" borderId="29" xfId="0" applyFont="1" applyFill="1" applyBorder="1" applyAlignment="1">
      <alignment horizontal="center"/>
    </xf>
    <xf numFmtId="0" fontId="8" fillId="13" borderId="27" xfId="0" applyFont="1" applyFill="1" applyBorder="1" applyAlignment="1">
      <alignment horizontal="center" vertical="center"/>
    </xf>
    <xf numFmtId="0" fontId="8" fillId="13" borderId="28" xfId="0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0" fillId="14" borderId="28" xfId="0" applyFont="1" applyFill="1" applyBorder="1" applyAlignment="1">
      <alignment horizontal="center" vertical="center"/>
    </xf>
    <xf numFmtId="0" fontId="10" fillId="14" borderId="29" xfId="0" applyFont="1" applyFill="1" applyBorder="1" applyAlignment="1">
      <alignment horizontal="center" vertical="center"/>
    </xf>
  </cellXfs>
  <cellStyles count="5">
    <cellStyle name="Comma" xfId="3" builtinId="3"/>
    <cellStyle name="Currency" xfId="4" builtinId="4"/>
    <cellStyle name="Normal" xfId="0" builtinId="0"/>
    <cellStyle name="Normal 2" xfId="2" xr:uid="{1EE97F5D-F517-4DD5-B02D-3198F1A5C7A2}"/>
    <cellStyle name="Percent" xfId="1" builtinId="5"/>
  </cellStyles>
  <dxfs count="689"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578E8BA9-CCB1-43B4-B639-C185A733DF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373A5F-24F4-4BF6-BA6C-CBCAF359FA10}" name="Table13246981011121314151617181921202223" displayName="Table13246981011121314151617181921202223" ref="A1:I25" headerRowDxfId="688" dataDxfId="686" headerRowBorderDxfId="687" tableBorderDxfId="685">
  <sortState xmlns:xlrd2="http://schemas.microsoft.com/office/spreadsheetml/2017/richdata2" ref="A2:I25">
    <sortCondition ref="A1:A25"/>
  </sortState>
  <tableColumns count="9">
    <tableColumn id="3" xr3:uid="{F185DB2C-E90F-4213-A5D4-116AA632C3A1}" name="Send Date" dataDxfId="684"/>
    <tableColumn id="2" xr3:uid="{C0178FEF-669E-40E5-8ADA-CC933C0D2D13}" name="Journey Name" dataDxfId="683"/>
    <tableColumn id="4" xr3:uid="{3F6B7A72-F466-4050-95A5-5D09AED983AB}" name="Version" dataDxfId="682"/>
    <tableColumn id="5" xr3:uid="{25ABEE2B-375B-432C-9322-D6669FCCD088}" name="Sent" dataDxfId="681"/>
    <tableColumn id="8" xr3:uid="{86A063DF-A195-492F-B5BD-E65E019757FE}" name="Unique Opens" dataDxfId="680"/>
    <tableColumn id="9" xr3:uid="{CE856584-70D4-4715-B492-9F4615D2DCDA}" name="Unique Open Rate" dataDxfId="679"/>
    <tableColumn id="10" xr3:uid="{8331524F-F284-46EC-8952-605C13C4F3D6}" name="Unique Clicks" dataDxfId="678"/>
    <tableColumn id="11" xr3:uid="{94D94BA8-C952-40EE-B9A2-E73326B3A628}" name="CTO" dataDxfId="677"/>
    <tableColumn id="12" xr3:uid="{9A635678-946D-4EA3-B3F3-F2DD8BABE59D}" name="CTR" dataDxfId="676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0A9EB-03F9-4124-83C8-B8EF4A4B16D8}" name="Table132469810111213141516171819212022232" displayName="Table132469810111213141516171819212022232" ref="A1:I32" headerRowDxfId="675" dataDxfId="673" headerRowBorderDxfId="674" tableBorderDxfId="672">
  <sortState xmlns:xlrd2="http://schemas.microsoft.com/office/spreadsheetml/2017/richdata2" ref="A2:I32">
    <sortCondition ref="A1:A32"/>
  </sortState>
  <tableColumns count="9">
    <tableColumn id="3" xr3:uid="{C0860F38-997A-4F18-B9AB-60EC76E8E5A6}" name="Send Date" dataDxfId="671"/>
    <tableColumn id="2" xr3:uid="{40E7AB62-6D15-404B-AD64-BFC5F06B3FE5}" name="Journey Name" dataDxfId="670"/>
    <tableColumn id="4" xr3:uid="{31A94659-693C-44F6-8BBC-9B597E575438}" name="Version" dataDxfId="669"/>
    <tableColumn id="5" xr3:uid="{6E29D041-3967-4CFB-BBFC-6F016E15D6A8}" name="Sent" dataDxfId="668"/>
    <tableColumn id="8" xr3:uid="{E013E360-DD4C-4548-BDC5-023F414B9818}" name="Unique Opens" dataDxfId="667"/>
    <tableColumn id="9" xr3:uid="{9A4D6CB0-7940-4981-8B0D-3C36F9C99BA7}" name="Unique Open Rate" dataDxfId="666"/>
    <tableColumn id="10" xr3:uid="{8870F1E5-1907-4894-A965-F03DFD298FF7}" name="Unique Clicks" dataDxfId="665"/>
    <tableColumn id="11" xr3:uid="{3BA0C5DD-92D4-4C2A-ADD3-30BF4E7644C5}" name="CTO" dataDxfId="664"/>
    <tableColumn id="12" xr3:uid="{0888843D-2A0C-486E-B98D-8B75CFD0B59D}" name="CTR" dataDxfId="663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3111F-85E1-4E81-86ED-05D4DCBFCA74}" name="Table1324698101112131415161718192120222323" displayName="Table1324698101112131415161718192120222323" ref="A1:I30" headerRowDxfId="662" dataDxfId="660" headerRowBorderDxfId="661" tableBorderDxfId="659">
  <sortState xmlns:xlrd2="http://schemas.microsoft.com/office/spreadsheetml/2017/richdata2" ref="A2:I30">
    <sortCondition ref="A1:A30"/>
  </sortState>
  <tableColumns count="9">
    <tableColumn id="3" xr3:uid="{402D383A-FD46-4F2C-8AB4-2CE58E685DC5}" name="Send Date" dataDxfId="658"/>
    <tableColumn id="2" xr3:uid="{0E0FBE22-EE29-4A73-8E71-5579C17EBA79}" name="Journey Name" dataDxfId="657"/>
    <tableColumn id="4" xr3:uid="{C12FEE3C-B12A-4066-AED5-D400926E5074}" name="Version" dataDxfId="656"/>
    <tableColumn id="5" xr3:uid="{9646A9CD-BA45-4226-B916-1D1455480CDD}" name="Sent" dataDxfId="655"/>
    <tableColumn id="8" xr3:uid="{6BF71E47-6F02-4FC0-B578-887242C9E53A}" name="Unique Opens" dataDxfId="654"/>
    <tableColumn id="9" xr3:uid="{B5F07043-AFC7-4643-A606-B139546A8C54}" name="Unique Open Rate" dataDxfId="653"/>
    <tableColumn id="10" xr3:uid="{27BF10E5-96ED-4717-A94A-1781D088F0B5}" name="Unique Clicks" dataDxfId="652"/>
    <tableColumn id="11" xr3:uid="{F40998A0-D99D-4446-9328-C47C419FC96E}" name="CTO" dataDxfId="651"/>
    <tableColumn id="12" xr3:uid="{6D6EB74B-6D4E-4FE1-808A-C38F024C36FD}" name="CTR" dataDxfId="650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336045-AEB2-4150-9C74-7D07935D700A}" name="Table13246981011121314151617181921202223234" displayName="Table13246981011121314151617181921202223234" ref="A1:I19" headerRowDxfId="649" dataDxfId="647" headerRowBorderDxfId="648" tableBorderDxfId="646">
  <sortState xmlns:xlrd2="http://schemas.microsoft.com/office/spreadsheetml/2017/richdata2" ref="A2:I19">
    <sortCondition ref="A1:A19"/>
  </sortState>
  <tableColumns count="9">
    <tableColumn id="3" xr3:uid="{2C68A695-23C0-49A5-83EE-9970D8B5B716}" name="Send Date" dataDxfId="645"/>
    <tableColumn id="2" xr3:uid="{C7915CA5-05EE-4E20-ACED-37CC7E026A47}" name="Journey Name" dataDxfId="644"/>
    <tableColumn id="4" xr3:uid="{855F8099-A34C-45B7-9D3C-87D139D09C8E}" name="Version" dataDxfId="643"/>
    <tableColumn id="5" xr3:uid="{057EB4BF-180D-41C3-99FB-BFEF956EA85E}" name="Sent" dataDxfId="642"/>
    <tableColumn id="8" xr3:uid="{FC27C2EB-5B1E-410B-8C7B-B70072CE55B0}" name="Unique Opens" dataDxfId="641"/>
    <tableColumn id="9" xr3:uid="{C55C465D-8701-4ED6-A5F3-94D0232D3CF1}" name="Unique Open Rate" dataDxfId="640"/>
    <tableColumn id="10" xr3:uid="{5856C630-CDC6-4550-B801-60D65974F8F5}" name="Unique Clicks" dataDxfId="639"/>
    <tableColumn id="11" xr3:uid="{54258E0A-3821-4C2B-A5E6-91D756C52875}" name="CTO" dataDxfId="638"/>
    <tableColumn id="12" xr3:uid="{1E0C181F-B568-4892-992F-1D15458C1103}" name="CTR" dataDxfId="637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81758C-3BBE-4806-97E6-56218B3BD4B5}" name="Table132469810111213141516171819212022232345" displayName="Table132469810111213141516171819212022232345" ref="A1:I29" headerRowDxfId="636" dataDxfId="634" headerRowBorderDxfId="635" tableBorderDxfId="633">
  <sortState xmlns:xlrd2="http://schemas.microsoft.com/office/spreadsheetml/2017/richdata2" ref="A2:I29">
    <sortCondition ref="A1:A29"/>
  </sortState>
  <tableColumns count="9">
    <tableColumn id="3" xr3:uid="{BF7D826C-FF94-4FAF-9F47-DEE77CC068A9}" name="Send Date" dataDxfId="632"/>
    <tableColumn id="2" xr3:uid="{81233D5D-8D79-4194-AC39-6DF19FB019C2}" name="Journey Name" dataDxfId="631"/>
    <tableColumn id="4" xr3:uid="{C1249B41-78E4-4A8A-85EC-9B2D0AACBE7A}" name="Version" dataDxfId="630"/>
    <tableColumn id="5" xr3:uid="{F69EA034-E3D9-4442-AF39-3333E586B87F}" name="Sent" dataDxfId="629"/>
    <tableColumn id="8" xr3:uid="{41492E00-4DB9-4A4C-AB26-06EEA3ACA5F9}" name="Unique Opens" dataDxfId="628"/>
    <tableColumn id="9" xr3:uid="{FFE562D7-AAA6-48B8-82D2-5DA7E4CD9A74}" name="Unique Open Rate" dataDxfId="627"/>
    <tableColumn id="10" xr3:uid="{F20F5C43-9E7E-4697-8330-80E8AA64E88D}" name="Unique Clicks" dataDxfId="626"/>
    <tableColumn id="11" xr3:uid="{AE85191F-D5E3-4DD0-8A0E-1231C6E37487}" name="CTO" dataDxfId="625"/>
    <tableColumn id="12" xr3:uid="{9B93FA7C-1675-42B4-95B9-BA7F10B41716}" name="CTR" dataDxfId="624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AC6234-9BC6-4354-85D6-1DC25F1CAC97}" name="Table1324698101112131415161718192120222323456" displayName="Table1324698101112131415161718192120222323456" ref="A1:I24" headerRowDxfId="623" dataDxfId="621" headerRowBorderDxfId="622" tableBorderDxfId="620">
  <sortState xmlns:xlrd2="http://schemas.microsoft.com/office/spreadsheetml/2017/richdata2" ref="A2:I24">
    <sortCondition ref="A1:A24"/>
  </sortState>
  <tableColumns count="9">
    <tableColumn id="3" xr3:uid="{C468EF11-8175-47E6-90E8-ED3E58BB7A85}" name="Send Date" dataDxfId="619"/>
    <tableColumn id="2" xr3:uid="{43BA98C9-7957-4B19-B3BB-41F812AF9331}" name="Journey Name" dataDxfId="618"/>
    <tableColumn id="4" xr3:uid="{9D7AA91D-A0AE-40D1-8CA7-702E8F736674}" name="Version" dataDxfId="617"/>
    <tableColumn id="5" xr3:uid="{34B556C1-521D-4990-AF6C-586BDB5AD7AF}" name="Sent" dataDxfId="616"/>
    <tableColumn id="8" xr3:uid="{02AEE341-92D3-44FA-B55F-AAC8BED59A8D}" name="Unique Opens" dataDxfId="615"/>
    <tableColumn id="9" xr3:uid="{C15DE390-F2EC-4A62-BC4B-681AE34D23C6}" name="Unique Open Rate" dataDxfId="614"/>
    <tableColumn id="10" xr3:uid="{FC25051E-8067-440A-8B9C-7A2F43877DA8}" name="Unique Clicks" dataDxfId="613"/>
    <tableColumn id="11" xr3:uid="{A465E05F-C135-4233-8332-A819F6A5FA7D}" name="CTO" dataDxfId="612"/>
    <tableColumn id="12" xr3:uid="{BEEF8897-68EA-4C6B-B55B-76198CB6B3C5}" name="CTR" dataDxfId="611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3EA352-5F0A-4954-8931-69C530A0AD11}" name="Table13246981011121314151617181921202223234567" displayName="Table13246981011121314151617181921202223234567" ref="A1:I31" headerRowDxfId="610" dataDxfId="608" headerRowBorderDxfId="609" tableBorderDxfId="607">
  <sortState xmlns:xlrd2="http://schemas.microsoft.com/office/spreadsheetml/2017/richdata2" ref="A2:I31">
    <sortCondition ref="A1:A31"/>
  </sortState>
  <tableColumns count="9">
    <tableColumn id="3" xr3:uid="{B031AA30-FE2A-44F4-A970-AB81A9F5B8A2}" name="Send Date" dataDxfId="606"/>
    <tableColumn id="2" xr3:uid="{6564F4A4-78F1-4C00-9B08-B2C935519CEC}" name="Journey Name" dataDxfId="605"/>
    <tableColumn id="4" xr3:uid="{6F91B7F3-BA9F-459B-AD10-0D4F71CD01D6}" name="Version" dataDxfId="604"/>
    <tableColumn id="5" xr3:uid="{78E79D4E-BEFA-4723-9410-EE4BAD1E65D2}" name="Sent" dataDxfId="603"/>
    <tableColumn id="8" xr3:uid="{2DB77D5C-F679-484A-B83C-A88E5D16CEB9}" name="Unique Opens" dataDxfId="602"/>
    <tableColumn id="9" xr3:uid="{5BE89F7C-F534-46EC-9213-BE42B276B470}" name="Unique Open Rate" dataDxfId="601"/>
    <tableColumn id="10" xr3:uid="{980B3C87-00EE-4AB1-B488-0924461440B0}" name="Unique Clicks" dataDxfId="600"/>
    <tableColumn id="11" xr3:uid="{C88ADD44-8FF2-473D-9B16-548C560746DE}" name="CTO" dataDxfId="599"/>
    <tableColumn id="12" xr3:uid="{F9C261C2-EEAE-48D5-8C30-7BE3D7E8E264}" name="CTR" dataDxfId="598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CCD2B1-2D25-44E3-B321-07E842474ED6}" name="Table132469810111213141516171819212022232345678" displayName="Table132469810111213141516171819212022232345678" ref="A1:I38" headerRowDxfId="597" dataDxfId="595" headerRowBorderDxfId="596" tableBorderDxfId="594">
  <sortState xmlns:xlrd2="http://schemas.microsoft.com/office/spreadsheetml/2017/richdata2" ref="A2:I38">
    <sortCondition ref="A1:A38"/>
  </sortState>
  <tableColumns count="9">
    <tableColumn id="3" xr3:uid="{EED624F9-9254-4690-901B-0EA8952BA024}" name="Send Date" dataDxfId="593"/>
    <tableColumn id="2" xr3:uid="{8DD090AF-F801-468B-A14D-C3DCF9F080F8}" name="Journey Name" dataDxfId="592"/>
    <tableColumn id="4" xr3:uid="{9687763E-F606-42CB-85F6-593444D23A50}" name="Version" dataDxfId="591"/>
    <tableColumn id="5" xr3:uid="{641264D4-20E9-4408-849D-7609F03EFEE4}" name="Sent" dataDxfId="590"/>
    <tableColumn id="8" xr3:uid="{92B886CB-6436-4CE1-BC33-7390945E9E05}" name="Unique Opens" dataDxfId="589"/>
    <tableColumn id="9" xr3:uid="{2672841D-B43F-416E-9026-0E54B2060658}" name="Unique Open Rate" dataDxfId="588"/>
    <tableColumn id="10" xr3:uid="{8EA4F21E-5F52-4F3F-AA80-F44E32BCE5E8}" name="Unique Clicks" dataDxfId="587"/>
    <tableColumn id="11" xr3:uid="{470C5C4C-1411-46B6-87A4-F2591E2434CB}" name="CTO" dataDxfId="586"/>
    <tableColumn id="12" xr3:uid="{731CAC27-11A6-4082-9804-2F918482744D}" name="CTR" dataDxfId="585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B6748F-2436-4A29-87B1-98D68066E1E6}" name="Table1324698101112131415161718192120222323456789" displayName="Table1324698101112131415161718192120222323456789" ref="A1:I27" headerRowDxfId="584" dataDxfId="582" headerRowBorderDxfId="583" tableBorderDxfId="581">
  <sortState xmlns:xlrd2="http://schemas.microsoft.com/office/spreadsheetml/2017/richdata2" ref="A2:I27">
    <sortCondition ref="A1:A27"/>
  </sortState>
  <tableColumns count="9">
    <tableColumn id="3" xr3:uid="{8AF82009-16D1-42CE-AB19-521212B76556}" name="Send Date" dataDxfId="580"/>
    <tableColumn id="2" xr3:uid="{259E36DC-29FA-458B-97F5-51D0D4DDA0C7}" name="Journey Name" dataDxfId="579"/>
    <tableColumn id="4" xr3:uid="{278E1CD4-1615-48DE-B90D-54B80E056B94}" name="Version" dataDxfId="578"/>
    <tableColumn id="5" xr3:uid="{13209C68-7262-4F51-990C-B3AFCC68738B}" name="Sent" dataDxfId="577"/>
    <tableColumn id="8" xr3:uid="{B5349F50-9C8B-4E42-8B5B-96C15587EF19}" name="Unique Opens" dataDxfId="576"/>
    <tableColumn id="9" xr3:uid="{0E6C706A-9C45-452E-8A63-024DC2DDD3B1}" name="Unique Open Rate" dataDxfId="575"/>
    <tableColumn id="10" xr3:uid="{73906D3A-C049-4769-80E3-5617CBC1B240}" name="Unique Clicks" dataDxfId="574"/>
    <tableColumn id="11" xr3:uid="{AEFD8234-04CB-428B-AFE3-7CC6D1791303}" name="CTO" dataDxfId="573"/>
    <tableColumn id="12" xr3:uid="{13EBD88D-7EB9-4FD5-8D26-231A9E5A92CE}" name="CTR" dataDxfId="572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EA14EE-06B9-4DDF-833E-68DD879266AD}" name="Table132469810111213141516171819212022232345678910" displayName="Table132469810111213141516171819212022232345678910" ref="A1:I38" headerRowDxfId="571" dataDxfId="569" headerRowBorderDxfId="570" tableBorderDxfId="568">
  <sortState xmlns:xlrd2="http://schemas.microsoft.com/office/spreadsheetml/2017/richdata2" ref="A2:I38">
    <sortCondition ref="A1:A38"/>
  </sortState>
  <tableColumns count="9">
    <tableColumn id="3" xr3:uid="{30437CB6-F76B-4A72-9D99-E3010C328F0D}" name="Send Date" dataDxfId="567"/>
    <tableColumn id="2" xr3:uid="{620750E8-C511-43BE-BCD1-9312032B3DE8}" name="Journey Name" dataDxfId="566"/>
    <tableColumn id="4" xr3:uid="{BE0C946D-330E-4AE0-AF28-293BBF57EEFD}" name="Version" dataDxfId="565"/>
    <tableColumn id="5" xr3:uid="{620494C3-0676-4831-80CA-5C16562D36FD}" name="Sent" dataDxfId="564"/>
    <tableColumn id="8" xr3:uid="{747548A7-8A54-4CF0-847F-919F7525F9D8}" name="Unique Opens" dataDxfId="563"/>
    <tableColumn id="9" xr3:uid="{379B701B-9EA3-4E86-A108-06D41E88D03D}" name="Unique Open Rate" dataDxfId="562"/>
    <tableColumn id="10" xr3:uid="{4D36EC55-533F-4C5A-9EF8-03228A2C6DFF}" name="Unique Clicks" dataDxfId="561"/>
    <tableColumn id="11" xr3:uid="{266B57AA-EE77-4D6E-B168-BD84C8763E0C}" name="CTO" dataDxfId="560"/>
    <tableColumn id="12" xr3:uid="{16D15C99-A9B6-4156-A77C-ADAE3C987820}" name="CTR" dataDxfId="559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2A71D0-61A5-41B3-AD3F-D44C1968258F}" name="Table13246981011121314151617181921202223234567891011" displayName="Table13246981011121314151617181921202223234567891011" ref="A1:I28" headerRowDxfId="558" dataDxfId="556" headerRowBorderDxfId="557" tableBorderDxfId="555">
  <sortState xmlns:xlrd2="http://schemas.microsoft.com/office/spreadsheetml/2017/richdata2" ref="A2:I28">
    <sortCondition ref="A1:A28"/>
  </sortState>
  <tableColumns count="9">
    <tableColumn id="3" xr3:uid="{2B0B5130-1C82-40A5-93BC-283DD9AB0192}" name="Send Date" dataDxfId="554"/>
    <tableColumn id="2" xr3:uid="{2FB120C5-8750-49C2-B4EF-092A695BE823}" name="Journey Name" dataDxfId="553"/>
    <tableColumn id="4" xr3:uid="{8C596DDE-360B-42C4-B355-45AC75BA1EFF}" name="Version" dataDxfId="552"/>
    <tableColumn id="5" xr3:uid="{266B8BF6-3A46-4705-8130-8EA495E85205}" name="Sent" dataDxfId="551"/>
    <tableColumn id="8" xr3:uid="{D19DA4AA-A798-4D8B-A770-AC30F9E95FB9}" name="Unique Opens" dataDxfId="550"/>
    <tableColumn id="9" xr3:uid="{F6D28B1D-298A-4E40-AAB4-71CEA488995F}" name="Unique Open Rate" dataDxfId="549"/>
    <tableColumn id="10" xr3:uid="{3991F56D-CAEA-4D2A-BE10-EB324D520CC8}" name="Unique Clicks" dataDxfId="548"/>
    <tableColumn id="11" xr3:uid="{B76C352E-98D1-4906-B8D6-1BED8C2B60D3}" name="CTO" dataDxfId="547"/>
    <tableColumn id="12" xr3:uid="{BA4B6961-028D-4449-9D38-C7FE5F0DDC91}" name="CTR" dataDxfId="546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9CDF92-DB04-41EF-A5B2-F1AE193C2A6A}" name="Table1324698101112131415161718192120222323456789101112" displayName="Table1324698101112131415161718192120222323456789101112" ref="A1:I29" headerRowDxfId="545" dataDxfId="543" headerRowBorderDxfId="544" tableBorderDxfId="542">
  <sortState xmlns:xlrd2="http://schemas.microsoft.com/office/spreadsheetml/2017/richdata2" ref="A2:I29">
    <sortCondition ref="A1:A29"/>
  </sortState>
  <tableColumns count="9">
    <tableColumn id="3" xr3:uid="{02EED348-F357-41EE-A681-33F1159683E0}" name="Send Date" dataDxfId="541"/>
    <tableColumn id="2" xr3:uid="{97D95788-1ABB-478C-9BE0-D68345662825}" name="Journey Name" dataDxfId="540"/>
    <tableColumn id="4" xr3:uid="{580379D5-A647-4986-B3EB-B2058A8384EC}" name="Version" dataDxfId="539"/>
    <tableColumn id="5" xr3:uid="{560CB34A-0AD8-4A19-AC5A-C9666AB73CA5}" name="Sent" dataDxfId="538"/>
    <tableColumn id="8" xr3:uid="{98009380-D9F8-4DE1-AEC5-8348F85AEC9C}" name="Unique Opens" dataDxfId="537"/>
    <tableColumn id="9" xr3:uid="{08E3BE1A-B7B1-48F2-9BC8-7ED1A1C4B785}" name="Unique Open Rate" dataDxfId="536"/>
    <tableColumn id="10" xr3:uid="{60109238-56F6-47B6-BF0D-73DEFA670FF3}" name="Unique Clicks" dataDxfId="535"/>
    <tableColumn id="11" xr3:uid="{B0EEB0C6-DF08-4874-B62F-9B6E7F61991E}" name="CTO" dataDxfId="534"/>
    <tableColumn id="12" xr3:uid="{55A3CBEF-5753-48AA-8B5C-53AE44B6EB41}" name="CTR" dataDxfId="533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1DEC74-287F-4B75-8671-10B388EB6F4D}" name="Table132469810111213141516171819212022232345678910111213" displayName="Table132469810111213141516171819212022232345678910111213" ref="A1:I30" headerRowDxfId="532" dataDxfId="530" headerRowBorderDxfId="531" tableBorderDxfId="529">
  <sortState xmlns:xlrd2="http://schemas.microsoft.com/office/spreadsheetml/2017/richdata2" ref="A2:I30">
    <sortCondition ref="A1:A30"/>
  </sortState>
  <tableColumns count="9">
    <tableColumn id="3" xr3:uid="{43BED379-1637-41D1-B560-B32812919E4F}" name="Send Date" dataDxfId="528"/>
    <tableColumn id="2" xr3:uid="{E3673F0B-6199-4A36-BE3B-8D7C299BCA62}" name="Journey Name" dataDxfId="527"/>
    <tableColumn id="4" xr3:uid="{C37145B9-C350-4508-A1AA-206744B6E852}" name="Version" dataDxfId="526"/>
    <tableColumn id="5" xr3:uid="{CBFFAD7F-8B95-4D4E-94FB-AB54FDA35EB4}" name="Sent" dataDxfId="525"/>
    <tableColumn id="8" xr3:uid="{3C8CFC54-8091-40D5-8244-9560AAA8080C}" name="Unique Opens" dataDxfId="524"/>
    <tableColumn id="9" xr3:uid="{ED1BDC20-73BF-4814-827E-ACBF840B9C70}" name="Unique Open Rate" dataDxfId="523"/>
    <tableColumn id="10" xr3:uid="{3AE63F34-8B7F-438B-B806-197676F94EAC}" name="Unique Clicks" dataDxfId="522"/>
    <tableColumn id="11" xr3:uid="{D2B2CFAC-CAE5-411A-B0D1-A18BC9A42F0C}" name="CTO" dataDxfId="521"/>
    <tableColumn id="12" xr3:uid="{10853467-6E43-4BF7-880A-D3675AE7F529}" name="CTR" dataDxfId="520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1D2E34-5649-476F-95B9-EB7D59217C1E}" name="Table13246981011121314151617181921202223234567891011121314" displayName="Table13246981011121314151617181921202223234567891011121314" ref="A1:I23" headerRowDxfId="519" dataDxfId="517" headerRowBorderDxfId="518" tableBorderDxfId="516">
  <sortState xmlns:xlrd2="http://schemas.microsoft.com/office/spreadsheetml/2017/richdata2" ref="A2:I23">
    <sortCondition ref="A1:A23"/>
  </sortState>
  <tableColumns count="9">
    <tableColumn id="3" xr3:uid="{7B91D8C4-4F9E-498E-8753-EE17A70E0FE9}" name="Send Date" dataDxfId="515"/>
    <tableColumn id="2" xr3:uid="{E30B103D-85D1-467D-9A62-E578C04E90EC}" name="Journey Name" dataDxfId="514"/>
    <tableColumn id="4" xr3:uid="{48B34D8D-2643-4EE6-BC6A-A2AAD9C3887A}" name="Version" dataDxfId="513"/>
    <tableColumn id="5" xr3:uid="{4163CF68-3E9A-48C5-8BA1-87923834B938}" name="Sent" dataDxfId="512"/>
    <tableColumn id="8" xr3:uid="{4A0902EB-E56D-44CB-89E3-F77C01EA229B}" name="Unique Opens" dataDxfId="511"/>
    <tableColumn id="9" xr3:uid="{4EF7202D-1E43-4C22-A692-34322048AE8B}" name="Unique Open Rate" dataDxfId="510"/>
    <tableColumn id="10" xr3:uid="{017AB98B-1929-4043-B2FA-5652C0F74731}" name="Unique Clicks" dataDxfId="509"/>
    <tableColumn id="11" xr3:uid="{EC2583A5-AAF9-4E75-80EF-E7DD92961A6A}" name="CTO" dataDxfId="508"/>
    <tableColumn id="12" xr3:uid="{3CBAC581-5EF6-405E-A809-3B4A4FF61487}" name="CTR" dataDxfId="507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C95CE06-38E2-4F68-9FCC-6E8C291690A2}" name="Table1324698101112131415161718192120222323456789101112131415" displayName="Table1324698101112131415161718192120222323456789101112131415" ref="A1:I31" headerRowDxfId="506" dataDxfId="504" headerRowBorderDxfId="505" tableBorderDxfId="503">
  <sortState xmlns:xlrd2="http://schemas.microsoft.com/office/spreadsheetml/2017/richdata2" ref="A2:I31">
    <sortCondition ref="A1:A31"/>
  </sortState>
  <tableColumns count="9">
    <tableColumn id="3" xr3:uid="{668F8347-99A3-420C-8306-AA0FD850D510}" name="Send Date" dataDxfId="502"/>
    <tableColumn id="2" xr3:uid="{302B235B-4A1F-4BA4-9BAB-212188208628}" name="Journey Name" dataDxfId="501"/>
    <tableColumn id="4" xr3:uid="{C6BA6D3F-B4F0-4A8F-AA77-2678AF3B9DB0}" name="Version" dataDxfId="500"/>
    <tableColumn id="5" xr3:uid="{A42939B2-A432-4CEA-A767-14F7A626591B}" name="Sent" dataDxfId="499"/>
    <tableColumn id="8" xr3:uid="{A83C73DF-3E8B-4532-8CE3-6A0290CFEF95}" name="Unique Opens" dataDxfId="498"/>
    <tableColumn id="9" xr3:uid="{B6798E88-BFFE-40E7-95FC-4CB0E8735102}" name="Unique Open Rate" dataDxfId="497"/>
    <tableColumn id="10" xr3:uid="{3062FA17-094D-497F-989A-1B88086333EB}" name="Unique Clicks" dataDxfId="496"/>
    <tableColumn id="11" xr3:uid="{50710744-4DA0-4747-BAF3-54F9C5AF746F}" name="CTO" dataDxfId="495"/>
    <tableColumn id="12" xr3:uid="{9B362F5D-3E8C-4827-AC6C-850BF444C6A9}" name="CTR" dataDxfId="494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1DBDB72-8343-42C1-A740-38ACA90EA5F5}" name="Table132469810111213141516171819212022232345678910111213141516" displayName="Table132469810111213141516171819212022232345678910111213141516" ref="A1:I21" headerRowDxfId="493" dataDxfId="491" headerRowBorderDxfId="492" tableBorderDxfId="490">
  <sortState xmlns:xlrd2="http://schemas.microsoft.com/office/spreadsheetml/2017/richdata2" ref="A2:I21">
    <sortCondition ref="A1:A21"/>
  </sortState>
  <tableColumns count="9">
    <tableColumn id="3" xr3:uid="{C0CAC607-F27F-462B-A3B3-3EA8FEB7270D}" name="Send Date" dataDxfId="489"/>
    <tableColumn id="2" xr3:uid="{1F4DC12E-E798-48BF-A1BF-F53C7241B943}" name="Journey Name" dataDxfId="488"/>
    <tableColumn id="4" xr3:uid="{00F52D86-FF8A-4621-8C1E-51DF3CA10F94}" name="Version" dataDxfId="487"/>
    <tableColumn id="5" xr3:uid="{F95A10E5-8A74-42A6-90E8-0781A639906C}" name="Sent" dataDxfId="486"/>
    <tableColumn id="8" xr3:uid="{A84CE35A-B994-4FFE-99A2-1EECDD4A9089}" name="Unique Opens" dataDxfId="485"/>
    <tableColumn id="9" xr3:uid="{62024089-15D7-4B08-9C5B-F36E8C10CDB9}" name="Unique Open Rate" dataDxfId="484"/>
    <tableColumn id="10" xr3:uid="{797488F1-D34B-47B6-8320-53EE4AD532AC}" name="Unique Clicks" dataDxfId="483"/>
    <tableColumn id="11" xr3:uid="{6570EFAB-9AD4-4665-881D-6C7653116AD8}" name="CTO" dataDxfId="482"/>
    <tableColumn id="12" xr3:uid="{F5FA87D6-FEC5-4EAF-8F64-EB83F170150C}" name="CTR" dataDxfId="481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7FA1D0C-B16B-415A-8089-C5EA3314320B}" name="Table13246981011121314151617181921202223234567891011121314151617" displayName="Table13246981011121314151617181921202223234567891011121314151617" ref="A1:I24" headerRowDxfId="480" dataDxfId="478" headerRowBorderDxfId="479" tableBorderDxfId="477">
  <sortState xmlns:xlrd2="http://schemas.microsoft.com/office/spreadsheetml/2017/richdata2" ref="A2:I24">
    <sortCondition ref="A1:A24"/>
  </sortState>
  <tableColumns count="9">
    <tableColumn id="3" xr3:uid="{ACC331D3-7695-42E1-820A-334F3F5D97DF}" name="Send Date" dataDxfId="476"/>
    <tableColumn id="2" xr3:uid="{502DC931-BED1-415E-9B2E-BCB8DE5589F7}" name="Journey Name" dataDxfId="475"/>
    <tableColumn id="4" xr3:uid="{7A37277E-D73B-4639-9DCA-AA3BCEDC305A}" name="Version" dataDxfId="474"/>
    <tableColumn id="5" xr3:uid="{ABC3AC4C-41F2-45F8-BCF2-D2C8A5D0A770}" name="Sent" dataDxfId="473"/>
    <tableColumn id="8" xr3:uid="{2AD748EE-EF63-4A30-9646-34D48DF35B5D}" name="Unique Opens" dataDxfId="472"/>
    <tableColumn id="9" xr3:uid="{D26759A1-D1DE-42C9-9F6F-61B5BD6C4C21}" name="Unique Open Rate" dataDxfId="471"/>
    <tableColumn id="10" xr3:uid="{95E14E84-D38D-4021-B2C3-A3C6A04CC5BD}" name="Unique Clicks" dataDxfId="470"/>
    <tableColumn id="11" xr3:uid="{586A5267-5C94-4DB0-A990-9A3BF11F93E3}" name="CTO" dataDxfId="469"/>
    <tableColumn id="12" xr3:uid="{5D05B692-BAA6-4438-9DAD-7568EC2B74C6}" name="CTR" dataDxfId="468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EF938CA-88DF-4B3D-BF60-F31DEDAE3456}" name="Table1324698101112131415161718192120222323456789101112131415161718" displayName="Table1324698101112131415161718192120222323456789101112131415161718" ref="A1:I30" headerRowDxfId="467" dataDxfId="465" headerRowBorderDxfId="466" tableBorderDxfId="464">
  <sortState xmlns:xlrd2="http://schemas.microsoft.com/office/spreadsheetml/2017/richdata2" ref="A2:I30">
    <sortCondition ref="A1:A30"/>
  </sortState>
  <tableColumns count="9">
    <tableColumn id="3" xr3:uid="{9C029AF0-DE8C-4A93-80E4-1B076E95938A}" name="Send Date" dataDxfId="463"/>
    <tableColumn id="2" xr3:uid="{E14A1E70-0E11-4887-9386-17911C3114D3}" name="Journey Name" dataDxfId="462"/>
    <tableColumn id="4" xr3:uid="{72B327D6-2BC4-4F7E-B801-13347A429DE9}" name="Version" dataDxfId="461"/>
    <tableColumn id="5" xr3:uid="{778424C3-5427-4C4E-B5FA-BF2D059A4AA9}" name="Sent" dataDxfId="460"/>
    <tableColumn id="8" xr3:uid="{54ACB1B9-BFEB-460E-B629-AB1A6BE2224F}" name="Unique Opens" dataDxfId="459"/>
    <tableColumn id="9" xr3:uid="{35E2960A-8209-4F99-A1E2-8ACE313FC44D}" name="Unique Open Rate" dataDxfId="458"/>
    <tableColumn id="10" xr3:uid="{8679C7B6-000E-48B5-9F91-F2F702669765}" name="Unique Clicks" dataDxfId="457"/>
    <tableColumn id="11" xr3:uid="{0396AD1F-3F0C-4B05-9D58-C8EC62EB24BB}" name="CTO" dataDxfId="456"/>
    <tableColumn id="12" xr3:uid="{7162135B-821E-4861-9598-B0725392E3BD}" name="CTR" dataDxfId="455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1F8FE9F-15C3-44A2-98B8-8C676314DBFD}" name="Table132469810111213141516171819212022232345678910111213141516171819" displayName="Table132469810111213141516171819212022232345678910111213141516171819" ref="A1:I27" headerRowDxfId="454" dataDxfId="452" headerRowBorderDxfId="453" tableBorderDxfId="451">
  <sortState xmlns:xlrd2="http://schemas.microsoft.com/office/spreadsheetml/2017/richdata2" ref="A2:I27">
    <sortCondition ref="A1:A27"/>
  </sortState>
  <tableColumns count="9">
    <tableColumn id="3" xr3:uid="{7B99459A-5DA5-43C6-9BA5-E5B10D45B6A1}" name="Send Date" dataDxfId="450"/>
    <tableColumn id="2" xr3:uid="{B9049940-9EB9-43B6-BD4C-024DA48DEE54}" name="Journey Name" dataDxfId="449"/>
    <tableColumn id="4" xr3:uid="{28FCF487-E31A-44D6-A5E4-C21DE88382DA}" name="Version" dataDxfId="448"/>
    <tableColumn id="5" xr3:uid="{AE51D905-C0E4-425D-9D26-AD51CDDDB2D6}" name="Sent" dataDxfId="447"/>
    <tableColumn id="8" xr3:uid="{CA9D564C-BF27-44AC-81BB-9E3C5A966EE4}" name="Unique Opens" dataDxfId="446"/>
    <tableColumn id="9" xr3:uid="{E223A2B8-BDCE-4EB4-8465-26B717ADC1E9}" name="Unique Open Rate" dataDxfId="445"/>
    <tableColumn id="10" xr3:uid="{03643FCC-47DD-4CAD-A486-9898369FDEBF}" name="Unique Clicks" dataDxfId="444"/>
    <tableColumn id="11" xr3:uid="{64F8C691-54D5-466A-81B0-7B80CCAA68C9}" name="CTO" dataDxfId="443"/>
    <tableColumn id="12" xr3:uid="{7126CBB5-1225-4F35-96BE-DE97A01F593C}" name="CTR" dataDxfId="442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7D93677-B932-4B3A-977B-AB19318FB19F}" name="Table13246981011121314151617181921202223234567891011121314151617181920" displayName="Table13246981011121314151617181921202223234567891011121314151617181920" ref="A1:I31" headerRowDxfId="441" dataDxfId="439" headerRowBorderDxfId="440" tableBorderDxfId="438">
  <sortState xmlns:xlrd2="http://schemas.microsoft.com/office/spreadsheetml/2017/richdata2" ref="A2:I31">
    <sortCondition ref="A1:A31"/>
  </sortState>
  <tableColumns count="9">
    <tableColumn id="3" xr3:uid="{630A23A5-B584-43ED-BAF5-1E6B5673EBA8}" name="Send Date" dataDxfId="437"/>
    <tableColumn id="2" xr3:uid="{169D7D95-B004-43FA-8E71-2E7B938BD76C}" name="Journey Name" dataDxfId="436"/>
    <tableColumn id="4" xr3:uid="{853AA286-34E7-49E8-937D-C31699BE8566}" name="Version" dataDxfId="435"/>
    <tableColumn id="5" xr3:uid="{3E9D4AB3-ADDA-47F2-9B4E-4BC3FF2B3E58}" name="Sent" dataDxfId="434"/>
    <tableColumn id="8" xr3:uid="{2A282D3E-B789-4059-979B-8FA0299C90F9}" name="Unique Opens" dataDxfId="433"/>
    <tableColumn id="9" xr3:uid="{04D2084E-A04B-4163-8361-344B52F8D969}" name="Unique Open Rate" dataDxfId="432"/>
    <tableColumn id="10" xr3:uid="{E5C395A0-1FDB-4336-8926-495F9199764F}" name="Unique Clicks" dataDxfId="431"/>
    <tableColumn id="11" xr3:uid="{B48DE474-2246-46F7-8279-07E802B293AE}" name="CTO" dataDxfId="430"/>
    <tableColumn id="12" xr3:uid="{66C9AF9F-5BCD-4C99-B55B-3F1C9144538B}" name="CTR" dataDxfId="429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DAF9B2-421D-4F5D-A35E-3EDF1B217A1C}" name="Table1324698101112131415161718192120222323456789101112131415161718192021" displayName="Table1324698101112131415161718192120222323456789101112131415161718192021" ref="A1:I31" headerRowDxfId="428" dataDxfId="426" headerRowBorderDxfId="427" tableBorderDxfId="425">
  <sortState xmlns:xlrd2="http://schemas.microsoft.com/office/spreadsheetml/2017/richdata2" ref="A2:I31">
    <sortCondition ref="A1:A31"/>
  </sortState>
  <tableColumns count="9">
    <tableColumn id="3" xr3:uid="{60B5316C-7722-41A7-89D3-EFFD6EF35E7C}" name="Send Date" dataDxfId="424"/>
    <tableColumn id="2" xr3:uid="{B00A64F3-CE36-41AC-9153-18EEF925EAB1}" name="Journey Name" dataDxfId="423"/>
    <tableColumn id="4" xr3:uid="{A42D1338-72FF-4D77-9ADD-7688157C8AC4}" name="Version" dataDxfId="422"/>
    <tableColumn id="5" xr3:uid="{1416531D-4093-4440-B566-06BED68920FC}" name="Sent" dataDxfId="421"/>
    <tableColumn id="8" xr3:uid="{B7606088-2506-4BA8-91E0-3B4FDCF842C6}" name="Unique Opens" dataDxfId="420"/>
    <tableColumn id="9" xr3:uid="{941EC75C-C48E-40E5-A877-EE91C37ECCE9}" name="Unique Open Rate" dataDxfId="419"/>
    <tableColumn id="10" xr3:uid="{1F69F9DC-C955-48E5-BD32-D6D3C84587FF}" name="Unique Clicks" dataDxfId="418"/>
    <tableColumn id="11" xr3:uid="{9DEA9A86-B91C-4C49-9BC4-7E79E1AD9BB6}" name="CTO" dataDxfId="417"/>
    <tableColumn id="12" xr3:uid="{98D2936C-8DF4-4EE2-B2EB-F325BE429463}" name="CTR" dataDxfId="416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E02480D-78F5-4214-9C2D-04E37C5960CC}" name="Table132469810111213141516171819212022232345678910111213141516171819202122" displayName="Table132469810111213141516171819212022232345678910111213141516171819202122" ref="A1:I36" headerRowDxfId="415" dataDxfId="413" headerRowBorderDxfId="414" tableBorderDxfId="412">
  <sortState xmlns:xlrd2="http://schemas.microsoft.com/office/spreadsheetml/2017/richdata2" ref="A2:I36">
    <sortCondition ref="A1:A36"/>
  </sortState>
  <tableColumns count="9">
    <tableColumn id="3" xr3:uid="{9248B4EE-1294-4017-B75C-87B42D455A6B}" name="Send Date" dataDxfId="411"/>
    <tableColumn id="2" xr3:uid="{13BBB221-1B2A-45CA-93D0-35B4CA8575C3}" name="Journey Name" dataDxfId="410"/>
    <tableColumn id="4" xr3:uid="{100E6AFC-169B-456B-88C9-E66C800EDD15}" name="Version" dataDxfId="409"/>
    <tableColumn id="5" xr3:uid="{97FCE690-FEC3-4762-8B13-E5BD47B356E0}" name="Sent" dataDxfId="408"/>
    <tableColumn id="8" xr3:uid="{52DB803E-C4BA-47B7-B0F1-62F1448C214A}" name="Unique Opens" dataDxfId="407"/>
    <tableColumn id="9" xr3:uid="{1D345EC2-EA06-4E2B-B910-E9C742ECECF2}" name="Unique Open Rate" dataDxfId="406"/>
    <tableColumn id="10" xr3:uid="{2D87F765-8F9F-4293-BB9A-0190EAD555A7}" name="Unique Clicks" dataDxfId="405"/>
    <tableColumn id="11" xr3:uid="{1C575473-172A-45BF-BFE2-556FED28007C}" name="CTO" dataDxfId="404"/>
    <tableColumn id="12" xr3:uid="{1AB65E64-01C7-4C0B-B21A-8544A62AFDC1}" name="CTR" dataDxfId="403"/>
  </tableColumns>
  <tableStyleInfo name="Table Style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587C8F8-19C0-4C3D-8A1C-1BA95FBC9BDB}" name="Table13246981011121314151617181921202223234567891011121314151617181920212225" displayName="Table13246981011121314151617181921202223234567891011121314151617181920212225" ref="A1:I36" headerRowDxfId="402" dataDxfId="400" headerRowBorderDxfId="401" tableBorderDxfId="399">
  <sortState xmlns:xlrd2="http://schemas.microsoft.com/office/spreadsheetml/2017/richdata2" ref="A2:I36">
    <sortCondition ref="A1:A36"/>
  </sortState>
  <tableColumns count="9">
    <tableColumn id="3" xr3:uid="{3A1C04CE-9F0C-413E-B2D7-CF95A7C06EFC}" name="Send Date" dataDxfId="398"/>
    <tableColumn id="2" xr3:uid="{7C1D9C60-5819-447D-8557-F3C85AD65A11}" name="Journey Name" dataDxfId="397"/>
    <tableColumn id="4" xr3:uid="{5A39A950-F253-4DA3-9CFF-DAC215DBC77E}" name="Version" dataDxfId="396"/>
    <tableColumn id="5" xr3:uid="{C09E5595-DF5E-45E1-85B0-AE3E3093A579}" name="Sent" dataDxfId="395"/>
    <tableColumn id="8" xr3:uid="{EC910186-1186-4AF7-BC22-0B5F8F4DE90C}" name="Unique Opens" dataDxfId="394"/>
    <tableColumn id="9" xr3:uid="{D25E8D5B-993A-4F0C-ABB6-CFAF3CC2BF72}" name="Unique Open Rate" dataDxfId="393"/>
    <tableColumn id="10" xr3:uid="{F1046976-0C30-439A-89A7-5C8534210ACF}" name="Unique Clicks" dataDxfId="392"/>
    <tableColumn id="11" xr3:uid="{7C3D2C10-272B-44ED-9FDE-3DC64D3E32F3}" name="CTO" dataDxfId="391"/>
    <tableColumn id="12" xr3:uid="{74F833C7-CA6B-49E4-BAC9-B5D110C0A01F}" name="CTR" dataDxfId="390"/>
  </tableColumns>
  <tableStyleInfo name="Table Style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769CA93-F50F-473F-806E-E477C836C9AD}" name="Table1324698101112131415161718192120222323456789101112131415161718192021222524" displayName="Table1324698101112131415161718192120222323456789101112131415161718192021222524" ref="A1:I23" headerRowDxfId="389" dataDxfId="387" headerRowBorderDxfId="388" tableBorderDxfId="386">
  <sortState xmlns:xlrd2="http://schemas.microsoft.com/office/spreadsheetml/2017/richdata2" ref="A2:I23">
    <sortCondition ref="A1:A23"/>
  </sortState>
  <tableColumns count="9">
    <tableColumn id="3" xr3:uid="{F579B9FF-BE6F-4062-9CEE-85EC939F5570}" name="Send Date" dataDxfId="385"/>
    <tableColumn id="2" xr3:uid="{098E5680-0611-4126-8F26-7295326E7D5D}" name="Journey Name" dataDxfId="384"/>
    <tableColumn id="4" xr3:uid="{DE0EA9A4-79AC-4EBF-A7BD-F6B96A41B42A}" name="Version" dataDxfId="383"/>
    <tableColumn id="5" xr3:uid="{5BD8A4B7-AD01-42F4-A7AE-951DBC372A68}" name="Sent" dataDxfId="382"/>
    <tableColumn id="8" xr3:uid="{DBAA3011-69E7-4CF0-A25C-D5E7DA5F25A3}" name="Unique Opens" dataDxfId="381"/>
    <tableColumn id="9" xr3:uid="{54177B9E-76F7-4595-8E14-6C7E9A396583}" name="Unique Open Rate" dataDxfId="380"/>
    <tableColumn id="10" xr3:uid="{CA2328FC-C3AC-4691-93DC-4BA19C34E697}" name="Unique Clicks" dataDxfId="379"/>
    <tableColumn id="11" xr3:uid="{8ED5EE71-6E5A-480F-8DF8-222F3EFC980A}" name="CTO" dataDxfId="378"/>
    <tableColumn id="12" xr3:uid="{9C531C33-ED51-4CB5-9231-2651CD643DEE}" name="CTR" dataDxfId="377"/>
  </tableColumns>
  <tableStyleInfo name="Table Style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98A7CC-E7BD-4117-A8D9-E18F43DBD5C2}" name="Table132469810111213141516171819212022232345678910111213141516171819202122252426" displayName="Table132469810111213141516171819212022232345678910111213141516171819202122252426" ref="A1:I35" headerRowDxfId="376" dataDxfId="374" headerRowBorderDxfId="375" tableBorderDxfId="373">
  <sortState xmlns:xlrd2="http://schemas.microsoft.com/office/spreadsheetml/2017/richdata2" ref="A2:I35">
    <sortCondition ref="A1:A35"/>
  </sortState>
  <tableColumns count="9">
    <tableColumn id="3" xr3:uid="{7B897CDB-19B9-41D7-B772-040DD7CA7868}" name="Send Date" dataDxfId="372"/>
    <tableColumn id="2" xr3:uid="{81FB1C3B-8332-480D-BD79-055F1F9E0F79}" name="Journey Name" dataDxfId="371"/>
    <tableColumn id="4" xr3:uid="{F042F6F3-7B57-42F3-9382-515A6A289462}" name="Version" dataDxfId="370"/>
    <tableColumn id="5" xr3:uid="{89336302-8B46-4F55-9A1E-9FE229F3A412}" name="Sent" dataDxfId="369"/>
    <tableColumn id="8" xr3:uid="{20C48A0F-FCA2-4FCF-AB4C-C9CC80A53F1D}" name="Unique Opens" dataDxfId="368"/>
    <tableColumn id="9" xr3:uid="{8930CD16-C771-40BB-B905-7FDC8BCE6B9B}" name="Unique Open Rate" dataDxfId="367"/>
    <tableColumn id="10" xr3:uid="{A67B2966-1F31-46D7-8E38-E44D504A9AFF}" name="Unique Clicks" dataDxfId="366"/>
    <tableColumn id="11" xr3:uid="{DEE465A2-B699-46BF-B272-591EB4B8716D}" name="CTO" dataDxfId="365"/>
    <tableColumn id="12" xr3:uid="{0451E6B8-C38E-4255-8E00-27AB4F94624E}" name="CTR" dataDxfId="364"/>
  </tableColumns>
  <tableStyleInfo name="Table Style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D7E1BD2-7BA0-4B5C-89A6-195B0A7B9F23}" name="Table13246981011121314151617181921202223234567891011121314151617181920212225242627" displayName="Table13246981011121314151617181921202223234567891011121314151617181920212225242627" ref="A1:I33" headerRowDxfId="363" dataDxfId="361" headerRowBorderDxfId="362" tableBorderDxfId="360">
  <sortState xmlns:xlrd2="http://schemas.microsoft.com/office/spreadsheetml/2017/richdata2" ref="A2:I33">
    <sortCondition ref="A1:A33"/>
  </sortState>
  <tableColumns count="9">
    <tableColumn id="3" xr3:uid="{36E99746-0454-484E-9C8B-20E399A883BD}" name="Send Date" dataDxfId="359"/>
    <tableColumn id="2" xr3:uid="{2DBF9101-8CF2-40EF-A10D-2C94A4188DE9}" name="Journey Name" dataDxfId="358"/>
    <tableColumn id="4" xr3:uid="{8E8937EE-099D-4C58-B339-DF3B31919767}" name="Version" dataDxfId="357"/>
    <tableColumn id="5" xr3:uid="{E7ECF246-2C80-4F6B-9CC4-2F027E019E50}" name="Sent" dataDxfId="356"/>
    <tableColumn id="8" xr3:uid="{BF5E9436-9DC5-4891-97A1-DDBA4A269D7D}" name="Unique Opens" dataDxfId="355"/>
    <tableColumn id="9" xr3:uid="{23813F5D-DD5F-490F-8FF3-11A0D7570CD6}" name="Unique Open Rate" dataDxfId="354"/>
    <tableColumn id="10" xr3:uid="{DDA7F5D6-59E3-4488-8016-7724FB413168}" name="Unique Clicks" dataDxfId="353"/>
    <tableColumn id="11" xr3:uid="{C031A2E0-F74B-4E6E-A43E-9D2B93E5EABE}" name="CTO" dataDxfId="352"/>
    <tableColumn id="12" xr3:uid="{92C248DC-E595-4AAB-9678-CAE432E5D508}" name="CTR" dataDxfId="351"/>
  </tableColumns>
  <tableStyleInfo name="Table Style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057DBDD-0919-4867-9884-7A5B325C606C}" name="Table1324698101112131415161718192120222323456789101112131415161718192021222524262728" displayName="Table1324698101112131415161718192120222323456789101112131415161718192021222524262728" ref="A1:I26" headerRowDxfId="350" dataDxfId="348" headerRowBorderDxfId="349" tableBorderDxfId="347">
  <sortState xmlns:xlrd2="http://schemas.microsoft.com/office/spreadsheetml/2017/richdata2" ref="A2:I26">
    <sortCondition ref="A1:A26"/>
  </sortState>
  <tableColumns count="9">
    <tableColumn id="3" xr3:uid="{BA971CA6-61EF-4F13-8974-3536F9A286D2}" name="Send Date" dataDxfId="346"/>
    <tableColumn id="2" xr3:uid="{628C1D63-41F2-4AAD-9048-08D4F4B76360}" name="Journey Name" dataDxfId="345"/>
    <tableColumn id="4" xr3:uid="{4A34D0EE-33CF-4453-B9A1-26AB766BD536}" name="Version" dataDxfId="344"/>
    <tableColumn id="5" xr3:uid="{2D9FE2EB-60C4-429F-92DD-12EDAE8CABAB}" name="Sent" dataDxfId="343"/>
    <tableColumn id="8" xr3:uid="{4053B5D5-7D08-491B-8107-5048D7948AEE}" name="Unique Opens" dataDxfId="342"/>
    <tableColumn id="9" xr3:uid="{2A47C57E-92DA-445A-85FC-A77BD052A9FF}" name="Unique Open Rate" dataDxfId="341"/>
    <tableColumn id="10" xr3:uid="{7B5C1063-D943-4CF8-BCBF-266988B88DAB}" name="Unique Clicks" dataDxfId="340"/>
    <tableColumn id="11" xr3:uid="{42B3AB1A-2A50-4485-B619-1AD68C4A82B0}" name="CTO" dataDxfId="339"/>
    <tableColumn id="12" xr3:uid="{3281E49A-A05C-4D4C-B25F-7C3FDD025CDF}" name="CTR" dataDxfId="338"/>
  </tableColumns>
  <tableStyleInfo name="Table Style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62C56F2-C033-4A98-AE60-7E78F45C9AF2}" name="Table132469810111213141516171819212022232345678910111213141516171819202122252426272829" displayName="Table132469810111213141516171819212022232345678910111213141516171819202122252426272829" ref="A1:I26" headerRowDxfId="337" dataDxfId="335" headerRowBorderDxfId="336" tableBorderDxfId="334">
  <sortState xmlns:xlrd2="http://schemas.microsoft.com/office/spreadsheetml/2017/richdata2" ref="A2:I26">
    <sortCondition ref="A1:A26"/>
  </sortState>
  <tableColumns count="9">
    <tableColumn id="3" xr3:uid="{633ADE1D-1E27-4758-9DF2-801F55E794E2}" name="Send Date" dataDxfId="333"/>
    <tableColumn id="2" xr3:uid="{D94DCBCF-0E69-4CAE-8698-9E8FB689BA4E}" name="Journey Name" dataDxfId="332"/>
    <tableColumn id="4" xr3:uid="{C4CA78F2-0D13-4BC1-8043-113257A0E643}" name="Version" dataDxfId="331"/>
    <tableColumn id="5" xr3:uid="{67B28C0E-7705-4206-A5C5-DB7BE37AA441}" name="Sent" dataDxfId="330"/>
    <tableColumn id="8" xr3:uid="{917CD861-FB00-43E0-AF30-A568C5A9C030}" name="Unique Opens" dataDxfId="329"/>
    <tableColumn id="9" xr3:uid="{4AAE4F2C-FDB9-43A2-A5A2-FE7F67386ACD}" name="Unique Open Rate" dataDxfId="328"/>
    <tableColumn id="10" xr3:uid="{0DA102CB-8E9E-4ED7-80C2-3D425086BB58}" name="Unique Clicks" dataDxfId="327"/>
    <tableColumn id="11" xr3:uid="{FD84FD73-4A94-497C-9F0A-311CD7AD514F}" name="CTO" dataDxfId="326"/>
    <tableColumn id="12" xr3:uid="{39847BD6-9292-46C2-B50A-76DBB0389189}" name="CTR" dataDxfId="325"/>
  </tableColumns>
  <tableStyleInfo name="Table Style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52B7F82-804D-48A4-A44C-D980766A0307}" name="Table13246981011121314151617181921202223234567891011121314151617181920212225242627282930" displayName="Table13246981011121314151617181921202223234567891011121314151617181920212225242627282930" ref="A1:I36" headerRowDxfId="324" dataDxfId="322" headerRowBorderDxfId="323" tableBorderDxfId="321">
  <sortState xmlns:xlrd2="http://schemas.microsoft.com/office/spreadsheetml/2017/richdata2" ref="A2:I36">
    <sortCondition ref="A1:A36"/>
  </sortState>
  <tableColumns count="9">
    <tableColumn id="3" xr3:uid="{1362A88C-E10C-449C-BCB5-CBDAE14B1225}" name="Send Date" dataDxfId="320"/>
    <tableColumn id="2" xr3:uid="{E314C944-55E8-439B-85DE-087CEB091702}" name="Journey Name" dataDxfId="319"/>
    <tableColumn id="4" xr3:uid="{8B4F62DA-8B74-4328-8AAC-96FB95D14BF2}" name="Version" dataDxfId="318"/>
    <tableColumn id="5" xr3:uid="{FE82D5F3-E251-43EE-B802-F93E9933BD16}" name="Sent" dataDxfId="317"/>
    <tableColumn id="8" xr3:uid="{8BB8B35B-2D70-4643-9988-AE643BDE5A47}" name="Unique Opens" dataDxfId="316"/>
    <tableColumn id="9" xr3:uid="{AAFC806F-082D-4E89-BD40-789B31EBC9CE}" name="Unique Open Rate" dataDxfId="315"/>
    <tableColumn id="10" xr3:uid="{2F16EFD3-0871-4C35-B27E-385E71FA36A2}" name="Unique Clicks" dataDxfId="314"/>
    <tableColumn id="11" xr3:uid="{A0484A77-37EF-451B-9317-DDC84B71955D}" name="CTO" dataDxfId="313"/>
    <tableColumn id="12" xr3:uid="{C8723381-59EC-4521-BDBB-0E89DDD90437}" name="CTR" dataDxfId="312"/>
  </tableColumns>
  <tableStyleInfo name="Table Style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DFABD0A-6FD2-4524-892C-3D6738822F85}" name="Table1324698101112131415161718192120222323456789101112131415161718192021222524262728293031" displayName="Table1324698101112131415161718192120222323456789101112131415161718192021222524262728293031" ref="A1:I27" headerRowDxfId="311" dataDxfId="309" headerRowBorderDxfId="310" tableBorderDxfId="308">
  <sortState xmlns:xlrd2="http://schemas.microsoft.com/office/spreadsheetml/2017/richdata2" ref="A2:I27">
    <sortCondition ref="A1:A27"/>
  </sortState>
  <tableColumns count="9">
    <tableColumn id="3" xr3:uid="{B9C6CB5B-5DEA-4A5E-A8E6-882128ECDB81}" name="Send Date" dataDxfId="307"/>
    <tableColumn id="2" xr3:uid="{70041E23-7E02-46DA-B01B-49BF0A5F77E0}" name="Journey Name" dataDxfId="306"/>
    <tableColumn id="4" xr3:uid="{BFCA21C0-B048-4DF0-AD59-4A476B953A22}" name="Version" dataDxfId="305"/>
    <tableColumn id="5" xr3:uid="{E8C04C4B-58D0-4533-9F97-DD2ADF7436E4}" name="Sent" dataDxfId="304"/>
    <tableColumn id="8" xr3:uid="{90D567F6-373E-4685-8546-AD7DE6E94B90}" name="Unique Opens" dataDxfId="303"/>
    <tableColumn id="9" xr3:uid="{A5D30EB8-CECC-4960-8B12-EDBF6C356690}" name="Unique Open Rate" dataDxfId="302"/>
    <tableColumn id="10" xr3:uid="{BC8C6474-6C08-421D-8ED1-9DDEEC250D4B}" name="Unique Clicks" dataDxfId="301"/>
    <tableColumn id="11" xr3:uid="{76097BF0-C085-47E1-9F54-F4EEE683633B}" name="CTO" dataDxfId="300"/>
    <tableColumn id="12" xr3:uid="{2BB769C7-FA3C-4679-99DF-1CE86F7F75A4}" name="CTR" dataDxfId="299"/>
  </tableColumns>
  <tableStyleInfo name="Table Style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805E579-D3C1-4A7E-9526-E84677C48E1B}" name="Table132469810111213141516171819212022232345678910111213141516171819202122252426272829303132" displayName="Table132469810111213141516171819212022232345678910111213141516171819202122252426272829303132" ref="A1:I34" headerRowDxfId="298" dataDxfId="296" headerRowBorderDxfId="297" tableBorderDxfId="295">
  <sortState xmlns:xlrd2="http://schemas.microsoft.com/office/spreadsheetml/2017/richdata2" ref="A2:I34">
    <sortCondition ref="A1:A34"/>
  </sortState>
  <tableColumns count="9">
    <tableColumn id="3" xr3:uid="{04287D55-B0A7-4771-8111-B68C6BFEF378}" name="Send Date" dataDxfId="294"/>
    <tableColumn id="2" xr3:uid="{7DB46D7A-E103-43A3-89E1-4FE1997DFE27}" name="Journey Name" dataDxfId="293"/>
    <tableColumn id="4" xr3:uid="{83DC03C0-70C7-44FE-9907-752BAEFCC164}" name="Version" dataDxfId="292"/>
    <tableColumn id="5" xr3:uid="{8D6162BE-85E7-4704-8A42-CE1CAFF8847C}" name="Sent" dataDxfId="291"/>
    <tableColumn id="8" xr3:uid="{5B344814-3A52-41F4-86D5-208700B0FD0C}" name="Unique Opens" dataDxfId="290"/>
    <tableColumn id="9" xr3:uid="{BF4704D6-A3A5-4352-A261-6F48974C86E1}" name="Unique Open Rate" dataDxfId="289"/>
    <tableColumn id="10" xr3:uid="{F093BBC9-BA70-4BE0-9E5D-4D86035845D7}" name="Unique Clicks" dataDxfId="288"/>
    <tableColumn id="11" xr3:uid="{48EAFE75-970F-4643-9978-AD35DE0A8615}" name="CTO" dataDxfId="287"/>
    <tableColumn id="12" xr3:uid="{32837027-3909-4FEB-8EEB-09B15A6BF0BF}" name="CTR" dataDxfId="286"/>
  </tableColumns>
  <tableStyleInfo name="Table Style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828587F-742C-47DA-B9E5-3647243A93ED}" name="Table13246981011121314151617181921202223234567891011121314151617181920212225242627282930313233" displayName="Table13246981011121314151617181921202223234567891011121314151617181920212225242627282930313233" ref="A1:I31" headerRowDxfId="285" dataDxfId="283" headerRowBorderDxfId="284" tableBorderDxfId="282">
  <sortState xmlns:xlrd2="http://schemas.microsoft.com/office/spreadsheetml/2017/richdata2" ref="A2:I31">
    <sortCondition ref="A1:A31"/>
  </sortState>
  <tableColumns count="9">
    <tableColumn id="3" xr3:uid="{3D2F41CC-8D86-405B-A3A6-EC2586F857F4}" name="Send Date" dataDxfId="281"/>
    <tableColumn id="2" xr3:uid="{1B46135F-5039-4A20-8165-70B4C9350A52}" name="Journey Name" dataDxfId="280"/>
    <tableColumn id="4" xr3:uid="{EACF5CDB-61AE-43F1-A35B-F2F8164F75EB}" name="Version" dataDxfId="279"/>
    <tableColumn id="5" xr3:uid="{56C47B13-849C-4AE9-A1CD-C00F201DCA24}" name="Sent" dataDxfId="278"/>
    <tableColumn id="8" xr3:uid="{CFF28C7E-B76C-4CD4-B99B-30DEB2F925BA}" name="Unique Opens" dataDxfId="277"/>
    <tableColumn id="9" xr3:uid="{BB473807-7C03-4681-B1E2-6EBB6671E405}" name="Unique Open Rate" dataDxfId="276"/>
    <tableColumn id="10" xr3:uid="{72481720-6D67-4973-A1A0-EDB55725A74C}" name="Unique Clicks" dataDxfId="275"/>
    <tableColumn id="11" xr3:uid="{4AEA5078-2246-41D3-ABB7-99862EB6C621}" name="CTO" dataDxfId="274"/>
    <tableColumn id="12" xr3:uid="{8C7A1462-CBA5-4C6C-AAC0-8E411791B05C}" name="CTR" dataDxfId="273"/>
  </tableColumns>
  <tableStyleInfo name="Table Style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3B71261-5168-4CB9-AF9A-9DDDEC18AD2B}" name="Table1324698101112131415161718192120222323456789101112131415161718192021222524262728293031323334" displayName="Table1324698101112131415161718192120222323456789101112131415161718192021222524262728293031323334" ref="A1:I26" headerRowDxfId="272" dataDxfId="270" headerRowBorderDxfId="271" tableBorderDxfId="269">
  <sortState xmlns:xlrd2="http://schemas.microsoft.com/office/spreadsheetml/2017/richdata2" ref="A2:I26">
    <sortCondition ref="A1:A26"/>
  </sortState>
  <tableColumns count="9">
    <tableColumn id="3" xr3:uid="{EA9E2D3B-83F3-457F-B90A-36C5C3908A09}" name="Send Date" dataDxfId="268"/>
    <tableColumn id="2" xr3:uid="{83344672-4FBB-4DAF-B276-89A35340229B}" name="Journey Name" dataDxfId="267"/>
    <tableColumn id="4" xr3:uid="{12526B26-850C-4918-BFD1-EEF29592FD5D}" name="Version" dataDxfId="266"/>
    <tableColumn id="5" xr3:uid="{C53D392C-EEA1-4818-A0A0-04B98C2806DA}" name="Sent" dataDxfId="265"/>
    <tableColumn id="8" xr3:uid="{E59A6B0F-5888-4E8B-9C0B-5CF21639F522}" name="Unique Opens" dataDxfId="264"/>
    <tableColumn id="9" xr3:uid="{A65F152C-DF8C-4F1D-B971-B14DE0D89617}" name="Unique Open Rate" dataDxfId="263"/>
    <tableColumn id="10" xr3:uid="{21ADAED2-B449-4D97-B3E9-3F213A938B24}" name="Unique Clicks" dataDxfId="262"/>
    <tableColumn id="11" xr3:uid="{5035A102-4170-4031-BC53-1FC9C9B66447}" name="CTO" dataDxfId="261"/>
    <tableColumn id="12" xr3:uid="{E4E0346F-6CA4-43F1-BFDD-0DE8404712CC}" name="CTR" dataDxfId="260"/>
  </tableColumns>
  <tableStyleInfo name="Table Style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DD7F96F-D005-4A64-ABB0-0332B9A1E128}" name="Table132469810111213141516171819212022232345678910111213141516171819202122252426272829303132333435" displayName="Table132469810111213141516171819212022232345678910111213141516171819202122252426272829303132333435" ref="A1:I35" headerRowDxfId="259" dataDxfId="257" headerRowBorderDxfId="258" tableBorderDxfId="256">
  <sortState xmlns:xlrd2="http://schemas.microsoft.com/office/spreadsheetml/2017/richdata2" ref="A2:I35">
    <sortCondition ref="A1:A35"/>
  </sortState>
  <tableColumns count="9">
    <tableColumn id="3" xr3:uid="{658362B2-2CEC-424C-AB15-60DBE1DF79E8}" name="Send Date" dataDxfId="255"/>
    <tableColumn id="2" xr3:uid="{7F435194-A3E2-461C-BAD1-7A46DF9EA0E1}" name="Journey Name" dataDxfId="254"/>
    <tableColumn id="4" xr3:uid="{94BFCC21-142D-4E85-8100-4D5329991E3A}" name="Version" dataDxfId="253"/>
    <tableColumn id="5" xr3:uid="{802B26AF-626F-4263-8D4B-646D2E46AC4C}" name="Sent" dataDxfId="252"/>
    <tableColumn id="8" xr3:uid="{497DD46C-CAA8-4E1C-AA63-A6CD3E19D40A}" name="Unique Opens" dataDxfId="251"/>
    <tableColumn id="9" xr3:uid="{06D95384-A2A3-46F2-8619-9B17B178F911}" name="Unique Open Rate" dataDxfId="250"/>
    <tableColumn id="10" xr3:uid="{5D844DEE-1A58-481E-9A7D-87222169C905}" name="Unique Clicks" dataDxfId="249"/>
    <tableColumn id="11" xr3:uid="{911B8CE9-EA6A-4257-9D42-103A3EA3B981}" name="CTO" dataDxfId="248"/>
    <tableColumn id="12" xr3:uid="{F186716F-3EB9-4F1B-BFAF-CF2CA4832AB0}" name="CTR" dataDxfId="247"/>
  </tableColumns>
  <tableStyleInfo name="Table Style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7A0A4DB-A9E6-44E5-95BB-EB0507780417}" name="Table13246981011121314151617181921202223234567891011121314151617181920212225242627282930313233343536" displayName="Table13246981011121314151617181921202223234567891011121314151617181920212225242627282930313233343536" ref="A1:I25" headerRowDxfId="246" dataDxfId="244" headerRowBorderDxfId="245" tableBorderDxfId="243">
  <sortState xmlns:xlrd2="http://schemas.microsoft.com/office/spreadsheetml/2017/richdata2" ref="A2:I25">
    <sortCondition ref="A1:A25"/>
  </sortState>
  <tableColumns count="9">
    <tableColumn id="3" xr3:uid="{59D823B5-E801-4997-A4D4-252B2D706209}" name="Send Date" dataDxfId="242"/>
    <tableColumn id="2" xr3:uid="{E1E1AB19-015D-4DE8-BD99-8E77B47AF300}" name="Journey Name" dataDxfId="241"/>
    <tableColumn id="4" xr3:uid="{FA60EB5E-79A8-42EB-B3C4-926047D9B41E}" name="Version" dataDxfId="240"/>
    <tableColumn id="5" xr3:uid="{5884E3DB-5DEA-425F-95E3-E1C3DA21C6D7}" name="Sent" dataDxfId="239"/>
    <tableColumn id="8" xr3:uid="{956733C6-A6CB-46E2-A845-6AEFA7206B8D}" name="Unique Opens" dataDxfId="238"/>
    <tableColumn id="9" xr3:uid="{7C95940A-48CA-46B3-9E17-F1A43ADABE7C}" name="Unique Open Rate" dataDxfId="237"/>
    <tableColumn id="10" xr3:uid="{E52056E2-D26C-49B7-8EDE-CC06EE28FF71}" name="Unique Clicks" dataDxfId="236"/>
    <tableColumn id="11" xr3:uid="{42D941E5-5A20-4142-B613-164C7E188910}" name="CTO" dataDxfId="235"/>
    <tableColumn id="12" xr3:uid="{C6ACEF2F-B2E7-4087-A240-C534BB249862}" name="CTR" dataDxfId="234"/>
  </tableColumns>
  <tableStyleInfo name="Table Style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F643922-1BBF-4588-AA31-59AB28698C17}" name="Table1324698101112131415161718192120222323456789101112131415161718192021222524262728293031323334353637" displayName="Table1324698101112131415161718192120222323456789101112131415161718192021222524262728293031323334353637" ref="A1:I33" headerRowDxfId="233" dataDxfId="231" headerRowBorderDxfId="232" tableBorderDxfId="230">
  <sortState xmlns:xlrd2="http://schemas.microsoft.com/office/spreadsheetml/2017/richdata2" ref="A2:I33">
    <sortCondition ref="A1:A33"/>
  </sortState>
  <tableColumns count="9">
    <tableColumn id="3" xr3:uid="{0F64467B-149E-41E0-86AB-C378147BBCB0}" name="Send Date" dataDxfId="229"/>
    <tableColumn id="2" xr3:uid="{C364550C-43A3-4769-B341-82FAA85B079B}" name="Journey Name" dataDxfId="228"/>
    <tableColumn id="4" xr3:uid="{6429EF6B-1C69-4628-8DF7-904C7BA1B21E}" name="Version" dataDxfId="227"/>
    <tableColumn id="5" xr3:uid="{2B7A2298-A361-4AA5-BA2A-25498B7F21A6}" name="Sent" dataDxfId="226"/>
    <tableColumn id="8" xr3:uid="{65EF8A36-5484-44E0-9944-23F293506979}" name="Unique Opens" dataDxfId="225"/>
    <tableColumn id="9" xr3:uid="{E23CB0E9-7F9E-42AD-91C7-4244A211C505}" name="Unique Open Rate" dataDxfId="224"/>
    <tableColumn id="10" xr3:uid="{28692E8A-F424-4B62-AD4B-DA07B3EE9D5B}" name="Unique Clicks" dataDxfId="223"/>
    <tableColumn id="11" xr3:uid="{6D114C17-444F-4646-A8FF-A98B71F6BDA2}" name="CTO" dataDxfId="222"/>
    <tableColumn id="12" xr3:uid="{CB17575E-AF13-4C91-B3D0-9EDE9E4CABAE}" name="CTR" dataDxfId="221"/>
  </tableColumns>
  <tableStyleInfo name="Table Style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5662F0B-447E-4823-926C-9212258AB118}" name="Table132469810111213141516171819212022232345678910111213141516171819202122252426272829303132333435363738" displayName="Table132469810111213141516171819212022232345678910111213141516171819202122252426272829303132333435363738" ref="A1:I26" headerRowDxfId="220" dataDxfId="218" headerRowBorderDxfId="219" tableBorderDxfId="217">
  <sortState xmlns:xlrd2="http://schemas.microsoft.com/office/spreadsheetml/2017/richdata2" ref="A2:I26">
    <sortCondition ref="A1:A26"/>
  </sortState>
  <tableColumns count="9">
    <tableColumn id="3" xr3:uid="{ABD669E4-D4C8-4FBA-9CF9-9CC6AD2DD7F7}" name="Send Date" dataDxfId="216"/>
    <tableColumn id="2" xr3:uid="{65B4DB1E-038D-41D5-83EA-52EC7E3A46B8}" name="Journey Name" dataDxfId="215"/>
    <tableColumn id="4" xr3:uid="{9CE52762-674C-4480-9260-078E6F954DC9}" name="Version" dataDxfId="214"/>
    <tableColumn id="5" xr3:uid="{131A171C-0D62-42F0-8D6C-B8E0E8161B7E}" name="Sent" dataDxfId="213"/>
    <tableColumn id="8" xr3:uid="{FF0991F0-84A1-41C9-AF6E-6781F6C2B8CF}" name="Unique Opens" dataDxfId="212"/>
    <tableColumn id="9" xr3:uid="{178B6DE5-1628-4CF0-ADD4-4965E965A85F}" name="Unique Open Rate" dataDxfId="211"/>
    <tableColumn id="10" xr3:uid="{A1B5FAEF-F15F-4F7C-B079-4965134DB149}" name="Unique Clicks" dataDxfId="210"/>
    <tableColumn id="11" xr3:uid="{2E0E76D6-6920-4E3F-9111-ABB392793AF8}" name="CTO" dataDxfId="209"/>
    <tableColumn id="12" xr3:uid="{2ED4D8F6-5E12-48F5-A72E-1BBD61487A38}" name="CTR" dataDxfId="208"/>
  </tableColumns>
  <tableStyleInfo name="Table Style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3A6136C-281F-4E2E-BD9A-AA5DADE24FEC}" name="Table13246981011121314151617181921202223234567891011121314151617181920212225242627282930313233343536373839" displayName="Table13246981011121314151617181921202223234567891011121314151617181920212225242627282930313233343536373839" ref="A1:I36" headerRowDxfId="207" dataDxfId="205" headerRowBorderDxfId="206" tableBorderDxfId="204">
  <sortState xmlns:xlrd2="http://schemas.microsoft.com/office/spreadsheetml/2017/richdata2" ref="A2:I36">
    <sortCondition ref="A1:A36"/>
  </sortState>
  <tableColumns count="9">
    <tableColumn id="3" xr3:uid="{9B5B659B-69C7-4269-BF10-599D0DD0B04F}" name="Send Date" dataDxfId="203"/>
    <tableColumn id="2" xr3:uid="{3ED92551-5F76-4155-9D60-3042E641D67A}" name="Journey Name" dataDxfId="202"/>
    <tableColumn id="4" xr3:uid="{EBB83B7F-6726-4DD9-949F-1A15F2EB32CB}" name="Version" dataDxfId="201"/>
    <tableColumn id="5" xr3:uid="{31D50F39-EFDF-4009-BAB8-5CB1A19DF5BC}" name="Sent" dataDxfId="200"/>
    <tableColumn id="8" xr3:uid="{B0A28CF5-19D6-4ED9-95FE-923317F3E6DA}" name="Unique Opens" dataDxfId="199"/>
    <tableColumn id="9" xr3:uid="{A9179131-A72B-4F63-A4F1-88445995A1DB}" name="Unique Open Rate" dataDxfId="198"/>
    <tableColumn id="10" xr3:uid="{FBFCB554-4C52-48DB-B759-2CA522919267}" name="Unique Clicks" dataDxfId="197"/>
    <tableColumn id="11" xr3:uid="{78D01479-C972-44AC-BC5B-BE5739DB63C7}" name="CTO" dataDxfId="196"/>
    <tableColumn id="12" xr3:uid="{E9F167D3-A6F9-4B6D-92E5-2DB1CB0FAD54}" name="CTR" dataDxfId="195"/>
  </tableColumns>
  <tableStyleInfo name="Table Style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5E89832-E78D-4FDA-919F-3D6B443D055E}" name="Table1324698101112131415161718192120222323456789101112131415161718192021222524262728293031323334353637383940" displayName="Table1324698101112131415161718192120222323456789101112131415161718192021222524262728293031323334353637383940" ref="A1:I32" headerRowDxfId="194" dataDxfId="192" headerRowBorderDxfId="193" tableBorderDxfId="191">
  <sortState xmlns:xlrd2="http://schemas.microsoft.com/office/spreadsheetml/2017/richdata2" ref="A2:I32">
    <sortCondition ref="A1:A32"/>
  </sortState>
  <tableColumns count="9">
    <tableColumn id="3" xr3:uid="{E323912E-82F2-4C64-92C9-F5B69791736E}" name="Send Date" dataDxfId="190"/>
    <tableColumn id="2" xr3:uid="{2C78B126-EE88-40C3-8DCE-63DA42CE2980}" name="Journey Name" dataDxfId="189"/>
    <tableColumn id="4" xr3:uid="{2B360E14-25A8-49AC-96B6-6B4ED0049215}" name="Version" dataDxfId="188"/>
    <tableColumn id="5" xr3:uid="{513294DA-7E73-42CB-A49C-1AB24DE091DF}" name="Sent" dataDxfId="187"/>
    <tableColumn id="8" xr3:uid="{F6E80298-848C-49BB-9DF0-75A6898DD897}" name="Unique Opens" dataDxfId="186"/>
    <tableColumn id="9" xr3:uid="{195E2239-8C0A-4F1F-AEA5-DE0C4DC6D87E}" name="Unique Open Rate" dataDxfId="185"/>
    <tableColumn id="10" xr3:uid="{5195CF74-F7EE-4C9F-A5E9-E618126D035F}" name="Unique Clicks" dataDxfId="184"/>
    <tableColumn id="11" xr3:uid="{72F424C4-A125-4A9C-88AF-0D4CA290FE44}" name="CTO" dataDxfId="183"/>
    <tableColumn id="12" xr3:uid="{44654272-4ADC-4B1A-825D-8EE9588BAC90}" name="CTR" dataDxfId="182"/>
  </tableColumns>
  <tableStyleInfo name="Table Style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C8B99C3-FE8B-4482-AAA0-81B5259E8784}" name="Table132469810111213141516171819212022232345678910111213141516171819202122252426272829303132333435363738394041" displayName="Table132469810111213141516171819212022232345678910111213141516171819202122252426272829303132333435363738394041" ref="A1:I38" headerRowDxfId="181" dataDxfId="179" headerRowBorderDxfId="180" tableBorderDxfId="178">
  <sortState xmlns:xlrd2="http://schemas.microsoft.com/office/spreadsheetml/2017/richdata2" ref="A2:I38">
    <sortCondition ref="A1:A38"/>
  </sortState>
  <tableColumns count="9">
    <tableColumn id="3" xr3:uid="{D0B5C788-8E2A-4BE8-B7AE-D1E924CFAFF8}" name="Send Date" dataDxfId="177"/>
    <tableColumn id="2" xr3:uid="{923DF4EE-F499-46A2-B075-82B64E06A459}" name="Journey Name" dataDxfId="176"/>
    <tableColumn id="4" xr3:uid="{5BCB3212-A16C-46B4-8033-297D2DFF8C4B}" name="Version" dataDxfId="175"/>
    <tableColumn id="5" xr3:uid="{96348F35-FAF2-4C5D-864F-965CBE0ABA71}" name="Sent" dataDxfId="174"/>
    <tableColumn id="8" xr3:uid="{1E98882A-B885-43F9-8512-43FE7490A8EF}" name="Unique Opens" dataDxfId="173"/>
    <tableColumn id="9" xr3:uid="{85590724-9F9A-4A69-8D5C-C45DA54A667B}" name="Unique Open Rate" dataDxfId="172"/>
    <tableColumn id="10" xr3:uid="{ECDB8D9C-763A-468F-BDF3-BEED2A2C5340}" name="Unique Clicks" dataDxfId="171"/>
    <tableColumn id="11" xr3:uid="{608443D1-908E-4333-9DF0-9AB48D66DE0C}" name="CTO" dataDxfId="170"/>
    <tableColumn id="12" xr3:uid="{CEC807BA-AFE9-40B7-9737-812A71A30B03}" name="CTR" dataDxfId="169"/>
  </tableColumns>
  <tableStyleInfo name="Table Style 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B0E0423-65DB-4F4A-9414-A1BAA50D8275}" name="Table13246981011121314151617181921202223234567891011121314151617181920212225242627282930313233343536373839404142" displayName="Table13246981011121314151617181921202223234567891011121314151617181920212225242627282930313233343536373839404142" ref="A1:I36" headerRowDxfId="168" dataDxfId="166" headerRowBorderDxfId="167" tableBorderDxfId="165">
  <sortState xmlns:xlrd2="http://schemas.microsoft.com/office/spreadsheetml/2017/richdata2" ref="A2:I36">
    <sortCondition ref="A1:A36"/>
  </sortState>
  <tableColumns count="9">
    <tableColumn id="3" xr3:uid="{310B3470-E3DA-400B-AD5D-37984970F52D}" name="Send Date" dataDxfId="164"/>
    <tableColumn id="2" xr3:uid="{D06C1D71-22E9-48B0-86C1-FA02806784A8}" name="Journey Name" dataDxfId="163"/>
    <tableColumn id="4" xr3:uid="{3F838904-49ED-46D9-8D11-0470B031126F}" name="Version" dataDxfId="162"/>
    <tableColumn id="5" xr3:uid="{3D85ED66-7843-4001-9006-2B358BFB9802}" name="Sent" dataDxfId="161"/>
    <tableColumn id="8" xr3:uid="{B7E18993-AA97-4529-895B-47201C23DF36}" name="Unique Opens" dataDxfId="160"/>
    <tableColumn id="9" xr3:uid="{2233BA1A-F4AB-4A73-81F2-B633AC55D2C7}" name="Unique Open Rate" dataDxfId="159"/>
    <tableColumn id="10" xr3:uid="{18D9EA0C-F210-422C-A445-F723AB32D1E4}" name="Unique Clicks" dataDxfId="158"/>
    <tableColumn id="11" xr3:uid="{710FD249-D60D-4BB4-9234-30277C50B8C7}" name="CTO" dataDxfId="157"/>
    <tableColumn id="12" xr3:uid="{CDE6FDB4-D3E1-4C78-AD45-EB3C0542F8E1}" name="CTR" dataDxfId="156"/>
  </tableColumns>
  <tableStyleInfo name="Table Style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3A2A5DE-599F-46CC-AFF2-4FD246B37F71}" name="Table1324698101112131415161718192120222323456789101112131415161718192021222524262728293031323334353637383940414243" displayName="Table1324698101112131415161718192120222323456789101112131415161718192021222524262728293031323334353637383940414243" ref="A1:I42" headerRowDxfId="155" dataDxfId="153" headerRowBorderDxfId="154" tableBorderDxfId="152">
  <sortState xmlns:xlrd2="http://schemas.microsoft.com/office/spreadsheetml/2017/richdata2" ref="A2:I42">
    <sortCondition ref="A1:A42"/>
  </sortState>
  <tableColumns count="9">
    <tableColumn id="3" xr3:uid="{B9C39844-72EF-41AA-800B-33DB6FC88B23}" name="Send Date" dataDxfId="151"/>
    <tableColumn id="2" xr3:uid="{FADB2E9E-693C-4C7C-8E7C-15355DE239A0}" name="Journey Name" dataDxfId="150"/>
    <tableColumn id="4" xr3:uid="{5B91AF3A-2F53-40CF-8444-5ADE13AA2F48}" name="Version" dataDxfId="149"/>
    <tableColumn id="5" xr3:uid="{9F709CE4-1B24-45BD-916C-6F300C533E0D}" name="Sent" dataDxfId="148"/>
    <tableColumn id="8" xr3:uid="{3C645015-4F18-4E70-898B-8DE07AEB30BB}" name="Unique Opens" dataDxfId="147"/>
    <tableColumn id="9" xr3:uid="{8715E8E1-5D8D-4F4D-B857-96CC9A474708}" name="Unique Open Rate" dataDxfId="146"/>
    <tableColumn id="10" xr3:uid="{50E713FD-1273-472D-BD99-914C8C82A1BB}" name="Unique Clicks" dataDxfId="145"/>
    <tableColumn id="11" xr3:uid="{ADEC3865-41FB-4897-AD00-66914FDFD264}" name="CTO" dataDxfId="144"/>
    <tableColumn id="12" xr3:uid="{8B135201-5DD3-44FD-90FA-B100B822D42F}" name="CTR" dataDxfId="143"/>
  </tableColumns>
  <tableStyleInfo name="Table Style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300939D-E81C-4F75-B27B-BB12BFC857A4}" name="Table132469810111213141516171819212022232345678910111213141516171819202122252426272829303132333435363738394041424344" displayName="Table132469810111213141516171819212022232345678910111213141516171819202122252426272829303132333435363738394041424344" ref="A1:I43" headerRowDxfId="142" dataDxfId="140" headerRowBorderDxfId="141" tableBorderDxfId="139">
  <sortState xmlns:xlrd2="http://schemas.microsoft.com/office/spreadsheetml/2017/richdata2" ref="A2:I43">
    <sortCondition ref="A1:A43"/>
  </sortState>
  <tableColumns count="9">
    <tableColumn id="3" xr3:uid="{0EE558BB-E7A0-4C2F-8819-6F9DE5D95725}" name="Send Date" dataDxfId="138"/>
    <tableColumn id="2" xr3:uid="{86310C94-247F-43E9-9661-434EEF815DEC}" name="Journey Name" dataDxfId="137"/>
    <tableColumn id="4" xr3:uid="{D650B5C0-5E7E-4E37-8778-3094C40ABEF4}" name="Version" dataDxfId="136"/>
    <tableColumn id="5" xr3:uid="{16EE33D0-5A1B-4378-9BC5-104CE1BB604E}" name="Sent" dataDxfId="135"/>
    <tableColumn id="8" xr3:uid="{4BB61B06-31EE-4AA1-A53B-A7A9194F0A3E}" name="Unique Opens" dataDxfId="134"/>
    <tableColumn id="9" xr3:uid="{7AB226FF-FDDA-415A-ABC1-BA7268AF16ED}" name="Unique Open Rate" dataDxfId="133"/>
    <tableColumn id="10" xr3:uid="{242B3198-B620-400E-85C5-8A8F8EA26EF4}" name="Unique Clicks" dataDxfId="132"/>
    <tableColumn id="11" xr3:uid="{6C2E28FD-E9F1-4B36-A937-FD267A2E2377}" name="CTO" dataDxfId="131"/>
    <tableColumn id="12" xr3:uid="{678F3618-6D47-4236-8FD7-F0BD88C64F88}" name="CTR" dataDxfId="130"/>
  </tableColumns>
  <tableStyleInfo name="Table Style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9501E7A-0176-43FA-A7FC-8991BA90AA5E}" name="Table13246981011121314151617181921202223234567891011121314151617181920212225242627282930313233343536373839404142434445" displayName="Table13246981011121314151617181921202223234567891011121314151617181920212225242627282930313233343536373839404142434445" ref="A1:I26" headerRowDxfId="129" dataDxfId="127" headerRowBorderDxfId="128" tableBorderDxfId="126">
  <sortState xmlns:xlrd2="http://schemas.microsoft.com/office/spreadsheetml/2017/richdata2" ref="A2:I26">
    <sortCondition ref="A1:A26"/>
  </sortState>
  <tableColumns count="9">
    <tableColumn id="3" xr3:uid="{6D6305E1-D174-4C8F-A77B-D8096E538D44}" name="Send Date" dataDxfId="125"/>
    <tableColumn id="2" xr3:uid="{8F4F8EE2-96C1-404A-8684-B6DF631FB12E}" name="Journey Name" dataDxfId="124"/>
    <tableColumn id="4" xr3:uid="{529F46F8-3279-474A-9A35-0B75F20B593D}" name="Version" dataDxfId="123"/>
    <tableColumn id="5" xr3:uid="{5E671840-318F-4CB8-8DC1-474AF04845EC}" name="Sent" dataDxfId="122"/>
    <tableColumn id="8" xr3:uid="{1E8D018D-AFDE-48CC-981F-FA32C08038E8}" name="Unique Opens" dataDxfId="121"/>
    <tableColumn id="9" xr3:uid="{063BC312-9430-4757-B985-CCA744F5F0C4}" name="Unique Open Rate" dataDxfId="120"/>
    <tableColumn id="10" xr3:uid="{A8FD6B71-022B-4201-9F1E-08255104AA30}" name="Unique Clicks" dataDxfId="119"/>
    <tableColumn id="11" xr3:uid="{F20FCC07-BC04-4E8D-988A-61A45FE4316F}" name="CTO" dataDxfId="118"/>
    <tableColumn id="12" xr3:uid="{E0BBAD05-1FC5-4263-986D-DD2FBDE8D2F8}" name="CTR" dataDxfId="117"/>
  </tableColumns>
  <tableStyleInfo name="Table Style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0BFB7D2-4D3D-405A-9A96-A9BE52726910}" name="Table1324698101112131415161718192120222323456789101112131415161718192021222524262728293031323334353637383940414243444546" displayName="Table1324698101112131415161718192120222323456789101112131415161718192021222524262728293031323334353637383940414243444546" ref="A1:I28" headerRowDxfId="116" dataDxfId="114" headerRowBorderDxfId="115" tableBorderDxfId="113">
  <sortState xmlns:xlrd2="http://schemas.microsoft.com/office/spreadsheetml/2017/richdata2" ref="A2:I28">
    <sortCondition ref="A1:A28"/>
  </sortState>
  <tableColumns count="9">
    <tableColumn id="3" xr3:uid="{20951D73-4D3D-47C7-A042-85075DA8A44C}" name="Send Date" dataDxfId="112"/>
    <tableColumn id="2" xr3:uid="{D3534390-CB52-4CC3-A6ED-7DA1971568E6}" name="Journey Name" dataDxfId="111"/>
    <tableColumn id="4" xr3:uid="{271C236B-AF27-4E1D-B36C-E49F3FBDB696}" name="Version" dataDxfId="110"/>
    <tableColumn id="5" xr3:uid="{23AEC709-91C9-4C40-AE26-1F0002CCAE78}" name="Sent" dataDxfId="109"/>
    <tableColumn id="8" xr3:uid="{3D883F0E-BF41-4693-B64B-440EC5B34C27}" name="Unique Opens" dataDxfId="108"/>
    <tableColumn id="9" xr3:uid="{16B0B4D5-5DDF-4A79-B548-8E84E4E62D15}" name="Unique Open Rate" dataDxfId="107"/>
    <tableColumn id="10" xr3:uid="{CC4938E3-AE34-4022-8385-461EBA83C1EC}" name="Unique Clicks" dataDxfId="106"/>
    <tableColumn id="11" xr3:uid="{5B064741-87ED-4D52-8E46-F0A1C3ED455B}" name="CTO" dataDxfId="105"/>
    <tableColumn id="12" xr3:uid="{822CE6CB-DD6B-4FC5-8A7D-F70F2F22E087}" name="CTR" dataDxfId="104"/>
  </tableColumns>
  <tableStyleInfo name="Table Style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E636642-EB1E-41B8-B19F-4AE5F1FBB05E}" name="Table132469810111213141516171819212022232345678910111213141516171819202122252426272829303132333435363738394041424344454647" displayName="Table132469810111213141516171819212022232345678910111213141516171819202122252426272829303132333435363738394041424344454647" ref="A1:I24" headerRowDxfId="103" dataDxfId="101" headerRowBorderDxfId="102" tableBorderDxfId="100">
  <sortState xmlns:xlrd2="http://schemas.microsoft.com/office/spreadsheetml/2017/richdata2" ref="A2:I24">
    <sortCondition ref="A1:A24"/>
  </sortState>
  <tableColumns count="9">
    <tableColumn id="3" xr3:uid="{3D01E155-7A21-40F0-9A92-9292D63B99BB}" name="Send Date" dataDxfId="99"/>
    <tableColumn id="2" xr3:uid="{B4088980-80FA-40F5-AD66-AD82E4652A34}" name="Journey Name" dataDxfId="98"/>
    <tableColumn id="4" xr3:uid="{2556B35E-035A-49DA-9A0E-43373E185404}" name="Version" dataDxfId="97"/>
    <tableColumn id="5" xr3:uid="{4948E7B5-C1D6-4046-BEC6-E6A3ED57A1AB}" name="Sent" dataDxfId="96"/>
    <tableColumn id="8" xr3:uid="{B581217B-4ED7-45CC-A57E-3EE610702EE1}" name="Unique Opens" dataDxfId="95"/>
    <tableColumn id="9" xr3:uid="{597DD11A-EA78-4E6A-BAB0-4E5E813D8E62}" name="Unique Open Rate" dataDxfId="94"/>
    <tableColumn id="10" xr3:uid="{E8487553-FFDD-425D-B17D-5719CCBA2CB5}" name="Unique Clicks" dataDxfId="93"/>
    <tableColumn id="11" xr3:uid="{D2494C41-21EF-4F9D-8FAA-BD530A4CCF02}" name="CTO" dataDxfId="92"/>
    <tableColumn id="12" xr3:uid="{4619458F-D5AA-447B-A55A-03B2C3647535}" name="CTR" dataDxfId="91"/>
  </tableColumns>
  <tableStyleInfo name="Table Style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2E6BBA3-8EB1-470E-9509-DACD67CDCB35}" name="Table13246981011121314151617181921202223234567891011121314151617181920212225242627282930313233343536373839404142434448" displayName="Table13246981011121314151617181921202223234567891011121314151617181920212225242627282930313233343536373839404142434448" ref="A1:I38" headerRowDxfId="90" dataDxfId="88" headerRowBorderDxfId="89" tableBorderDxfId="87">
  <sortState xmlns:xlrd2="http://schemas.microsoft.com/office/spreadsheetml/2017/richdata2" ref="A2:I38">
    <sortCondition ref="A1:A38"/>
  </sortState>
  <tableColumns count="9">
    <tableColumn id="3" xr3:uid="{EE75BCC8-83F0-49AE-A3CF-A29A3F9E767D}" name="Send Date" dataDxfId="86"/>
    <tableColumn id="2" xr3:uid="{249FAD21-F0C6-46B9-BC40-6035EB6ECF31}" name="Journey Name" dataDxfId="85"/>
    <tableColumn id="4" xr3:uid="{EE9C0FAE-0948-45A2-BCD2-59F68B50CB05}" name="Version" dataDxfId="84"/>
    <tableColumn id="5" xr3:uid="{D579BC0D-855C-4BCD-8D50-5CB30ECE6D42}" name="Sent" dataDxfId="83"/>
    <tableColumn id="8" xr3:uid="{34A13625-24A7-49EF-A3FF-4E05633262CC}" name="Unique Opens" dataDxfId="82"/>
    <tableColumn id="9" xr3:uid="{58E34A8E-3C29-43A6-B12F-AE0008895FD5}" name="Unique Open Rate" dataDxfId="81"/>
    <tableColumn id="10" xr3:uid="{733468D5-0CD8-483F-ABF3-FA4FEE24E325}" name="Unique Clicks" dataDxfId="80"/>
    <tableColumn id="11" xr3:uid="{B1065E89-04CF-4FF8-914F-84EE134B2841}" name="CTO" dataDxfId="79"/>
    <tableColumn id="12" xr3:uid="{ECFD48AC-2503-4915-9232-64C98FE20635}" name="CTR" dataDxfId="78"/>
  </tableColumns>
  <tableStyleInfo name="Table Style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6D59DD5-D451-46D8-A552-29CAF5ED0B0F}" name="Table1324698101112131415161718192120222323456789101112131415161718192021222524262728293031323334353637383940414243444849" displayName="Table1324698101112131415161718192120222323456789101112131415161718192021222524262728293031323334353637383940414243444849" ref="A1:I29" headerRowDxfId="77" dataDxfId="75" headerRowBorderDxfId="76" tableBorderDxfId="74">
  <sortState xmlns:xlrd2="http://schemas.microsoft.com/office/spreadsheetml/2017/richdata2" ref="A2:I29">
    <sortCondition ref="A1:A29"/>
  </sortState>
  <tableColumns count="9">
    <tableColumn id="3" xr3:uid="{0568C195-56FB-4E3E-9F82-2F520C6E7FFB}" name="Send Date" dataDxfId="73"/>
    <tableColumn id="2" xr3:uid="{A009573B-4268-4F46-82FC-7C1FF4BFC629}" name="Journey Name" dataDxfId="72"/>
    <tableColumn id="4" xr3:uid="{316C0C6C-ED34-4FD4-896C-E50AAE19039D}" name="Version" dataDxfId="71"/>
    <tableColumn id="5" xr3:uid="{DC115C0D-4886-464D-B466-A97D6C285935}" name="Sent" dataDxfId="70"/>
    <tableColumn id="8" xr3:uid="{3DFF573C-5AF5-4778-A964-4F23962D0FF5}" name="Unique Opens" dataDxfId="69"/>
    <tableColumn id="9" xr3:uid="{C9AB1EB6-013E-4FEE-AC15-9634BA0DDFAA}" name="Unique Open Rate" dataDxfId="68"/>
    <tableColumn id="10" xr3:uid="{CF554203-04BD-49CF-AA94-D89D4DFAADCF}" name="Unique Clicks" dataDxfId="67"/>
    <tableColumn id="11" xr3:uid="{7C6BDBD0-D83C-4942-9473-3EE3844EC350}" name="CTO" dataDxfId="66"/>
    <tableColumn id="12" xr3:uid="{FDAFDADA-2F80-4889-AB86-793CE02592EB}" name="CTR" dataDxfId="65"/>
  </tableColumns>
  <tableStyleInfo name="Table Style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9F43065-45C0-49E5-BEE5-412AA3660EE8}" name="Table132469810111213141516171819212022232345678910111213141516171819202122252426272829303132333435363738394041424344484950" displayName="Table132469810111213141516171819212022232345678910111213141516171819202122252426272829303132333435363738394041424344484950" ref="A1:I49" headerRowDxfId="64" dataDxfId="62" headerRowBorderDxfId="63" tableBorderDxfId="61">
  <sortState xmlns:xlrd2="http://schemas.microsoft.com/office/spreadsheetml/2017/richdata2" ref="A2:I49">
    <sortCondition ref="A1:A49"/>
  </sortState>
  <tableColumns count="9">
    <tableColumn id="3" xr3:uid="{59081578-BA9C-4B5F-B79B-CF15CB9EA4DA}" name="Send Date" dataDxfId="60"/>
    <tableColumn id="2" xr3:uid="{BD2A2003-9A80-4D0C-9310-376B66E43430}" name="Journey Name" dataDxfId="59"/>
    <tableColumn id="4" xr3:uid="{31A7B24D-9CD1-4AD4-A2FA-260B50162C4F}" name="Version" dataDxfId="58"/>
    <tableColumn id="5" xr3:uid="{640FD223-F6AC-4C58-AE32-FEE11B8AB9C3}" name="Sent" dataDxfId="57"/>
    <tableColumn id="8" xr3:uid="{C883DA4A-491B-40BF-AC14-82958DF94665}" name="Unique Opens" dataDxfId="56"/>
    <tableColumn id="9" xr3:uid="{2476FF46-C083-47B0-8482-C9746B68EFC1}" name="Unique Open Rate" dataDxfId="55"/>
    <tableColumn id="10" xr3:uid="{E131C167-D81A-49E1-A29C-F1CA77B0C6BD}" name="Unique Clicks" dataDxfId="54"/>
    <tableColumn id="11" xr3:uid="{DC233D1D-346A-4F8C-B06F-51791DB5736A}" name="CTO" dataDxfId="53"/>
    <tableColumn id="12" xr3:uid="{04E0397C-E6A2-4DBB-9488-CAA422E41EC7}" name="CTR" dataDxfId="52"/>
  </tableColumns>
  <tableStyleInfo name="Table Style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9E2C839-55C2-4FC7-A08A-9A3F6EDF4254}" name="Table13246981011121314151617181921202223234567891011121314151617181920212225242627282930313233343536373839404142434448495051" displayName="Table13246981011121314151617181921202223234567891011121314151617181920212225242627282930313233343536373839404142434448495051" ref="A1:I34" headerRowDxfId="51" dataDxfId="49" headerRowBorderDxfId="50" tableBorderDxfId="48">
  <sortState xmlns:xlrd2="http://schemas.microsoft.com/office/spreadsheetml/2017/richdata2" ref="A2:I34">
    <sortCondition ref="A1:A34"/>
  </sortState>
  <tableColumns count="9">
    <tableColumn id="3" xr3:uid="{AEE62646-D0B6-4074-928B-0685D820CAE6}" name="Send Date" dataDxfId="47"/>
    <tableColumn id="2" xr3:uid="{3E328E94-FC34-497A-9B6F-37A7BC2492E3}" name="Journey Name" dataDxfId="46"/>
    <tableColumn id="4" xr3:uid="{3FFD009C-45C3-450D-B669-D07D6FCBB90C}" name="Version" dataDxfId="45"/>
    <tableColumn id="5" xr3:uid="{5D04770A-26F9-4441-9198-440ABA641847}" name="Sent" dataDxfId="44"/>
    <tableColumn id="8" xr3:uid="{B2A7A570-F31E-409C-A889-40FEC63757FD}" name="Unique Opens" dataDxfId="43"/>
    <tableColumn id="9" xr3:uid="{528F092E-BAF6-4FC0-B13B-D76055266486}" name="Unique Open Rate" dataDxfId="42"/>
    <tableColumn id="10" xr3:uid="{117A938A-2630-4104-9BA9-A8527F83F949}" name="Unique Clicks" dataDxfId="41"/>
    <tableColumn id="11" xr3:uid="{4914B9BD-6AAB-4B65-9414-5D5642D85681}" name="CTO" dataDxfId="40"/>
    <tableColumn id="12" xr3:uid="{FB712A7D-7C44-457E-9153-D3AAA0A0D67E}" name="CTR" dataDxfId="39"/>
  </tableColumns>
  <tableStyleInfo name="Table Style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3861F55-28C4-4F24-B3A5-9AE6B369A5E4}" name="Table1324698101112131415161718192120222323456789101112131415161718192021222524262728293031323334353637383940414243444849505152" displayName="Table1324698101112131415161718192120222323456789101112131415161718192021222524262728293031323334353637383940414243444849505152" ref="A1:I31" headerRowDxfId="38" dataDxfId="36" headerRowBorderDxfId="37" tableBorderDxfId="35">
  <sortState xmlns:xlrd2="http://schemas.microsoft.com/office/spreadsheetml/2017/richdata2" ref="A2:I31">
    <sortCondition ref="A1:A31"/>
  </sortState>
  <tableColumns count="9">
    <tableColumn id="3" xr3:uid="{8C38B978-E540-41F9-97D7-ACDF53C46B46}" name="Send Date" dataDxfId="34"/>
    <tableColumn id="2" xr3:uid="{E338C3A0-4D93-4470-B5B1-FBBC0BF0B8A7}" name="Journey Name" dataDxfId="33"/>
    <tableColumn id="4" xr3:uid="{DDE8F001-FA94-4E29-83E0-1B56258FC4D8}" name="Version" dataDxfId="32"/>
    <tableColumn id="5" xr3:uid="{5EF5C31D-CBBD-40C7-B34A-B79ED274AB1E}" name="Sent" dataDxfId="31"/>
    <tableColumn id="8" xr3:uid="{CF8E7226-8378-4164-B487-61168E280AC3}" name="Unique Opens" dataDxfId="30"/>
    <tableColumn id="9" xr3:uid="{BCB2F756-88CC-4794-A161-87AEB239EC30}" name="Unique Open Rate" dataDxfId="29"/>
    <tableColumn id="10" xr3:uid="{495817B6-5417-4975-9CA6-A4C6A576A12A}" name="Unique Clicks" dataDxfId="28"/>
    <tableColumn id="11" xr3:uid="{2BE1AAE3-B02C-47A6-B274-28671676269E}" name="CTO" dataDxfId="27"/>
    <tableColumn id="12" xr3:uid="{BD104CC5-ADC4-4468-9F32-E58E6373B9B2}" name="CTR" dataDxfId="26"/>
  </tableColumns>
  <tableStyleInfo name="Table Style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5D103F8-24CD-4F2A-AA74-5C5E13CA0C02}" name="Table132469810111213141516171819212022232345678910111213141516171819202122252426272829303132333435363738394041424344484950515253" displayName="Table132469810111213141516171819212022232345678910111213141516171819202122252426272829303132333435363738394041424344484950515253" ref="A1:I23" headerRowDxfId="25" dataDxfId="23" headerRowBorderDxfId="24" tableBorderDxfId="22">
  <sortState xmlns:xlrd2="http://schemas.microsoft.com/office/spreadsheetml/2017/richdata2" ref="A2:I23">
    <sortCondition ref="A1:A23"/>
  </sortState>
  <tableColumns count="9">
    <tableColumn id="3" xr3:uid="{C2637ADA-D516-4398-BDCD-F7651BE68DEC}" name="Send Date" dataDxfId="21"/>
    <tableColumn id="2" xr3:uid="{DBE6BEB7-EF0D-435B-81D2-0939212A31B5}" name="Journey Name" dataDxfId="20"/>
    <tableColumn id="4" xr3:uid="{C15BA3A7-CF89-42DC-9567-53FD7E016E2E}" name="Version" dataDxfId="19"/>
    <tableColumn id="5" xr3:uid="{1957B4E3-476C-455F-BCD7-FEB172CADA38}" name="Sent" dataDxfId="18"/>
    <tableColumn id="8" xr3:uid="{E12AD26A-FB07-4BF5-97AC-8C720896AC05}" name="Unique Opens" dataDxfId="17"/>
    <tableColumn id="9" xr3:uid="{9D396ACF-8F77-49FE-BFBA-303DB562ECFA}" name="Unique Open Rate" dataDxfId="16"/>
    <tableColumn id="10" xr3:uid="{35B00068-89EE-4060-9E8F-B2281F493B59}" name="Unique Clicks" dataDxfId="15"/>
    <tableColumn id="11" xr3:uid="{2A4B0F58-0FC1-4573-9B87-38C3EB4D1EF5}" name="CTO" dataDxfId="14"/>
    <tableColumn id="12" xr3:uid="{77161470-6204-4DB5-8DB1-33B461596D6C}" name="CTR" dataDxfId="13"/>
  </tableColumns>
  <tableStyleInfo name="Table Style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1A34DCB-8930-40FE-BEDA-C2982DC9F039}" name="Table132469810111213141516171819212022232345678910111213141516171819202122252426272829303132333435363738394041424344484950515254" displayName="Table132469810111213141516171819212022232345678910111213141516171819202122252426272829303132333435363738394041424344484950515254" ref="A1:I28" headerRowDxfId="12" dataDxfId="10" headerRowBorderDxfId="11" tableBorderDxfId="9">
  <sortState xmlns:xlrd2="http://schemas.microsoft.com/office/spreadsheetml/2017/richdata2" ref="A2:I28">
    <sortCondition ref="A1:A28"/>
  </sortState>
  <tableColumns count="9">
    <tableColumn id="3" xr3:uid="{338CA214-3C89-494E-AEE9-E92969A0EFF8}" name="Send Date" dataDxfId="8"/>
    <tableColumn id="2" xr3:uid="{3C868586-0459-447F-B818-2DC072B00582}" name="Journey Name" dataDxfId="7"/>
    <tableColumn id="4" xr3:uid="{9E74FC25-CB35-4E02-9FB6-D2181476D2AB}" name="Version" dataDxfId="6"/>
    <tableColumn id="5" xr3:uid="{84CAB2DC-DF74-4001-98CA-389512AD14B2}" name="Sent" dataDxfId="5"/>
    <tableColumn id="8" xr3:uid="{67A7CD70-0E4E-401F-BAF8-2AAE25A227D5}" name="Unique Opens" dataDxfId="4"/>
    <tableColumn id="9" xr3:uid="{18D8F239-7D3A-4A51-A4E1-2608D033FAE2}" name="Unique Open Rate" dataDxfId="3"/>
    <tableColumn id="10" xr3:uid="{64E07FF5-5720-49F8-9760-94A1112F54F4}" name="Unique Clicks" dataDxfId="2"/>
    <tableColumn id="11" xr3:uid="{5F3D7DED-CCAC-48E0-B057-521FA15592D6}" name="CTO" dataDxfId="1"/>
    <tableColumn id="12" xr3:uid="{02D77E24-C03A-4216-BE64-9D3FB6CBF46F}" name="CTR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0228-D12A-4AF1-B02B-997CEC4A080E}">
  <dimension ref="A1:I58"/>
  <sheetViews>
    <sheetView workbookViewId="0">
      <selection activeCell="M22" sqref="M22"/>
    </sheetView>
  </sheetViews>
  <sheetFormatPr defaultRowHeight="14.5" x14ac:dyDescent="0.35"/>
  <cols>
    <col min="1" max="1" width="11.81640625" customWidth="1"/>
    <col min="2" max="2" width="78.54296875" customWidth="1"/>
    <col min="3" max="3" width="43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45655</v>
      </c>
      <c r="B2" t="s">
        <v>9</v>
      </c>
      <c r="C2" t="s">
        <v>10</v>
      </c>
      <c r="D2" s="1">
        <v>4070697</v>
      </c>
      <c r="E2" s="1">
        <v>1128162</v>
      </c>
      <c r="F2" s="2">
        <v>0.27714221913347997</v>
      </c>
      <c r="G2" s="1">
        <v>25678</v>
      </c>
      <c r="H2" s="2">
        <v>2.2760915542271401E-2</v>
      </c>
      <c r="I2" s="2">
        <v>6.30801064289482E-3</v>
      </c>
    </row>
    <row r="3" spans="1:9" x14ac:dyDescent="0.35">
      <c r="A3" s="19">
        <v>45655</v>
      </c>
      <c r="B3" t="s">
        <v>9</v>
      </c>
      <c r="C3" t="s">
        <v>11</v>
      </c>
      <c r="D3" s="1">
        <v>237550</v>
      </c>
      <c r="E3" s="1">
        <v>36601</v>
      </c>
      <c r="F3" s="2">
        <v>0.15407703641338699</v>
      </c>
      <c r="G3" s="1">
        <v>1260</v>
      </c>
      <c r="H3" s="2">
        <v>3.4425288926532099E-2</v>
      </c>
      <c r="I3" s="2">
        <v>5.3041464954746396E-3</v>
      </c>
    </row>
    <row r="4" spans="1:9" x14ac:dyDescent="0.35">
      <c r="A4" s="19">
        <v>45655</v>
      </c>
      <c r="B4" t="s">
        <v>12</v>
      </c>
      <c r="C4" t="s">
        <v>10</v>
      </c>
      <c r="D4" s="1">
        <v>293018</v>
      </c>
      <c r="E4" s="1">
        <v>71794</v>
      </c>
      <c r="F4" s="2">
        <v>0.245015664566682</v>
      </c>
      <c r="G4" s="1">
        <v>1086</v>
      </c>
      <c r="H4" s="2">
        <v>1.51266122517202E-2</v>
      </c>
      <c r="I4" s="2">
        <v>3.7062569534977402E-3</v>
      </c>
    </row>
    <row r="5" spans="1:9" x14ac:dyDescent="0.35">
      <c r="A5" s="19">
        <v>45656</v>
      </c>
      <c r="B5" t="s">
        <v>13</v>
      </c>
      <c r="C5" t="s">
        <v>14</v>
      </c>
      <c r="D5" s="1">
        <v>6111</v>
      </c>
      <c r="E5" s="1">
        <v>1752</v>
      </c>
      <c r="F5" s="2">
        <v>0.28669612174766801</v>
      </c>
      <c r="G5" s="1">
        <v>93</v>
      </c>
      <c r="H5" s="2">
        <v>5.3082191780821901E-2</v>
      </c>
      <c r="I5" s="2">
        <v>1.52184585174276E-2</v>
      </c>
    </row>
    <row r="6" spans="1:9" x14ac:dyDescent="0.35">
      <c r="A6" s="19">
        <v>45292</v>
      </c>
      <c r="B6" t="s">
        <v>15</v>
      </c>
      <c r="C6" t="s">
        <v>10</v>
      </c>
      <c r="D6" s="1">
        <v>88514</v>
      </c>
      <c r="E6" s="1">
        <v>36552</v>
      </c>
      <c r="F6" s="2">
        <v>0.41295162347199299</v>
      </c>
      <c r="G6" s="1">
        <v>4703</v>
      </c>
      <c r="H6" s="2">
        <v>0.128666010067849</v>
      </c>
      <c r="I6" s="2">
        <v>5.31328377431819E-2</v>
      </c>
    </row>
    <row r="7" spans="1:9" x14ac:dyDescent="0.35">
      <c r="A7" s="19">
        <v>45292</v>
      </c>
      <c r="B7" t="s">
        <v>15</v>
      </c>
      <c r="C7" t="s">
        <v>11</v>
      </c>
      <c r="D7" s="1">
        <v>9858</v>
      </c>
      <c r="E7" s="1">
        <v>3731</v>
      </c>
      <c r="F7" s="2">
        <v>0.37847433556502302</v>
      </c>
      <c r="G7" s="1">
        <v>643</v>
      </c>
      <c r="H7" s="2">
        <v>0.17233985526668499</v>
      </c>
      <c r="I7" s="2">
        <v>6.5226212213430695E-2</v>
      </c>
    </row>
    <row r="8" spans="1:9" x14ac:dyDescent="0.35">
      <c r="A8" s="19">
        <v>45293</v>
      </c>
      <c r="B8" t="s">
        <v>16</v>
      </c>
      <c r="C8" t="s">
        <v>10</v>
      </c>
      <c r="D8" s="1">
        <v>1009160</v>
      </c>
      <c r="E8" s="1">
        <v>373012</v>
      </c>
      <c r="F8" s="2">
        <v>0.36962622379008298</v>
      </c>
      <c r="G8" s="1">
        <v>6289</v>
      </c>
      <c r="H8" s="2">
        <v>1.68600473979389E-2</v>
      </c>
      <c r="I8" s="2">
        <v>6.2319156526219801E-3</v>
      </c>
    </row>
    <row r="9" spans="1:9" x14ac:dyDescent="0.35">
      <c r="A9" s="19">
        <v>45293</v>
      </c>
      <c r="B9" t="s">
        <v>16</v>
      </c>
      <c r="C9" t="s">
        <v>11</v>
      </c>
      <c r="D9" s="1">
        <v>79165</v>
      </c>
      <c r="E9" s="1">
        <v>25552</v>
      </c>
      <c r="F9" s="2">
        <v>0.32276890039790301</v>
      </c>
      <c r="G9" s="1">
        <v>808</v>
      </c>
      <c r="H9" s="2">
        <v>3.1621790857858503E-2</v>
      </c>
      <c r="I9" s="2">
        <v>1.02065306638034E-2</v>
      </c>
    </row>
    <row r="10" spans="1:9" x14ac:dyDescent="0.35">
      <c r="A10" s="19">
        <v>45294</v>
      </c>
      <c r="B10" t="s">
        <v>17</v>
      </c>
      <c r="C10" t="s">
        <v>10</v>
      </c>
      <c r="D10" s="1">
        <v>311954</v>
      </c>
      <c r="E10" s="1">
        <v>111066</v>
      </c>
      <c r="F10" s="2">
        <v>0.35603326131416801</v>
      </c>
      <c r="G10" s="1">
        <v>1000</v>
      </c>
      <c r="H10" s="2">
        <v>9.0036554841265593E-3</v>
      </c>
      <c r="I10" s="2">
        <v>3.2056008257627701E-3</v>
      </c>
    </row>
    <row r="11" spans="1:9" x14ac:dyDescent="0.35">
      <c r="A11" s="19">
        <v>45294</v>
      </c>
      <c r="B11" t="s">
        <v>17</v>
      </c>
      <c r="C11" t="s">
        <v>11</v>
      </c>
      <c r="D11" s="1">
        <v>16728</v>
      </c>
      <c r="E11" s="1">
        <v>5267</v>
      </c>
      <c r="F11" s="2">
        <v>0.31486131037781001</v>
      </c>
      <c r="G11" s="1">
        <v>78</v>
      </c>
      <c r="H11" s="2">
        <v>1.4809189291817E-2</v>
      </c>
      <c r="I11" s="2">
        <v>4.6628407460545199E-3</v>
      </c>
    </row>
    <row r="12" spans="1:9" x14ac:dyDescent="0.35">
      <c r="A12" s="19">
        <v>45295</v>
      </c>
      <c r="B12" t="s">
        <v>18</v>
      </c>
      <c r="C12" t="s">
        <v>19</v>
      </c>
      <c r="D12" s="1">
        <v>625792</v>
      </c>
      <c r="E12" s="1">
        <v>196666</v>
      </c>
      <c r="F12" s="3">
        <v>0.31430000000000002</v>
      </c>
      <c r="G12" s="1">
        <v>1423</v>
      </c>
      <c r="H12" s="3">
        <v>7.1999999999999998E-3</v>
      </c>
      <c r="I12" s="3">
        <v>2.3E-3</v>
      </c>
    </row>
    <row r="13" spans="1:9" x14ac:dyDescent="0.35">
      <c r="A13" s="19">
        <v>45295</v>
      </c>
      <c r="B13" t="s">
        <v>20</v>
      </c>
      <c r="C13" t="s">
        <v>21</v>
      </c>
      <c r="D13" s="1">
        <v>50557</v>
      </c>
      <c r="E13" s="1">
        <v>13149</v>
      </c>
      <c r="F13" s="3">
        <v>0.2601</v>
      </c>
      <c r="G13">
        <v>145</v>
      </c>
      <c r="H13" s="3">
        <v>1.0999999999999999E-2</v>
      </c>
      <c r="I13" s="3">
        <v>2.8999999999999998E-3</v>
      </c>
    </row>
    <row r="14" spans="1:9" x14ac:dyDescent="0.35">
      <c r="A14" s="19">
        <v>45295</v>
      </c>
      <c r="B14" t="s">
        <v>22</v>
      </c>
      <c r="C14" t="s">
        <v>23</v>
      </c>
      <c r="D14" s="1">
        <v>199925</v>
      </c>
      <c r="E14" s="1">
        <v>83797</v>
      </c>
      <c r="F14" s="3">
        <v>0.41909999999999997</v>
      </c>
      <c r="G14" s="1">
        <v>1275</v>
      </c>
      <c r="H14" s="3">
        <v>1.52E-2</v>
      </c>
      <c r="I14" s="3">
        <v>6.4000000000000003E-3</v>
      </c>
    </row>
    <row r="15" spans="1:9" x14ac:dyDescent="0.35">
      <c r="A15" s="19">
        <v>45295</v>
      </c>
      <c r="B15" t="s">
        <v>24</v>
      </c>
      <c r="C15" t="s">
        <v>25</v>
      </c>
      <c r="D15" s="1">
        <v>15255</v>
      </c>
      <c r="E15" s="1">
        <v>5936</v>
      </c>
      <c r="F15" s="3">
        <v>0.3891</v>
      </c>
      <c r="G15">
        <v>92</v>
      </c>
      <c r="H15" s="3">
        <v>1.55E-2</v>
      </c>
      <c r="I15" s="3">
        <v>6.0000000000000001E-3</v>
      </c>
    </row>
    <row r="16" spans="1:9" x14ac:dyDescent="0.35">
      <c r="A16" s="19">
        <v>45295</v>
      </c>
      <c r="B16" t="s">
        <v>26</v>
      </c>
      <c r="C16" t="s">
        <v>27</v>
      </c>
      <c r="D16" s="1">
        <v>302289</v>
      </c>
      <c r="E16" s="1">
        <v>103737</v>
      </c>
      <c r="F16" s="3">
        <v>0.34320000000000001</v>
      </c>
      <c r="G16">
        <v>727</v>
      </c>
      <c r="H16" s="3">
        <v>7.0000000000000001E-3</v>
      </c>
      <c r="I16" s="3">
        <v>2.3999999999999998E-3</v>
      </c>
    </row>
    <row r="17" spans="1:9" x14ac:dyDescent="0.35">
      <c r="A17" s="19">
        <v>45295</v>
      </c>
      <c r="B17" t="s">
        <v>28</v>
      </c>
      <c r="C17" t="s">
        <v>21</v>
      </c>
      <c r="D17" s="1">
        <v>21059</v>
      </c>
      <c r="E17" s="1">
        <v>6341</v>
      </c>
      <c r="F17" s="3">
        <v>0.30109999999999998</v>
      </c>
      <c r="G17">
        <v>95</v>
      </c>
      <c r="H17" s="3">
        <v>1.4999999999999999E-2</v>
      </c>
      <c r="I17" s="3">
        <v>4.4999999999999997E-3</v>
      </c>
    </row>
    <row r="18" spans="1:9" x14ac:dyDescent="0.35">
      <c r="A18" s="19">
        <v>45295</v>
      </c>
      <c r="B18" t="s">
        <v>29</v>
      </c>
      <c r="C18" t="s">
        <v>23</v>
      </c>
      <c r="D18" s="1">
        <v>53876</v>
      </c>
      <c r="E18" s="1">
        <v>20331</v>
      </c>
      <c r="F18" s="3">
        <v>0.37740000000000001</v>
      </c>
      <c r="G18">
        <v>258</v>
      </c>
      <c r="H18" s="3">
        <v>1.2699999999999999E-2</v>
      </c>
      <c r="I18" s="3">
        <v>4.7999999999999996E-3</v>
      </c>
    </row>
    <row r="19" spans="1:9" x14ac:dyDescent="0.35">
      <c r="A19" s="19">
        <v>45295</v>
      </c>
      <c r="B19" t="s">
        <v>29</v>
      </c>
      <c r="C19" t="s">
        <v>25</v>
      </c>
      <c r="D19" s="1">
        <v>4059</v>
      </c>
      <c r="E19" s="1">
        <v>1544</v>
      </c>
      <c r="F19" s="3">
        <v>0.38040000000000002</v>
      </c>
      <c r="G19">
        <v>18</v>
      </c>
      <c r="H19" s="3">
        <v>1.17E-2</v>
      </c>
      <c r="I19" s="3">
        <v>4.4000000000000003E-3</v>
      </c>
    </row>
    <row r="20" spans="1:9" x14ac:dyDescent="0.35">
      <c r="A20" s="19">
        <v>45295</v>
      </c>
      <c r="B20" t="s">
        <v>30</v>
      </c>
      <c r="C20" t="s">
        <v>31</v>
      </c>
      <c r="D20" s="1">
        <v>627469</v>
      </c>
      <c r="E20" s="1">
        <v>184040</v>
      </c>
      <c r="F20" s="3">
        <v>0.29330000000000001</v>
      </c>
      <c r="G20" s="1">
        <v>1337</v>
      </c>
      <c r="H20" s="3">
        <v>7.3000000000000001E-3</v>
      </c>
      <c r="I20" s="3">
        <v>2.0999999999999999E-3</v>
      </c>
    </row>
    <row r="21" spans="1:9" x14ac:dyDescent="0.35">
      <c r="A21" s="19">
        <v>45295</v>
      </c>
      <c r="B21" t="s">
        <v>30</v>
      </c>
      <c r="C21" t="s">
        <v>32</v>
      </c>
      <c r="D21" s="1">
        <v>41781</v>
      </c>
      <c r="E21" s="1">
        <v>9914</v>
      </c>
      <c r="F21" s="3">
        <v>0.23730000000000001</v>
      </c>
      <c r="G21">
        <v>108</v>
      </c>
      <c r="H21" s="3">
        <v>1.09E-2</v>
      </c>
      <c r="I21" s="3">
        <v>2.5999999999999999E-3</v>
      </c>
    </row>
    <row r="22" spans="1:9" x14ac:dyDescent="0.35">
      <c r="A22" s="19">
        <v>45295</v>
      </c>
      <c r="B22" t="s">
        <v>33</v>
      </c>
      <c r="C22" t="s">
        <v>27</v>
      </c>
      <c r="D22" s="1">
        <v>799352</v>
      </c>
      <c r="E22" s="1">
        <v>302561</v>
      </c>
      <c r="F22" s="3">
        <v>0.3785</v>
      </c>
      <c r="G22" s="1">
        <v>2212</v>
      </c>
      <c r="H22" s="3">
        <v>7.3000000000000001E-3</v>
      </c>
      <c r="I22" s="3">
        <v>2.8E-3</v>
      </c>
    </row>
    <row r="23" spans="1:9" x14ac:dyDescent="0.35">
      <c r="A23" s="19">
        <v>45295</v>
      </c>
      <c r="B23" t="s">
        <v>33</v>
      </c>
      <c r="C23" t="s">
        <v>21</v>
      </c>
      <c r="D23" s="1">
        <v>59737</v>
      </c>
      <c r="E23" s="1">
        <v>20579</v>
      </c>
      <c r="F23" s="3">
        <v>0.34449999999999997</v>
      </c>
      <c r="G23">
        <v>257</v>
      </c>
      <c r="H23" s="3">
        <v>1.2500000000000001E-2</v>
      </c>
      <c r="I23" s="3">
        <v>4.3E-3</v>
      </c>
    </row>
    <row r="24" spans="1:9" x14ac:dyDescent="0.35">
      <c r="A24" s="19">
        <v>45295</v>
      </c>
      <c r="B24" t="s">
        <v>34</v>
      </c>
      <c r="C24" t="s">
        <v>27</v>
      </c>
      <c r="D24" s="1">
        <v>325095</v>
      </c>
      <c r="E24" s="1">
        <v>120015</v>
      </c>
      <c r="F24" s="3">
        <v>0.36919999999999997</v>
      </c>
      <c r="G24">
        <v>778</v>
      </c>
      <c r="H24" s="3">
        <v>6.4999999999999997E-3</v>
      </c>
      <c r="I24" s="3">
        <v>2.3999999999999998E-3</v>
      </c>
    </row>
    <row r="25" spans="1:9" ht="15" thickBot="1" x14ac:dyDescent="0.4">
      <c r="A25" s="20" t="s">
        <v>35</v>
      </c>
      <c r="D25" s="10">
        <f>SUM(D2:D24)</f>
        <v>9249001</v>
      </c>
      <c r="E25" s="10">
        <f>SUM(E2:E24)</f>
        <v>2862099</v>
      </c>
      <c r="F25" s="27">
        <f>AVERAGE(F2:F24)</f>
        <v>0.32718029116426944</v>
      </c>
      <c r="G25" s="10">
        <f>SUM(G2:G24)</f>
        <v>50363</v>
      </c>
      <c r="H25" s="27">
        <f>AVERAGE(H2:H24)</f>
        <v>2.7760676385548716E-2</v>
      </c>
      <c r="I25" s="27">
        <f>AVERAGE(I2:I24)</f>
        <v>9.6131656719195685E-3</v>
      </c>
    </row>
    <row r="26" spans="1:9" ht="15" thickBot="1" x14ac:dyDescent="0.4">
      <c r="A26" s="138"/>
      <c r="B26" s="138"/>
      <c r="C26" s="138"/>
      <c r="D26" s="138"/>
      <c r="E26" s="138"/>
      <c r="F26" s="138"/>
      <c r="G26" s="138"/>
      <c r="H26" s="138"/>
      <c r="I26" s="138"/>
    </row>
    <row r="27" spans="1:9" ht="20.5" customHeight="1" x14ac:dyDescent="0.35">
      <c r="A27" s="24" t="s">
        <v>0</v>
      </c>
      <c r="B27" s="25" t="s">
        <v>1</v>
      </c>
      <c r="C27" s="25" t="s">
        <v>2</v>
      </c>
      <c r="D27" s="25" t="s">
        <v>3</v>
      </c>
      <c r="E27" s="25" t="s">
        <v>4</v>
      </c>
      <c r="F27" s="25" t="s">
        <v>5</v>
      </c>
      <c r="G27" s="25" t="s">
        <v>6</v>
      </c>
      <c r="H27" s="25" t="s">
        <v>7</v>
      </c>
      <c r="I27" s="26" t="s">
        <v>8</v>
      </c>
    </row>
    <row r="28" spans="1:9" x14ac:dyDescent="0.35">
      <c r="A28" s="5" t="s">
        <v>36</v>
      </c>
      <c r="B28" s="6"/>
      <c r="C28" s="6"/>
      <c r="D28" s="6"/>
      <c r="E28" s="6"/>
      <c r="F28" s="6"/>
      <c r="G28" s="6"/>
      <c r="H28" s="6"/>
      <c r="I28" s="7"/>
    </row>
    <row r="29" spans="1:9" x14ac:dyDescent="0.35">
      <c r="A29" s="8">
        <v>45655</v>
      </c>
      <c r="B29" t="s">
        <v>9</v>
      </c>
      <c r="C29" t="s">
        <v>10</v>
      </c>
      <c r="D29" s="1">
        <v>4070697</v>
      </c>
      <c r="E29" s="1">
        <v>1128162</v>
      </c>
      <c r="F29" s="2">
        <v>0.27714221913347997</v>
      </c>
      <c r="G29" s="1">
        <v>25678</v>
      </c>
      <c r="H29" s="2">
        <v>2.2760915542271401E-2</v>
      </c>
      <c r="I29" s="9">
        <v>6.30801064289482E-3</v>
      </c>
    </row>
    <row r="30" spans="1:9" x14ac:dyDescent="0.35">
      <c r="A30" s="8">
        <v>45655</v>
      </c>
      <c r="B30" t="s">
        <v>9</v>
      </c>
      <c r="C30" t="s">
        <v>11</v>
      </c>
      <c r="D30" s="1">
        <v>237550</v>
      </c>
      <c r="E30" s="1">
        <v>36601</v>
      </c>
      <c r="F30" s="2">
        <v>0.15407703641338699</v>
      </c>
      <c r="G30" s="1">
        <v>1260</v>
      </c>
      <c r="H30" s="2">
        <v>3.4425288926532099E-2</v>
      </c>
      <c r="I30" s="9">
        <v>5.3041464954746396E-3</v>
      </c>
    </row>
    <row r="31" spans="1:9" x14ac:dyDescent="0.35">
      <c r="A31" s="8">
        <v>45655</v>
      </c>
      <c r="B31" t="s">
        <v>12</v>
      </c>
      <c r="C31" t="s">
        <v>10</v>
      </c>
      <c r="D31" s="1">
        <v>293018</v>
      </c>
      <c r="E31" s="1">
        <v>71794</v>
      </c>
      <c r="F31" s="2">
        <v>0.245015664566682</v>
      </c>
      <c r="G31" s="1">
        <v>1086</v>
      </c>
      <c r="H31" s="2">
        <v>1.51266122517202E-2</v>
      </c>
      <c r="I31" s="9">
        <v>3.7062569534977402E-3</v>
      </c>
    </row>
    <row r="32" spans="1:9" x14ac:dyDescent="0.35">
      <c r="A32" s="8">
        <v>45293</v>
      </c>
      <c r="B32" t="s">
        <v>16</v>
      </c>
      <c r="C32" t="s">
        <v>10</v>
      </c>
      <c r="D32" s="1">
        <v>1009160</v>
      </c>
      <c r="E32" s="1">
        <v>373012</v>
      </c>
      <c r="F32" s="2">
        <v>0.36962622379008298</v>
      </c>
      <c r="G32" s="1">
        <v>6289</v>
      </c>
      <c r="H32" s="2">
        <v>1.68600473979389E-2</v>
      </c>
      <c r="I32" s="9">
        <v>6.2319156526219801E-3</v>
      </c>
    </row>
    <row r="33" spans="1:9" x14ac:dyDescent="0.35">
      <c r="A33" s="8">
        <v>45293</v>
      </c>
      <c r="B33" t="s">
        <v>16</v>
      </c>
      <c r="C33" t="s">
        <v>11</v>
      </c>
      <c r="D33" s="1">
        <v>79165</v>
      </c>
      <c r="E33" s="1">
        <v>25552</v>
      </c>
      <c r="F33" s="2">
        <v>0.32276890039790301</v>
      </c>
      <c r="G33" s="1">
        <v>808</v>
      </c>
      <c r="H33" s="2">
        <v>3.1621790857858503E-2</v>
      </c>
      <c r="I33" s="9">
        <v>1.02065306638034E-2</v>
      </c>
    </row>
    <row r="34" spans="1:9" ht="15" thickBot="1" x14ac:dyDescent="0.4">
      <c r="A34" s="12" t="s">
        <v>35</v>
      </c>
      <c r="B34" s="4"/>
      <c r="C34" s="4"/>
      <c r="D34" s="13">
        <f>SUM(D29:D33)</f>
        <v>5689590</v>
      </c>
      <c r="E34" s="13">
        <f>SUM(E29:E33)</f>
        <v>1635121</v>
      </c>
      <c r="F34" s="14">
        <f>AVERAGE(F29:F33)</f>
        <v>0.27372600886030696</v>
      </c>
      <c r="G34" s="13">
        <f>SUM(G29:G33)</f>
        <v>35121</v>
      </c>
      <c r="H34" s="14">
        <f>AVERAGE(H29:H33)</f>
        <v>2.415893099526422E-2</v>
      </c>
      <c r="I34" s="15">
        <f>AVERAGE(I29:I33)</f>
        <v>6.351372081658516E-3</v>
      </c>
    </row>
    <row r="35" spans="1:9" ht="3" customHeight="1" thickBot="1" x14ac:dyDescent="0.4">
      <c r="A35" s="139"/>
      <c r="B35" s="138"/>
      <c r="C35" s="138"/>
      <c r="D35" s="138"/>
      <c r="E35" s="138"/>
      <c r="F35" s="138"/>
      <c r="G35" s="138"/>
      <c r="H35" s="138"/>
      <c r="I35" s="140"/>
    </row>
    <row r="36" spans="1:9" x14ac:dyDescent="0.35">
      <c r="A36" s="16" t="s">
        <v>37</v>
      </c>
      <c r="B36" s="17"/>
      <c r="C36" s="17"/>
      <c r="D36" s="17"/>
      <c r="E36" s="17"/>
      <c r="F36" s="17"/>
      <c r="G36" s="17"/>
      <c r="H36" s="17"/>
      <c r="I36" s="18"/>
    </row>
    <row r="37" spans="1:9" x14ac:dyDescent="0.35">
      <c r="A37" s="8">
        <v>45656</v>
      </c>
      <c r="B37" t="s">
        <v>13</v>
      </c>
      <c r="C37" t="s">
        <v>14</v>
      </c>
      <c r="D37" s="1">
        <v>6111</v>
      </c>
      <c r="E37" s="1">
        <v>1752</v>
      </c>
      <c r="F37" s="2">
        <v>0.28669612174766801</v>
      </c>
      <c r="G37" s="1">
        <v>93</v>
      </c>
      <c r="H37" s="2">
        <v>5.3082191780821901E-2</v>
      </c>
      <c r="I37" s="9">
        <v>1.52184585174276E-2</v>
      </c>
    </row>
    <row r="38" spans="1:9" x14ac:dyDescent="0.35">
      <c r="A38" s="8">
        <v>45292</v>
      </c>
      <c r="B38" t="s">
        <v>15</v>
      </c>
      <c r="C38" t="s">
        <v>10</v>
      </c>
      <c r="D38" s="1">
        <v>88514</v>
      </c>
      <c r="E38" s="1">
        <v>36552</v>
      </c>
      <c r="F38" s="2">
        <v>0.41295162347199299</v>
      </c>
      <c r="G38" s="1">
        <v>4703</v>
      </c>
      <c r="H38" s="2">
        <v>0.128666010067849</v>
      </c>
      <c r="I38" s="9">
        <v>5.31328377431819E-2</v>
      </c>
    </row>
    <row r="39" spans="1:9" x14ac:dyDescent="0.35">
      <c r="A39" s="8">
        <v>45292</v>
      </c>
      <c r="B39" t="s">
        <v>15</v>
      </c>
      <c r="C39" t="s">
        <v>11</v>
      </c>
      <c r="D39" s="1">
        <v>9858</v>
      </c>
      <c r="E39" s="1">
        <v>3731</v>
      </c>
      <c r="F39" s="2">
        <v>0.37847433556502302</v>
      </c>
      <c r="G39" s="1">
        <v>643</v>
      </c>
      <c r="H39" s="2">
        <v>0.17233985526668499</v>
      </c>
      <c r="I39" s="9">
        <v>6.5226212213430695E-2</v>
      </c>
    </row>
    <row r="40" spans="1:9" x14ac:dyDescent="0.35">
      <c r="A40" s="8">
        <v>45294</v>
      </c>
      <c r="B40" t="s">
        <v>17</v>
      </c>
      <c r="C40" t="s">
        <v>10</v>
      </c>
      <c r="D40" s="1">
        <v>311954</v>
      </c>
      <c r="E40" s="1">
        <v>111066</v>
      </c>
      <c r="F40" s="2">
        <v>0.35603326131416801</v>
      </c>
      <c r="G40" s="1">
        <v>1000</v>
      </c>
      <c r="H40" s="2">
        <v>9.0036554841265593E-3</v>
      </c>
      <c r="I40" s="9">
        <v>3.2056008257627701E-3</v>
      </c>
    </row>
    <row r="41" spans="1:9" x14ac:dyDescent="0.35">
      <c r="A41" s="8">
        <v>45294</v>
      </c>
      <c r="B41" t="s">
        <v>17</v>
      </c>
      <c r="C41" t="s">
        <v>11</v>
      </c>
      <c r="D41" s="1">
        <v>16728</v>
      </c>
      <c r="E41" s="1">
        <v>5267</v>
      </c>
      <c r="F41" s="2">
        <v>0.31486131037781001</v>
      </c>
      <c r="G41" s="1">
        <v>78</v>
      </c>
      <c r="H41" s="2">
        <v>1.4809189291817E-2</v>
      </c>
      <c r="I41" s="9">
        <v>4.6628407460545199E-3</v>
      </c>
    </row>
    <row r="42" spans="1:9" ht="15" thickBot="1" x14ac:dyDescent="0.4">
      <c r="A42" s="12" t="s">
        <v>35</v>
      </c>
      <c r="B42" s="4"/>
      <c r="C42" s="4"/>
      <c r="D42" s="13">
        <f>SUM(D37:D41)</f>
        <v>433165</v>
      </c>
      <c r="E42" s="13">
        <f>SUM(E37:E41)</f>
        <v>158368</v>
      </c>
      <c r="F42" s="14">
        <f>AVERAGE(F37:F41)</f>
        <v>0.34980333049533241</v>
      </c>
      <c r="G42" s="13">
        <f>SUM(G37:G41)</f>
        <v>6517</v>
      </c>
      <c r="H42" s="14">
        <f>AVERAGE(H37:H41)</f>
        <v>7.5580180378259892E-2</v>
      </c>
      <c r="I42" s="15">
        <f>AVERAGE(I37:I41)</f>
        <v>2.8289190009171499E-2</v>
      </c>
    </row>
    <row r="43" spans="1:9" ht="3" customHeight="1" thickBot="1" x14ac:dyDescent="0.4">
      <c r="A43" s="139"/>
      <c r="B43" s="138"/>
      <c r="C43" s="138"/>
      <c r="D43" s="138"/>
      <c r="E43" s="138"/>
      <c r="F43" s="138"/>
      <c r="G43" s="138"/>
      <c r="H43" s="138"/>
      <c r="I43" s="140"/>
    </row>
    <row r="44" spans="1:9" x14ac:dyDescent="0.35">
      <c r="A44" s="16" t="s">
        <v>38</v>
      </c>
      <c r="B44" s="17"/>
      <c r="C44" s="17"/>
      <c r="D44" s="17"/>
      <c r="E44" s="17"/>
      <c r="F44" s="17"/>
      <c r="G44" s="17"/>
      <c r="H44" s="17"/>
      <c r="I44" s="18"/>
    </row>
    <row r="45" spans="1:9" x14ac:dyDescent="0.35">
      <c r="A45" s="8">
        <v>45295</v>
      </c>
      <c r="B45" t="s">
        <v>18</v>
      </c>
      <c r="C45" t="s">
        <v>19</v>
      </c>
      <c r="D45" s="1">
        <v>625792</v>
      </c>
      <c r="E45" s="1">
        <v>196666</v>
      </c>
      <c r="F45" s="3">
        <v>0.31430000000000002</v>
      </c>
      <c r="G45" s="1">
        <v>1423</v>
      </c>
      <c r="H45" s="3">
        <v>7.1999999999999998E-3</v>
      </c>
      <c r="I45" s="11">
        <v>2.3E-3</v>
      </c>
    </row>
    <row r="46" spans="1:9" x14ac:dyDescent="0.35">
      <c r="A46" s="8">
        <v>45295</v>
      </c>
      <c r="B46" t="s">
        <v>20</v>
      </c>
      <c r="C46" t="s">
        <v>21</v>
      </c>
      <c r="D46" s="1">
        <v>50557</v>
      </c>
      <c r="E46" s="1">
        <v>13149</v>
      </c>
      <c r="F46" s="3">
        <v>0.2601</v>
      </c>
      <c r="G46">
        <v>145</v>
      </c>
      <c r="H46" s="3">
        <v>1.0999999999999999E-2</v>
      </c>
      <c r="I46" s="11">
        <v>2.8999999999999998E-3</v>
      </c>
    </row>
    <row r="47" spans="1:9" x14ac:dyDescent="0.35">
      <c r="A47" s="8">
        <v>45295</v>
      </c>
      <c r="B47" t="s">
        <v>22</v>
      </c>
      <c r="C47" t="s">
        <v>23</v>
      </c>
      <c r="D47" s="1">
        <v>199925</v>
      </c>
      <c r="E47" s="1">
        <v>83797</v>
      </c>
      <c r="F47" s="3">
        <v>0.41909999999999997</v>
      </c>
      <c r="G47" s="1">
        <v>1275</v>
      </c>
      <c r="H47" s="3">
        <v>1.52E-2</v>
      </c>
      <c r="I47" s="11">
        <v>6.4000000000000003E-3</v>
      </c>
    </row>
    <row r="48" spans="1:9" x14ac:dyDescent="0.35">
      <c r="A48" s="8">
        <v>45295</v>
      </c>
      <c r="B48" t="s">
        <v>24</v>
      </c>
      <c r="C48" t="s">
        <v>25</v>
      </c>
      <c r="D48" s="1">
        <v>15255</v>
      </c>
      <c r="E48" s="1">
        <v>5936</v>
      </c>
      <c r="F48" s="3">
        <v>0.3891</v>
      </c>
      <c r="G48">
        <v>92</v>
      </c>
      <c r="H48" s="3">
        <v>1.55E-2</v>
      </c>
      <c r="I48" s="11">
        <v>6.0000000000000001E-3</v>
      </c>
    </row>
    <row r="49" spans="1:9" x14ac:dyDescent="0.35">
      <c r="A49" s="8">
        <v>45295</v>
      </c>
      <c r="B49" t="s">
        <v>26</v>
      </c>
      <c r="C49" t="s">
        <v>27</v>
      </c>
      <c r="D49" s="1">
        <v>302289</v>
      </c>
      <c r="E49" s="1">
        <v>103737</v>
      </c>
      <c r="F49" s="3">
        <v>0.34320000000000001</v>
      </c>
      <c r="G49">
        <v>727</v>
      </c>
      <c r="H49" s="3">
        <v>7.0000000000000001E-3</v>
      </c>
      <c r="I49" s="11">
        <v>2.3999999999999998E-3</v>
      </c>
    </row>
    <row r="50" spans="1:9" x14ac:dyDescent="0.35">
      <c r="A50" s="8">
        <v>45295</v>
      </c>
      <c r="B50" t="s">
        <v>28</v>
      </c>
      <c r="C50" t="s">
        <v>21</v>
      </c>
      <c r="D50" s="1">
        <v>21059</v>
      </c>
      <c r="E50" s="1">
        <v>6341</v>
      </c>
      <c r="F50" s="3">
        <v>0.30109999999999998</v>
      </c>
      <c r="G50">
        <v>95</v>
      </c>
      <c r="H50" s="3">
        <v>1.4999999999999999E-2</v>
      </c>
      <c r="I50" s="11">
        <v>4.4999999999999997E-3</v>
      </c>
    </row>
    <row r="51" spans="1:9" x14ac:dyDescent="0.35">
      <c r="A51" s="8">
        <v>45295</v>
      </c>
      <c r="B51" t="s">
        <v>29</v>
      </c>
      <c r="C51" t="s">
        <v>23</v>
      </c>
      <c r="D51" s="1">
        <v>53876</v>
      </c>
      <c r="E51" s="1">
        <v>20331</v>
      </c>
      <c r="F51" s="3">
        <v>0.37740000000000001</v>
      </c>
      <c r="G51">
        <v>258</v>
      </c>
      <c r="H51" s="3">
        <v>1.2699999999999999E-2</v>
      </c>
      <c r="I51" s="11">
        <v>4.7999999999999996E-3</v>
      </c>
    </row>
    <row r="52" spans="1:9" x14ac:dyDescent="0.35">
      <c r="A52" s="8">
        <v>45295</v>
      </c>
      <c r="B52" t="s">
        <v>29</v>
      </c>
      <c r="C52" t="s">
        <v>25</v>
      </c>
      <c r="D52" s="1">
        <v>4059</v>
      </c>
      <c r="E52" s="1">
        <v>1544</v>
      </c>
      <c r="F52" s="3">
        <v>0.38040000000000002</v>
      </c>
      <c r="G52">
        <v>18</v>
      </c>
      <c r="H52" s="3">
        <v>1.17E-2</v>
      </c>
      <c r="I52" s="11">
        <v>4.4000000000000003E-3</v>
      </c>
    </row>
    <row r="53" spans="1:9" x14ac:dyDescent="0.35">
      <c r="A53" s="8">
        <v>45295</v>
      </c>
      <c r="B53" t="s">
        <v>30</v>
      </c>
      <c r="C53" t="s">
        <v>31</v>
      </c>
      <c r="D53" s="1">
        <v>627469</v>
      </c>
      <c r="E53" s="1">
        <v>184040</v>
      </c>
      <c r="F53" s="3">
        <v>0.29330000000000001</v>
      </c>
      <c r="G53" s="1">
        <v>1337</v>
      </c>
      <c r="H53" s="3">
        <v>7.3000000000000001E-3</v>
      </c>
      <c r="I53" s="11">
        <v>2.0999999999999999E-3</v>
      </c>
    </row>
    <row r="54" spans="1:9" x14ac:dyDescent="0.35">
      <c r="A54" s="8">
        <v>45295</v>
      </c>
      <c r="B54" t="s">
        <v>30</v>
      </c>
      <c r="C54" t="s">
        <v>32</v>
      </c>
      <c r="D54" s="1">
        <v>41781</v>
      </c>
      <c r="E54" s="1">
        <v>9914</v>
      </c>
      <c r="F54" s="3">
        <v>0.23730000000000001</v>
      </c>
      <c r="G54">
        <v>108</v>
      </c>
      <c r="H54" s="3">
        <v>1.09E-2</v>
      </c>
      <c r="I54" s="11">
        <v>2.5999999999999999E-3</v>
      </c>
    </row>
    <row r="55" spans="1:9" x14ac:dyDescent="0.35">
      <c r="A55" s="8">
        <v>45295</v>
      </c>
      <c r="B55" t="s">
        <v>33</v>
      </c>
      <c r="C55" t="s">
        <v>27</v>
      </c>
      <c r="D55" s="1">
        <v>799352</v>
      </c>
      <c r="E55" s="1">
        <v>302561</v>
      </c>
      <c r="F55" s="3">
        <v>0.3785</v>
      </c>
      <c r="G55" s="1">
        <v>2212</v>
      </c>
      <c r="H55" s="3">
        <v>7.3000000000000001E-3</v>
      </c>
      <c r="I55" s="11">
        <v>2.8E-3</v>
      </c>
    </row>
    <row r="56" spans="1:9" x14ac:dyDescent="0.35">
      <c r="A56" s="8">
        <v>45295</v>
      </c>
      <c r="B56" t="s">
        <v>33</v>
      </c>
      <c r="C56" t="s">
        <v>21</v>
      </c>
      <c r="D56" s="1">
        <v>59737</v>
      </c>
      <c r="E56" s="1">
        <v>20579</v>
      </c>
      <c r="F56" s="3">
        <v>0.34449999999999997</v>
      </c>
      <c r="G56">
        <v>257</v>
      </c>
      <c r="H56" s="3">
        <v>1.2500000000000001E-2</v>
      </c>
      <c r="I56" s="11">
        <v>4.3E-3</v>
      </c>
    </row>
    <row r="57" spans="1:9" x14ac:dyDescent="0.35">
      <c r="A57" s="8">
        <v>45295</v>
      </c>
      <c r="B57" t="s">
        <v>34</v>
      </c>
      <c r="C57" t="s">
        <v>27</v>
      </c>
      <c r="D57" s="1">
        <v>325095</v>
      </c>
      <c r="E57" s="1">
        <v>120015</v>
      </c>
      <c r="F57" s="3">
        <v>0.36919999999999997</v>
      </c>
      <c r="G57">
        <v>778</v>
      </c>
      <c r="H57" s="3">
        <v>6.4999999999999997E-3</v>
      </c>
      <c r="I57" s="11">
        <v>2.3999999999999998E-3</v>
      </c>
    </row>
    <row r="58" spans="1:9" ht="15" thickBot="1" x14ac:dyDescent="0.4">
      <c r="A58" s="12" t="s">
        <v>35</v>
      </c>
      <c r="B58" s="4"/>
      <c r="C58" s="4"/>
      <c r="D58" s="13">
        <f>SUM(D45:D57)</f>
        <v>3126246</v>
      </c>
      <c r="E58" s="13">
        <f>SUM(E45:E57)</f>
        <v>1068610</v>
      </c>
      <c r="F58" s="14">
        <f>AVERAGE(F45:F57)</f>
        <v>0.33903846153846151</v>
      </c>
      <c r="G58" s="13">
        <f>SUM(G45:G57)</f>
        <v>8725</v>
      </c>
      <c r="H58" s="14">
        <f>AVERAGE(H45:H57)</f>
        <v>1.0753846153846154E-2</v>
      </c>
      <c r="I58" s="15">
        <f>AVERAGE(I45:I57)</f>
        <v>3.6846153846153834E-3</v>
      </c>
    </row>
  </sheetData>
  <mergeCells count="3">
    <mergeCell ref="A26:I26"/>
    <mergeCell ref="A35:I35"/>
    <mergeCell ref="A43:I43"/>
  </mergeCells>
  <pageMargins left="0.7" right="0.7" top="0.75" bottom="0.75" header="0.3" footer="0.3"/>
  <ignoredErrors>
    <ignoredError sqref="F34:G34 F25:G25 F42:G42 F58:G58" formula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2982-B35E-4D49-A13C-668E95BB8AA8}">
  <dimension ref="A1:I72"/>
  <sheetViews>
    <sheetView workbookViewId="0">
      <selection activeCell="D32" sqref="D32:I32"/>
    </sheetView>
  </sheetViews>
  <sheetFormatPr defaultRowHeight="14.5" x14ac:dyDescent="0.35"/>
  <cols>
    <col min="1" max="1" width="11.81640625" customWidth="1"/>
    <col min="2" max="2" width="78.54296875" customWidth="1"/>
    <col min="3" max="3" width="33.179687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45296</v>
      </c>
      <c r="B2" t="s">
        <v>39</v>
      </c>
      <c r="C2" t="s">
        <v>10</v>
      </c>
      <c r="D2" s="1">
        <v>287064</v>
      </c>
      <c r="E2" s="1">
        <v>109177</v>
      </c>
      <c r="F2" s="2">
        <v>0.38032285483376499</v>
      </c>
      <c r="G2" s="1">
        <v>2980</v>
      </c>
      <c r="H2" s="2">
        <v>2.72951262628576E-2</v>
      </c>
      <c r="I2" s="2">
        <v>1.0380960343338101E-2</v>
      </c>
    </row>
    <row r="3" spans="1:9" x14ac:dyDescent="0.35">
      <c r="A3" s="19">
        <v>45296</v>
      </c>
      <c r="B3" t="s">
        <v>39</v>
      </c>
      <c r="C3" t="s">
        <v>11</v>
      </c>
      <c r="D3" s="1">
        <v>16049</v>
      </c>
      <c r="E3" s="1">
        <v>5353</v>
      </c>
      <c r="F3" s="2">
        <v>0.33354103059380602</v>
      </c>
      <c r="G3" s="1">
        <v>186</v>
      </c>
      <c r="H3" s="2">
        <v>3.4746870913506402E-2</v>
      </c>
      <c r="I3" s="2">
        <v>1.1589507134400901E-2</v>
      </c>
    </row>
    <row r="4" spans="1:9" x14ac:dyDescent="0.35">
      <c r="A4" s="19">
        <v>45296</v>
      </c>
      <c r="B4" t="s">
        <v>40</v>
      </c>
      <c r="C4" t="s">
        <v>10</v>
      </c>
      <c r="D4" s="1">
        <v>4029171</v>
      </c>
      <c r="E4" s="1">
        <v>1433358</v>
      </c>
      <c r="F4" s="2">
        <v>0.35574513963294202</v>
      </c>
      <c r="G4" s="1">
        <v>32650</v>
      </c>
      <c r="H4" s="2">
        <v>2.2778677762289701E-2</v>
      </c>
      <c r="I4" s="2">
        <v>8.1034039011995303E-3</v>
      </c>
    </row>
    <row r="5" spans="1:9" x14ac:dyDescent="0.35">
      <c r="A5" s="19">
        <v>45296</v>
      </c>
      <c r="B5" t="s">
        <v>40</v>
      </c>
      <c r="C5" t="s">
        <v>11</v>
      </c>
      <c r="D5" s="1">
        <v>236068</v>
      </c>
      <c r="E5" s="1">
        <v>71454</v>
      </c>
      <c r="F5" s="2">
        <v>0.302683972414728</v>
      </c>
      <c r="G5" s="1">
        <v>2070</v>
      </c>
      <c r="H5" s="2">
        <v>2.8969686791502199E-2</v>
      </c>
      <c r="I5" s="2">
        <v>8.7686598776623697E-3</v>
      </c>
    </row>
    <row r="6" spans="1:9" x14ac:dyDescent="0.35">
      <c r="A6" s="19">
        <v>45297</v>
      </c>
      <c r="B6" t="s">
        <v>41</v>
      </c>
      <c r="C6" t="s">
        <v>10</v>
      </c>
      <c r="D6" s="1">
        <v>42022</v>
      </c>
      <c r="E6" s="1">
        <v>17951</v>
      </c>
      <c r="F6" s="2">
        <v>0.427181000428347</v>
      </c>
      <c r="G6" s="1">
        <v>1383</v>
      </c>
      <c r="H6" s="2">
        <v>7.7043061667873697E-2</v>
      </c>
      <c r="I6" s="2">
        <v>3.2911332159345101E-2</v>
      </c>
    </row>
    <row r="7" spans="1:9" x14ac:dyDescent="0.35">
      <c r="A7" s="19">
        <v>45297</v>
      </c>
      <c r="B7" t="s">
        <v>41</v>
      </c>
      <c r="C7" t="s">
        <v>11</v>
      </c>
      <c r="D7" s="1">
        <v>3960</v>
      </c>
      <c r="E7" s="1">
        <v>1828</v>
      </c>
      <c r="F7" s="2">
        <v>0.46161616161616198</v>
      </c>
      <c r="G7" s="1">
        <v>208</v>
      </c>
      <c r="H7" s="2">
        <v>0.113785557986871</v>
      </c>
      <c r="I7" s="2">
        <v>5.2525252525252503E-2</v>
      </c>
    </row>
    <row r="8" spans="1:9" x14ac:dyDescent="0.35">
      <c r="A8" s="19">
        <v>45300</v>
      </c>
      <c r="B8" t="s">
        <v>42</v>
      </c>
      <c r="C8" t="s">
        <v>10</v>
      </c>
      <c r="D8" s="1">
        <v>992608</v>
      </c>
      <c r="E8" s="1">
        <v>375088</v>
      </c>
      <c r="F8" s="2">
        <v>0.37459999999999999</v>
      </c>
      <c r="G8" s="1">
        <v>5093</v>
      </c>
      <c r="H8" s="2">
        <v>1.3599999999999999E-2</v>
      </c>
      <c r="I8" s="2">
        <v>5.1000000000000004E-3</v>
      </c>
    </row>
    <row r="9" spans="1:9" x14ac:dyDescent="0.35">
      <c r="A9" s="19">
        <v>45300</v>
      </c>
      <c r="B9" t="s">
        <v>42</v>
      </c>
      <c r="C9" t="s">
        <v>11</v>
      </c>
      <c r="D9" s="1">
        <v>78073</v>
      </c>
      <c r="E9" s="1">
        <v>27861</v>
      </c>
      <c r="F9" s="2">
        <v>0.35149999999999998</v>
      </c>
      <c r="G9" s="1">
        <v>803</v>
      </c>
      <c r="H9" s="2">
        <v>2.1600000000000001E-2</v>
      </c>
      <c r="I9" s="2">
        <v>7.6E-3</v>
      </c>
    </row>
    <row r="10" spans="1:9" x14ac:dyDescent="0.35">
      <c r="A10" s="19">
        <v>45301</v>
      </c>
      <c r="B10" t="s">
        <v>43</v>
      </c>
      <c r="C10" t="s">
        <v>10</v>
      </c>
      <c r="D10" s="1">
        <v>184656</v>
      </c>
      <c r="E10" s="1">
        <v>82411</v>
      </c>
      <c r="F10" s="2">
        <v>0.44629473182566498</v>
      </c>
      <c r="G10" s="1">
        <v>1675</v>
      </c>
      <c r="H10" s="2">
        <v>2.03249566198687E-2</v>
      </c>
      <c r="I10" s="2">
        <v>9.0709210640325805E-3</v>
      </c>
    </row>
    <row r="11" spans="1:9" x14ac:dyDescent="0.35">
      <c r="A11" s="19">
        <v>45301</v>
      </c>
      <c r="B11" t="s">
        <v>43</v>
      </c>
      <c r="C11" t="s">
        <v>11</v>
      </c>
      <c r="D11" s="1">
        <v>11061</v>
      </c>
      <c r="E11" s="1">
        <v>5019</v>
      </c>
      <c r="F11" s="2">
        <v>0.45375644155139699</v>
      </c>
      <c r="G11" s="1">
        <v>157</v>
      </c>
      <c r="H11" s="2">
        <v>3.1281131699541699E-2</v>
      </c>
      <c r="I11" s="2">
        <v>1.4194015007684699E-2</v>
      </c>
    </row>
    <row r="12" spans="1:9" x14ac:dyDescent="0.35">
      <c r="A12" s="19">
        <v>45301</v>
      </c>
      <c r="B12" t="s">
        <v>44</v>
      </c>
      <c r="C12" t="s">
        <v>10</v>
      </c>
      <c r="D12" s="1">
        <v>142801</v>
      </c>
      <c r="E12" s="1">
        <v>61930</v>
      </c>
      <c r="F12" s="2">
        <v>0.43368043641151</v>
      </c>
      <c r="G12" s="1">
        <v>640</v>
      </c>
      <c r="H12" s="2">
        <v>1.0334248344905501E-2</v>
      </c>
      <c r="I12" s="2">
        <v>4.4817613322035597E-3</v>
      </c>
    </row>
    <row r="13" spans="1:9" x14ac:dyDescent="0.35">
      <c r="A13" s="19">
        <v>45301</v>
      </c>
      <c r="B13" t="s">
        <v>44</v>
      </c>
      <c r="C13" t="s">
        <v>11</v>
      </c>
      <c r="D13" s="1">
        <v>6955</v>
      </c>
      <c r="E13" s="1">
        <v>2846</v>
      </c>
      <c r="F13" s="2">
        <v>0.40920201294033098</v>
      </c>
      <c r="G13" s="1">
        <v>33</v>
      </c>
      <c r="H13" s="2">
        <v>1.15952213633169E-2</v>
      </c>
      <c r="I13" s="2">
        <v>4.7447879223580201E-3</v>
      </c>
    </row>
    <row r="14" spans="1:9" x14ac:dyDescent="0.35">
      <c r="A14" s="19">
        <v>45301</v>
      </c>
      <c r="B14" t="s">
        <v>45</v>
      </c>
      <c r="C14" t="s">
        <v>10</v>
      </c>
      <c r="D14" s="1">
        <v>111950</v>
      </c>
      <c r="E14" s="1">
        <v>47590</v>
      </c>
      <c r="F14" s="2">
        <v>0.425100491290755</v>
      </c>
      <c r="G14" s="1">
        <v>609</v>
      </c>
      <c r="H14" s="2">
        <v>1.2796806051691499E-2</v>
      </c>
      <c r="I14" s="2">
        <v>5.4399285395265702E-3</v>
      </c>
    </row>
    <row r="15" spans="1:9" x14ac:dyDescent="0.35">
      <c r="A15" s="19">
        <v>45301</v>
      </c>
      <c r="B15" t="s">
        <v>46</v>
      </c>
      <c r="C15" t="s">
        <v>10</v>
      </c>
      <c r="D15" s="1">
        <v>329347</v>
      </c>
      <c r="E15" s="1">
        <v>123650</v>
      </c>
      <c r="F15" s="2">
        <v>0.37543988559179198</v>
      </c>
      <c r="G15" s="1">
        <v>1793</v>
      </c>
      <c r="H15" s="2">
        <v>1.4500606550748101E-2</v>
      </c>
      <c r="I15" s="2">
        <v>5.4441060644244499E-3</v>
      </c>
    </row>
    <row r="16" spans="1:9" x14ac:dyDescent="0.35">
      <c r="A16" s="19">
        <v>45301</v>
      </c>
      <c r="B16" t="s">
        <v>46</v>
      </c>
      <c r="C16" t="s">
        <v>11</v>
      </c>
      <c r="D16" s="1">
        <v>20018</v>
      </c>
      <c r="E16" s="1">
        <v>6946</v>
      </c>
      <c r="F16" s="2">
        <v>0.346987711060046</v>
      </c>
      <c r="G16" s="1">
        <v>130</v>
      </c>
      <c r="H16" s="2">
        <v>1.8715807659084399E-2</v>
      </c>
      <c r="I16" s="2">
        <v>6.4941552602657601E-3</v>
      </c>
    </row>
    <row r="17" spans="1:9" x14ac:dyDescent="0.35">
      <c r="A17" s="19">
        <v>45302</v>
      </c>
      <c r="B17" t="s">
        <v>18</v>
      </c>
      <c r="C17" t="s">
        <v>47</v>
      </c>
      <c r="D17" s="1">
        <v>619604</v>
      </c>
      <c r="E17" s="1">
        <v>205774</v>
      </c>
      <c r="F17" s="3">
        <v>0.33210000000000001</v>
      </c>
      <c r="G17" s="1">
        <v>1391</v>
      </c>
      <c r="H17" s="3">
        <v>6.7999999999999996E-3</v>
      </c>
      <c r="I17" s="3">
        <v>2.2000000000000001E-3</v>
      </c>
    </row>
    <row r="18" spans="1:9" x14ac:dyDescent="0.35">
      <c r="A18" s="19">
        <v>45302</v>
      </c>
      <c r="B18" t="s">
        <v>20</v>
      </c>
      <c r="C18" t="s">
        <v>48</v>
      </c>
      <c r="D18" s="1">
        <v>50026</v>
      </c>
      <c r="E18" s="1">
        <v>13798</v>
      </c>
      <c r="F18" s="3">
        <v>0.27579999999999999</v>
      </c>
      <c r="G18">
        <v>139</v>
      </c>
      <c r="H18" s="3">
        <v>1.01E-2</v>
      </c>
      <c r="I18" s="3">
        <v>2.8E-3</v>
      </c>
    </row>
    <row r="19" spans="1:9" x14ac:dyDescent="0.35">
      <c r="A19" s="19">
        <v>45302</v>
      </c>
      <c r="B19" t="s">
        <v>22</v>
      </c>
      <c r="C19" t="s">
        <v>49</v>
      </c>
      <c r="D19" s="1">
        <v>160203</v>
      </c>
      <c r="E19" s="1">
        <v>60613</v>
      </c>
      <c r="F19" s="3">
        <v>0.37840000000000001</v>
      </c>
      <c r="G19">
        <v>668</v>
      </c>
      <c r="H19" s="3">
        <v>1.0999999999999999E-2</v>
      </c>
      <c r="I19" s="3">
        <v>4.1999999999999997E-3</v>
      </c>
    </row>
    <row r="20" spans="1:9" x14ac:dyDescent="0.35">
      <c r="A20" s="19">
        <v>45302</v>
      </c>
      <c r="B20" t="s">
        <v>24</v>
      </c>
      <c r="C20" t="s">
        <v>49</v>
      </c>
      <c r="D20" s="1">
        <v>12643</v>
      </c>
      <c r="E20" s="1">
        <v>4600</v>
      </c>
      <c r="F20" s="3">
        <v>0.36380000000000001</v>
      </c>
      <c r="G20">
        <v>60</v>
      </c>
      <c r="H20" s="3">
        <v>1.2999999999999999E-2</v>
      </c>
      <c r="I20" s="3">
        <v>4.7000000000000002E-3</v>
      </c>
    </row>
    <row r="21" spans="1:9" x14ac:dyDescent="0.35">
      <c r="A21" s="19">
        <v>45302</v>
      </c>
      <c r="B21" t="s">
        <v>26</v>
      </c>
      <c r="C21" t="s">
        <v>47</v>
      </c>
      <c r="D21" s="1">
        <v>298326</v>
      </c>
      <c r="E21" s="1">
        <v>101084</v>
      </c>
      <c r="F21" s="3">
        <v>0.33879999999999999</v>
      </c>
      <c r="G21">
        <v>644</v>
      </c>
      <c r="H21" s="3">
        <v>6.4000000000000003E-3</v>
      </c>
      <c r="I21" s="3">
        <v>2.2000000000000001E-3</v>
      </c>
    </row>
    <row r="22" spans="1:9" x14ac:dyDescent="0.35">
      <c r="A22" s="19">
        <v>45302</v>
      </c>
      <c r="B22" t="s">
        <v>28</v>
      </c>
      <c r="C22" t="s">
        <v>48</v>
      </c>
      <c r="D22" s="1">
        <v>20636</v>
      </c>
      <c r="E22" s="1">
        <v>5999</v>
      </c>
      <c r="F22" s="3">
        <v>0.29070000000000001</v>
      </c>
      <c r="G22">
        <v>86</v>
      </c>
      <c r="H22" s="3">
        <v>1.43E-2</v>
      </c>
      <c r="I22" s="3">
        <v>4.1999999999999997E-3</v>
      </c>
    </row>
    <row r="23" spans="1:9" x14ac:dyDescent="0.35">
      <c r="A23" s="19">
        <v>45302</v>
      </c>
      <c r="B23" t="s">
        <v>29</v>
      </c>
      <c r="C23" t="s">
        <v>49</v>
      </c>
      <c r="D23" s="1">
        <v>61335</v>
      </c>
      <c r="E23" s="1">
        <v>23565</v>
      </c>
      <c r="F23" s="3">
        <v>0.38419999999999999</v>
      </c>
      <c r="G23">
        <v>273</v>
      </c>
      <c r="H23" s="3">
        <v>1.1599999999999999E-2</v>
      </c>
      <c r="I23" s="3">
        <v>4.4999999999999997E-3</v>
      </c>
    </row>
    <row r="24" spans="1:9" x14ac:dyDescent="0.35">
      <c r="A24" s="19">
        <v>45302</v>
      </c>
      <c r="B24" t="s">
        <v>50</v>
      </c>
      <c r="C24" t="s">
        <v>49</v>
      </c>
      <c r="D24" s="1">
        <v>4890</v>
      </c>
      <c r="E24" s="1">
        <v>1850</v>
      </c>
      <c r="F24" s="3">
        <v>0.37830000000000003</v>
      </c>
      <c r="G24">
        <v>34</v>
      </c>
      <c r="H24" s="3">
        <v>1.84E-2</v>
      </c>
      <c r="I24" s="3">
        <v>7.0000000000000001E-3</v>
      </c>
    </row>
    <row r="25" spans="1:9" x14ac:dyDescent="0.35">
      <c r="A25" s="19">
        <v>45302</v>
      </c>
      <c r="B25" t="s">
        <v>51</v>
      </c>
      <c r="C25" t="s">
        <v>52</v>
      </c>
      <c r="D25" s="1">
        <v>289522</v>
      </c>
      <c r="E25" s="1">
        <v>91692</v>
      </c>
      <c r="F25" s="3">
        <v>0.31669999999999998</v>
      </c>
      <c r="G25">
        <v>364</v>
      </c>
      <c r="H25" s="3">
        <v>4.0000000000000001E-3</v>
      </c>
      <c r="I25" s="3">
        <v>1.2999999999999999E-3</v>
      </c>
    </row>
    <row r="26" spans="1:9" x14ac:dyDescent="0.35">
      <c r="A26" s="19">
        <v>45302</v>
      </c>
      <c r="B26" t="s">
        <v>53</v>
      </c>
      <c r="C26" t="s">
        <v>52</v>
      </c>
      <c r="D26" s="1">
        <v>15413</v>
      </c>
      <c r="E26" s="1">
        <v>4330</v>
      </c>
      <c r="F26" s="3">
        <v>0.28089999999999998</v>
      </c>
      <c r="G26">
        <v>31</v>
      </c>
      <c r="H26" s="3">
        <v>7.1999999999999998E-3</v>
      </c>
      <c r="I26" s="3">
        <v>2E-3</v>
      </c>
    </row>
    <row r="27" spans="1:9" x14ac:dyDescent="0.35">
      <c r="A27" s="19">
        <v>45302</v>
      </c>
      <c r="B27" t="s">
        <v>33</v>
      </c>
      <c r="C27" t="s">
        <v>47</v>
      </c>
      <c r="D27" s="1">
        <v>790697</v>
      </c>
      <c r="E27" s="1">
        <v>297053</v>
      </c>
      <c r="F27" s="3">
        <v>0.37569999999999998</v>
      </c>
      <c r="G27" s="1">
        <v>2100</v>
      </c>
      <c r="H27" s="3">
        <v>7.1000000000000004E-3</v>
      </c>
      <c r="I27" s="3">
        <v>2.7000000000000001E-3</v>
      </c>
    </row>
    <row r="28" spans="1:9" x14ac:dyDescent="0.35">
      <c r="A28" s="19">
        <v>45302</v>
      </c>
      <c r="B28" t="s">
        <v>54</v>
      </c>
      <c r="C28" t="s">
        <v>48</v>
      </c>
      <c r="D28" s="1">
        <v>59215</v>
      </c>
      <c r="E28" s="1">
        <v>19985</v>
      </c>
      <c r="F28" s="3">
        <v>0.33750000000000002</v>
      </c>
      <c r="G28">
        <v>235</v>
      </c>
      <c r="H28" s="3">
        <v>1.18E-2</v>
      </c>
      <c r="I28" s="3">
        <v>4.0000000000000001E-3</v>
      </c>
    </row>
    <row r="29" spans="1:9" x14ac:dyDescent="0.35">
      <c r="A29" s="19">
        <v>45302</v>
      </c>
      <c r="B29" t="s">
        <v>55</v>
      </c>
      <c r="C29" t="s">
        <v>52</v>
      </c>
      <c r="D29" s="1">
        <v>31529</v>
      </c>
      <c r="E29" s="1">
        <v>13421</v>
      </c>
      <c r="F29" s="3">
        <v>0.42570000000000002</v>
      </c>
      <c r="G29">
        <v>244</v>
      </c>
      <c r="H29" s="3">
        <v>1.8200000000000001E-2</v>
      </c>
      <c r="I29" s="3">
        <v>7.7000000000000002E-3</v>
      </c>
    </row>
    <row r="30" spans="1:9" x14ac:dyDescent="0.35">
      <c r="A30" s="19">
        <v>45302</v>
      </c>
      <c r="B30" t="s">
        <v>56</v>
      </c>
      <c r="C30" t="s">
        <v>52</v>
      </c>
      <c r="D30" s="1">
        <v>1150</v>
      </c>
      <c r="E30">
        <v>504</v>
      </c>
      <c r="F30" s="3">
        <v>0.43830000000000002</v>
      </c>
      <c r="G30">
        <v>7</v>
      </c>
      <c r="H30" s="3">
        <v>1.3899999999999999E-2</v>
      </c>
      <c r="I30" s="3">
        <v>6.1000000000000004E-3</v>
      </c>
    </row>
    <row r="31" spans="1:9" x14ac:dyDescent="0.35">
      <c r="A31" s="19">
        <v>45302</v>
      </c>
      <c r="B31" t="s">
        <v>34</v>
      </c>
      <c r="C31" t="s">
        <v>47</v>
      </c>
      <c r="D31" s="1">
        <v>322889</v>
      </c>
      <c r="E31" s="1">
        <v>114701</v>
      </c>
      <c r="F31" s="3">
        <v>0.35520000000000002</v>
      </c>
      <c r="G31">
        <v>697</v>
      </c>
      <c r="H31" s="3">
        <v>6.1000000000000004E-3</v>
      </c>
      <c r="I31" s="3">
        <v>2.2000000000000001E-3</v>
      </c>
    </row>
    <row r="32" spans="1:9" ht="15" thickBot="1" x14ac:dyDescent="0.4">
      <c r="A32" s="20" t="s">
        <v>35</v>
      </c>
      <c r="D32" s="10">
        <f>SUM(D2:D31)</f>
        <v>9229881</v>
      </c>
      <c r="E32" s="10">
        <f>SUM(E2:E31)</f>
        <v>3331431</v>
      </c>
      <c r="F32" s="27">
        <f>AVERAGE(F2:F31)</f>
        <v>0.3716583956730416</v>
      </c>
      <c r="G32" s="10">
        <f>SUM(G2:G31)</f>
        <v>57383</v>
      </c>
      <c r="H32" s="27">
        <f>AVERAGE(H2:H31)</f>
        <v>2.0642258655801906E-2</v>
      </c>
      <c r="I32" s="27">
        <f>AVERAGE(I2:I31)</f>
        <v>8.1549597043898067E-3</v>
      </c>
    </row>
    <row r="33" spans="1:9" ht="15" thickBot="1" x14ac:dyDescent="0.4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x14ac:dyDescent="0.35">
      <c r="A34" s="24" t="s">
        <v>0</v>
      </c>
      <c r="B34" s="25" t="s">
        <v>1</v>
      </c>
      <c r="C34" s="25" t="s">
        <v>2</v>
      </c>
      <c r="D34" s="25" t="s">
        <v>3</v>
      </c>
      <c r="E34" s="25" t="s">
        <v>4</v>
      </c>
      <c r="F34" s="25" t="s">
        <v>5</v>
      </c>
      <c r="G34" s="25" t="s">
        <v>6</v>
      </c>
      <c r="H34" s="25" t="s">
        <v>7</v>
      </c>
      <c r="I34" s="26" t="s">
        <v>8</v>
      </c>
    </row>
    <row r="35" spans="1:9" x14ac:dyDescent="0.35">
      <c r="A35" s="5" t="s">
        <v>36</v>
      </c>
      <c r="B35" s="6"/>
      <c r="C35" s="6"/>
      <c r="D35" s="6"/>
      <c r="E35" s="6"/>
      <c r="F35" s="6"/>
      <c r="G35" s="6"/>
      <c r="H35" s="6"/>
      <c r="I35" s="7"/>
    </row>
    <row r="36" spans="1:9" x14ac:dyDescent="0.35">
      <c r="A36" s="8">
        <v>45296</v>
      </c>
      <c r="B36" t="s">
        <v>39</v>
      </c>
      <c r="C36" t="s">
        <v>10</v>
      </c>
      <c r="D36" s="1">
        <v>287064</v>
      </c>
      <c r="E36" s="1">
        <v>109177</v>
      </c>
      <c r="F36" s="2">
        <v>0.38032285483376499</v>
      </c>
      <c r="G36" s="1">
        <v>2980</v>
      </c>
      <c r="H36" s="2">
        <v>2.72951262628576E-2</v>
      </c>
      <c r="I36" s="9">
        <v>1.0380960343338101E-2</v>
      </c>
    </row>
    <row r="37" spans="1:9" x14ac:dyDescent="0.35">
      <c r="A37" s="8">
        <v>45296</v>
      </c>
      <c r="B37" t="s">
        <v>39</v>
      </c>
      <c r="C37" t="s">
        <v>11</v>
      </c>
      <c r="D37" s="1">
        <v>16049</v>
      </c>
      <c r="E37" s="1">
        <v>5353</v>
      </c>
      <c r="F37" s="2">
        <v>0.33354103059380602</v>
      </c>
      <c r="G37" s="1">
        <v>186</v>
      </c>
      <c r="H37" s="2">
        <v>3.4746870913506402E-2</v>
      </c>
      <c r="I37" s="9">
        <v>1.1589507134400901E-2</v>
      </c>
    </row>
    <row r="38" spans="1:9" x14ac:dyDescent="0.35">
      <c r="A38" s="8">
        <v>45296</v>
      </c>
      <c r="B38" t="s">
        <v>40</v>
      </c>
      <c r="C38" t="s">
        <v>10</v>
      </c>
      <c r="D38" s="1">
        <v>4029171</v>
      </c>
      <c r="E38" s="1">
        <v>1433358</v>
      </c>
      <c r="F38" s="2">
        <v>0.35574513963294202</v>
      </c>
      <c r="G38" s="1">
        <v>32650</v>
      </c>
      <c r="H38" s="2">
        <v>2.2778677762289701E-2</v>
      </c>
      <c r="I38" s="9">
        <v>8.1034039011995303E-3</v>
      </c>
    </row>
    <row r="39" spans="1:9" x14ac:dyDescent="0.35">
      <c r="A39" s="8">
        <v>45296</v>
      </c>
      <c r="B39" t="s">
        <v>40</v>
      </c>
      <c r="C39" t="s">
        <v>11</v>
      </c>
      <c r="D39" s="1">
        <v>236068</v>
      </c>
      <c r="E39" s="1">
        <v>71454</v>
      </c>
      <c r="F39" s="2">
        <v>0.302683972414728</v>
      </c>
      <c r="G39" s="1">
        <v>2070</v>
      </c>
      <c r="H39" s="2">
        <v>2.8969686791502199E-2</v>
      </c>
      <c r="I39" s="9">
        <v>8.7686598776623697E-3</v>
      </c>
    </row>
    <row r="40" spans="1:9" x14ac:dyDescent="0.35">
      <c r="A40" s="8">
        <v>45300</v>
      </c>
      <c r="B40" t="s">
        <v>42</v>
      </c>
      <c r="C40" t="s">
        <v>10</v>
      </c>
      <c r="D40" s="1">
        <v>992608</v>
      </c>
      <c r="E40" s="1">
        <v>375088</v>
      </c>
      <c r="F40" s="2">
        <v>0.37459999999999999</v>
      </c>
      <c r="G40" s="1">
        <v>5093</v>
      </c>
      <c r="H40" s="2">
        <v>1.3599999999999999E-2</v>
      </c>
      <c r="I40" s="9">
        <v>5.1000000000000004E-3</v>
      </c>
    </row>
    <row r="41" spans="1:9" x14ac:dyDescent="0.35">
      <c r="A41" s="8">
        <v>45300</v>
      </c>
      <c r="B41" t="s">
        <v>42</v>
      </c>
      <c r="C41" t="s">
        <v>11</v>
      </c>
      <c r="D41" s="1">
        <v>78073</v>
      </c>
      <c r="E41" s="1">
        <v>27861</v>
      </c>
      <c r="F41" s="2">
        <v>0.35149999999999998</v>
      </c>
      <c r="G41" s="1">
        <v>803</v>
      </c>
      <c r="H41" s="2">
        <v>2.1600000000000001E-2</v>
      </c>
      <c r="I41" s="9">
        <v>7.6E-3</v>
      </c>
    </row>
    <row r="42" spans="1:9" ht="15" thickBot="1" x14ac:dyDescent="0.4">
      <c r="A42" s="12" t="s">
        <v>35</v>
      </c>
      <c r="B42" s="4"/>
      <c r="C42" s="4"/>
      <c r="D42" s="13">
        <f>SUM(D36:D41)</f>
        <v>5639033</v>
      </c>
      <c r="E42" s="13">
        <f>SUM(E36:E41)</f>
        <v>2022291</v>
      </c>
      <c r="F42" s="14">
        <f>AVERAGE(F36:F41)</f>
        <v>0.3497321662458735</v>
      </c>
      <c r="G42" s="13">
        <f>SUM(G36:G41)</f>
        <v>43782</v>
      </c>
      <c r="H42" s="14">
        <f>AVERAGE(H36:H41)</f>
        <v>2.4831726955025984E-2</v>
      </c>
      <c r="I42" s="15">
        <f>AVERAGE(I36:I41)</f>
        <v>8.5904218761001499E-3</v>
      </c>
    </row>
    <row r="43" spans="1:9" ht="3" customHeight="1" thickBot="1" x14ac:dyDescent="0.4">
      <c r="A43" s="139"/>
      <c r="B43" s="138"/>
      <c r="C43" s="138"/>
      <c r="D43" s="138"/>
      <c r="E43" s="138"/>
      <c r="F43" s="138"/>
      <c r="G43" s="138"/>
      <c r="H43" s="138"/>
      <c r="I43" s="140"/>
    </row>
    <row r="44" spans="1:9" x14ac:dyDescent="0.35">
      <c r="A44" s="16" t="s">
        <v>37</v>
      </c>
      <c r="B44" s="17"/>
      <c r="C44" s="17"/>
      <c r="D44" s="17"/>
      <c r="E44" s="17"/>
      <c r="F44" s="17"/>
      <c r="G44" s="17"/>
      <c r="H44" s="17"/>
      <c r="I44" s="18"/>
    </row>
    <row r="45" spans="1:9" x14ac:dyDescent="0.35">
      <c r="A45" s="8">
        <v>45297</v>
      </c>
      <c r="B45" t="s">
        <v>41</v>
      </c>
      <c r="C45" t="s">
        <v>10</v>
      </c>
      <c r="D45" s="1">
        <v>42022</v>
      </c>
      <c r="E45" s="1">
        <v>17951</v>
      </c>
      <c r="F45" s="2">
        <v>0.427181000428347</v>
      </c>
      <c r="G45" s="1">
        <v>1383</v>
      </c>
      <c r="H45" s="2">
        <v>7.7043061667873697E-2</v>
      </c>
      <c r="I45" s="9">
        <v>3.2911332159345101E-2</v>
      </c>
    </row>
    <row r="46" spans="1:9" x14ac:dyDescent="0.35">
      <c r="A46" s="8">
        <v>45297</v>
      </c>
      <c r="B46" t="s">
        <v>41</v>
      </c>
      <c r="C46" t="s">
        <v>11</v>
      </c>
      <c r="D46" s="1">
        <v>3960</v>
      </c>
      <c r="E46" s="1">
        <v>1828</v>
      </c>
      <c r="F46" s="2">
        <v>0.46161616161616198</v>
      </c>
      <c r="G46" s="1">
        <v>208</v>
      </c>
      <c r="H46" s="2">
        <v>0.113785557986871</v>
      </c>
      <c r="I46" s="9">
        <v>5.2525252525252503E-2</v>
      </c>
    </row>
    <row r="47" spans="1:9" x14ac:dyDescent="0.35">
      <c r="A47" s="8">
        <v>45301</v>
      </c>
      <c r="B47" t="s">
        <v>43</v>
      </c>
      <c r="C47" t="s">
        <v>10</v>
      </c>
      <c r="D47" s="1">
        <v>184656</v>
      </c>
      <c r="E47" s="1">
        <v>82411</v>
      </c>
      <c r="F47" s="2">
        <v>0.44629473182566498</v>
      </c>
      <c r="G47" s="1">
        <v>1675</v>
      </c>
      <c r="H47" s="2">
        <v>2.03249566198687E-2</v>
      </c>
      <c r="I47" s="9">
        <v>9.0709210640325805E-3</v>
      </c>
    </row>
    <row r="48" spans="1:9" x14ac:dyDescent="0.35">
      <c r="A48" s="8">
        <v>45301</v>
      </c>
      <c r="B48" t="s">
        <v>43</v>
      </c>
      <c r="C48" t="s">
        <v>11</v>
      </c>
      <c r="D48" s="1">
        <v>11061</v>
      </c>
      <c r="E48" s="1">
        <v>5019</v>
      </c>
      <c r="F48" s="2">
        <v>0.45375644155139699</v>
      </c>
      <c r="G48" s="1">
        <v>157</v>
      </c>
      <c r="H48" s="2">
        <v>3.1281131699541699E-2</v>
      </c>
      <c r="I48" s="9">
        <v>1.4194015007684699E-2</v>
      </c>
    </row>
    <row r="49" spans="1:9" x14ac:dyDescent="0.35">
      <c r="A49" s="8">
        <v>45301</v>
      </c>
      <c r="B49" t="s">
        <v>44</v>
      </c>
      <c r="C49" t="s">
        <v>10</v>
      </c>
      <c r="D49" s="1">
        <v>142801</v>
      </c>
      <c r="E49" s="1">
        <v>61930</v>
      </c>
      <c r="F49" s="2">
        <v>0.43368043641151</v>
      </c>
      <c r="G49" s="1">
        <v>640</v>
      </c>
      <c r="H49" s="2">
        <v>1.0334248344905501E-2</v>
      </c>
      <c r="I49" s="9">
        <v>4.4817613322035597E-3</v>
      </c>
    </row>
    <row r="50" spans="1:9" x14ac:dyDescent="0.35">
      <c r="A50" s="8">
        <v>45301</v>
      </c>
      <c r="B50" t="s">
        <v>44</v>
      </c>
      <c r="C50" t="s">
        <v>11</v>
      </c>
      <c r="D50" s="1">
        <v>6955</v>
      </c>
      <c r="E50" s="1">
        <v>2846</v>
      </c>
      <c r="F50" s="2">
        <v>0.40920201294033098</v>
      </c>
      <c r="G50" s="1">
        <v>33</v>
      </c>
      <c r="H50" s="2">
        <v>1.15952213633169E-2</v>
      </c>
      <c r="I50" s="9">
        <v>4.7447879223580201E-3</v>
      </c>
    </row>
    <row r="51" spans="1:9" x14ac:dyDescent="0.35">
      <c r="A51" s="8">
        <v>45301</v>
      </c>
      <c r="B51" t="s">
        <v>45</v>
      </c>
      <c r="C51" t="s">
        <v>10</v>
      </c>
      <c r="D51" s="1">
        <v>111950</v>
      </c>
      <c r="E51" s="1">
        <v>47590</v>
      </c>
      <c r="F51" s="2">
        <v>0.425100491290755</v>
      </c>
      <c r="G51" s="1">
        <v>609</v>
      </c>
      <c r="H51" s="2">
        <v>1.2796806051691499E-2</v>
      </c>
      <c r="I51" s="9">
        <v>5.4399285395265702E-3</v>
      </c>
    </row>
    <row r="52" spans="1:9" x14ac:dyDescent="0.35">
      <c r="A52" s="8">
        <v>45301</v>
      </c>
      <c r="B52" t="s">
        <v>46</v>
      </c>
      <c r="C52" t="s">
        <v>10</v>
      </c>
      <c r="D52" s="1">
        <v>329347</v>
      </c>
      <c r="E52" s="1">
        <v>123650</v>
      </c>
      <c r="F52" s="2">
        <v>0.37543988559179198</v>
      </c>
      <c r="G52" s="1">
        <v>1793</v>
      </c>
      <c r="H52" s="2">
        <v>1.4500606550748101E-2</v>
      </c>
      <c r="I52" s="9">
        <v>5.4441060644244499E-3</v>
      </c>
    </row>
    <row r="53" spans="1:9" x14ac:dyDescent="0.35">
      <c r="A53" s="8">
        <v>45301</v>
      </c>
      <c r="B53" t="s">
        <v>46</v>
      </c>
      <c r="C53" t="s">
        <v>11</v>
      </c>
      <c r="D53" s="1">
        <v>20018</v>
      </c>
      <c r="E53" s="1">
        <v>6946</v>
      </c>
      <c r="F53" s="2">
        <v>0.346987711060046</v>
      </c>
      <c r="G53" s="1">
        <v>130</v>
      </c>
      <c r="H53" s="2">
        <v>1.8715807659084399E-2</v>
      </c>
      <c r="I53" s="9">
        <v>6.4941552602657601E-3</v>
      </c>
    </row>
    <row r="54" spans="1:9" ht="15" thickBot="1" x14ac:dyDescent="0.4">
      <c r="A54" s="12" t="s">
        <v>35</v>
      </c>
      <c r="B54" s="4"/>
      <c r="C54" s="4"/>
      <c r="D54" s="13">
        <f>SUM(D45:D53)</f>
        <v>852770</v>
      </c>
      <c r="E54" s="13">
        <f>SUM(E45:E53)</f>
        <v>350171</v>
      </c>
      <c r="F54" s="14">
        <f>AVERAGE(F45:F53)</f>
        <v>0.41991765252400054</v>
      </c>
      <c r="G54" s="13">
        <f>SUM(G45:G53)</f>
        <v>6628</v>
      </c>
      <c r="H54" s="14">
        <f>AVERAGE(H45:H53)</f>
        <v>3.4486377549322378E-2</v>
      </c>
      <c r="I54" s="15">
        <f>AVERAGE(I45:I53)</f>
        <v>1.5034028875010362E-2</v>
      </c>
    </row>
    <row r="55" spans="1:9" ht="3" customHeight="1" thickBot="1" x14ac:dyDescent="0.4">
      <c r="A55" s="139"/>
      <c r="B55" s="138"/>
      <c r="C55" s="138"/>
      <c r="D55" s="138"/>
      <c r="E55" s="138"/>
      <c r="F55" s="138"/>
      <c r="G55" s="138"/>
      <c r="H55" s="138"/>
      <c r="I55" s="140"/>
    </row>
    <row r="56" spans="1:9" x14ac:dyDescent="0.35">
      <c r="A56" s="16" t="s">
        <v>38</v>
      </c>
      <c r="B56" s="17"/>
      <c r="C56" s="17"/>
      <c r="D56" s="17"/>
      <c r="E56" s="17"/>
      <c r="F56" s="17"/>
      <c r="G56" s="17"/>
      <c r="H56" s="17"/>
      <c r="I56" s="18"/>
    </row>
    <row r="57" spans="1:9" x14ac:dyDescent="0.35">
      <c r="A57" s="8">
        <v>45302</v>
      </c>
      <c r="B57" t="s">
        <v>18</v>
      </c>
      <c r="C57" t="s">
        <v>47</v>
      </c>
      <c r="D57" s="1">
        <v>619604</v>
      </c>
      <c r="E57" s="1">
        <v>205774</v>
      </c>
      <c r="F57" s="3">
        <v>0.33210000000000001</v>
      </c>
      <c r="G57" s="1">
        <v>1391</v>
      </c>
      <c r="H57" s="3">
        <v>6.7999999999999996E-3</v>
      </c>
      <c r="I57" s="11">
        <v>2.2000000000000001E-3</v>
      </c>
    </row>
    <row r="58" spans="1:9" x14ac:dyDescent="0.35">
      <c r="A58" s="8">
        <v>45302</v>
      </c>
      <c r="B58" t="s">
        <v>20</v>
      </c>
      <c r="C58" t="s">
        <v>48</v>
      </c>
      <c r="D58" s="1">
        <v>50026</v>
      </c>
      <c r="E58" s="1">
        <v>13798</v>
      </c>
      <c r="F58" s="3">
        <v>0.27579999999999999</v>
      </c>
      <c r="G58">
        <v>139</v>
      </c>
      <c r="H58" s="3">
        <v>1.01E-2</v>
      </c>
      <c r="I58" s="11">
        <v>2.8E-3</v>
      </c>
    </row>
    <row r="59" spans="1:9" x14ac:dyDescent="0.35">
      <c r="A59" s="8">
        <v>45302</v>
      </c>
      <c r="B59" t="s">
        <v>22</v>
      </c>
      <c r="C59" t="s">
        <v>49</v>
      </c>
      <c r="D59" s="1">
        <v>160203</v>
      </c>
      <c r="E59" s="1">
        <v>60613</v>
      </c>
      <c r="F59" s="3">
        <v>0.37840000000000001</v>
      </c>
      <c r="G59">
        <v>668</v>
      </c>
      <c r="H59" s="3">
        <v>1.0999999999999999E-2</v>
      </c>
      <c r="I59" s="11">
        <v>4.1999999999999997E-3</v>
      </c>
    </row>
    <row r="60" spans="1:9" x14ac:dyDescent="0.35">
      <c r="A60" s="8">
        <v>45302</v>
      </c>
      <c r="B60" t="s">
        <v>24</v>
      </c>
      <c r="C60" t="s">
        <v>49</v>
      </c>
      <c r="D60" s="1">
        <v>12643</v>
      </c>
      <c r="E60" s="1">
        <v>4600</v>
      </c>
      <c r="F60" s="3">
        <v>0.36380000000000001</v>
      </c>
      <c r="G60">
        <v>60</v>
      </c>
      <c r="H60" s="3">
        <v>1.2999999999999999E-2</v>
      </c>
      <c r="I60" s="11">
        <v>4.7000000000000002E-3</v>
      </c>
    </row>
    <row r="61" spans="1:9" x14ac:dyDescent="0.35">
      <c r="A61" s="8">
        <v>45302</v>
      </c>
      <c r="B61" t="s">
        <v>26</v>
      </c>
      <c r="C61" t="s">
        <v>47</v>
      </c>
      <c r="D61" s="1">
        <v>298326</v>
      </c>
      <c r="E61" s="1">
        <v>101084</v>
      </c>
      <c r="F61" s="3">
        <v>0.33879999999999999</v>
      </c>
      <c r="G61">
        <v>644</v>
      </c>
      <c r="H61" s="3">
        <v>6.4000000000000003E-3</v>
      </c>
      <c r="I61" s="11">
        <v>2.2000000000000001E-3</v>
      </c>
    </row>
    <row r="62" spans="1:9" x14ac:dyDescent="0.35">
      <c r="A62" s="8">
        <v>45302</v>
      </c>
      <c r="B62" t="s">
        <v>28</v>
      </c>
      <c r="C62" t="s">
        <v>48</v>
      </c>
      <c r="D62" s="1">
        <v>20636</v>
      </c>
      <c r="E62" s="1">
        <v>5999</v>
      </c>
      <c r="F62" s="3">
        <v>0.29070000000000001</v>
      </c>
      <c r="G62">
        <v>86</v>
      </c>
      <c r="H62" s="3">
        <v>1.43E-2</v>
      </c>
      <c r="I62" s="11">
        <v>4.1999999999999997E-3</v>
      </c>
    </row>
    <row r="63" spans="1:9" x14ac:dyDescent="0.35">
      <c r="A63" s="8">
        <v>45302</v>
      </c>
      <c r="B63" t="s">
        <v>29</v>
      </c>
      <c r="C63" t="s">
        <v>49</v>
      </c>
      <c r="D63" s="1">
        <v>61335</v>
      </c>
      <c r="E63" s="1">
        <v>23565</v>
      </c>
      <c r="F63" s="3">
        <v>0.38419999999999999</v>
      </c>
      <c r="G63">
        <v>273</v>
      </c>
      <c r="H63" s="3">
        <v>1.1599999999999999E-2</v>
      </c>
      <c r="I63" s="11">
        <v>4.4999999999999997E-3</v>
      </c>
    </row>
    <row r="64" spans="1:9" x14ac:dyDescent="0.35">
      <c r="A64" s="8">
        <v>45302</v>
      </c>
      <c r="B64" t="s">
        <v>50</v>
      </c>
      <c r="C64" t="s">
        <v>49</v>
      </c>
      <c r="D64" s="1">
        <v>4890</v>
      </c>
      <c r="E64" s="1">
        <v>1850</v>
      </c>
      <c r="F64" s="3">
        <v>0.37830000000000003</v>
      </c>
      <c r="G64">
        <v>34</v>
      </c>
      <c r="H64" s="3">
        <v>1.84E-2</v>
      </c>
      <c r="I64" s="11">
        <v>7.0000000000000001E-3</v>
      </c>
    </row>
    <row r="65" spans="1:9" x14ac:dyDescent="0.35">
      <c r="A65" s="8">
        <v>45302</v>
      </c>
      <c r="B65" t="s">
        <v>51</v>
      </c>
      <c r="C65" t="s">
        <v>52</v>
      </c>
      <c r="D65" s="1">
        <v>289522</v>
      </c>
      <c r="E65" s="1">
        <v>91692</v>
      </c>
      <c r="F65" s="3">
        <v>0.31669999999999998</v>
      </c>
      <c r="G65">
        <v>364</v>
      </c>
      <c r="H65" s="3">
        <v>4.0000000000000001E-3</v>
      </c>
      <c r="I65" s="11">
        <v>1.2999999999999999E-3</v>
      </c>
    </row>
    <row r="66" spans="1:9" x14ac:dyDescent="0.35">
      <c r="A66" s="8">
        <v>45302</v>
      </c>
      <c r="B66" t="s">
        <v>53</v>
      </c>
      <c r="C66" t="s">
        <v>52</v>
      </c>
      <c r="D66" s="1">
        <v>15413</v>
      </c>
      <c r="E66" s="1">
        <v>4330</v>
      </c>
      <c r="F66" s="3">
        <v>0.28089999999999998</v>
      </c>
      <c r="G66">
        <v>31</v>
      </c>
      <c r="H66" s="3">
        <v>7.1999999999999998E-3</v>
      </c>
      <c r="I66" s="11">
        <v>2E-3</v>
      </c>
    </row>
    <row r="67" spans="1:9" x14ac:dyDescent="0.35">
      <c r="A67" s="8">
        <v>45302</v>
      </c>
      <c r="B67" t="s">
        <v>33</v>
      </c>
      <c r="C67" t="s">
        <v>47</v>
      </c>
      <c r="D67" s="1">
        <v>790697</v>
      </c>
      <c r="E67" s="1">
        <v>297053</v>
      </c>
      <c r="F67" s="3">
        <v>0.37569999999999998</v>
      </c>
      <c r="G67" s="1">
        <v>2100</v>
      </c>
      <c r="H67" s="3">
        <v>7.1000000000000004E-3</v>
      </c>
      <c r="I67" s="11">
        <v>2.7000000000000001E-3</v>
      </c>
    </row>
    <row r="68" spans="1:9" x14ac:dyDescent="0.35">
      <c r="A68" s="8">
        <v>45302</v>
      </c>
      <c r="B68" t="s">
        <v>54</v>
      </c>
      <c r="C68" t="s">
        <v>48</v>
      </c>
      <c r="D68" s="1">
        <v>59215</v>
      </c>
      <c r="E68" s="1">
        <v>19985</v>
      </c>
      <c r="F68" s="3">
        <v>0.33750000000000002</v>
      </c>
      <c r="G68">
        <v>235</v>
      </c>
      <c r="H68" s="3">
        <v>1.18E-2</v>
      </c>
      <c r="I68" s="11">
        <v>4.0000000000000001E-3</v>
      </c>
    </row>
    <row r="69" spans="1:9" x14ac:dyDescent="0.35">
      <c r="A69" s="8">
        <v>45302</v>
      </c>
      <c r="B69" t="s">
        <v>55</v>
      </c>
      <c r="C69" t="s">
        <v>52</v>
      </c>
      <c r="D69" s="1">
        <v>31529</v>
      </c>
      <c r="E69" s="1">
        <v>13421</v>
      </c>
      <c r="F69" s="3">
        <v>0.42570000000000002</v>
      </c>
      <c r="G69">
        <v>244</v>
      </c>
      <c r="H69" s="3">
        <v>1.8200000000000001E-2</v>
      </c>
      <c r="I69" s="11">
        <v>7.7000000000000002E-3</v>
      </c>
    </row>
    <row r="70" spans="1:9" x14ac:dyDescent="0.35">
      <c r="A70" s="8">
        <v>45302</v>
      </c>
      <c r="B70" t="s">
        <v>56</v>
      </c>
      <c r="C70" t="s">
        <v>52</v>
      </c>
      <c r="D70" s="1">
        <v>1150</v>
      </c>
      <c r="E70">
        <v>504</v>
      </c>
      <c r="F70" s="3">
        <v>0.43830000000000002</v>
      </c>
      <c r="G70">
        <v>7</v>
      </c>
      <c r="H70" s="3">
        <v>1.3899999999999999E-2</v>
      </c>
      <c r="I70" s="11">
        <v>6.1000000000000004E-3</v>
      </c>
    </row>
    <row r="71" spans="1:9" x14ac:dyDescent="0.35">
      <c r="A71" s="8">
        <v>45302</v>
      </c>
      <c r="B71" t="s">
        <v>34</v>
      </c>
      <c r="C71" t="s">
        <v>47</v>
      </c>
      <c r="D71" s="1">
        <v>322889</v>
      </c>
      <c r="E71" s="1">
        <v>114701</v>
      </c>
      <c r="F71" s="3">
        <v>0.35520000000000002</v>
      </c>
      <c r="G71">
        <v>697</v>
      </c>
      <c r="H71" s="3">
        <v>6.1000000000000004E-3</v>
      </c>
      <c r="I71" s="11">
        <v>2.2000000000000001E-3</v>
      </c>
    </row>
    <row r="72" spans="1:9" ht="15" thickBot="1" x14ac:dyDescent="0.4">
      <c r="A72" s="12" t="s">
        <v>35</v>
      </c>
      <c r="B72" s="4"/>
      <c r="C72" s="4"/>
      <c r="D72" s="13">
        <f>SUM(D57:D71)</f>
        <v>2738078</v>
      </c>
      <c r="E72" s="13">
        <f>SUM(E57:E71)</f>
        <v>958969</v>
      </c>
      <c r="F72" s="14">
        <f>AVERAGE(F57:F71)</f>
        <v>0.35147333333333336</v>
      </c>
      <c r="G72" s="13">
        <f>SUM(G57:G71)</f>
        <v>6973</v>
      </c>
      <c r="H72" s="14">
        <f>AVERAGE(H57:H71)</f>
        <v>1.0659999999999999E-2</v>
      </c>
      <c r="I72" s="15">
        <f>AVERAGE(I57:I71)</f>
        <v>3.8533333333333336E-3</v>
      </c>
    </row>
  </sheetData>
  <mergeCells count="3">
    <mergeCell ref="A33:I33"/>
    <mergeCell ref="A43:I43"/>
    <mergeCell ref="A55:I55"/>
  </mergeCells>
  <pageMargins left="0.7" right="0.7" top="0.75" bottom="0.75" header="0.3" footer="0.3"/>
  <ignoredErrors>
    <ignoredError sqref="F32:G32 F42:G42 F54:G54 F72:G72" formula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BB23-795A-4BAD-8186-14428CD2F70B}">
  <dimension ref="A1:I68"/>
  <sheetViews>
    <sheetView zoomScale="90" zoomScaleNormal="90" workbookViewId="0">
      <selection activeCell="N21" sqref="N21"/>
    </sheetView>
  </sheetViews>
  <sheetFormatPr defaultRowHeight="14.5" x14ac:dyDescent="0.35"/>
  <cols>
    <col min="1" max="1" width="11.81640625" customWidth="1"/>
    <col min="2" max="2" width="78.54296875" customWidth="1"/>
    <col min="3" max="3" width="33.179687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45303</v>
      </c>
      <c r="B2" t="s">
        <v>57</v>
      </c>
      <c r="C2" t="s">
        <v>10</v>
      </c>
      <c r="D2" s="1">
        <v>3916219</v>
      </c>
      <c r="E2" s="1">
        <v>1445051</v>
      </c>
      <c r="F2" s="2">
        <v>0.368991366417455</v>
      </c>
      <c r="G2" s="1">
        <v>30012</v>
      </c>
      <c r="H2" s="2">
        <v>2.0768817155934299E-2</v>
      </c>
      <c r="I2" s="2">
        <v>7.6635142212424798E-3</v>
      </c>
    </row>
    <row r="3" spans="1:9" x14ac:dyDescent="0.35">
      <c r="A3" s="19">
        <v>45303</v>
      </c>
      <c r="B3" t="s">
        <v>57</v>
      </c>
      <c r="C3" t="s">
        <v>11</v>
      </c>
      <c r="D3" s="1">
        <v>232225</v>
      </c>
      <c r="E3" s="1">
        <v>73662</v>
      </c>
      <c r="F3" s="2">
        <v>0.31720099041877498</v>
      </c>
      <c r="G3" s="1">
        <v>1841</v>
      </c>
      <c r="H3" s="2">
        <v>2.49925334636583E-2</v>
      </c>
      <c r="I3" s="2">
        <v>7.9276563677468E-3</v>
      </c>
    </row>
    <row r="4" spans="1:9" x14ac:dyDescent="0.35">
      <c r="A4" s="19">
        <v>45303</v>
      </c>
      <c r="B4" t="s">
        <v>58</v>
      </c>
      <c r="C4" t="s">
        <v>10</v>
      </c>
      <c r="D4" s="1">
        <v>283925</v>
      </c>
      <c r="E4" s="1">
        <v>106749</v>
      </c>
      <c r="F4" s="2">
        <v>0.375976050013208</v>
      </c>
      <c r="G4" s="1">
        <v>2273</v>
      </c>
      <c r="H4" s="2">
        <v>2.12929395123139E-2</v>
      </c>
      <c r="I4" s="2">
        <v>8.0056352910099493E-3</v>
      </c>
    </row>
    <row r="5" spans="1:9" x14ac:dyDescent="0.35">
      <c r="A5" s="19">
        <v>45304</v>
      </c>
      <c r="B5" t="s">
        <v>59</v>
      </c>
      <c r="C5" t="s">
        <v>10</v>
      </c>
      <c r="D5" s="1">
        <v>1487</v>
      </c>
      <c r="E5" s="1">
        <v>761</v>
      </c>
      <c r="F5" s="2">
        <v>0.51176866173503699</v>
      </c>
      <c r="G5" s="1">
        <v>194</v>
      </c>
      <c r="H5" s="2">
        <v>0.25492772667542701</v>
      </c>
      <c r="I5" s="2">
        <v>0.13046402151983899</v>
      </c>
    </row>
    <row r="6" spans="1:9" x14ac:dyDescent="0.35">
      <c r="A6" s="19">
        <v>45304</v>
      </c>
      <c r="B6" t="s">
        <v>60</v>
      </c>
      <c r="C6" t="s">
        <v>10</v>
      </c>
      <c r="D6" s="1">
        <v>993</v>
      </c>
      <c r="E6" s="1">
        <v>386</v>
      </c>
      <c r="F6" s="2">
        <v>0.38872104733131901</v>
      </c>
      <c r="G6" s="1">
        <v>22</v>
      </c>
      <c r="H6" s="2">
        <v>5.6994818652849701E-2</v>
      </c>
      <c r="I6" s="2">
        <v>2.21550855991944E-2</v>
      </c>
    </row>
    <row r="7" spans="1:9" x14ac:dyDescent="0.35">
      <c r="A7" s="19">
        <v>45304</v>
      </c>
      <c r="B7" t="s">
        <v>61</v>
      </c>
      <c r="C7" t="s">
        <v>10</v>
      </c>
      <c r="D7" s="1">
        <v>9908</v>
      </c>
      <c r="E7" s="1">
        <v>3662</v>
      </c>
      <c r="F7" s="2">
        <v>0.36960032297133599</v>
      </c>
      <c r="G7" s="1">
        <v>220</v>
      </c>
      <c r="H7" s="2">
        <v>6.0076460950300399E-2</v>
      </c>
      <c r="I7" s="2">
        <v>2.2204279370205901E-2</v>
      </c>
    </row>
    <row r="8" spans="1:9" x14ac:dyDescent="0.35">
      <c r="A8" s="19">
        <v>45307</v>
      </c>
      <c r="B8" t="s">
        <v>62</v>
      </c>
      <c r="C8" t="s">
        <v>10</v>
      </c>
      <c r="D8" s="1">
        <v>1416078</v>
      </c>
      <c r="E8" s="1">
        <v>493221</v>
      </c>
      <c r="F8" s="2">
        <v>0.34830072919712102</v>
      </c>
      <c r="G8" s="1">
        <v>13538</v>
      </c>
      <c r="H8" s="2">
        <v>2.7448141907988499E-2</v>
      </c>
      <c r="I8" s="2">
        <v>9.5602078416584402E-3</v>
      </c>
    </row>
    <row r="9" spans="1:9" x14ac:dyDescent="0.35">
      <c r="A9" s="19">
        <v>45307</v>
      </c>
      <c r="B9" t="s">
        <v>62</v>
      </c>
      <c r="C9" t="s">
        <v>11</v>
      </c>
      <c r="D9" s="1">
        <v>102083</v>
      </c>
      <c r="E9" s="1">
        <v>30625</v>
      </c>
      <c r="F9" s="2">
        <v>0.30000097959503502</v>
      </c>
      <c r="G9" s="1">
        <v>1370</v>
      </c>
      <c r="H9" s="2">
        <v>4.4734693877551003E-2</v>
      </c>
      <c r="I9" s="2">
        <v>1.3420451985149301E-2</v>
      </c>
    </row>
    <row r="10" spans="1:9" x14ac:dyDescent="0.35">
      <c r="A10" s="19">
        <v>45309</v>
      </c>
      <c r="B10" t="s">
        <v>22</v>
      </c>
      <c r="C10" t="s">
        <v>31</v>
      </c>
      <c r="D10" s="1">
        <v>158896</v>
      </c>
      <c r="E10" s="1">
        <v>58327</v>
      </c>
      <c r="F10" s="3">
        <v>0.36709999999999998</v>
      </c>
      <c r="G10">
        <v>772</v>
      </c>
      <c r="H10" s="3">
        <v>1.32E-2</v>
      </c>
      <c r="I10" s="3">
        <v>4.8999999999999998E-3</v>
      </c>
    </row>
    <row r="11" spans="1:9" x14ac:dyDescent="0.35">
      <c r="A11" s="19">
        <v>45309</v>
      </c>
      <c r="B11" t="s">
        <v>24</v>
      </c>
      <c r="C11" t="s">
        <v>32</v>
      </c>
      <c r="D11" s="1">
        <v>12505</v>
      </c>
      <c r="E11" s="1">
        <v>4642</v>
      </c>
      <c r="F11" s="3">
        <v>0.37119999999999997</v>
      </c>
      <c r="G11">
        <v>80</v>
      </c>
      <c r="H11" s="3">
        <v>1.72E-2</v>
      </c>
      <c r="I11" s="3">
        <v>6.4000000000000003E-3</v>
      </c>
    </row>
    <row r="12" spans="1:9" x14ac:dyDescent="0.35">
      <c r="A12" s="19">
        <v>45309</v>
      </c>
      <c r="B12" t="s">
        <v>29</v>
      </c>
      <c r="C12" t="s">
        <v>31</v>
      </c>
      <c r="D12" s="1">
        <v>61008</v>
      </c>
      <c r="E12" s="1">
        <v>23745</v>
      </c>
      <c r="F12" s="3">
        <v>0.38919999999999999</v>
      </c>
      <c r="G12">
        <v>355</v>
      </c>
      <c r="H12" s="3">
        <v>1.4999999999999999E-2</v>
      </c>
      <c r="I12" s="3">
        <v>5.7999999999999996E-3</v>
      </c>
    </row>
    <row r="13" spans="1:9" x14ac:dyDescent="0.35">
      <c r="A13" s="19">
        <v>45309</v>
      </c>
      <c r="B13" t="s">
        <v>50</v>
      </c>
      <c r="C13" t="s">
        <v>32</v>
      </c>
      <c r="D13" s="1">
        <v>4868</v>
      </c>
      <c r="E13" s="1">
        <v>1782</v>
      </c>
      <c r="F13" s="3">
        <v>0.36609999999999998</v>
      </c>
      <c r="G13">
        <v>43</v>
      </c>
      <c r="H13" s="3">
        <v>2.41E-2</v>
      </c>
      <c r="I13" s="3">
        <v>8.8000000000000005E-3</v>
      </c>
    </row>
    <row r="14" spans="1:9" x14ac:dyDescent="0.35">
      <c r="A14" s="19">
        <v>45309</v>
      </c>
      <c r="B14" t="s">
        <v>51</v>
      </c>
      <c r="C14" t="s">
        <v>27</v>
      </c>
      <c r="D14" s="1">
        <v>246511</v>
      </c>
      <c r="E14" s="1">
        <v>79050</v>
      </c>
      <c r="F14" s="3">
        <v>0.32069999999999999</v>
      </c>
      <c r="G14">
        <v>345</v>
      </c>
      <c r="H14" s="3">
        <v>4.4000000000000003E-3</v>
      </c>
      <c r="I14" s="3">
        <v>1.4E-3</v>
      </c>
    </row>
    <row r="15" spans="1:9" x14ac:dyDescent="0.35">
      <c r="A15" s="19">
        <v>45309</v>
      </c>
      <c r="B15" t="s">
        <v>53</v>
      </c>
      <c r="C15" t="s">
        <v>21</v>
      </c>
      <c r="D15" s="1">
        <v>13287</v>
      </c>
      <c r="E15" s="1">
        <v>3468</v>
      </c>
      <c r="F15" s="3">
        <v>0.26100000000000001</v>
      </c>
      <c r="G15">
        <v>35</v>
      </c>
      <c r="H15" s="3">
        <v>1.01E-2</v>
      </c>
      <c r="I15" s="3">
        <v>2.5999999999999999E-3</v>
      </c>
    </row>
    <row r="16" spans="1:9" x14ac:dyDescent="0.35">
      <c r="A16" s="19">
        <v>45309</v>
      </c>
      <c r="B16" t="s">
        <v>63</v>
      </c>
      <c r="C16" t="s">
        <v>64</v>
      </c>
      <c r="D16" s="1">
        <v>245972</v>
      </c>
      <c r="E16" s="1">
        <v>87459</v>
      </c>
      <c r="F16" s="3">
        <v>0.35560000000000003</v>
      </c>
      <c r="G16">
        <v>801</v>
      </c>
      <c r="H16" s="3">
        <v>9.1999999999999998E-3</v>
      </c>
      <c r="I16" s="3">
        <v>3.3E-3</v>
      </c>
    </row>
    <row r="17" spans="1:9" x14ac:dyDescent="0.35">
      <c r="A17" s="19">
        <v>45309</v>
      </c>
      <c r="B17" t="s">
        <v>65</v>
      </c>
      <c r="C17" t="s">
        <v>66</v>
      </c>
      <c r="D17" s="1">
        <v>14822</v>
      </c>
      <c r="E17" s="1">
        <v>4585</v>
      </c>
      <c r="F17" s="3">
        <v>0.30930000000000002</v>
      </c>
      <c r="G17">
        <v>66</v>
      </c>
      <c r="H17" s="3">
        <v>1.44E-2</v>
      </c>
      <c r="I17" s="3">
        <v>4.4999999999999997E-3</v>
      </c>
    </row>
    <row r="18" spans="1:9" x14ac:dyDescent="0.35">
      <c r="A18" s="19">
        <v>45309</v>
      </c>
      <c r="B18" t="s">
        <v>55</v>
      </c>
      <c r="C18" t="s">
        <v>27</v>
      </c>
      <c r="D18" s="1">
        <v>22860</v>
      </c>
      <c r="E18" s="1">
        <v>9634</v>
      </c>
      <c r="F18" s="3">
        <v>0.4214</v>
      </c>
      <c r="G18">
        <v>141</v>
      </c>
      <c r="H18" s="3">
        <v>1.46E-2</v>
      </c>
      <c r="I18" s="3">
        <v>6.1999999999999998E-3</v>
      </c>
    </row>
    <row r="19" spans="1:9" x14ac:dyDescent="0.35">
      <c r="A19" s="19">
        <v>45309</v>
      </c>
      <c r="B19" t="s">
        <v>56</v>
      </c>
      <c r="C19" t="s">
        <v>21</v>
      </c>
      <c r="D19">
        <v>892</v>
      </c>
      <c r="E19">
        <v>406</v>
      </c>
      <c r="F19" s="3">
        <v>0.45519999999999999</v>
      </c>
      <c r="G19">
        <v>10</v>
      </c>
      <c r="H19" s="3">
        <v>2.46E-2</v>
      </c>
      <c r="I19" s="3">
        <v>1.12E-2</v>
      </c>
    </row>
    <row r="20" spans="1:9" x14ac:dyDescent="0.35">
      <c r="A20" s="19">
        <v>45309</v>
      </c>
      <c r="B20" t="s">
        <v>67</v>
      </c>
      <c r="C20" t="s">
        <v>64</v>
      </c>
      <c r="D20" s="1">
        <v>3125</v>
      </c>
      <c r="E20" s="1">
        <v>1282</v>
      </c>
      <c r="F20" s="3">
        <v>0.41020000000000001</v>
      </c>
      <c r="G20">
        <v>4</v>
      </c>
      <c r="H20" s="3">
        <v>3.0999999999999999E-3</v>
      </c>
      <c r="I20" s="3">
        <v>1.2999999999999999E-3</v>
      </c>
    </row>
    <row r="21" spans="1:9" x14ac:dyDescent="0.35">
      <c r="A21" s="19">
        <v>45309</v>
      </c>
      <c r="B21" t="s">
        <v>68</v>
      </c>
      <c r="C21" t="s">
        <v>10</v>
      </c>
      <c r="D21" s="1">
        <v>2959141</v>
      </c>
      <c r="E21" s="1">
        <v>1052532</v>
      </c>
      <c r="F21" s="2">
        <v>0.35568835685761502</v>
      </c>
      <c r="G21" s="1">
        <v>26831</v>
      </c>
      <c r="H21" s="2">
        <v>2.5491861530100701E-2</v>
      </c>
      <c r="I21" s="2">
        <v>9.0671583408833793E-3</v>
      </c>
    </row>
    <row r="22" spans="1:9" x14ac:dyDescent="0.35">
      <c r="A22" s="19">
        <v>45309</v>
      </c>
      <c r="B22" t="s">
        <v>68</v>
      </c>
      <c r="C22" t="s">
        <v>11</v>
      </c>
      <c r="D22" s="1">
        <v>153934</v>
      </c>
      <c r="E22" s="1">
        <v>46594</v>
      </c>
      <c r="F22" s="2">
        <v>0.30268816505775198</v>
      </c>
      <c r="G22" s="1">
        <v>2029</v>
      </c>
      <c r="H22" s="2">
        <v>4.3546379362149598E-2</v>
      </c>
      <c r="I22" s="2">
        <v>1.3180973664037801E-2</v>
      </c>
    </row>
    <row r="23" spans="1:9" x14ac:dyDescent="0.35">
      <c r="A23" s="19">
        <v>45309</v>
      </c>
      <c r="B23" t="s">
        <v>69</v>
      </c>
      <c r="C23" t="s">
        <v>10</v>
      </c>
      <c r="D23" s="1">
        <v>434714</v>
      </c>
      <c r="E23" s="1">
        <v>185575</v>
      </c>
      <c r="F23" s="2">
        <v>0.426889863220416</v>
      </c>
      <c r="G23" s="1">
        <v>4325</v>
      </c>
      <c r="H23" s="2">
        <v>2.33059409942072E-2</v>
      </c>
      <c r="I23" s="2">
        <v>9.9490699632402008E-3</v>
      </c>
    </row>
    <row r="24" spans="1:9" x14ac:dyDescent="0.35">
      <c r="A24" s="19">
        <v>45309</v>
      </c>
      <c r="B24" t="s">
        <v>69</v>
      </c>
      <c r="C24" t="s">
        <v>11</v>
      </c>
      <c r="D24" s="1">
        <v>23078</v>
      </c>
      <c r="E24" s="1">
        <v>7382</v>
      </c>
      <c r="F24" s="2">
        <v>0.319871739318832</v>
      </c>
      <c r="G24" s="1">
        <v>204</v>
      </c>
      <c r="H24" s="2">
        <v>2.7634787320509301E-2</v>
      </c>
      <c r="I24" s="2">
        <v>8.8395874859173197E-3</v>
      </c>
    </row>
    <row r="25" spans="1:9" x14ac:dyDescent="0.35">
      <c r="A25" s="19">
        <v>45309</v>
      </c>
      <c r="B25" t="s">
        <v>70</v>
      </c>
      <c r="C25" t="s">
        <v>10</v>
      </c>
      <c r="D25" s="1">
        <v>838712</v>
      </c>
      <c r="E25" s="1">
        <v>266406</v>
      </c>
      <c r="F25" s="2">
        <v>0.31763704346664901</v>
      </c>
      <c r="G25" s="1">
        <v>4369</v>
      </c>
      <c r="H25" s="2">
        <v>1.6399780785718E-2</v>
      </c>
      <c r="I25" s="2">
        <v>5.20917788227663E-3</v>
      </c>
    </row>
    <row r="26" spans="1:9" x14ac:dyDescent="0.35">
      <c r="A26" s="19">
        <v>45309</v>
      </c>
      <c r="B26" t="s">
        <v>71</v>
      </c>
      <c r="C26" t="s">
        <v>72</v>
      </c>
      <c r="D26" s="1">
        <v>57542</v>
      </c>
      <c r="E26" s="1">
        <v>23301</v>
      </c>
      <c r="F26" s="2">
        <v>0.40493900107747399</v>
      </c>
      <c r="G26" s="1">
        <v>688</v>
      </c>
      <c r="H26" s="2">
        <v>2.95266297583795E-2</v>
      </c>
      <c r="I26" s="2">
        <v>1.19564839595426E-2</v>
      </c>
    </row>
    <row r="27" spans="1:9" x14ac:dyDescent="0.35">
      <c r="A27" s="19">
        <v>45309</v>
      </c>
      <c r="B27" t="s">
        <v>71</v>
      </c>
      <c r="C27" t="s">
        <v>73</v>
      </c>
      <c r="D27" s="1">
        <v>2856</v>
      </c>
      <c r="E27" s="1">
        <v>1169</v>
      </c>
      <c r="F27" s="2">
        <v>0.40931372549019601</v>
      </c>
      <c r="G27" s="1">
        <v>29</v>
      </c>
      <c r="H27" s="2">
        <v>2.4807527801539799E-2</v>
      </c>
      <c r="I27" s="2">
        <v>1.01540616246499E-2</v>
      </c>
    </row>
    <row r="28" spans="1:9" x14ac:dyDescent="0.35">
      <c r="A28" s="19">
        <v>45309</v>
      </c>
      <c r="B28" t="s">
        <v>71</v>
      </c>
      <c r="C28" t="s">
        <v>74</v>
      </c>
      <c r="D28" s="1">
        <v>3034</v>
      </c>
      <c r="E28" s="1">
        <v>1193</v>
      </c>
      <c r="F28" s="2">
        <v>0.39321028345418602</v>
      </c>
      <c r="G28" s="1">
        <v>42</v>
      </c>
      <c r="H28" s="2">
        <v>3.5205364626990802E-2</v>
      </c>
      <c r="I28" s="2">
        <v>1.3843111404087E-2</v>
      </c>
    </row>
    <row r="29" spans="1:9" x14ac:dyDescent="0.35">
      <c r="A29" s="19">
        <v>45309</v>
      </c>
      <c r="B29" t="s">
        <v>71</v>
      </c>
      <c r="C29" t="s">
        <v>75</v>
      </c>
      <c r="D29" s="1">
        <v>137</v>
      </c>
      <c r="E29" s="1">
        <v>52</v>
      </c>
      <c r="F29" s="2">
        <v>0.37956204379561997</v>
      </c>
      <c r="G29" s="1">
        <v>3</v>
      </c>
      <c r="H29" s="2">
        <v>5.7692307692307702E-2</v>
      </c>
      <c r="I29" s="2">
        <v>2.18978102189781E-2</v>
      </c>
    </row>
    <row r="30" spans="1:9" ht="15" thickBot="1" x14ac:dyDescent="0.4">
      <c r="A30" s="20" t="s">
        <v>35</v>
      </c>
      <c r="D30" s="10">
        <f>SUM(D2:D29)</f>
        <v>11220812</v>
      </c>
      <c r="E30" s="10">
        <f>SUM(E2:E29)</f>
        <v>4012701</v>
      </c>
      <c r="F30" s="27">
        <f>AVERAGE(F2:F29)</f>
        <v>0.36847715605064385</v>
      </c>
      <c r="G30" s="10">
        <f>SUM(G2:G29)</f>
        <v>90642</v>
      </c>
      <c r="H30" s="27">
        <f>AVERAGE(H2:H29)</f>
        <v>3.3740954002425917E-2</v>
      </c>
      <c r="I30" s="27">
        <f>AVERAGE(I2:I29)</f>
        <v>1.36392245264164E-2</v>
      </c>
    </row>
    <row r="31" spans="1:9" ht="15" thickBot="1" x14ac:dyDescent="0.4">
      <c r="A31" s="138"/>
      <c r="B31" s="138"/>
      <c r="C31" s="138"/>
      <c r="D31" s="138"/>
      <c r="E31" s="138"/>
      <c r="F31" s="138"/>
      <c r="G31" s="138"/>
      <c r="H31" s="138"/>
      <c r="I31" s="138"/>
    </row>
    <row r="32" spans="1:9" x14ac:dyDescent="0.35">
      <c r="A32" s="24" t="s">
        <v>0</v>
      </c>
      <c r="B32" s="25" t="s">
        <v>1</v>
      </c>
      <c r="C32" s="25" t="s">
        <v>2</v>
      </c>
      <c r="D32" s="25" t="s">
        <v>3</v>
      </c>
      <c r="E32" s="25" t="s">
        <v>4</v>
      </c>
      <c r="F32" s="25" t="s">
        <v>5</v>
      </c>
      <c r="G32" s="25" t="s">
        <v>6</v>
      </c>
      <c r="H32" s="25" t="s">
        <v>7</v>
      </c>
      <c r="I32" s="26" t="s">
        <v>8</v>
      </c>
    </row>
    <row r="33" spans="1:9" x14ac:dyDescent="0.35">
      <c r="A33" s="5" t="s">
        <v>36</v>
      </c>
      <c r="B33" s="6"/>
      <c r="C33" s="6"/>
      <c r="D33" s="6"/>
      <c r="E33" s="6"/>
      <c r="F33" s="6"/>
      <c r="G33" s="6"/>
      <c r="H33" s="6"/>
      <c r="I33" s="7"/>
    </row>
    <row r="34" spans="1:9" x14ac:dyDescent="0.35">
      <c r="A34" s="8">
        <v>45303</v>
      </c>
      <c r="B34" t="s">
        <v>57</v>
      </c>
      <c r="C34" t="s">
        <v>10</v>
      </c>
      <c r="D34" s="1">
        <v>3916219</v>
      </c>
      <c r="E34" s="1">
        <v>1445051</v>
      </c>
      <c r="F34" s="2">
        <v>0.368991366417455</v>
      </c>
      <c r="G34" s="1">
        <v>30012</v>
      </c>
      <c r="H34" s="2">
        <v>2.0768817155934299E-2</v>
      </c>
      <c r="I34" s="9">
        <v>7.6635142212424798E-3</v>
      </c>
    </row>
    <row r="35" spans="1:9" x14ac:dyDescent="0.35">
      <c r="A35" s="8">
        <v>45303</v>
      </c>
      <c r="B35" t="s">
        <v>57</v>
      </c>
      <c r="C35" t="s">
        <v>11</v>
      </c>
      <c r="D35" s="1">
        <v>232225</v>
      </c>
      <c r="E35" s="1">
        <v>73662</v>
      </c>
      <c r="F35" s="2">
        <v>0.31720099041877498</v>
      </c>
      <c r="G35" s="1">
        <v>1841</v>
      </c>
      <c r="H35" s="2">
        <v>2.49925334636583E-2</v>
      </c>
      <c r="I35" s="9">
        <v>7.9276563677468E-3</v>
      </c>
    </row>
    <row r="36" spans="1:9" x14ac:dyDescent="0.35">
      <c r="A36" s="8">
        <v>45303</v>
      </c>
      <c r="B36" t="s">
        <v>58</v>
      </c>
      <c r="C36" t="s">
        <v>10</v>
      </c>
      <c r="D36" s="1">
        <v>283925</v>
      </c>
      <c r="E36" s="1">
        <v>106749</v>
      </c>
      <c r="F36" s="2">
        <v>0.375976050013208</v>
      </c>
      <c r="G36" s="1">
        <v>2273</v>
      </c>
      <c r="H36" s="2">
        <v>2.12929395123139E-2</v>
      </c>
      <c r="I36" s="9">
        <v>8.0056352910099493E-3</v>
      </c>
    </row>
    <row r="37" spans="1:9" x14ac:dyDescent="0.35">
      <c r="A37" s="8">
        <v>45307</v>
      </c>
      <c r="B37" t="s">
        <v>62</v>
      </c>
      <c r="C37" t="s">
        <v>10</v>
      </c>
      <c r="D37" s="1">
        <v>1416078</v>
      </c>
      <c r="E37" s="1">
        <v>493221</v>
      </c>
      <c r="F37" s="2">
        <v>0.34830072919712102</v>
      </c>
      <c r="G37" s="1">
        <v>13538</v>
      </c>
      <c r="H37" s="2">
        <v>2.7448141907988499E-2</v>
      </c>
      <c r="I37" s="9">
        <v>9.5602078416584402E-3</v>
      </c>
    </row>
    <row r="38" spans="1:9" x14ac:dyDescent="0.35">
      <c r="A38" s="8">
        <v>45307</v>
      </c>
      <c r="B38" t="s">
        <v>62</v>
      </c>
      <c r="C38" t="s">
        <v>11</v>
      </c>
      <c r="D38" s="1">
        <v>102083</v>
      </c>
      <c r="E38" s="1">
        <v>30625</v>
      </c>
      <c r="F38" s="2">
        <v>0.30000097959503502</v>
      </c>
      <c r="G38" s="1">
        <v>1370</v>
      </c>
      <c r="H38" s="2">
        <v>4.4734693877551003E-2</v>
      </c>
      <c r="I38" s="9">
        <v>1.3420451985149301E-2</v>
      </c>
    </row>
    <row r="39" spans="1:9" ht="15" thickBot="1" x14ac:dyDescent="0.4">
      <c r="A39" s="12" t="s">
        <v>35</v>
      </c>
      <c r="B39" s="4"/>
      <c r="C39" s="4"/>
      <c r="D39" s="13">
        <f>SUM(D34:D38)</f>
        <v>5950530</v>
      </c>
      <c r="E39" s="13">
        <f>SUM(E34:E38)</f>
        <v>2149308</v>
      </c>
      <c r="F39" s="14">
        <f>AVERAGE(F34:F38)</f>
        <v>0.34209402312831882</v>
      </c>
      <c r="G39" s="13">
        <f>SUM(G34:G38)</f>
        <v>49034</v>
      </c>
      <c r="H39" s="14">
        <f>AVERAGE(H34:H38)</f>
        <v>2.7847425183489198E-2</v>
      </c>
      <c r="I39" s="15">
        <f>AVERAGE(I34:I38)</f>
        <v>9.3154931413613942E-3</v>
      </c>
    </row>
    <row r="40" spans="1:9" ht="3" customHeight="1" thickBot="1" x14ac:dyDescent="0.4">
      <c r="A40" s="139"/>
      <c r="B40" s="138"/>
      <c r="C40" s="138"/>
      <c r="D40" s="138"/>
      <c r="E40" s="138"/>
      <c r="F40" s="138"/>
      <c r="G40" s="138"/>
      <c r="H40" s="138"/>
      <c r="I40" s="140"/>
    </row>
    <row r="41" spans="1:9" x14ac:dyDescent="0.35">
      <c r="A41" s="16" t="s">
        <v>37</v>
      </c>
      <c r="B41" s="17"/>
      <c r="C41" s="17"/>
      <c r="D41" s="17"/>
      <c r="E41" s="17"/>
      <c r="F41" s="17"/>
      <c r="G41" s="17"/>
      <c r="H41" s="17"/>
      <c r="I41" s="18"/>
    </row>
    <row r="42" spans="1:9" x14ac:dyDescent="0.35">
      <c r="A42" s="8">
        <v>45304</v>
      </c>
      <c r="B42" t="s">
        <v>59</v>
      </c>
      <c r="C42" t="s">
        <v>10</v>
      </c>
      <c r="D42" s="1">
        <v>1487</v>
      </c>
      <c r="E42" s="1">
        <v>761</v>
      </c>
      <c r="F42" s="2">
        <v>0.51176866173503699</v>
      </c>
      <c r="G42" s="1">
        <v>194</v>
      </c>
      <c r="H42" s="2">
        <v>0.25492772667542701</v>
      </c>
      <c r="I42" s="9">
        <v>0.13046402151983899</v>
      </c>
    </row>
    <row r="43" spans="1:9" x14ac:dyDescent="0.35">
      <c r="A43" s="8">
        <v>45304</v>
      </c>
      <c r="B43" t="s">
        <v>60</v>
      </c>
      <c r="C43" t="s">
        <v>10</v>
      </c>
      <c r="D43" s="1">
        <v>993</v>
      </c>
      <c r="E43" s="1">
        <v>386</v>
      </c>
      <c r="F43" s="2">
        <v>0.38872104733131901</v>
      </c>
      <c r="G43" s="1">
        <v>22</v>
      </c>
      <c r="H43" s="2">
        <v>5.6994818652849701E-2</v>
      </c>
      <c r="I43" s="9">
        <v>2.21550855991944E-2</v>
      </c>
    </row>
    <row r="44" spans="1:9" x14ac:dyDescent="0.35">
      <c r="A44" s="8">
        <v>45304</v>
      </c>
      <c r="B44" t="s">
        <v>61</v>
      </c>
      <c r="C44" t="s">
        <v>10</v>
      </c>
      <c r="D44" s="1">
        <v>9908</v>
      </c>
      <c r="E44" s="1">
        <v>3662</v>
      </c>
      <c r="F44" s="2">
        <v>0.36960032297133599</v>
      </c>
      <c r="G44" s="1">
        <v>220</v>
      </c>
      <c r="H44" s="2">
        <v>6.0076460950300399E-2</v>
      </c>
      <c r="I44" s="9">
        <v>2.2204279370205901E-2</v>
      </c>
    </row>
    <row r="45" spans="1:9" x14ac:dyDescent="0.35">
      <c r="A45" s="8">
        <v>45309</v>
      </c>
      <c r="B45" t="s">
        <v>68</v>
      </c>
      <c r="C45" t="s">
        <v>10</v>
      </c>
      <c r="D45" s="1">
        <v>2959141</v>
      </c>
      <c r="E45" s="1">
        <v>1052532</v>
      </c>
      <c r="F45" s="2">
        <v>0.35568835685761502</v>
      </c>
      <c r="G45" s="1">
        <v>26831</v>
      </c>
      <c r="H45" s="2">
        <v>2.5491861530100701E-2</v>
      </c>
      <c r="I45" s="9">
        <v>9.0671583408833793E-3</v>
      </c>
    </row>
    <row r="46" spans="1:9" x14ac:dyDescent="0.35">
      <c r="A46" s="8">
        <v>45309</v>
      </c>
      <c r="B46" t="s">
        <v>68</v>
      </c>
      <c r="C46" t="s">
        <v>11</v>
      </c>
      <c r="D46" s="1">
        <v>153934</v>
      </c>
      <c r="E46" s="1">
        <v>46594</v>
      </c>
      <c r="F46" s="2">
        <v>0.30268816505775198</v>
      </c>
      <c r="G46" s="1">
        <v>2029</v>
      </c>
      <c r="H46" s="2">
        <v>4.3546379362149598E-2</v>
      </c>
      <c r="I46" s="9">
        <v>1.3180973664037801E-2</v>
      </c>
    </row>
    <row r="47" spans="1:9" x14ac:dyDescent="0.35">
      <c r="A47" s="8">
        <v>45309</v>
      </c>
      <c r="B47" t="s">
        <v>69</v>
      </c>
      <c r="C47" t="s">
        <v>10</v>
      </c>
      <c r="D47" s="1">
        <v>434714</v>
      </c>
      <c r="E47" s="1">
        <v>185575</v>
      </c>
      <c r="F47" s="2">
        <v>0.426889863220416</v>
      </c>
      <c r="G47" s="1">
        <v>4325</v>
      </c>
      <c r="H47" s="2">
        <v>2.33059409942072E-2</v>
      </c>
      <c r="I47" s="9">
        <v>9.9490699632402008E-3</v>
      </c>
    </row>
    <row r="48" spans="1:9" x14ac:dyDescent="0.35">
      <c r="A48" s="8">
        <v>45309</v>
      </c>
      <c r="B48" t="s">
        <v>69</v>
      </c>
      <c r="C48" t="s">
        <v>11</v>
      </c>
      <c r="D48" s="1">
        <v>23078</v>
      </c>
      <c r="E48" s="1">
        <v>7382</v>
      </c>
      <c r="F48" s="2">
        <v>0.319871739318832</v>
      </c>
      <c r="G48" s="1">
        <v>204</v>
      </c>
      <c r="H48" s="2">
        <v>2.7634787320509301E-2</v>
      </c>
      <c r="I48" s="9">
        <v>8.8395874859173197E-3</v>
      </c>
    </row>
    <row r="49" spans="1:9" x14ac:dyDescent="0.35">
      <c r="A49" s="8">
        <v>45309</v>
      </c>
      <c r="B49" t="s">
        <v>70</v>
      </c>
      <c r="C49" t="s">
        <v>10</v>
      </c>
      <c r="D49" s="1">
        <v>838712</v>
      </c>
      <c r="E49" s="1">
        <v>266406</v>
      </c>
      <c r="F49" s="2">
        <v>0.31763704346664901</v>
      </c>
      <c r="G49" s="1">
        <v>4369</v>
      </c>
      <c r="H49" s="2">
        <v>1.6399780785718E-2</v>
      </c>
      <c r="I49" s="9">
        <v>5.20917788227663E-3</v>
      </c>
    </row>
    <row r="50" spans="1:9" x14ac:dyDescent="0.35">
      <c r="A50" s="8">
        <v>45309</v>
      </c>
      <c r="B50" t="s">
        <v>71</v>
      </c>
      <c r="C50" t="s">
        <v>72</v>
      </c>
      <c r="D50" s="1">
        <v>57542</v>
      </c>
      <c r="E50" s="1">
        <v>23301</v>
      </c>
      <c r="F50" s="2">
        <v>0.40493900107747399</v>
      </c>
      <c r="G50" s="1">
        <v>688</v>
      </c>
      <c r="H50" s="2">
        <v>2.95266297583795E-2</v>
      </c>
      <c r="I50" s="9">
        <v>1.19564839595426E-2</v>
      </c>
    </row>
    <row r="51" spans="1:9" x14ac:dyDescent="0.35">
      <c r="A51" s="8">
        <v>45309</v>
      </c>
      <c r="B51" t="s">
        <v>71</v>
      </c>
      <c r="C51" t="s">
        <v>73</v>
      </c>
      <c r="D51" s="1">
        <v>2856</v>
      </c>
      <c r="E51" s="1">
        <v>1169</v>
      </c>
      <c r="F51" s="2">
        <v>0.40931372549019601</v>
      </c>
      <c r="G51" s="1">
        <v>29</v>
      </c>
      <c r="H51" s="2">
        <v>2.4807527801539799E-2</v>
      </c>
      <c r="I51" s="9">
        <v>1.01540616246499E-2</v>
      </c>
    </row>
    <row r="52" spans="1:9" x14ac:dyDescent="0.35">
      <c r="A52" s="8">
        <v>45309</v>
      </c>
      <c r="B52" t="s">
        <v>71</v>
      </c>
      <c r="C52" t="s">
        <v>74</v>
      </c>
      <c r="D52" s="1">
        <v>3034</v>
      </c>
      <c r="E52" s="1">
        <v>1193</v>
      </c>
      <c r="F52" s="2">
        <v>0.39321028345418602</v>
      </c>
      <c r="G52" s="1">
        <v>42</v>
      </c>
      <c r="H52" s="2">
        <v>3.5205364626990802E-2</v>
      </c>
      <c r="I52" s="9">
        <v>1.3843111404087E-2</v>
      </c>
    </row>
    <row r="53" spans="1:9" x14ac:dyDescent="0.35">
      <c r="A53" s="8">
        <v>45309</v>
      </c>
      <c r="B53" t="s">
        <v>71</v>
      </c>
      <c r="C53" t="s">
        <v>75</v>
      </c>
      <c r="D53" s="1">
        <v>137</v>
      </c>
      <c r="E53" s="1">
        <v>52</v>
      </c>
      <c r="F53" s="2">
        <v>0.37956204379561997</v>
      </c>
      <c r="G53" s="1">
        <v>3</v>
      </c>
      <c r="H53" s="2">
        <v>5.7692307692307702E-2</v>
      </c>
      <c r="I53" s="9">
        <v>2.18978102189781E-2</v>
      </c>
    </row>
    <row r="54" spans="1:9" ht="15" thickBot="1" x14ac:dyDescent="0.4">
      <c r="A54" s="12" t="s">
        <v>35</v>
      </c>
      <c r="B54" s="4"/>
      <c r="C54" s="4"/>
      <c r="D54" s="13">
        <f>SUM(D42:D53)</f>
        <v>4485536</v>
      </c>
      <c r="E54" s="13">
        <f>SUM(E42:E53)</f>
        <v>1589013</v>
      </c>
      <c r="F54" s="14">
        <f>AVERAGE(F42:F53)</f>
        <v>0.38165752114803597</v>
      </c>
      <c r="G54" s="13">
        <f>SUM(G42:G53)</f>
        <v>38956</v>
      </c>
      <c r="H54" s="14">
        <f>AVERAGE(H42:H53)</f>
        <v>5.4634132179206644E-2</v>
      </c>
      <c r="I54" s="15">
        <f>AVERAGE(I42:I53)</f>
        <v>2.3243401752737685E-2</v>
      </c>
    </row>
    <row r="55" spans="1:9" ht="3" customHeight="1" thickBot="1" x14ac:dyDescent="0.4">
      <c r="A55" s="139"/>
      <c r="B55" s="138"/>
      <c r="C55" s="138"/>
      <c r="D55" s="138"/>
      <c r="E55" s="138"/>
      <c r="F55" s="138"/>
      <c r="G55" s="138"/>
      <c r="H55" s="138"/>
      <c r="I55" s="140"/>
    </row>
    <row r="56" spans="1:9" x14ac:dyDescent="0.35">
      <c r="A56" s="16" t="s">
        <v>38</v>
      </c>
      <c r="B56" s="17"/>
      <c r="C56" s="17"/>
      <c r="D56" s="17"/>
      <c r="E56" s="17"/>
      <c r="F56" s="17"/>
      <c r="G56" s="17"/>
      <c r="H56" s="17"/>
      <c r="I56" s="18"/>
    </row>
    <row r="57" spans="1:9" x14ac:dyDescent="0.35">
      <c r="A57" s="8">
        <v>45309</v>
      </c>
      <c r="B57" t="s">
        <v>22</v>
      </c>
      <c r="C57" t="s">
        <v>31</v>
      </c>
      <c r="D57" s="1">
        <v>158896</v>
      </c>
      <c r="E57" s="1">
        <v>58327</v>
      </c>
      <c r="F57" s="3">
        <v>0.36709999999999998</v>
      </c>
      <c r="G57">
        <v>772</v>
      </c>
      <c r="H57" s="3">
        <v>1.32E-2</v>
      </c>
      <c r="I57" s="11">
        <v>4.8999999999999998E-3</v>
      </c>
    </row>
    <row r="58" spans="1:9" x14ac:dyDescent="0.35">
      <c r="A58" s="8">
        <v>45309</v>
      </c>
      <c r="B58" t="s">
        <v>24</v>
      </c>
      <c r="C58" t="s">
        <v>32</v>
      </c>
      <c r="D58" s="1">
        <v>12505</v>
      </c>
      <c r="E58" s="1">
        <v>4642</v>
      </c>
      <c r="F58" s="3">
        <v>0.37119999999999997</v>
      </c>
      <c r="G58">
        <v>80</v>
      </c>
      <c r="H58" s="3">
        <v>1.72E-2</v>
      </c>
      <c r="I58" s="11">
        <v>6.4000000000000003E-3</v>
      </c>
    </row>
    <row r="59" spans="1:9" x14ac:dyDescent="0.35">
      <c r="A59" s="8">
        <v>45309</v>
      </c>
      <c r="B59" t="s">
        <v>29</v>
      </c>
      <c r="C59" t="s">
        <v>31</v>
      </c>
      <c r="D59" s="1">
        <v>61008</v>
      </c>
      <c r="E59" s="1">
        <v>23745</v>
      </c>
      <c r="F59" s="3">
        <v>0.38919999999999999</v>
      </c>
      <c r="G59">
        <v>355</v>
      </c>
      <c r="H59" s="3">
        <v>1.4999999999999999E-2</v>
      </c>
      <c r="I59" s="11">
        <v>5.7999999999999996E-3</v>
      </c>
    </row>
    <row r="60" spans="1:9" x14ac:dyDescent="0.35">
      <c r="A60" s="8">
        <v>45309</v>
      </c>
      <c r="B60" t="s">
        <v>50</v>
      </c>
      <c r="C60" t="s">
        <v>32</v>
      </c>
      <c r="D60" s="1">
        <v>4868</v>
      </c>
      <c r="E60" s="1">
        <v>1782</v>
      </c>
      <c r="F60" s="3">
        <v>0.36609999999999998</v>
      </c>
      <c r="G60">
        <v>43</v>
      </c>
      <c r="H60" s="3">
        <v>2.41E-2</v>
      </c>
      <c r="I60" s="11">
        <v>8.8000000000000005E-3</v>
      </c>
    </row>
    <row r="61" spans="1:9" x14ac:dyDescent="0.35">
      <c r="A61" s="8">
        <v>45309</v>
      </c>
      <c r="B61" t="s">
        <v>51</v>
      </c>
      <c r="C61" t="s">
        <v>27</v>
      </c>
      <c r="D61" s="1">
        <v>246511</v>
      </c>
      <c r="E61" s="1">
        <v>79050</v>
      </c>
      <c r="F61" s="3">
        <v>0.32069999999999999</v>
      </c>
      <c r="G61">
        <v>345</v>
      </c>
      <c r="H61" s="3">
        <v>4.4000000000000003E-3</v>
      </c>
      <c r="I61" s="11">
        <v>1.4E-3</v>
      </c>
    </row>
    <row r="62" spans="1:9" x14ac:dyDescent="0.35">
      <c r="A62" s="8">
        <v>45309</v>
      </c>
      <c r="B62" t="s">
        <v>53</v>
      </c>
      <c r="C62" t="s">
        <v>21</v>
      </c>
      <c r="D62" s="1">
        <v>13287</v>
      </c>
      <c r="E62" s="1">
        <v>3468</v>
      </c>
      <c r="F62" s="3">
        <v>0.26100000000000001</v>
      </c>
      <c r="G62">
        <v>35</v>
      </c>
      <c r="H62" s="3">
        <v>1.01E-2</v>
      </c>
      <c r="I62" s="11">
        <v>2.5999999999999999E-3</v>
      </c>
    </row>
    <row r="63" spans="1:9" x14ac:dyDescent="0.35">
      <c r="A63" s="8">
        <v>45309</v>
      </c>
      <c r="B63" t="s">
        <v>63</v>
      </c>
      <c r="C63" t="s">
        <v>64</v>
      </c>
      <c r="D63" s="1">
        <v>245972</v>
      </c>
      <c r="E63" s="1">
        <v>87459</v>
      </c>
      <c r="F63" s="3">
        <v>0.35560000000000003</v>
      </c>
      <c r="G63">
        <v>801</v>
      </c>
      <c r="H63" s="3">
        <v>9.1999999999999998E-3</v>
      </c>
      <c r="I63" s="11">
        <v>3.3E-3</v>
      </c>
    </row>
    <row r="64" spans="1:9" x14ac:dyDescent="0.35">
      <c r="A64" s="8">
        <v>45309</v>
      </c>
      <c r="B64" t="s">
        <v>65</v>
      </c>
      <c r="C64" t="s">
        <v>66</v>
      </c>
      <c r="D64" s="1">
        <v>14822</v>
      </c>
      <c r="E64" s="1">
        <v>4585</v>
      </c>
      <c r="F64" s="3">
        <v>0.30930000000000002</v>
      </c>
      <c r="G64">
        <v>66</v>
      </c>
      <c r="H64" s="3">
        <v>1.44E-2</v>
      </c>
      <c r="I64" s="11">
        <v>4.4999999999999997E-3</v>
      </c>
    </row>
    <row r="65" spans="1:9" x14ac:dyDescent="0.35">
      <c r="A65" s="8">
        <v>45309</v>
      </c>
      <c r="B65" t="s">
        <v>55</v>
      </c>
      <c r="C65" t="s">
        <v>27</v>
      </c>
      <c r="D65" s="1">
        <v>22860</v>
      </c>
      <c r="E65" s="1">
        <v>9634</v>
      </c>
      <c r="F65" s="3">
        <v>0.4214</v>
      </c>
      <c r="G65">
        <v>141</v>
      </c>
      <c r="H65" s="3">
        <v>1.46E-2</v>
      </c>
      <c r="I65" s="11">
        <v>6.1999999999999998E-3</v>
      </c>
    </row>
    <row r="66" spans="1:9" x14ac:dyDescent="0.35">
      <c r="A66" s="8">
        <v>45309</v>
      </c>
      <c r="B66" t="s">
        <v>56</v>
      </c>
      <c r="C66" t="s">
        <v>21</v>
      </c>
      <c r="D66">
        <v>892</v>
      </c>
      <c r="E66">
        <v>406</v>
      </c>
      <c r="F66" s="3">
        <v>0.45519999999999999</v>
      </c>
      <c r="G66">
        <v>10</v>
      </c>
      <c r="H66" s="3">
        <v>2.46E-2</v>
      </c>
      <c r="I66" s="11">
        <v>1.12E-2</v>
      </c>
    </row>
    <row r="67" spans="1:9" x14ac:dyDescent="0.35">
      <c r="A67" s="8">
        <v>45309</v>
      </c>
      <c r="B67" t="s">
        <v>67</v>
      </c>
      <c r="C67" t="s">
        <v>64</v>
      </c>
      <c r="D67" s="1">
        <v>3125</v>
      </c>
      <c r="E67" s="1">
        <v>1282</v>
      </c>
      <c r="F67" s="3">
        <v>0.41020000000000001</v>
      </c>
      <c r="G67">
        <v>4</v>
      </c>
      <c r="H67" s="3">
        <v>3.0999999999999999E-3</v>
      </c>
      <c r="I67" s="11">
        <v>1.2999999999999999E-3</v>
      </c>
    </row>
    <row r="68" spans="1:9" ht="15" thickBot="1" x14ac:dyDescent="0.4">
      <c r="A68" s="12" t="s">
        <v>35</v>
      </c>
      <c r="B68" s="4"/>
      <c r="C68" s="4"/>
      <c r="D68" s="13">
        <f>SUM(D57:D67)</f>
        <v>784746</v>
      </c>
      <c r="E68" s="13">
        <f>SUM(E57:E67)</f>
        <v>274380</v>
      </c>
      <c r="F68" s="14">
        <f>AVERAGE(F57:F67)</f>
        <v>0.36609090909090908</v>
      </c>
      <c r="G68" s="13">
        <f>SUM(G57:G67)</f>
        <v>2652</v>
      </c>
      <c r="H68" s="14">
        <f>AVERAGE(H57:H67)</f>
        <v>1.3627272727272726E-2</v>
      </c>
      <c r="I68" s="15">
        <f>AVERAGE(I57:I67)</f>
        <v>5.1272727272727268E-3</v>
      </c>
    </row>
  </sheetData>
  <mergeCells count="3">
    <mergeCell ref="A31:I31"/>
    <mergeCell ref="A40:I40"/>
    <mergeCell ref="A55:I55"/>
  </mergeCells>
  <pageMargins left="0.7" right="0.7" top="0.75" bottom="0.75" header="0.3" footer="0.3"/>
  <ignoredErrors>
    <ignoredError sqref="F54:G54 F39:G39 F68:G68 F30:G30" formula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CDC7-41C4-4A04-8244-BED621E650CA}">
  <dimension ref="A1:I46"/>
  <sheetViews>
    <sheetView workbookViewId="0">
      <selection activeCell="M15" sqref="M15"/>
    </sheetView>
  </sheetViews>
  <sheetFormatPr defaultRowHeight="14.5" x14ac:dyDescent="0.35"/>
  <cols>
    <col min="1" max="1" width="11.81640625" customWidth="1"/>
    <col min="2" max="2" width="78.54296875" customWidth="1"/>
    <col min="3" max="3" width="33.179687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45310</v>
      </c>
      <c r="B2" t="s">
        <v>76</v>
      </c>
      <c r="C2" t="s">
        <v>10</v>
      </c>
      <c r="D2" s="1">
        <v>3960748</v>
      </c>
      <c r="E2" s="1">
        <v>1266406</v>
      </c>
      <c r="F2" s="2">
        <v>0.31973909978620202</v>
      </c>
      <c r="G2" s="1">
        <v>23496</v>
      </c>
      <c r="H2" s="2">
        <v>1.8553291756356199E-2</v>
      </c>
      <c r="I2" s="2">
        <v>5.9322128042480901E-3</v>
      </c>
    </row>
    <row r="3" spans="1:9" x14ac:dyDescent="0.35">
      <c r="A3" s="19">
        <v>45310</v>
      </c>
      <c r="B3" t="s">
        <v>76</v>
      </c>
      <c r="C3" t="s">
        <v>11</v>
      </c>
      <c r="D3" s="1">
        <v>233533</v>
      </c>
      <c r="E3" s="1">
        <v>57597</v>
      </c>
      <c r="F3" s="2">
        <v>0.246633238129087</v>
      </c>
      <c r="G3" s="1">
        <v>1496</v>
      </c>
      <c r="H3" s="2">
        <v>2.5973575012587499E-2</v>
      </c>
      <c r="I3" s="2">
        <v>6.40594691114318E-3</v>
      </c>
    </row>
    <row r="4" spans="1:9" x14ac:dyDescent="0.35">
      <c r="A4" s="19">
        <v>45310</v>
      </c>
      <c r="B4" t="s">
        <v>77</v>
      </c>
      <c r="C4" t="s">
        <v>10</v>
      </c>
      <c r="D4" s="1">
        <v>267071</v>
      </c>
      <c r="E4" s="1">
        <v>100886</v>
      </c>
      <c r="F4" s="2">
        <v>0.37774973696133202</v>
      </c>
      <c r="G4" s="1">
        <v>2653</v>
      </c>
      <c r="H4" s="2">
        <v>2.6297008504648799E-2</v>
      </c>
      <c r="I4" s="2">
        <v>9.9336880455010105E-3</v>
      </c>
    </row>
    <row r="5" spans="1:9" x14ac:dyDescent="0.35">
      <c r="A5" s="19">
        <v>45310</v>
      </c>
      <c r="B5" t="s">
        <v>78</v>
      </c>
      <c r="C5" t="s">
        <v>10</v>
      </c>
      <c r="D5" s="1">
        <v>432020</v>
      </c>
      <c r="E5" s="1">
        <v>136508</v>
      </c>
      <c r="F5" s="2">
        <v>0.31597611221702698</v>
      </c>
      <c r="G5" s="1">
        <v>3705</v>
      </c>
      <c r="H5" s="2">
        <v>2.7141266445922602E-2</v>
      </c>
      <c r="I5" s="2">
        <v>8.5759918522290597E-3</v>
      </c>
    </row>
    <row r="6" spans="1:9" x14ac:dyDescent="0.35">
      <c r="A6" s="19">
        <v>45310</v>
      </c>
      <c r="B6" t="s">
        <v>78</v>
      </c>
      <c r="C6" t="s">
        <v>11</v>
      </c>
      <c r="D6" s="1">
        <v>22942</v>
      </c>
      <c r="E6" s="1">
        <v>5997</v>
      </c>
      <c r="F6" s="2">
        <v>0.26139830877865899</v>
      </c>
      <c r="G6" s="1">
        <v>279</v>
      </c>
      <c r="H6" s="2">
        <v>4.6523261630815403E-2</v>
      </c>
      <c r="I6" s="2">
        <v>1.2161101909162199E-2</v>
      </c>
    </row>
    <row r="7" spans="1:9" x14ac:dyDescent="0.35">
      <c r="A7" s="19">
        <v>45311</v>
      </c>
      <c r="B7" t="s">
        <v>79</v>
      </c>
      <c r="C7" t="s">
        <v>10</v>
      </c>
      <c r="D7" s="1">
        <v>1313254</v>
      </c>
      <c r="E7" s="1">
        <v>424299</v>
      </c>
      <c r="F7" s="2">
        <v>0.32308982116178597</v>
      </c>
      <c r="G7" s="1">
        <v>11671</v>
      </c>
      <c r="H7" s="2">
        <v>2.75065460913177E-2</v>
      </c>
      <c r="I7" s="2">
        <v>8.8870850574222504E-3</v>
      </c>
    </row>
    <row r="8" spans="1:9" x14ac:dyDescent="0.35">
      <c r="A8" s="19">
        <v>45311</v>
      </c>
      <c r="B8" t="s">
        <v>79</v>
      </c>
      <c r="C8" t="s">
        <v>11</v>
      </c>
      <c r="D8" s="1">
        <v>101260</v>
      </c>
      <c r="E8" s="1">
        <v>23858</v>
      </c>
      <c r="F8" s="2">
        <v>0.235611297649615</v>
      </c>
      <c r="G8" s="1">
        <v>564</v>
      </c>
      <c r="H8" s="2">
        <v>2.36398692262553E-2</v>
      </c>
      <c r="I8" s="2">
        <v>5.5698202646652199E-3</v>
      </c>
    </row>
    <row r="9" spans="1:9" x14ac:dyDescent="0.35">
      <c r="A9" s="19">
        <v>45311</v>
      </c>
      <c r="B9" t="s">
        <v>80</v>
      </c>
      <c r="C9" t="s">
        <v>10</v>
      </c>
      <c r="D9" s="1">
        <v>265059</v>
      </c>
      <c r="E9" s="1">
        <v>96654</v>
      </c>
      <c r="F9" s="2">
        <v>0.364650889047344</v>
      </c>
      <c r="G9" s="1">
        <v>3309</v>
      </c>
      <c r="H9" s="2">
        <v>3.4235520516481502E-2</v>
      </c>
      <c r="I9" s="2">
        <v>1.24840129933336E-2</v>
      </c>
    </row>
    <row r="10" spans="1:9" x14ac:dyDescent="0.35">
      <c r="A10" s="19">
        <v>45313</v>
      </c>
      <c r="B10" t="s">
        <v>81</v>
      </c>
      <c r="C10" t="s">
        <v>10</v>
      </c>
      <c r="D10" s="1">
        <v>674905</v>
      </c>
      <c r="E10" s="1">
        <v>251664</v>
      </c>
      <c r="F10" s="2">
        <v>0.37288803609396898</v>
      </c>
      <c r="G10" s="1">
        <v>2756</v>
      </c>
      <c r="H10" s="2">
        <v>1.09511094157289E-2</v>
      </c>
      <c r="I10" s="2">
        <v>4.0835376830813197E-3</v>
      </c>
    </row>
    <row r="11" spans="1:9" x14ac:dyDescent="0.35">
      <c r="A11" s="19">
        <v>45314</v>
      </c>
      <c r="B11" t="s">
        <v>82</v>
      </c>
      <c r="C11" t="s">
        <v>10</v>
      </c>
      <c r="D11" s="1">
        <v>1389404</v>
      </c>
      <c r="E11" s="1">
        <v>467757</v>
      </c>
      <c r="F11" s="2">
        <v>0.33666017947263699</v>
      </c>
      <c r="G11" s="1">
        <v>11209</v>
      </c>
      <c r="H11" s="2">
        <v>2.3963297182083901E-2</v>
      </c>
      <c r="I11" s="2">
        <v>8.0674879300764897E-3</v>
      </c>
    </row>
    <row r="12" spans="1:9" x14ac:dyDescent="0.35">
      <c r="A12" s="19">
        <v>45314</v>
      </c>
      <c r="B12" t="s">
        <v>82</v>
      </c>
      <c r="C12" t="s">
        <v>11</v>
      </c>
      <c r="D12" s="1">
        <v>100607</v>
      </c>
      <c r="E12" s="1">
        <v>28700</v>
      </c>
      <c r="F12" s="2">
        <v>0.28526842068643299</v>
      </c>
      <c r="G12" s="1">
        <v>951</v>
      </c>
      <c r="H12" s="2">
        <v>3.3135888501742199E-2</v>
      </c>
      <c r="I12" s="2">
        <v>9.4526225809337307E-3</v>
      </c>
    </row>
    <row r="13" spans="1:9" x14ac:dyDescent="0.35">
      <c r="A13" s="19">
        <v>45315</v>
      </c>
      <c r="B13" t="s">
        <v>83</v>
      </c>
      <c r="C13" t="s">
        <v>84</v>
      </c>
      <c r="D13" s="1">
        <v>9742</v>
      </c>
      <c r="E13" s="1">
        <v>3573</v>
      </c>
      <c r="F13" s="2">
        <v>0.36676247177171001</v>
      </c>
      <c r="G13" s="1">
        <v>99</v>
      </c>
      <c r="H13" s="2">
        <v>2.77078085642317E-2</v>
      </c>
      <c r="I13" s="2">
        <v>1.0162184356395E-2</v>
      </c>
    </row>
    <row r="14" spans="1:9" x14ac:dyDescent="0.35">
      <c r="A14" s="19">
        <v>45315</v>
      </c>
      <c r="B14" t="s">
        <v>83</v>
      </c>
      <c r="C14" t="s">
        <v>72</v>
      </c>
      <c r="D14" s="1">
        <v>181238</v>
      </c>
      <c r="E14" s="1">
        <v>66598</v>
      </c>
      <c r="F14" s="2">
        <v>0.367461569869453</v>
      </c>
      <c r="G14" s="1">
        <v>1509</v>
      </c>
      <c r="H14" s="2">
        <v>2.2658338088230898E-2</v>
      </c>
      <c r="I14" s="2">
        <v>8.3260684845341496E-3</v>
      </c>
    </row>
    <row r="15" spans="1:9" x14ac:dyDescent="0.35">
      <c r="A15" s="19">
        <v>45315</v>
      </c>
      <c r="B15" t="s">
        <v>83</v>
      </c>
      <c r="C15" t="s">
        <v>85</v>
      </c>
      <c r="D15" s="1">
        <v>699</v>
      </c>
      <c r="E15" s="1">
        <v>232</v>
      </c>
      <c r="F15" s="2">
        <v>0.331902718168813</v>
      </c>
      <c r="G15" s="1">
        <v>7</v>
      </c>
      <c r="H15" s="2">
        <v>3.0172413793103401E-2</v>
      </c>
      <c r="I15" s="2">
        <v>1.00143061516452E-2</v>
      </c>
    </row>
    <row r="16" spans="1:9" x14ac:dyDescent="0.35">
      <c r="A16" s="19">
        <v>45315</v>
      </c>
      <c r="B16" t="s">
        <v>83</v>
      </c>
      <c r="C16" t="s">
        <v>73</v>
      </c>
      <c r="D16" s="1">
        <v>14531</v>
      </c>
      <c r="E16" s="1">
        <v>4976</v>
      </c>
      <c r="F16" s="2">
        <v>0.342440300048173</v>
      </c>
      <c r="G16" s="1">
        <v>124</v>
      </c>
      <c r="H16" s="2">
        <v>2.491961414791E-2</v>
      </c>
      <c r="I16" s="2">
        <v>8.5334801458949797E-3</v>
      </c>
    </row>
    <row r="17" spans="1:9" x14ac:dyDescent="0.35">
      <c r="A17" s="19">
        <v>45316</v>
      </c>
      <c r="B17" t="s">
        <v>63</v>
      </c>
      <c r="C17" t="s">
        <v>27</v>
      </c>
      <c r="D17" s="1">
        <v>201206</v>
      </c>
      <c r="E17" s="1">
        <v>65980</v>
      </c>
      <c r="F17" s="3">
        <v>0.32790000000000002</v>
      </c>
      <c r="G17">
        <v>521</v>
      </c>
      <c r="H17" s="3">
        <v>7.9000000000000008E-3</v>
      </c>
      <c r="I17" s="3">
        <v>2.5999999999999999E-3</v>
      </c>
    </row>
    <row r="18" spans="1:9" x14ac:dyDescent="0.35">
      <c r="A18" s="19">
        <v>45316</v>
      </c>
      <c r="B18" t="s">
        <v>65</v>
      </c>
      <c r="C18" t="s">
        <v>21</v>
      </c>
      <c r="D18" s="1">
        <v>12575</v>
      </c>
      <c r="E18" s="1">
        <v>3635</v>
      </c>
      <c r="F18" s="3">
        <v>0.28910000000000002</v>
      </c>
      <c r="G18">
        <v>58</v>
      </c>
      <c r="H18" s="3">
        <v>1.6E-2</v>
      </c>
      <c r="I18" s="3">
        <v>4.5999999999999999E-3</v>
      </c>
    </row>
    <row r="19" spans="1:9" ht="15" thickBot="1" x14ac:dyDescent="0.4">
      <c r="A19" s="20" t="s">
        <v>35</v>
      </c>
      <c r="D19" s="10">
        <f>SUM(D2:D18)</f>
        <v>9180794</v>
      </c>
      <c r="E19" s="10">
        <f>SUM(E2:E18)</f>
        <v>3005320</v>
      </c>
      <c r="F19" s="27">
        <f>AVERAGE(F2:F18)</f>
        <v>0.32148424704954354</v>
      </c>
      <c r="G19" s="10">
        <f>SUM(G2:G18)</f>
        <v>64407</v>
      </c>
      <c r="H19" s="27">
        <f>AVERAGE(H2:H18)</f>
        <v>2.5134047581024475E-2</v>
      </c>
      <c r="I19" s="27">
        <f>AVERAGE(I2:I18)</f>
        <v>7.9876204217803198E-3</v>
      </c>
    </row>
    <row r="20" spans="1:9" ht="15" thickBot="1" x14ac:dyDescent="0.4">
      <c r="A20" s="138"/>
      <c r="B20" s="138"/>
      <c r="C20" s="138"/>
      <c r="D20" s="138"/>
      <c r="E20" s="138"/>
      <c r="F20" s="138"/>
      <c r="G20" s="138"/>
      <c r="H20" s="138"/>
      <c r="I20" s="138"/>
    </row>
    <row r="21" spans="1:9" x14ac:dyDescent="0.35">
      <c r="A21" s="24" t="s">
        <v>0</v>
      </c>
      <c r="B21" s="25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6" t="s">
        <v>8</v>
      </c>
    </row>
    <row r="22" spans="1:9" x14ac:dyDescent="0.35">
      <c r="A22" s="5" t="s">
        <v>36</v>
      </c>
      <c r="B22" s="6"/>
      <c r="C22" s="6"/>
      <c r="D22" s="6"/>
      <c r="E22" s="6"/>
      <c r="F22" s="6"/>
      <c r="G22" s="6"/>
      <c r="H22" s="6"/>
      <c r="I22" s="7"/>
    </row>
    <row r="23" spans="1:9" x14ac:dyDescent="0.35">
      <c r="A23" s="8">
        <v>45310</v>
      </c>
      <c r="B23" t="s">
        <v>76</v>
      </c>
      <c r="C23" t="s">
        <v>10</v>
      </c>
      <c r="D23" s="1">
        <v>3960748</v>
      </c>
      <c r="E23" s="1">
        <v>1266406</v>
      </c>
      <c r="F23" s="2">
        <v>0.31973909978620202</v>
      </c>
      <c r="G23" s="1">
        <v>23496</v>
      </c>
      <c r="H23" s="2">
        <v>1.8553291756356199E-2</v>
      </c>
      <c r="I23" s="9">
        <v>5.9322128042480901E-3</v>
      </c>
    </row>
    <row r="24" spans="1:9" x14ac:dyDescent="0.35">
      <c r="A24" s="8">
        <v>45310</v>
      </c>
      <c r="B24" t="s">
        <v>76</v>
      </c>
      <c r="C24" t="s">
        <v>11</v>
      </c>
      <c r="D24" s="1">
        <v>233533</v>
      </c>
      <c r="E24" s="1">
        <v>57597</v>
      </c>
      <c r="F24" s="2">
        <v>0.246633238129087</v>
      </c>
      <c r="G24" s="1">
        <v>1496</v>
      </c>
      <c r="H24" s="2">
        <v>2.5973575012587499E-2</v>
      </c>
      <c r="I24" s="9">
        <v>6.40594691114318E-3</v>
      </c>
    </row>
    <row r="25" spans="1:9" x14ac:dyDescent="0.35">
      <c r="A25" s="8">
        <v>45310</v>
      </c>
      <c r="B25" t="s">
        <v>78</v>
      </c>
      <c r="C25" t="s">
        <v>10</v>
      </c>
      <c r="D25" s="1">
        <v>432020</v>
      </c>
      <c r="E25" s="1">
        <v>136508</v>
      </c>
      <c r="F25" s="2">
        <v>0.31597611221702698</v>
      </c>
      <c r="G25" s="1">
        <v>3705</v>
      </c>
      <c r="H25" s="2">
        <v>2.7141266445922602E-2</v>
      </c>
      <c r="I25" s="9">
        <v>8.5759918522290597E-3</v>
      </c>
    </row>
    <row r="26" spans="1:9" x14ac:dyDescent="0.35">
      <c r="A26" s="8">
        <v>45310</v>
      </c>
      <c r="B26" t="s">
        <v>78</v>
      </c>
      <c r="C26" t="s">
        <v>11</v>
      </c>
      <c r="D26" s="1">
        <v>22942</v>
      </c>
      <c r="E26" s="1">
        <v>5997</v>
      </c>
      <c r="F26" s="2">
        <v>0.26139830877865899</v>
      </c>
      <c r="G26" s="1">
        <v>279</v>
      </c>
      <c r="H26" s="2">
        <v>4.6523261630815403E-2</v>
      </c>
      <c r="I26" s="9">
        <v>1.2161101909162199E-2</v>
      </c>
    </row>
    <row r="27" spans="1:9" x14ac:dyDescent="0.35">
      <c r="A27" s="8">
        <v>45314</v>
      </c>
      <c r="B27" t="s">
        <v>82</v>
      </c>
      <c r="C27" t="s">
        <v>10</v>
      </c>
      <c r="D27" s="1">
        <v>1389404</v>
      </c>
      <c r="E27" s="1">
        <v>467757</v>
      </c>
      <c r="F27" s="2">
        <v>0.33666017947263699</v>
      </c>
      <c r="G27" s="1">
        <v>11209</v>
      </c>
      <c r="H27" s="2">
        <v>2.3963297182083901E-2</v>
      </c>
      <c r="I27" s="9">
        <v>8.0674879300764897E-3</v>
      </c>
    </row>
    <row r="28" spans="1:9" x14ac:dyDescent="0.35">
      <c r="A28" s="8">
        <v>45314</v>
      </c>
      <c r="B28" t="s">
        <v>82</v>
      </c>
      <c r="C28" t="s">
        <v>11</v>
      </c>
      <c r="D28" s="1">
        <v>100607</v>
      </c>
      <c r="E28" s="1">
        <v>28700</v>
      </c>
      <c r="F28" s="2">
        <v>0.28526842068643299</v>
      </c>
      <c r="G28" s="1">
        <v>951</v>
      </c>
      <c r="H28" s="2">
        <v>3.3135888501742199E-2</v>
      </c>
      <c r="I28" s="9">
        <v>9.4526225809337307E-3</v>
      </c>
    </row>
    <row r="29" spans="1:9" ht="15" thickBot="1" x14ac:dyDescent="0.4">
      <c r="A29" s="12" t="s">
        <v>35</v>
      </c>
      <c r="B29" s="4"/>
      <c r="C29" s="4"/>
      <c r="D29" s="13">
        <f>SUM(D23:D28)</f>
        <v>6139254</v>
      </c>
      <c r="E29" s="13">
        <f>SUM(E23:E28)</f>
        <v>1962965</v>
      </c>
      <c r="F29" s="14">
        <f>AVERAGE(F23:F28)</f>
        <v>0.29427922651167421</v>
      </c>
      <c r="G29" s="13">
        <f>SUM(G23:G28)</f>
        <v>41136</v>
      </c>
      <c r="H29" s="14">
        <f>AVERAGE(H23:H28)</f>
        <v>2.9215096754917968E-2</v>
      </c>
      <c r="I29" s="15">
        <f>AVERAGE(I23:I28)</f>
        <v>8.432560664632124E-3</v>
      </c>
    </row>
    <row r="30" spans="1:9" ht="3" customHeight="1" thickBot="1" x14ac:dyDescent="0.4">
      <c r="A30" s="139"/>
      <c r="B30" s="138"/>
      <c r="C30" s="138"/>
      <c r="D30" s="138"/>
      <c r="E30" s="138"/>
      <c r="F30" s="138"/>
      <c r="G30" s="138"/>
      <c r="H30" s="138"/>
      <c r="I30" s="140"/>
    </row>
    <row r="31" spans="1:9" x14ac:dyDescent="0.35">
      <c r="A31" s="16" t="s">
        <v>37</v>
      </c>
      <c r="B31" s="17"/>
      <c r="C31" s="17"/>
      <c r="D31" s="17"/>
      <c r="E31" s="17"/>
      <c r="F31" s="17"/>
      <c r="G31" s="17"/>
      <c r="H31" s="17"/>
      <c r="I31" s="18"/>
    </row>
    <row r="32" spans="1:9" x14ac:dyDescent="0.35">
      <c r="A32" s="8">
        <v>45310</v>
      </c>
      <c r="B32" t="s">
        <v>77</v>
      </c>
      <c r="C32" t="s">
        <v>10</v>
      </c>
      <c r="D32" s="1">
        <v>267071</v>
      </c>
      <c r="E32" s="1">
        <v>100886</v>
      </c>
      <c r="F32" s="2">
        <v>0.37774973696133202</v>
      </c>
      <c r="G32" s="1">
        <v>2653</v>
      </c>
      <c r="H32" s="2">
        <v>2.6297008504648799E-2</v>
      </c>
      <c r="I32" s="9">
        <v>9.9336880455010105E-3</v>
      </c>
    </row>
    <row r="33" spans="1:9" x14ac:dyDescent="0.35">
      <c r="A33" s="8">
        <v>45311</v>
      </c>
      <c r="B33" t="s">
        <v>79</v>
      </c>
      <c r="C33" t="s">
        <v>10</v>
      </c>
      <c r="D33" s="1">
        <v>1313254</v>
      </c>
      <c r="E33" s="1">
        <v>424299</v>
      </c>
      <c r="F33" s="2">
        <v>0.32308982116178597</v>
      </c>
      <c r="G33" s="1">
        <v>11671</v>
      </c>
      <c r="H33" s="2">
        <v>2.75065460913177E-2</v>
      </c>
      <c r="I33" s="9">
        <v>8.8870850574222504E-3</v>
      </c>
    </row>
    <row r="34" spans="1:9" x14ac:dyDescent="0.35">
      <c r="A34" s="8">
        <v>45311</v>
      </c>
      <c r="B34" t="s">
        <v>79</v>
      </c>
      <c r="C34" t="s">
        <v>11</v>
      </c>
      <c r="D34" s="1">
        <v>101260</v>
      </c>
      <c r="E34" s="1">
        <v>23858</v>
      </c>
      <c r="F34" s="2">
        <v>0.235611297649615</v>
      </c>
      <c r="G34" s="1">
        <v>564</v>
      </c>
      <c r="H34" s="2">
        <v>2.36398692262553E-2</v>
      </c>
      <c r="I34" s="9">
        <v>5.5698202646652199E-3</v>
      </c>
    </row>
    <row r="35" spans="1:9" x14ac:dyDescent="0.35">
      <c r="A35" s="8">
        <v>45311</v>
      </c>
      <c r="B35" t="s">
        <v>80</v>
      </c>
      <c r="C35" t="s">
        <v>10</v>
      </c>
      <c r="D35" s="1">
        <v>265059</v>
      </c>
      <c r="E35" s="1">
        <v>96654</v>
      </c>
      <c r="F35" s="2">
        <v>0.364650889047344</v>
      </c>
      <c r="G35" s="1">
        <v>3309</v>
      </c>
      <c r="H35" s="2">
        <v>3.4235520516481502E-2</v>
      </c>
      <c r="I35" s="9">
        <v>1.24840129933336E-2</v>
      </c>
    </row>
    <row r="36" spans="1:9" x14ac:dyDescent="0.35">
      <c r="A36" s="8">
        <v>45313</v>
      </c>
      <c r="B36" t="s">
        <v>81</v>
      </c>
      <c r="C36" t="s">
        <v>10</v>
      </c>
      <c r="D36" s="1">
        <v>674905</v>
      </c>
      <c r="E36" s="1">
        <v>251664</v>
      </c>
      <c r="F36" s="2">
        <v>0.37288803609396898</v>
      </c>
      <c r="G36" s="1">
        <v>2756</v>
      </c>
      <c r="H36" s="2">
        <v>1.09511094157289E-2</v>
      </c>
      <c r="I36" s="9">
        <v>4.0835376830813197E-3</v>
      </c>
    </row>
    <row r="37" spans="1:9" x14ac:dyDescent="0.35">
      <c r="A37" s="8">
        <v>45315</v>
      </c>
      <c r="B37" t="s">
        <v>83</v>
      </c>
      <c r="C37" t="s">
        <v>84</v>
      </c>
      <c r="D37" s="1">
        <v>9742</v>
      </c>
      <c r="E37" s="1">
        <v>3573</v>
      </c>
      <c r="F37" s="2">
        <v>0.36676247177171001</v>
      </c>
      <c r="G37" s="1">
        <v>99</v>
      </c>
      <c r="H37" s="2">
        <v>2.77078085642317E-2</v>
      </c>
      <c r="I37" s="9">
        <v>1.0162184356395E-2</v>
      </c>
    </row>
    <row r="38" spans="1:9" x14ac:dyDescent="0.35">
      <c r="A38" s="8">
        <v>45315</v>
      </c>
      <c r="B38" t="s">
        <v>83</v>
      </c>
      <c r="C38" t="s">
        <v>72</v>
      </c>
      <c r="D38" s="1">
        <v>181238</v>
      </c>
      <c r="E38" s="1">
        <v>66598</v>
      </c>
      <c r="F38" s="2">
        <v>0.367461569869453</v>
      </c>
      <c r="G38" s="1">
        <v>1509</v>
      </c>
      <c r="H38" s="2">
        <v>2.2658338088230898E-2</v>
      </c>
      <c r="I38" s="9">
        <v>8.3260684845341496E-3</v>
      </c>
    </row>
    <row r="39" spans="1:9" x14ac:dyDescent="0.35">
      <c r="A39" s="8">
        <v>45315</v>
      </c>
      <c r="B39" t="s">
        <v>83</v>
      </c>
      <c r="C39" t="s">
        <v>85</v>
      </c>
      <c r="D39" s="1">
        <v>699</v>
      </c>
      <c r="E39" s="1">
        <v>232</v>
      </c>
      <c r="F39" s="2">
        <v>0.331902718168813</v>
      </c>
      <c r="G39" s="1">
        <v>7</v>
      </c>
      <c r="H39" s="2">
        <v>3.0172413793103401E-2</v>
      </c>
      <c r="I39" s="9">
        <v>1.00143061516452E-2</v>
      </c>
    </row>
    <row r="40" spans="1:9" x14ac:dyDescent="0.35">
      <c r="A40" s="8">
        <v>45315</v>
      </c>
      <c r="B40" t="s">
        <v>83</v>
      </c>
      <c r="C40" t="s">
        <v>73</v>
      </c>
      <c r="D40" s="1">
        <v>14531</v>
      </c>
      <c r="E40" s="1">
        <v>4976</v>
      </c>
      <c r="F40" s="2">
        <v>0.342440300048173</v>
      </c>
      <c r="G40" s="1">
        <v>124</v>
      </c>
      <c r="H40" s="2">
        <v>2.491961414791E-2</v>
      </c>
      <c r="I40" s="9">
        <v>8.5334801458949797E-3</v>
      </c>
    </row>
    <row r="41" spans="1:9" ht="15" thickBot="1" x14ac:dyDescent="0.4">
      <c r="A41" s="12" t="s">
        <v>35</v>
      </c>
      <c r="B41" s="4"/>
      <c r="C41" s="4"/>
      <c r="D41" s="13">
        <f>SUM(D32:D40)</f>
        <v>2827759</v>
      </c>
      <c r="E41" s="13">
        <f>SUM(E32:E40)</f>
        <v>972740</v>
      </c>
      <c r="F41" s="14">
        <f>AVERAGE(F32:F40)</f>
        <v>0.34250631564135492</v>
      </c>
      <c r="G41" s="13">
        <f>SUM(G32:G40)</f>
        <v>22692</v>
      </c>
      <c r="H41" s="14">
        <f>AVERAGE(H32:H40)</f>
        <v>2.5343136483100909E-2</v>
      </c>
      <c r="I41" s="15">
        <f>AVERAGE(I32:I40)</f>
        <v>8.6660203536080803E-3</v>
      </c>
    </row>
    <row r="42" spans="1:9" ht="3" customHeight="1" thickBot="1" x14ac:dyDescent="0.4">
      <c r="A42" s="139"/>
      <c r="B42" s="138"/>
      <c r="C42" s="138"/>
      <c r="D42" s="138"/>
      <c r="E42" s="138"/>
      <c r="F42" s="138"/>
      <c r="G42" s="138"/>
      <c r="H42" s="138"/>
      <c r="I42" s="140"/>
    </row>
    <row r="43" spans="1:9" x14ac:dyDescent="0.35">
      <c r="A43" s="16" t="s">
        <v>38</v>
      </c>
      <c r="B43" s="17"/>
      <c r="C43" s="17"/>
      <c r="D43" s="17"/>
      <c r="E43" s="17"/>
      <c r="F43" s="17"/>
      <c r="G43" s="17"/>
      <c r="H43" s="17"/>
      <c r="I43" s="18"/>
    </row>
    <row r="44" spans="1:9" x14ac:dyDescent="0.35">
      <c r="A44" s="8">
        <v>45316</v>
      </c>
      <c r="B44" t="s">
        <v>63</v>
      </c>
      <c r="C44" t="s">
        <v>27</v>
      </c>
      <c r="D44" s="1">
        <v>201206</v>
      </c>
      <c r="E44" s="1">
        <v>65980</v>
      </c>
      <c r="F44" s="3">
        <v>0.32790000000000002</v>
      </c>
      <c r="G44">
        <v>521</v>
      </c>
      <c r="H44" s="3">
        <v>7.9000000000000008E-3</v>
      </c>
      <c r="I44" s="11">
        <v>2.5999999999999999E-3</v>
      </c>
    </row>
    <row r="45" spans="1:9" x14ac:dyDescent="0.35">
      <c r="A45" s="8">
        <v>45316</v>
      </c>
      <c r="B45" t="s">
        <v>65</v>
      </c>
      <c r="C45" t="s">
        <v>21</v>
      </c>
      <c r="D45" s="1">
        <v>12575</v>
      </c>
      <c r="E45" s="1">
        <v>3635</v>
      </c>
      <c r="F45" s="3">
        <v>0.28910000000000002</v>
      </c>
      <c r="G45">
        <v>58</v>
      </c>
      <c r="H45" s="3">
        <v>1.6E-2</v>
      </c>
      <c r="I45" s="11">
        <v>4.5999999999999999E-3</v>
      </c>
    </row>
    <row r="46" spans="1:9" ht="15" thickBot="1" x14ac:dyDescent="0.4">
      <c r="A46" s="12" t="s">
        <v>35</v>
      </c>
      <c r="B46" s="4"/>
      <c r="C46" s="4"/>
      <c r="D46" s="13">
        <f>SUM(D44:D45)</f>
        <v>213781</v>
      </c>
      <c r="E46" s="13">
        <f>SUM(E44:E45)</f>
        <v>69615</v>
      </c>
      <c r="F46" s="14">
        <f>AVERAGE(F44:F45)</f>
        <v>0.3085</v>
      </c>
      <c r="G46" s="13">
        <f>SUM(G44:G45)</f>
        <v>579</v>
      </c>
      <c r="H46" s="14">
        <f>AVERAGE(H44:H45)</f>
        <v>1.1950000000000001E-2</v>
      </c>
      <c r="I46" s="15">
        <f>AVERAGE(I44:I45)</f>
        <v>3.5999999999999999E-3</v>
      </c>
    </row>
  </sheetData>
  <mergeCells count="3">
    <mergeCell ref="A20:I20"/>
    <mergeCell ref="A30:I30"/>
    <mergeCell ref="A42:I42"/>
  </mergeCells>
  <pageMargins left="0.7" right="0.7" top="0.75" bottom="0.75" header="0.3" footer="0.3"/>
  <ignoredErrors>
    <ignoredError sqref="F19:G19 F29:G29 F41:G41 F46:G46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D135-B54C-4A8A-AB84-E19DE8A70654}">
  <dimension ref="A1:I66"/>
  <sheetViews>
    <sheetView workbookViewId="0">
      <selection activeCell="N26" sqref="N26"/>
    </sheetView>
  </sheetViews>
  <sheetFormatPr defaultRowHeight="14.5" x14ac:dyDescent="0.35"/>
  <cols>
    <col min="1" max="1" width="11.81640625" customWidth="1"/>
    <col min="2" max="2" width="78.54296875" customWidth="1"/>
    <col min="3" max="3" width="33.179687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45317</v>
      </c>
      <c r="B2" t="s">
        <v>86</v>
      </c>
      <c r="C2" t="s">
        <v>10</v>
      </c>
      <c r="D2" s="1">
        <v>3929731</v>
      </c>
      <c r="E2" s="1">
        <v>1240890</v>
      </c>
      <c r="F2" s="2">
        <v>0.31576970535642301</v>
      </c>
      <c r="G2" s="1">
        <v>20878</v>
      </c>
      <c r="H2" s="2">
        <v>1.6825020751235001E-2</v>
      </c>
      <c r="I2" s="2">
        <v>5.3128318452331704E-3</v>
      </c>
    </row>
    <row r="3" spans="1:9" x14ac:dyDescent="0.35">
      <c r="A3" s="19">
        <v>45317</v>
      </c>
      <c r="B3" t="s">
        <v>86</v>
      </c>
      <c r="C3" t="s">
        <v>11</v>
      </c>
      <c r="D3" s="1">
        <v>232399</v>
      </c>
      <c r="E3" s="1">
        <v>56286</v>
      </c>
      <c r="F3" s="2">
        <v>0.242195534404193</v>
      </c>
      <c r="G3" s="1">
        <v>1260</v>
      </c>
      <c r="H3" s="2">
        <v>2.2385673169171699E-2</v>
      </c>
      <c r="I3" s="2">
        <v>5.4217100762051504E-3</v>
      </c>
    </row>
    <row r="4" spans="1:9" x14ac:dyDescent="0.35">
      <c r="A4" s="19">
        <v>45317</v>
      </c>
      <c r="B4" t="s">
        <v>87</v>
      </c>
      <c r="C4" t="s">
        <v>10</v>
      </c>
      <c r="D4" s="1">
        <v>5635466</v>
      </c>
      <c r="E4" s="1">
        <v>1856438</v>
      </c>
      <c r="F4" s="2">
        <v>0.329420495128531</v>
      </c>
      <c r="G4" s="1">
        <v>32750</v>
      </c>
      <c r="H4" s="2">
        <v>1.76413109406293E-2</v>
      </c>
      <c r="I4" s="2">
        <v>5.8114093847784704E-3</v>
      </c>
    </row>
    <row r="5" spans="1:9" x14ac:dyDescent="0.35">
      <c r="A5" s="19">
        <v>45317</v>
      </c>
      <c r="B5" t="s">
        <v>87</v>
      </c>
      <c r="C5" t="s">
        <v>11</v>
      </c>
      <c r="D5" s="1">
        <v>348959</v>
      </c>
      <c r="E5" s="1">
        <v>93910</v>
      </c>
      <c r="F5" s="2">
        <v>0.26911470975100199</v>
      </c>
      <c r="G5" s="1">
        <v>2453</v>
      </c>
      <c r="H5" s="2">
        <v>2.6120753913321301E-2</v>
      </c>
      <c r="I5" s="2">
        <v>7.0294791078608096E-3</v>
      </c>
    </row>
    <row r="6" spans="1:9" x14ac:dyDescent="0.35">
      <c r="A6" s="19">
        <v>45317</v>
      </c>
      <c r="B6" t="s">
        <v>88</v>
      </c>
      <c r="C6" t="s">
        <v>10</v>
      </c>
      <c r="D6" s="1">
        <v>424453</v>
      </c>
      <c r="E6" s="1">
        <v>130821</v>
      </c>
      <c r="F6" s="2">
        <v>0.308210803080671</v>
      </c>
      <c r="G6" s="1">
        <v>3936</v>
      </c>
      <c r="H6" s="2">
        <v>3.00869126516385E-2</v>
      </c>
      <c r="I6" s="2">
        <v>9.2731115105794994E-3</v>
      </c>
    </row>
    <row r="7" spans="1:9" x14ac:dyDescent="0.35">
      <c r="A7" s="19">
        <v>45320</v>
      </c>
      <c r="B7" t="s">
        <v>89</v>
      </c>
      <c r="C7" t="s">
        <v>90</v>
      </c>
      <c r="D7" s="1">
        <v>664191</v>
      </c>
      <c r="E7" s="1">
        <v>263939</v>
      </c>
      <c r="F7" s="2">
        <v>0.39738418617536198</v>
      </c>
      <c r="G7" s="1">
        <v>4005</v>
      </c>
      <c r="H7" s="2">
        <v>1.5173960649998699E-2</v>
      </c>
      <c r="I7" s="2">
        <v>6.0298920039566902E-3</v>
      </c>
    </row>
    <row r="8" spans="1:9" x14ac:dyDescent="0.35">
      <c r="A8" s="19">
        <v>45320</v>
      </c>
      <c r="B8" t="s">
        <v>89</v>
      </c>
      <c r="C8" t="s">
        <v>91</v>
      </c>
      <c r="D8" s="1">
        <v>484355</v>
      </c>
      <c r="E8" s="1">
        <v>171948</v>
      </c>
      <c r="F8" s="2">
        <v>0.35500407758772001</v>
      </c>
      <c r="G8" s="1">
        <v>1683</v>
      </c>
      <c r="H8" s="2">
        <v>9.7878428362062897E-3</v>
      </c>
      <c r="I8" s="2">
        <v>3.47472411764099E-3</v>
      </c>
    </row>
    <row r="9" spans="1:9" x14ac:dyDescent="0.35">
      <c r="A9" s="19">
        <v>45320</v>
      </c>
      <c r="B9" t="s">
        <v>89</v>
      </c>
      <c r="C9" t="s">
        <v>92</v>
      </c>
      <c r="D9" s="1">
        <v>29425</v>
      </c>
      <c r="E9" s="1">
        <v>10882</v>
      </c>
      <c r="F9" s="2">
        <v>0.36982158028887002</v>
      </c>
      <c r="G9" s="1">
        <v>290</v>
      </c>
      <c r="H9" s="2">
        <v>2.6649512957177001E-2</v>
      </c>
      <c r="I9" s="2">
        <v>9.8555649957519104E-3</v>
      </c>
    </row>
    <row r="10" spans="1:9" x14ac:dyDescent="0.35">
      <c r="A10" s="19">
        <v>45320</v>
      </c>
      <c r="B10" t="s">
        <v>89</v>
      </c>
      <c r="C10" t="s">
        <v>93</v>
      </c>
      <c r="D10" s="1">
        <v>28246</v>
      </c>
      <c r="E10" s="1">
        <v>8747</v>
      </c>
      <c r="F10" s="2">
        <v>0.30967216597040298</v>
      </c>
      <c r="G10" s="1">
        <v>118</v>
      </c>
      <c r="H10" s="2">
        <v>1.34903395449869E-2</v>
      </c>
      <c r="I10" s="2">
        <v>4.1775826665722601E-3</v>
      </c>
    </row>
    <row r="11" spans="1:9" x14ac:dyDescent="0.35">
      <c r="A11" s="19">
        <v>45321</v>
      </c>
      <c r="B11" t="s">
        <v>94</v>
      </c>
      <c r="C11" t="s">
        <v>10</v>
      </c>
      <c r="D11" s="1">
        <v>1374730</v>
      </c>
      <c r="E11" s="1">
        <v>536589</v>
      </c>
      <c r="F11" s="2">
        <v>0.39032319073563498</v>
      </c>
      <c r="G11" s="1">
        <v>11644</v>
      </c>
      <c r="H11" s="2">
        <v>2.1700034849763999E-2</v>
      </c>
      <c r="I11" s="2">
        <v>8.4700268416343597E-3</v>
      </c>
    </row>
    <row r="12" spans="1:9" x14ac:dyDescent="0.35">
      <c r="A12" s="19">
        <v>45321</v>
      </c>
      <c r="B12" t="s">
        <v>95</v>
      </c>
      <c r="C12" t="s">
        <v>11</v>
      </c>
      <c r="D12" s="1">
        <v>99893</v>
      </c>
      <c r="E12" s="1">
        <v>36962</v>
      </c>
      <c r="F12" s="2">
        <v>0.370015917031223</v>
      </c>
      <c r="G12" s="1">
        <v>1538</v>
      </c>
      <c r="H12" s="2">
        <v>4.1610302472809897E-2</v>
      </c>
      <c r="I12" s="2">
        <v>1.5396474227423299E-2</v>
      </c>
    </row>
    <row r="13" spans="1:9" x14ac:dyDescent="0.35">
      <c r="A13" s="19">
        <v>45321</v>
      </c>
      <c r="B13" t="s">
        <v>96</v>
      </c>
      <c r="C13" t="s">
        <v>10</v>
      </c>
      <c r="D13" s="1">
        <v>521819</v>
      </c>
      <c r="E13" s="1">
        <v>250924</v>
      </c>
      <c r="F13" s="2">
        <v>0.48086405439433999</v>
      </c>
      <c r="G13" s="1">
        <v>3975</v>
      </c>
      <c r="H13" s="2">
        <v>1.5841450000797098E-2</v>
      </c>
      <c r="I13" s="2">
        <v>7.61758387486849E-3</v>
      </c>
    </row>
    <row r="14" spans="1:9" x14ac:dyDescent="0.35">
      <c r="A14" s="19">
        <v>45321</v>
      </c>
      <c r="B14" t="s">
        <v>96</v>
      </c>
      <c r="C14" t="s">
        <v>11</v>
      </c>
      <c r="D14" s="1">
        <v>29793</v>
      </c>
      <c r="E14" s="1">
        <v>10819</v>
      </c>
      <c r="F14" s="2">
        <v>0.36313899238076103</v>
      </c>
      <c r="G14" s="1">
        <v>227</v>
      </c>
      <c r="H14" s="2">
        <v>2.0981606433126899E-2</v>
      </c>
      <c r="I14" s="2">
        <v>7.6192394186553897E-3</v>
      </c>
    </row>
    <row r="15" spans="1:9" x14ac:dyDescent="0.35">
      <c r="A15" s="19">
        <v>45322</v>
      </c>
      <c r="B15" t="s">
        <v>97</v>
      </c>
      <c r="C15" t="s">
        <v>90</v>
      </c>
      <c r="D15" s="1">
        <v>704774</v>
      </c>
      <c r="E15" s="1">
        <v>269511</v>
      </c>
      <c r="F15" s="2">
        <v>0.38240769381390299</v>
      </c>
      <c r="G15" s="1">
        <v>3647</v>
      </c>
      <c r="H15" s="2">
        <v>1.35319152093978E-2</v>
      </c>
      <c r="I15" s="2">
        <v>5.1747084881110803E-3</v>
      </c>
    </row>
    <row r="16" spans="1:9" x14ac:dyDescent="0.35">
      <c r="A16" s="19">
        <v>45322</v>
      </c>
      <c r="B16" t="s">
        <v>97</v>
      </c>
      <c r="C16" t="s">
        <v>92</v>
      </c>
      <c r="D16" s="1">
        <v>31269</v>
      </c>
      <c r="E16" s="1">
        <v>10998</v>
      </c>
      <c r="F16" s="2">
        <v>0.351722152931018</v>
      </c>
      <c r="G16" s="1">
        <v>227</v>
      </c>
      <c r="H16" s="2">
        <v>2.0640116384797201E-2</v>
      </c>
      <c r="I16" s="2">
        <v>7.2595861716076597E-3</v>
      </c>
    </row>
    <row r="17" spans="1:9" x14ac:dyDescent="0.35">
      <c r="A17" s="19">
        <v>45323</v>
      </c>
      <c r="B17" t="s">
        <v>98</v>
      </c>
      <c r="C17" t="s">
        <v>31</v>
      </c>
      <c r="D17" s="1">
        <v>198739</v>
      </c>
      <c r="E17" s="1">
        <v>69373</v>
      </c>
      <c r="F17" s="3">
        <v>0.34910000000000002</v>
      </c>
      <c r="G17">
        <v>582</v>
      </c>
      <c r="H17" s="3">
        <v>8.3999999999999995E-3</v>
      </c>
      <c r="I17" s="3">
        <v>2.8999999999999998E-3</v>
      </c>
    </row>
    <row r="18" spans="1:9" x14ac:dyDescent="0.35">
      <c r="A18" s="19">
        <v>45323</v>
      </c>
      <c r="B18" t="s">
        <v>65</v>
      </c>
      <c r="C18" t="s">
        <v>32</v>
      </c>
      <c r="D18" s="1">
        <v>12379</v>
      </c>
      <c r="E18" s="1">
        <v>3936</v>
      </c>
      <c r="F18" s="3">
        <v>0.318</v>
      </c>
      <c r="G18">
        <v>57</v>
      </c>
      <c r="H18" s="3">
        <v>1.4500000000000001E-2</v>
      </c>
      <c r="I18" s="3">
        <v>4.5999999999999999E-3</v>
      </c>
    </row>
    <row r="19" spans="1:9" x14ac:dyDescent="0.35">
      <c r="A19" s="19">
        <v>45323</v>
      </c>
      <c r="B19" t="s">
        <v>99</v>
      </c>
      <c r="C19" t="s">
        <v>23</v>
      </c>
      <c r="D19" s="1">
        <v>444379</v>
      </c>
      <c r="E19" s="1">
        <v>170659</v>
      </c>
      <c r="F19" s="3">
        <v>0.38400000000000001</v>
      </c>
      <c r="G19" s="1">
        <v>1581</v>
      </c>
      <c r="H19" s="3">
        <v>9.2999999999999992E-3</v>
      </c>
      <c r="I19" s="3">
        <v>3.5999999999999999E-3</v>
      </c>
    </row>
    <row r="20" spans="1:9" x14ac:dyDescent="0.35">
      <c r="A20" s="19">
        <v>45323</v>
      </c>
      <c r="B20" t="s">
        <v>100</v>
      </c>
      <c r="C20" t="s">
        <v>101</v>
      </c>
      <c r="D20" s="1">
        <v>26712</v>
      </c>
      <c r="E20" s="1">
        <v>7877</v>
      </c>
      <c r="F20" s="2">
        <v>0.29488619347109901</v>
      </c>
      <c r="G20" s="1">
        <v>252</v>
      </c>
      <c r="H20" s="2">
        <v>3.1991875079344902E-2</v>
      </c>
      <c r="I20" s="2">
        <v>9.4339622641509396E-3</v>
      </c>
    </row>
    <row r="21" spans="1:9" x14ac:dyDescent="0.35">
      <c r="A21" s="19">
        <v>45323</v>
      </c>
      <c r="B21" t="s">
        <v>100</v>
      </c>
      <c r="C21" t="s">
        <v>102</v>
      </c>
      <c r="D21" s="1">
        <v>8544</v>
      </c>
      <c r="E21" s="1">
        <v>2728</v>
      </c>
      <c r="F21" s="2">
        <v>0.31928838951310901</v>
      </c>
      <c r="G21" s="1">
        <v>101</v>
      </c>
      <c r="H21" s="2">
        <v>3.70234604105572E-2</v>
      </c>
      <c r="I21" s="2">
        <v>1.18211610486891E-2</v>
      </c>
    </row>
    <row r="22" spans="1:9" x14ac:dyDescent="0.35">
      <c r="A22" s="19">
        <v>45323</v>
      </c>
      <c r="B22" t="s">
        <v>100</v>
      </c>
      <c r="C22" t="s">
        <v>103</v>
      </c>
      <c r="D22" s="1">
        <v>40834</v>
      </c>
      <c r="E22" s="1">
        <v>15045</v>
      </c>
      <c r="F22" s="2">
        <v>0.36844296419650302</v>
      </c>
      <c r="G22" s="1">
        <v>454</v>
      </c>
      <c r="H22" s="2">
        <v>3.01761382519109E-2</v>
      </c>
      <c r="I22" s="2">
        <v>1.11181858255375E-2</v>
      </c>
    </row>
    <row r="23" spans="1:9" x14ac:dyDescent="0.35">
      <c r="A23" s="19">
        <v>45323</v>
      </c>
      <c r="B23" t="s">
        <v>100</v>
      </c>
      <c r="C23" t="s">
        <v>104</v>
      </c>
      <c r="D23" s="1">
        <v>171887</v>
      </c>
      <c r="E23" s="1">
        <v>59430</v>
      </c>
      <c r="F23" s="2">
        <v>0.34575040578985</v>
      </c>
      <c r="G23" s="1">
        <v>1517</v>
      </c>
      <c r="H23" s="2">
        <v>2.5525828706040699E-2</v>
      </c>
      <c r="I23" s="2">
        <v>8.8255656332357907E-3</v>
      </c>
    </row>
    <row r="24" spans="1:9" x14ac:dyDescent="0.35">
      <c r="A24" s="19">
        <v>45323</v>
      </c>
      <c r="B24" t="s">
        <v>105</v>
      </c>
      <c r="C24" t="s">
        <v>106</v>
      </c>
      <c r="D24" s="1">
        <v>13297</v>
      </c>
      <c r="E24" s="1">
        <v>4280</v>
      </c>
      <c r="F24" s="2">
        <v>0.321877115138753</v>
      </c>
      <c r="G24" s="1">
        <v>123</v>
      </c>
      <c r="H24" s="2">
        <v>2.8738317757009298E-2</v>
      </c>
      <c r="I24" s="2">
        <v>9.2502068135669694E-3</v>
      </c>
    </row>
    <row r="25" spans="1:9" x14ac:dyDescent="0.35">
      <c r="A25" s="19">
        <v>45323</v>
      </c>
      <c r="B25" t="s">
        <v>107</v>
      </c>
      <c r="C25" t="s">
        <v>10</v>
      </c>
      <c r="D25" s="1">
        <v>5583740</v>
      </c>
      <c r="E25" s="1">
        <v>2156064</v>
      </c>
      <c r="F25" s="2">
        <v>0.38613259213358803</v>
      </c>
      <c r="G25" s="1">
        <v>171023</v>
      </c>
      <c r="H25" s="2">
        <v>7.9321856865102305E-2</v>
      </c>
      <c r="I25" s="2">
        <v>3.06287542041714E-2</v>
      </c>
    </row>
    <row r="26" spans="1:9" x14ac:dyDescent="0.35">
      <c r="A26" s="19">
        <v>45323</v>
      </c>
      <c r="B26" t="s">
        <v>107</v>
      </c>
      <c r="C26" t="s">
        <v>11</v>
      </c>
      <c r="D26" s="1">
        <v>346692</v>
      </c>
      <c r="E26" s="1">
        <v>121207</v>
      </c>
      <c r="F26" s="2">
        <v>0.349610028497917</v>
      </c>
      <c r="G26" s="1">
        <v>11076</v>
      </c>
      <c r="H26" s="2">
        <v>9.1380860841370606E-2</v>
      </c>
      <c r="I26" s="2">
        <v>3.1947665362915802E-2</v>
      </c>
    </row>
    <row r="27" spans="1:9" x14ac:dyDescent="0.35">
      <c r="A27" s="19">
        <v>45323</v>
      </c>
      <c r="B27" t="s">
        <v>108</v>
      </c>
      <c r="C27" t="s">
        <v>10</v>
      </c>
      <c r="D27" s="1">
        <v>87547</v>
      </c>
      <c r="E27" s="1">
        <v>35583</v>
      </c>
      <c r="F27" s="2">
        <v>0.40644453836225097</v>
      </c>
      <c r="G27" s="1">
        <v>4155</v>
      </c>
      <c r="H27" s="2">
        <v>0.116769243739988</v>
      </c>
      <c r="I27" s="2">
        <v>4.7460221366808698E-2</v>
      </c>
    </row>
    <row r="28" spans="1:9" x14ac:dyDescent="0.35">
      <c r="A28" s="19">
        <v>45323</v>
      </c>
      <c r="B28" t="s">
        <v>109</v>
      </c>
      <c r="C28" t="s">
        <v>11</v>
      </c>
      <c r="D28" s="1">
        <v>9668</v>
      </c>
      <c r="E28" s="1">
        <v>3619</v>
      </c>
      <c r="F28" s="2">
        <v>0.37432767894083602</v>
      </c>
      <c r="G28" s="1">
        <v>605</v>
      </c>
      <c r="H28" s="2">
        <v>0.167173252279635</v>
      </c>
      <c r="I28" s="2">
        <v>6.2577575506826605E-2</v>
      </c>
    </row>
    <row r="29" spans="1:9" ht="15" thickBot="1" x14ac:dyDescent="0.4">
      <c r="A29" s="20" t="s">
        <v>35</v>
      </c>
      <c r="D29" s="10">
        <f>SUM(D2:D28)</f>
        <v>21483921</v>
      </c>
      <c r="E29" s="10">
        <f>SUM(E2:E28)</f>
        <v>7599465</v>
      </c>
      <c r="F29" s="27">
        <f>AVERAGE(F2:F28)</f>
        <v>0.35010833944718373</v>
      </c>
      <c r="G29" s="10">
        <f>SUM(G2:G28)</f>
        <v>280157</v>
      </c>
      <c r="H29" s="27">
        <f>AVERAGE(H2:H28)</f>
        <v>3.5287688396148757E-2</v>
      </c>
      <c r="I29" s="27">
        <f>AVERAGE(I2:I28)</f>
        <v>1.2669897139140076E-2</v>
      </c>
    </row>
    <row r="30" spans="1:9" ht="15" thickBot="1" x14ac:dyDescent="0.4">
      <c r="A30" s="138"/>
      <c r="B30" s="138"/>
      <c r="C30" s="138"/>
      <c r="D30" s="138"/>
      <c r="E30" s="138"/>
      <c r="F30" s="138"/>
      <c r="G30" s="138"/>
      <c r="H30" s="138"/>
      <c r="I30" s="138"/>
    </row>
    <row r="31" spans="1:9" x14ac:dyDescent="0.35">
      <c r="A31" s="24" t="s">
        <v>0</v>
      </c>
      <c r="B31" s="25" t="s">
        <v>1</v>
      </c>
      <c r="C31" s="25" t="s">
        <v>2</v>
      </c>
      <c r="D31" s="25" t="s">
        <v>3</v>
      </c>
      <c r="E31" s="25" t="s">
        <v>4</v>
      </c>
      <c r="F31" s="25" t="s">
        <v>5</v>
      </c>
      <c r="G31" s="25" t="s">
        <v>6</v>
      </c>
      <c r="H31" s="25" t="s">
        <v>7</v>
      </c>
      <c r="I31" s="26" t="s">
        <v>8</v>
      </c>
    </row>
    <row r="32" spans="1:9" x14ac:dyDescent="0.35">
      <c r="A32" s="5" t="s">
        <v>36</v>
      </c>
      <c r="B32" s="6"/>
      <c r="C32" s="6"/>
      <c r="D32" s="6"/>
      <c r="E32" s="6"/>
      <c r="F32" s="6"/>
      <c r="G32" s="6"/>
      <c r="H32" s="6"/>
      <c r="I32" s="7"/>
    </row>
    <row r="33" spans="1:9" x14ac:dyDescent="0.35">
      <c r="A33" s="8">
        <v>45317</v>
      </c>
      <c r="B33" t="s">
        <v>86</v>
      </c>
      <c r="C33" t="s">
        <v>10</v>
      </c>
      <c r="D33" s="1">
        <v>3929731</v>
      </c>
      <c r="E33" s="1">
        <v>1240890</v>
      </c>
      <c r="F33" s="2">
        <v>0.31576970535642301</v>
      </c>
      <c r="G33" s="1">
        <v>20878</v>
      </c>
      <c r="H33" s="2">
        <v>1.6825020751235001E-2</v>
      </c>
      <c r="I33" s="9">
        <v>5.3128318452331704E-3</v>
      </c>
    </row>
    <row r="34" spans="1:9" x14ac:dyDescent="0.35">
      <c r="A34" s="8">
        <v>45317</v>
      </c>
      <c r="B34" t="s">
        <v>86</v>
      </c>
      <c r="C34" t="s">
        <v>11</v>
      </c>
      <c r="D34" s="1">
        <v>232399</v>
      </c>
      <c r="E34" s="1">
        <v>56286</v>
      </c>
      <c r="F34" s="2">
        <v>0.242195534404193</v>
      </c>
      <c r="G34" s="1">
        <v>1260</v>
      </c>
      <c r="H34" s="2">
        <v>2.2385673169171699E-2</v>
      </c>
      <c r="I34" s="9">
        <v>5.4217100762051504E-3</v>
      </c>
    </row>
    <row r="35" spans="1:9" x14ac:dyDescent="0.35">
      <c r="A35" s="8">
        <v>45317</v>
      </c>
      <c r="B35" t="s">
        <v>88</v>
      </c>
      <c r="C35" t="s">
        <v>10</v>
      </c>
      <c r="D35" s="1">
        <v>424453</v>
      </c>
      <c r="E35" s="1">
        <v>130821</v>
      </c>
      <c r="F35" s="2">
        <v>0.308210803080671</v>
      </c>
      <c r="G35" s="1">
        <v>3936</v>
      </c>
      <c r="H35" s="2">
        <v>3.00869126516385E-2</v>
      </c>
      <c r="I35" s="9">
        <v>9.2731115105794994E-3</v>
      </c>
    </row>
    <row r="36" spans="1:9" x14ac:dyDescent="0.35">
      <c r="A36" s="8">
        <v>45321</v>
      </c>
      <c r="B36" t="s">
        <v>94</v>
      </c>
      <c r="C36" t="s">
        <v>10</v>
      </c>
      <c r="D36" s="1">
        <v>1374730</v>
      </c>
      <c r="E36" s="1">
        <v>536589</v>
      </c>
      <c r="F36" s="2">
        <v>0.39032319073563498</v>
      </c>
      <c r="G36" s="1">
        <v>11644</v>
      </c>
      <c r="H36" s="2">
        <v>2.1700034849763999E-2</v>
      </c>
      <c r="I36" s="9">
        <v>8.4700268416343597E-3</v>
      </c>
    </row>
    <row r="37" spans="1:9" x14ac:dyDescent="0.35">
      <c r="A37" s="8">
        <v>45321</v>
      </c>
      <c r="B37" t="s">
        <v>95</v>
      </c>
      <c r="C37" t="s">
        <v>11</v>
      </c>
      <c r="D37" s="1">
        <v>99893</v>
      </c>
      <c r="E37" s="1">
        <v>36962</v>
      </c>
      <c r="F37" s="2">
        <v>0.370015917031223</v>
      </c>
      <c r="G37" s="1">
        <v>1538</v>
      </c>
      <c r="H37" s="2">
        <v>4.1610302472809897E-2</v>
      </c>
      <c r="I37" s="9">
        <v>1.5396474227423299E-2</v>
      </c>
    </row>
    <row r="38" spans="1:9" ht="15" thickBot="1" x14ac:dyDescent="0.4">
      <c r="A38" s="12" t="s">
        <v>35</v>
      </c>
      <c r="B38" s="4"/>
      <c r="C38" s="4"/>
      <c r="D38" s="13">
        <f>SUM(D33:D37)</f>
        <v>6061206</v>
      </c>
      <c r="E38" s="13">
        <f>SUM(E33:E37)</f>
        <v>2001548</v>
      </c>
      <c r="F38" s="14">
        <f>AVERAGE(F33:F37)</f>
        <v>0.32530303012162898</v>
      </c>
      <c r="G38" s="13">
        <f>SUM(G33:G37)</f>
        <v>39256</v>
      </c>
      <c r="H38" s="14">
        <f>AVERAGE(H33:H37)</f>
        <v>2.652158877892382E-2</v>
      </c>
      <c r="I38" s="15">
        <f>AVERAGE(I33:I37)</f>
        <v>8.7748309002150977E-3</v>
      </c>
    </row>
    <row r="39" spans="1:9" ht="3" customHeight="1" thickBot="1" x14ac:dyDescent="0.4">
      <c r="A39" s="139"/>
      <c r="B39" s="138"/>
      <c r="C39" s="138"/>
      <c r="D39" s="138"/>
      <c r="E39" s="138"/>
      <c r="F39" s="138"/>
      <c r="G39" s="138"/>
      <c r="H39" s="138"/>
      <c r="I39" s="140"/>
    </row>
    <row r="40" spans="1:9" x14ac:dyDescent="0.35">
      <c r="A40" s="16" t="s">
        <v>37</v>
      </c>
      <c r="B40" s="17"/>
      <c r="C40" s="17"/>
      <c r="D40" s="17"/>
      <c r="E40" s="17"/>
      <c r="F40" s="17"/>
      <c r="G40" s="17"/>
      <c r="H40" s="17"/>
      <c r="I40" s="18"/>
    </row>
    <row r="41" spans="1:9" x14ac:dyDescent="0.35">
      <c r="A41" s="8">
        <v>45317</v>
      </c>
      <c r="B41" t="s">
        <v>87</v>
      </c>
      <c r="C41" t="s">
        <v>10</v>
      </c>
      <c r="D41" s="1">
        <v>5635466</v>
      </c>
      <c r="E41" s="1">
        <v>1856438</v>
      </c>
      <c r="F41" s="2">
        <v>0.329420495128531</v>
      </c>
      <c r="G41" s="1">
        <v>32750</v>
      </c>
      <c r="H41" s="2">
        <v>1.76413109406293E-2</v>
      </c>
      <c r="I41" s="9">
        <v>5.8114093847784704E-3</v>
      </c>
    </row>
    <row r="42" spans="1:9" x14ac:dyDescent="0.35">
      <c r="A42" s="8">
        <v>45317</v>
      </c>
      <c r="B42" t="s">
        <v>87</v>
      </c>
      <c r="C42" t="s">
        <v>11</v>
      </c>
      <c r="D42" s="1">
        <v>348959</v>
      </c>
      <c r="E42" s="1">
        <v>93910</v>
      </c>
      <c r="F42" s="2">
        <v>0.26911470975100199</v>
      </c>
      <c r="G42" s="1">
        <v>2453</v>
      </c>
      <c r="H42" s="2">
        <v>2.6120753913321301E-2</v>
      </c>
      <c r="I42" s="9">
        <v>7.0294791078608096E-3</v>
      </c>
    </row>
    <row r="43" spans="1:9" x14ac:dyDescent="0.35">
      <c r="A43" s="8">
        <v>45320</v>
      </c>
      <c r="B43" t="s">
        <v>89</v>
      </c>
      <c r="C43" t="s">
        <v>90</v>
      </c>
      <c r="D43" s="1">
        <v>664191</v>
      </c>
      <c r="E43" s="1">
        <v>263939</v>
      </c>
      <c r="F43" s="2">
        <v>0.39738418617536198</v>
      </c>
      <c r="G43" s="1">
        <v>4005</v>
      </c>
      <c r="H43" s="2">
        <v>1.5173960649998699E-2</v>
      </c>
      <c r="I43" s="9">
        <v>6.0298920039566902E-3</v>
      </c>
    </row>
    <row r="44" spans="1:9" x14ac:dyDescent="0.35">
      <c r="A44" s="8">
        <v>45320</v>
      </c>
      <c r="B44" t="s">
        <v>89</v>
      </c>
      <c r="C44" t="s">
        <v>91</v>
      </c>
      <c r="D44" s="1">
        <v>484355</v>
      </c>
      <c r="E44" s="1">
        <v>171948</v>
      </c>
      <c r="F44" s="2">
        <v>0.35500407758772001</v>
      </c>
      <c r="G44" s="1">
        <v>1683</v>
      </c>
      <c r="H44" s="2">
        <v>9.7878428362062897E-3</v>
      </c>
      <c r="I44" s="9">
        <v>3.47472411764099E-3</v>
      </c>
    </row>
    <row r="45" spans="1:9" x14ac:dyDescent="0.35">
      <c r="A45" s="8">
        <v>45320</v>
      </c>
      <c r="B45" t="s">
        <v>89</v>
      </c>
      <c r="C45" t="s">
        <v>92</v>
      </c>
      <c r="D45" s="1">
        <v>29425</v>
      </c>
      <c r="E45" s="1">
        <v>10882</v>
      </c>
      <c r="F45" s="2">
        <v>0.36982158028887002</v>
      </c>
      <c r="G45" s="1">
        <v>290</v>
      </c>
      <c r="H45" s="2">
        <v>2.6649512957177001E-2</v>
      </c>
      <c r="I45" s="9">
        <v>9.8555649957519104E-3</v>
      </c>
    </row>
    <row r="46" spans="1:9" x14ac:dyDescent="0.35">
      <c r="A46" s="8">
        <v>45320</v>
      </c>
      <c r="B46" t="s">
        <v>89</v>
      </c>
      <c r="C46" t="s">
        <v>93</v>
      </c>
      <c r="D46" s="1">
        <v>28246</v>
      </c>
      <c r="E46" s="1">
        <v>8747</v>
      </c>
      <c r="F46" s="2">
        <v>0.30967216597040298</v>
      </c>
      <c r="G46" s="1">
        <v>118</v>
      </c>
      <c r="H46" s="2">
        <v>1.34903395449869E-2</v>
      </c>
      <c r="I46" s="9">
        <v>4.1775826665722601E-3</v>
      </c>
    </row>
    <row r="47" spans="1:9" x14ac:dyDescent="0.35">
      <c r="A47" s="8">
        <v>45321</v>
      </c>
      <c r="B47" t="s">
        <v>96</v>
      </c>
      <c r="C47" t="s">
        <v>10</v>
      </c>
      <c r="D47" s="1">
        <v>521819</v>
      </c>
      <c r="E47" s="1">
        <v>250924</v>
      </c>
      <c r="F47" s="2">
        <v>0.48086405439433999</v>
      </c>
      <c r="G47" s="1">
        <v>3975</v>
      </c>
      <c r="H47" s="2">
        <v>1.5841450000797098E-2</v>
      </c>
      <c r="I47" s="9">
        <v>7.61758387486849E-3</v>
      </c>
    </row>
    <row r="48" spans="1:9" x14ac:dyDescent="0.35">
      <c r="A48" s="8">
        <v>45321</v>
      </c>
      <c r="B48" t="s">
        <v>96</v>
      </c>
      <c r="C48" t="s">
        <v>11</v>
      </c>
      <c r="D48" s="1">
        <v>29793</v>
      </c>
      <c r="E48" s="1">
        <v>10819</v>
      </c>
      <c r="F48" s="2">
        <v>0.36313899238076103</v>
      </c>
      <c r="G48" s="1">
        <v>227</v>
      </c>
      <c r="H48" s="2">
        <v>2.0981606433126899E-2</v>
      </c>
      <c r="I48" s="9">
        <v>7.6192394186553897E-3</v>
      </c>
    </row>
    <row r="49" spans="1:9" x14ac:dyDescent="0.35">
      <c r="A49" s="8">
        <v>45322</v>
      </c>
      <c r="B49" t="s">
        <v>97</v>
      </c>
      <c r="C49" t="s">
        <v>90</v>
      </c>
      <c r="D49" s="1">
        <v>704774</v>
      </c>
      <c r="E49" s="1">
        <v>269511</v>
      </c>
      <c r="F49" s="2">
        <v>0.38240769381390299</v>
      </c>
      <c r="G49" s="1">
        <v>3647</v>
      </c>
      <c r="H49" s="2">
        <v>1.35319152093978E-2</v>
      </c>
      <c r="I49" s="9">
        <v>5.1747084881110803E-3</v>
      </c>
    </row>
    <row r="50" spans="1:9" x14ac:dyDescent="0.35">
      <c r="A50" s="8">
        <v>45322</v>
      </c>
      <c r="B50" t="s">
        <v>97</v>
      </c>
      <c r="C50" t="s">
        <v>92</v>
      </c>
      <c r="D50" s="1">
        <v>31269</v>
      </c>
      <c r="E50" s="1">
        <v>10998</v>
      </c>
      <c r="F50" s="2">
        <v>0.351722152931018</v>
      </c>
      <c r="G50" s="1">
        <v>227</v>
      </c>
      <c r="H50" s="2">
        <v>2.0640116384797201E-2</v>
      </c>
      <c r="I50" s="9">
        <v>7.2595861716076597E-3</v>
      </c>
    </row>
    <row r="51" spans="1:9" x14ac:dyDescent="0.35">
      <c r="A51" s="8">
        <v>45323</v>
      </c>
      <c r="B51" t="s">
        <v>100</v>
      </c>
      <c r="C51" t="s">
        <v>101</v>
      </c>
      <c r="D51" s="1">
        <v>26712</v>
      </c>
      <c r="E51" s="1">
        <v>7877</v>
      </c>
      <c r="F51" s="2">
        <v>0.29488619347109901</v>
      </c>
      <c r="G51" s="1">
        <v>252</v>
      </c>
      <c r="H51" s="2">
        <v>3.1991875079344902E-2</v>
      </c>
      <c r="I51" s="9">
        <v>9.4339622641509396E-3</v>
      </c>
    </row>
    <row r="52" spans="1:9" x14ac:dyDescent="0.35">
      <c r="A52" s="8">
        <v>45323</v>
      </c>
      <c r="B52" t="s">
        <v>100</v>
      </c>
      <c r="C52" t="s">
        <v>102</v>
      </c>
      <c r="D52" s="1">
        <v>8544</v>
      </c>
      <c r="E52" s="1">
        <v>2728</v>
      </c>
      <c r="F52" s="2">
        <v>0.31928838951310901</v>
      </c>
      <c r="G52" s="1">
        <v>101</v>
      </c>
      <c r="H52" s="2">
        <v>3.70234604105572E-2</v>
      </c>
      <c r="I52" s="9">
        <v>1.18211610486891E-2</v>
      </c>
    </row>
    <row r="53" spans="1:9" x14ac:dyDescent="0.35">
      <c r="A53" s="8">
        <v>45323</v>
      </c>
      <c r="B53" t="s">
        <v>100</v>
      </c>
      <c r="C53" t="s">
        <v>103</v>
      </c>
      <c r="D53" s="1">
        <v>40834</v>
      </c>
      <c r="E53" s="1">
        <v>15045</v>
      </c>
      <c r="F53" s="2">
        <v>0.36844296419650302</v>
      </c>
      <c r="G53" s="1">
        <v>454</v>
      </c>
      <c r="H53" s="2">
        <v>3.01761382519109E-2</v>
      </c>
      <c r="I53" s="9">
        <v>1.11181858255375E-2</v>
      </c>
    </row>
    <row r="54" spans="1:9" x14ac:dyDescent="0.35">
      <c r="A54" s="8">
        <v>45323</v>
      </c>
      <c r="B54" t="s">
        <v>100</v>
      </c>
      <c r="C54" t="s">
        <v>104</v>
      </c>
      <c r="D54" s="1">
        <v>171887</v>
      </c>
      <c r="E54" s="1">
        <v>59430</v>
      </c>
      <c r="F54" s="2">
        <v>0.34575040578985</v>
      </c>
      <c r="G54" s="1">
        <v>1517</v>
      </c>
      <c r="H54" s="2">
        <v>2.5525828706040699E-2</v>
      </c>
      <c r="I54" s="9">
        <v>8.8255656332357907E-3</v>
      </c>
    </row>
    <row r="55" spans="1:9" x14ac:dyDescent="0.35">
      <c r="A55" s="8">
        <v>45323</v>
      </c>
      <c r="B55" t="s">
        <v>105</v>
      </c>
      <c r="C55" t="s">
        <v>106</v>
      </c>
      <c r="D55" s="1">
        <v>13297</v>
      </c>
      <c r="E55" s="1">
        <v>4280</v>
      </c>
      <c r="F55" s="2">
        <v>0.321877115138753</v>
      </c>
      <c r="G55" s="1">
        <v>123</v>
      </c>
      <c r="H55" s="2">
        <v>2.8738317757009298E-2</v>
      </c>
      <c r="I55" s="9">
        <v>9.2502068135669694E-3</v>
      </c>
    </row>
    <row r="56" spans="1:9" x14ac:dyDescent="0.35">
      <c r="A56" s="8">
        <v>45323</v>
      </c>
      <c r="B56" t="s">
        <v>107</v>
      </c>
      <c r="C56" t="s">
        <v>10</v>
      </c>
      <c r="D56" s="1">
        <v>5583740</v>
      </c>
      <c r="E56" s="1">
        <v>2156064</v>
      </c>
      <c r="F56" s="2">
        <v>0.38613259213358803</v>
      </c>
      <c r="G56" s="1">
        <v>171023</v>
      </c>
      <c r="H56" s="2">
        <v>7.9321856865102305E-2</v>
      </c>
      <c r="I56" s="9">
        <v>3.06287542041714E-2</v>
      </c>
    </row>
    <row r="57" spans="1:9" x14ac:dyDescent="0.35">
      <c r="A57" s="8">
        <v>45323</v>
      </c>
      <c r="B57" t="s">
        <v>107</v>
      </c>
      <c r="C57" t="s">
        <v>11</v>
      </c>
      <c r="D57" s="1">
        <v>346692</v>
      </c>
      <c r="E57" s="1">
        <v>121207</v>
      </c>
      <c r="F57" s="2">
        <v>0.349610028497917</v>
      </c>
      <c r="G57" s="1">
        <v>11076</v>
      </c>
      <c r="H57" s="2">
        <v>9.1380860841370606E-2</v>
      </c>
      <c r="I57" s="9">
        <v>3.1947665362915802E-2</v>
      </c>
    </row>
    <row r="58" spans="1:9" x14ac:dyDescent="0.35">
      <c r="A58" s="8">
        <v>45323</v>
      </c>
      <c r="B58" t="s">
        <v>108</v>
      </c>
      <c r="C58" t="s">
        <v>10</v>
      </c>
      <c r="D58" s="1">
        <v>87547</v>
      </c>
      <c r="E58" s="1">
        <v>35583</v>
      </c>
      <c r="F58" s="2">
        <v>0.40644453836225097</v>
      </c>
      <c r="G58" s="1">
        <v>4155</v>
      </c>
      <c r="H58" s="2">
        <v>0.116769243739988</v>
      </c>
      <c r="I58" s="9">
        <v>4.7460221366808698E-2</v>
      </c>
    </row>
    <row r="59" spans="1:9" x14ac:dyDescent="0.35">
      <c r="A59" s="8">
        <v>45323</v>
      </c>
      <c r="B59" t="s">
        <v>109</v>
      </c>
      <c r="C59" t="s">
        <v>11</v>
      </c>
      <c r="D59" s="1">
        <v>9668</v>
      </c>
      <c r="E59" s="1">
        <v>3619</v>
      </c>
      <c r="F59" s="2">
        <v>0.37432767894083602</v>
      </c>
      <c r="G59" s="1">
        <v>605</v>
      </c>
      <c r="H59" s="2">
        <v>0.167173252279635</v>
      </c>
      <c r="I59" s="9">
        <v>6.2577575506826605E-2</v>
      </c>
    </row>
    <row r="60" spans="1:9" ht="15" thickBot="1" x14ac:dyDescent="0.4">
      <c r="A60" s="12" t="s">
        <v>35</v>
      </c>
      <c r="B60" s="4"/>
      <c r="C60" s="4"/>
      <c r="D60" s="13">
        <f>SUM(D41:D59)</f>
        <v>14767218</v>
      </c>
      <c r="E60" s="13">
        <f>SUM(E41:E59)</f>
        <v>5353949</v>
      </c>
      <c r="F60" s="14">
        <f>AVERAGE(F41:F59)</f>
        <v>0.35659526391925356</v>
      </c>
      <c r="G60" s="13">
        <f>SUM(G41:G59)</f>
        <v>238681</v>
      </c>
      <c r="H60" s="14">
        <f>AVERAGE(H41:H59)</f>
        <v>4.1471560147441966E-2</v>
      </c>
      <c r="I60" s="15">
        <f>AVERAGE(I41:I59)</f>
        <v>1.51112141187214E-2</v>
      </c>
    </row>
    <row r="61" spans="1:9" ht="3" customHeight="1" thickBot="1" x14ac:dyDescent="0.4">
      <c r="A61" s="139"/>
      <c r="B61" s="138"/>
      <c r="C61" s="138"/>
      <c r="D61" s="138"/>
      <c r="E61" s="138"/>
      <c r="F61" s="138"/>
      <c r="G61" s="138"/>
      <c r="H61" s="138"/>
      <c r="I61" s="140"/>
    </row>
    <row r="62" spans="1:9" x14ac:dyDescent="0.35">
      <c r="A62" s="16" t="s">
        <v>38</v>
      </c>
      <c r="B62" s="17"/>
      <c r="C62" s="17"/>
      <c r="D62" s="17"/>
      <c r="E62" s="17"/>
      <c r="F62" s="17"/>
      <c r="G62" s="17"/>
      <c r="H62" s="17"/>
      <c r="I62" s="18"/>
    </row>
    <row r="63" spans="1:9" x14ac:dyDescent="0.35">
      <c r="A63" s="8">
        <v>45323</v>
      </c>
      <c r="B63" t="s">
        <v>98</v>
      </c>
      <c r="C63" t="s">
        <v>31</v>
      </c>
      <c r="D63" s="1">
        <v>198739</v>
      </c>
      <c r="E63" s="1">
        <v>69373</v>
      </c>
      <c r="F63" s="3">
        <v>0.34910000000000002</v>
      </c>
      <c r="G63">
        <v>582</v>
      </c>
      <c r="H63" s="3">
        <v>8.3999999999999995E-3</v>
      </c>
      <c r="I63" s="11">
        <v>2.8999999999999998E-3</v>
      </c>
    </row>
    <row r="64" spans="1:9" x14ac:dyDescent="0.35">
      <c r="A64" s="8">
        <v>45323</v>
      </c>
      <c r="B64" t="s">
        <v>65</v>
      </c>
      <c r="C64" t="s">
        <v>32</v>
      </c>
      <c r="D64" s="1">
        <v>12379</v>
      </c>
      <c r="E64" s="1">
        <v>3936</v>
      </c>
      <c r="F64" s="3">
        <v>0.318</v>
      </c>
      <c r="G64">
        <v>57</v>
      </c>
      <c r="H64" s="3">
        <v>1.4500000000000001E-2</v>
      </c>
      <c r="I64" s="11">
        <v>4.5999999999999999E-3</v>
      </c>
    </row>
    <row r="65" spans="1:9" x14ac:dyDescent="0.35">
      <c r="A65" s="8">
        <v>45323</v>
      </c>
      <c r="B65" t="s">
        <v>99</v>
      </c>
      <c r="C65" t="s">
        <v>23</v>
      </c>
      <c r="D65" s="1">
        <v>444379</v>
      </c>
      <c r="E65" s="1">
        <v>170659</v>
      </c>
      <c r="F65" s="3">
        <v>0.38400000000000001</v>
      </c>
      <c r="G65" s="1">
        <v>1581</v>
      </c>
      <c r="H65" s="3">
        <v>9.2999999999999992E-3</v>
      </c>
      <c r="I65" s="11">
        <v>3.5999999999999999E-3</v>
      </c>
    </row>
    <row r="66" spans="1:9" ht="15" thickBot="1" x14ac:dyDescent="0.4">
      <c r="A66" s="12" t="s">
        <v>35</v>
      </c>
      <c r="B66" s="4"/>
      <c r="C66" s="4"/>
      <c r="D66" s="13">
        <f>SUM(D63:D65)</f>
        <v>655497</v>
      </c>
      <c r="E66" s="13">
        <f>SUM(E63:E65)</f>
        <v>243968</v>
      </c>
      <c r="F66" s="14">
        <f>AVERAGE(F63:F65)</f>
        <v>0.35036666666666666</v>
      </c>
      <c r="G66" s="13">
        <f>SUM(G63:G65)</f>
        <v>2220</v>
      </c>
      <c r="H66" s="14">
        <f>AVERAGE(H63:H65)</f>
        <v>1.0733333333333333E-2</v>
      </c>
      <c r="I66" s="15">
        <f>AVERAGE(I63:I65)</f>
        <v>3.6999999999999997E-3</v>
      </c>
    </row>
  </sheetData>
  <mergeCells count="3">
    <mergeCell ref="A30:I30"/>
    <mergeCell ref="A39:I39"/>
    <mergeCell ref="A61:I61"/>
  </mergeCells>
  <pageMargins left="0.7" right="0.7" top="0.75" bottom="0.75" header="0.3" footer="0.3"/>
  <ignoredErrors>
    <ignoredError sqref="F29 F38" formula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09E6-B39C-4395-9115-40768CFD06AC}">
  <dimension ref="A1:I56"/>
  <sheetViews>
    <sheetView workbookViewId="0">
      <selection activeCell="G56" sqref="G56"/>
    </sheetView>
  </sheetViews>
  <sheetFormatPr defaultRowHeight="14.5" x14ac:dyDescent="0.35"/>
  <cols>
    <col min="1" max="1" width="11.81640625" customWidth="1"/>
    <col min="2" max="2" width="78.54296875" customWidth="1"/>
    <col min="3" max="3" width="33.179687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45324</v>
      </c>
      <c r="B2" t="s">
        <v>110</v>
      </c>
      <c r="C2" t="s">
        <v>10</v>
      </c>
      <c r="D2" s="1">
        <v>3974280</v>
      </c>
      <c r="E2" s="1">
        <v>1437880</v>
      </c>
      <c r="F2" s="2">
        <v>0.361796350533933</v>
      </c>
      <c r="G2" s="1">
        <v>26547</v>
      </c>
      <c r="H2" s="2">
        <v>1.84625977133001E-2</v>
      </c>
      <c r="I2" s="2">
        <v>6.67970047404813E-3</v>
      </c>
    </row>
    <row r="3" spans="1:9" x14ac:dyDescent="0.35">
      <c r="A3" s="19">
        <v>45324</v>
      </c>
      <c r="B3" t="s">
        <v>110</v>
      </c>
      <c r="C3" t="s">
        <v>11</v>
      </c>
      <c r="D3" s="1">
        <v>235715</v>
      </c>
      <c r="E3" s="1">
        <v>76235</v>
      </c>
      <c r="F3" s="2">
        <v>0.323420232059903</v>
      </c>
      <c r="G3" s="1">
        <v>2138</v>
      </c>
      <c r="H3" s="2">
        <v>2.8044861284187102E-2</v>
      </c>
      <c r="I3" s="2">
        <v>9.0702755446195604E-3</v>
      </c>
    </row>
    <row r="4" spans="1:9" x14ac:dyDescent="0.35">
      <c r="A4" s="19">
        <v>45324</v>
      </c>
      <c r="B4" t="s">
        <v>111</v>
      </c>
      <c r="C4" t="s">
        <v>10</v>
      </c>
      <c r="D4" s="1">
        <v>421061</v>
      </c>
      <c r="E4" s="1">
        <v>149000</v>
      </c>
      <c r="F4" s="2">
        <v>0.353867966874158</v>
      </c>
      <c r="G4" s="1">
        <v>3410</v>
      </c>
      <c r="H4" s="2">
        <v>2.2885906040268501E-2</v>
      </c>
      <c r="I4" s="2">
        <v>8.0985890405428206E-3</v>
      </c>
    </row>
    <row r="5" spans="1:9" x14ac:dyDescent="0.35">
      <c r="A5" s="19">
        <v>45324</v>
      </c>
      <c r="B5" t="s">
        <v>111</v>
      </c>
      <c r="C5" t="s">
        <v>11</v>
      </c>
      <c r="D5" s="1">
        <v>22413</v>
      </c>
      <c r="E5" s="1">
        <v>5931</v>
      </c>
      <c r="F5" s="2">
        <v>0.264623209744345</v>
      </c>
      <c r="G5" s="1">
        <v>230</v>
      </c>
      <c r="H5" s="2">
        <v>3.8779295228460603E-2</v>
      </c>
      <c r="I5" s="2">
        <v>1.0261901574978799E-2</v>
      </c>
    </row>
    <row r="6" spans="1:9" x14ac:dyDescent="0.35">
      <c r="A6" s="19">
        <v>45325</v>
      </c>
      <c r="B6" t="s">
        <v>112</v>
      </c>
      <c r="C6" t="s">
        <v>10</v>
      </c>
      <c r="D6" s="1">
        <v>56954</v>
      </c>
      <c r="E6" s="1">
        <v>25556</v>
      </c>
      <c r="F6" s="2">
        <v>0.448712996453278</v>
      </c>
      <c r="G6" s="1">
        <v>1654</v>
      </c>
      <c r="H6" s="2">
        <v>6.4720613554546905E-2</v>
      </c>
      <c r="I6" s="2">
        <v>2.9040980440355399E-2</v>
      </c>
    </row>
    <row r="7" spans="1:9" x14ac:dyDescent="0.35">
      <c r="A7" s="19">
        <v>45325</v>
      </c>
      <c r="B7" t="s">
        <v>112</v>
      </c>
      <c r="C7" t="s">
        <v>11</v>
      </c>
      <c r="D7" s="1">
        <v>5477</v>
      </c>
      <c r="E7" s="1">
        <v>2544</v>
      </c>
      <c r="F7" s="2">
        <v>0.464487858316597</v>
      </c>
      <c r="G7" s="1">
        <v>177</v>
      </c>
      <c r="H7" s="2">
        <v>6.9575471698113206E-2</v>
      </c>
      <c r="I7" s="2">
        <v>3.2316961840423597E-2</v>
      </c>
    </row>
    <row r="8" spans="1:9" x14ac:dyDescent="0.35">
      <c r="A8" s="19">
        <v>45327</v>
      </c>
      <c r="B8" t="s">
        <v>113</v>
      </c>
      <c r="C8" t="s">
        <v>10</v>
      </c>
      <c r="D8" s="1">
        <v>257036</v>
      </c>
      <c r="E8" s="1">
        <v>102174</v>
      </c>
      <c r="F8" s="2">
        <v>0.397508520207286</v>
      </c>
      <c r="G8" s="1">
        <v>2409</v>
      </c>
      <c r="H8" s="2">
        <v>2.3577426742615499E-2</v>
      </c>
      <c r="I8" s="2">
        <v>9.3722280147527995E-3</v>
      </c>
    </row>
    <row r="9" spans="1:9" x14ac:dyDescent="0.35">
      <c r="A9" s="19">
        <v>45328</v>
      </c>
      <c r="B9" t="s">
        <v>114</v>
      </c>
      <c r="C9" t="s">
        <v>10</v>
      </c>
      <c r="D9" s="1">
        <v>1376200</v>
      </c>
      <c r="E9" s="1">
        <v>547259</v>
      </c>
      <c r="F9" s="2">
        <v>0.39765949716610999</v>
      </c>
      <c r="G9" s="1">
        <v>14314</v>
      </c>
      <c r="H9" s="2">
        <v>2.61558055692095E-2</v>
      </c>
      <c r="I9" s="2">
        <v>1.04011044906264E-2</v>
      </c>
    </row>
    <row r="10" spans="1:9" x14ac:dyDescent="0.35">
      <c r="A10" s="19">
        <v>45328</v>
      </c>
      <c r="B10" t="s">
        <v>114</v>
      </c>
      <c r="C10" t="s">
        <v>11</v>
      </c>
      <c r="D10" s="1">
        <v>99635</v>
      </c>
      <c r="E10" s="1">
        <v>37524</v>
      </c>
      <c r="F10" s="2">
        <v>0.37661464344858703</v>
      </c>
      <c r="G10" s="1">
        <v>1302</v>
      </c>
      <c r="H10" s="2">
        <v>3.4697793412216203E-2</v>
      </c>
      <c r="I10" s="2">
        <v>1.3067697094394501E-2</v>
      </c>
    </row>
    <row r="11" spans="1:9" x14ac:dyDescent="0.35">
      <c r="A11" s="19">
        <v>45329</v>
      </c>
      <c r="B11" t="s">
        <v>115</v>
      </c>
      <c r="C11" t="s">
        <v>10</v>
      </c>
      <c r="D11" s="1">
        <v>259735</v>
      </c>
      <c r="E11" s="1">
        <v>99714</v>
      </c>
      <c r="F11" s="2">
        <v>0.383906674110151</v>
      </c>
      <c r="G11" s="1">
        <v>2548</v>
      </c>
      <c r="H11" s="2">
        <v>2.5553081813988E-2</v>
      </c>
      <c r="I11" s="2">
        <v>9.8099986524727099E-3</v>
      </c>
    </row>
    <row r="12" spans="1:9" x14ac:dyDescent="0.35">
      <c r="A12" s="19">
        <v>45330</v>
      </c>
      <c r="B12" t="s">
        <v>116</v>
      </c>
      <c r="C12" t="s">
        <v>117</v>
      </c>
      <c r="D12" s="1">
        <v>307618</v>
      </c>
      <c r="E12" s="1">
        <v>120846</v>
      </c>
      <c r="F12" s="3">
        <v>0.39279999999999998</v>
      </c>
      <c r="G12" s="1">
        <v>1599</v>
      </c>
      <c r="H12" s="3">
        <v>1.32E-2</v>
      </c>
      <c r="I12" s="3">
        <v>5.1999999999999998E-3</v>
      </c>
    </row>
    <row r="13" spans="1:9" x14ac:dyDescent="0.35">
      <c r="A13" s="19">
        <v>45330</v>
      </c>
      <c r="B13" t="s">
        <v>118</v>
      </c>
      <c r="C13" t="s">
        <v>119</v>
      </c>
      <c r="D13">
        <v>854</v>
      </c>
      <c r="E13">
        <v>374</v>
      </c>
      <c r="F13" s="3">
        <v>0.43790000000000001</v>
      </c>
      <c r="G13">
        <v>4</v>
      </c>
      <c r="H13" s="3">
        <v>1.0699999999999999E-2</v>
      </c>
      <c r="I13" s="3">
        <v>4.7000000000000002E-3</v>
      </c>
    </row>
    <row r="14" spans="1:9" x14ac:dyDescent="0.35">
      <c r="A14" s="19">
        <v>45330</v>
      </c>
      <c r="B14" t="s">
        <v>120</v>
      </c>
      <c r="C14" t="s">
        <v>117</v>
      </c>
      <c r="D14" s="1">
        <v>43322</v>
      </c>
      <c r="E14" s="1">
        <v>17215</v>
      </c>
      <c r="F14" s="3">
        <v>0.39739999999999998</v>
      </c>
      <c r="G14">
        <v>118</v>
      </c>
      <c r="H14" s="3">
        <v>6.8999999999999999E-3</v>
      </c>
      <c r="I14" s="3">
        <v>2.7000000000000001E-3</v>
      </c>
    </row>
    <row r="15" spans="1:9" x14ac:dyDescent="0.35">
      <c r="A15" s="19">
        <v>45330</v>
      </c>
      <c r="B15" t="s">
        <v>121</v>
      </c>
      <c r="C15" t="s">
        <v>119</v>
      </c>
      <c r="D15" s="1">
        <v>3384</v>
      </c>
      <c r="E15" s="1">
        <v>1498</v>
      </c>
      <c r="F15" s="3">
        <v>0.44269999999999998</v>
      </c>
      <c r="G15">
        <v>10</v>
      </c>
      <c r="H15" s="3">
        <v>6.7000000000000002E-3</v>
      </c>
      <c r="I15" s="3">
        <v>3.0000000000000001E-3</v>
      </c>
    </row>
    <row r="16" spans="1:9" x14ac:dyDescent="0.35">
      <c r="A16" s="19">
        <v>45330</v>
      </c>
      <c r="B16" t="s">
        <v>99</v>
      </c>
      <c r="C16" t="s">
        <v>122</v>
      </c>
      <c r="D16" s="1">
        <v>418509</v>
      </c>
      <c r="E16" s="1">
        <v>155391</v>
      </c>
      <c r="F16" s="3">
        <v>0.37130000000000002</v>
      </c>
      <c r="G16" s="1">
        <v>1046</v>
      </c>
      <c r="H16" s="3">
        <v>6.7000000000000002E-3</v>
      </c>
      <c r="I16" s="3">
        <v>2.5000000000000001E-3</v>
      </c>
    </row>
    <row r="17" spans="1:9" x14ac:dyDescent="0.35">
      <c r="A17" s="19">
        <v>45330</v>
      </c>
      <c r="B17" t="s">
        <v>123</v>
      </c>
      <c r="C17" t="s">
        <v>10</v>
      </c>
      <c r="D17" s="1">
        <v>778446</v>
      </c>
      <c r="E17" s="1">
        <v>251848</v>
      </c>
      <c r="F17" s="2">
        <v>0.323526615847471</v>
      </c>
      <c r="G17" s="1">
        <v>3052</v>
      </c>
      <c r="H17" s="2">
        <v>1.21184206346685E-2</v>
      </c>
      <c r="I17" s="2">
        <v>3.9206316173504598E-3</v>
      </c>
    </row>
    <row r="18" spans="1:9" x14ac:dyDescent="0.35">
      <c r="A18" s="19">
        <v>45330</v>
      </c>
      <c r="B18" t="s">
        <v>124</v>
      </c>
      <c r="C18" t="s">
        <v>10</v>
      </c>
      <c r="D18" s="1">
        <v>81309</v>
      </c>
      <c r="E18" s="1">
        <v>32670</v>
      </c>
      <c r="F18" s="2">
        <v>0.40180053868575399</v>
      </c>
      <c r="G18" s="1">
        <v>438</v>
      </c>
      <c r="H18" s="2">
        <v>1.3406795224977E-2</v>
      </c>
      <c r="I18" s="2">
        <v>5.3868575434453704E-3</v>
      </c>
    </row>
    <row r="19" spans="1:9" x14ac:dyDescent="0.35">
      <c r="A19" s="19">
        <v>45330</v>
      </c>
      <c r="B19" t="s">
        <v>124</v>
      </c>
      <c r="C19" t="s">
        <v>11</v>
      </c>
      <c r="D19" s="1">
        <v>3185</v>
      </c>
      <c r="E19" s="1">
        <v>1189</v>
      </c>
      <c r="F19" s="2">
        <v>0.37331240188383003</v>
      </c>
      <c r="G19" s="1">
        <v>28</v>
      </c>
      <c r="H19" s="2">
        <v>2.3549201009251501E-2</v>
      </c>
      <c r="I19" s="2">
        <v>8.7912087912087895E-3</v>
      </c>
    </row>
    <row r="20" spans="1:9" x14ac:dyDescent="0.35">
      <c r="A20" s="19">
        <v>45330</v>
      </c>
      <c r="B20" t="s">
        <v>125</v>
      </c>
      <c r="C20" t="s">
        <v>126</v>
      </c>
      <c r="D20" s="1">
        <v>190561</v>
      </c>
      <c r="E20" s="1">
        <v>77154</v>
      </c>
      <c r="F20" s="3">
        <v>0.40620000000000001</v>
      </c>
      <c r="G20" s="1">
        <v>2581</v>
      </c>
      <c r="H20" s="3">
        <v>3.3500000000000002E-2</v>
      </c>
      <c r="I20" s="3">
        <v>1.3599999999999999E-2</v>
      </c>
    </row>
    <row r="21" spans="1:9" x14ac:dyDescent="0.35">
      <c r="A21" s="19">
        <v>45330</v>
      </c>
      <c r="B21" t="s">
        <v>125</v>
      </c>
      <c r="C21" t="s">
        <v>127</v>
      </c>
      <c r="D21" s="1">
        <v>9864</v>
      </c>
      <c r="E21" s="1">
        <v>3801</v>
      </c>
      <c r="F21" s="3">
        <v>0.38650000000000001</v>
      </c>
      <c r="G21">
        <v>268</v>
      </c>
      <c r="H21" s="3">
        <v>7.0499999999999993E-2</v>
      </c>
      <c r="I21" s="3">
        <v>2.7300000000000001E-2</v>
      </c>
    </row>
    <row r="22" spans="1:9" x14ac:dyDescent="0.35">
      <c r="A22" s="19">
        <v>45330</v>
      </c>
      <c r="B22" t="s">
        <v>125</v>
      </c>
      <c r="C22" t="s">
        <v>128</v>
      </c>
      <c r="D22" s="1">
        <v>190236</v>
      </c>
      <c r="E22" s="1">
        <v>76731</v>
      </c>
      <c r="F22" s="3">
        <v>0.40489999999999998</v>
      </c>
      <c r="G22" s="1">
        <v>2621</v>
      </c>
      <c r="H22" s="3">
        <v>3.4200000000000001E-2</v>
      </c>
      <c r="I22" s="3">
        <v>1.38E-2</v>
      </c>
    </row>
    <row r="23" spans="1:9" x14ac:dyDescent="0.35">
      <c r="A23" s="19">
        <v>45330</v>
      </c>
      <c r="B23" t="s">
        <v>125</v>
      </c>
      <c r="C23" t="s">
        <v>129</v>
      </c>
      <c r="D23" s="1">
        <v>9856</v>
      </c>
      <c r="E23" s="1">
        <v>3769</v>
      </c>
      <c r="F23" s="3">
        <v>0.38340000000000002</v>
      </c>
      <c r="G23">
        <v>245</v>
      </c>
      <c r="H23" s="3">
        <v>6.5000000000000002E-2</v>
      </c>
      <c r="I23" s="3">
        <v>2.4899999999999999E-2</v>
      </c>
    </row>
    <row r="24" spans="1:9" ht="15" thickBot="1" x14ac:dyDescent="0.4">
      <c r="A24" s="20" t="s">
        <v>35</v>
      </c>
      <c r="D24" s="10">
        <f>SUM(D2:D23)</f>
        <v>8745650</v>
      </c>
      <c r="E24" s="10">
        <f>SUM(E2:E23)</f>
        <v>3226303</v>
      </c>
      <c r="F24" s="27">
        <f>AVERAGE(F2:F23)</f>
        <v>0.38610625024233652</v>
      </c>
      <c r="G24" s="10">
        <f>SUM(G2:G23)</f>
        <v>66739</v>
      </c>
      <c r="H24" s="27">
        <f>AVERAGE(H2:H23)</f>
        <v>2.9496694087536482E-2</v>
      </c>
      <c r="I24" s="27">
        <f>AVERAGE(I2:I23)</f>
        <v>1.154173341450997E-2</v>
      </c>
    </row>
    <row r="25" spans="1:9" ht="15" thickBot="1" x14ac:dyDescent="0.4">
      <c r="A25" s="138"/>
      <c r="B25" s="138"/>
      <c r="C25" s="138"/>
      <c r="D25" s="138"/>
      <c r="E25" s="138"/>
      <c r="F25" s="138"/>
      <c r="G25" s="138"/>
      <c r="H25" s="138"/>
      <c r="I25" s="138"/>
    </row>
    <row r="26" spans="1:9" x14ac:dyDescent="0.35">
      <c r="A26" s="24" t="s">
        <v>0</v>
      </c>
      <c r="B26" s="25" t="s">
        <v>1</v>
      </c>
      <c r="C26" s="25" t="s">
        <v>2</v>
      </c>
      <c r="D26" s="25" t="s">
        <v>3</v>
      </c>
      <c r="E26" s="25" t="s">
        <v>4</v>
      </c>
      <c r="F26" s="25" t="s">
        <v>5</v>
      </c>
      <c r="G26" s="25" t="s">
        <v>6</v>
      </c>
      <c r="H26" s="25" t="s">
        <v>7</v>
      </c>
      <c r="I26" s="26" t="s">
        <v>8</v>
      </c>
    </row>
    <row r="27" spans="1:9" x14ac:dyDescent="0.35">
      <c r="A27" s="5" t="s">
        <v>36</v>
      </c>
      <c r="B27" s="6"/>
      <c r="C27" s="6"/>
      <c r="D27" s="6"/>
      <c r="E27" s="6"/>
      <c r="F27" s="6"/>
      <c r="G27" s="6"/>
      <c r="H27" s="6"/>
      <c r="I27" s="7"/>
    </row>
    <row r="28" spans="1:9" x14ac:dyDescent="0.35">
      <c r="A28" s="8">
        <v>45324</v>
      </c>
      <c r="B28" t="s">
        <v>110</v>
      </c>
      <c r="C28" t="s">
        <v>10</v>
      </c>
      <c r="D28" s="1">
        <v>3974280</v>
      </c>
      <c r="E28" s="1">
        <v>1437880</v>
      </c>
      <c r="F28" s="2">
        <v>0.361796350533933</v>
      </c>
      <c r="G28" s="1">
        <v>26547</v>
      </c>
      <c r="H28" s="2">
        <v>1.84625977133001E-2</v>
      </c>
      <c r="I28" s="9">
        <v>6.67970047404813E-3</v>
      </c>
    </row>
    <row r="29" spans="1:9" x14ac:dyDescent="0.35">
      <c r="A29" s="8">
        <v>45324</v>
      </c>
      <c r="B29" t="s">
        <v>110</v>
      </c>
      <c r="C29" t="s">
        <v>11</v>
      </c>
      <c r="D29" s="1">
        <v>235715</v>
      </c>
      <c r="E29" s="1">
        <v>76235</v>
      </c>
      <c r="F29" s="2">
        <v>0.323420232059903</v>
      </c>
      <c r="G29" s="1">
        <v>2138</v>
      </c>
      <c r="H29" s="2">
        <v>2.8044861284187102E-2</v>
      </c>
      <c r="I29" s="9">
        <v>9.0702755446195604E-3</v>
      </c>
    </row>
    <row r="30" spans="1:9" x14ac:dyDescent="0.35">
      <c r="A30" s="8">
        <v>45324</v>
      </c>
      <c r="B30" t="s">
        <v>111</v>
      </c>
      <c r="C30" t="s">
        <v>10</v>
      </c>
      <c r="D30" s="1">
        <v>421061</v>
      </c>
      <c r="E30" s="1">
        <v>149000</v>
      </c>
      <c r="F30" s="2">
        <v>0.353867966874158</v>
      </c>
      <c r="G30" s="1">
        <v>3410</v>
      </c>
      <c r="H30" s="2">
        <v>2.2885906040268501E-2</v>
      </c>
      <c r="I30" s="9">
        <v>8.0985890405428206E-3</v>
      </c>
    </row>
    <row r="31" spans="1:9" x14ac:dyDescent="0.35">
      <c r="A31" s="8">
        <v>45324</v>
      </c>
      <c r="B31" t="s">
        <v>111</v>
      </c>
      <c r="C31" t="s">
        <v>11</v>
      </c>
      <c r="D31" s="1">
        <v>22413</v>
      </c>
      <c r="E31" s="1">
        <v>5931</v>
      </c>
      <c r="F31" s="2">
        <v>0.264623209744345</v>
      </c>
      <c r="G31" s="1">
        <v>230</v>
      </c>
      <c r="H31" s="2">
        <v>3.8779295228460603E-2</v>
      </c>
      <c r="I31" s="9">
        <v>1.0261901574978799E-2</v>
      </c>
    </row>
    <row r="32" spans="1:9" x14ac:dyDescent="0.35">
      <c r="A32" s="8">
        <v>45328</v>
      </c>
      <c r="B32" t="s">
        <v>114</v>
      </c>
      <c r="C32" t="s">
        <v>10</v>
      </c>
      <c r="D32" s="1">
        <v>1376200</v>
      </c>
      <c r="E32" s="1">
        <v>547259</v>
      </c>
      <c r="F32" s="2">
        <v>0.39765949716610999</v>
      </c>
      <c r="G32" s="1">
        <v>14314</v>
      </c>
      <c r="H32" s="2">
        <v>2.61558055692095E-2</v>
      </c>
      <c r="I32" s="9">
        <v>1.04011044906264E-2</v>
      </c>
    </row>
    <row r="33" spans="1:9" x14ac:dyDescent="0.35">
      <c r="A33" s="8">
        <v>45328</v>
      </c>
      <c r="B33" t="s">
        <v>114</v>
      </c>
      <c r="C33" t="s">
        <v>11</v>
      </c>
      <c r="D33" s="1">
        <v>99635</v>
      </c>
      <c r="E33" s="1">
        <v>37524</v>
      </c>
      <c r="F33" s="2">
        <v>0.37661464344858703</v>
      </c>
      <c r="G33" s="1">
        <v>1302</v>
      </c>
      <c r="H33" s="2">
        <v>3.4697793412216203E-2</v>
      </c>
      <c r="I33" s="9">
        <v>1.3067697094394501E-2</v>
      </c>
    </row>
    <row r="34" spans="1:9" ht="15" thickBot="1" x14ac:dyDescent="0.4">
      <c r="A34" s="12" t="s">
        <v>35</v>
      </c>
      <c r="B34" s="4"/>
      <c r="C34" s="4"/>
      <c r="D34" s="13">
        <f>SUM(D28:D33)</f>
        <v>6129304</v>
      </c>
      <c r="E34" s="13">
        <f>SUM(E28:E33)</f>
        <v>2253829</v>
      </c>
      <c r="F34" s="14">
        <f>AVERAGE(F28:F33)</f>
        <v>0.34633031663783936</v>
      </c>
      <c r="G34" s="13">
        <f>SUM(G28:G33)</f>
        <v>47941</v>
      </c>
      <c r="H34" s="14">
        <f>AVERAGE(H28:H33)</f>
        <v>2.8171043207940335E-2</v>
      </c>
      <c r="I34" s="15">
        <f>AVERAGE(I28:I33)</f>
        <v>9.596544703201702E-3</v>
      </c>
    </row>
    <row r="35" spans="1:9" ht="3" customHeight="1" thickBot="1" x14ac:dyDescent="0.4">
      <c r="A35" s="139"/>
      <c r="B35" s="138"/>
      <c r="C35" s="138"/>
      <c r="D35" s="138"/>
      <c r="E35" s="138"/>
      <c r="F35" s="138"/>
      <c r="G35" s="138"/>
      <c r="H35" s="138"/>
      <c r="I35" s="140"/>
    </row>
    <row r="36" spans="1:9" x14ac:dyDescent="0.35">
      <c r="A36" s="16" t="s">
        <v>37</v>
      </c>
      <c r="B36" s="17"/>
      <c r="C36" s="17"/>
      <c r="D36" s="17"/>
      <c r="E36" s="17"/>
      <c r="F36" s="17"/>
      <c r="G36" s="17"/>
      <c r="H36" s="17"/>
      <c r="I36" s="18"/>
    </row>
    <row r="37" spans="1:9" x14ac:dyDescent="0.35">
      <c r="A37" s="8">
        <v>45325</v>
      </c>
      <c r="B37" t="s">
        <v>112</v>
      </c>
      <c r="C37" t="s">
        <v>10</v>
      </c>
      <c r="D37" s="1">
        <v>56954</v>
      </c>
      <c r="E37" s="1">
        <v>25556</v>
      </c>
      <c r="F37" s="2">
        <v>0.448712996453278</v>
      </c>
      <c r="G37" s="1">
        <v>1654</v>
      </c>
      <c r="H37" s="2">
        <v>6.4720613554546905E-2</v>
      </c>
      <c r="I37" s="9">
        <v>2.9040980440355399E-2</v>
      </c>
    </row>
    <row r="38" spans="1:9" x14ac:dyDescent="0.35">
      <c r="A38" s="8">
        <v>45325</v>
      </c>
      <c r="B38" t="s">
        <v>112</v>
      </c>
      <c r="C38" t="s">
        <v>11</v>
      </c>
      <c r="D38" s="1">
        <v>5477</v>
      </c>
      <c r="E38" s="1">
        <v>2544</v>
      </c>
      <c r="F38" s="2">
        <v>0.464487858316597</v>
      </c>
      <c r="G38" s="1">
        <v>177</v>
      </c>
      <c r="H38" s="2">
        <v>6.9575471698113206E-2</v>
      </c>
      <c r="I38" s="9">
        <v>3.2316961840423597E-2</v>
      </c>
    </row>
    <row r="39" spans="1:9" x14ac:dyDescent="0.35">
      <c r="A39" s="8">
        <v>45327</v>
      </c>
      <c r="B39" t="s">
        <v>113</v>
      </c>
      <c r="C39" t="s">
        <v>10</v>
      </c>
      <c r="D39" s="1">
        <v>257036</v>
      </c>
      <c r="E39" s="1">
        <v>102174</v>
      </c>
      <c r="F39" s="2">
        <v>0.397508520207286</v>
      </c>
      <c r="G39" s="1">
        <v>2409</v>
      </c>
      <c r="H39" s="2">
        <v>2.3577426742615499E-2</v>
      </c>
      <c r="I39" s="9">
        <v>9.3722280147527995E-3</v>
      </c>
    </row>
    <row r="40" spans="1:9" x14ac:dyDescent="0.35">
      <c r="A40" s="8">
        <v>45329</v>
      </c>
      <c r="B40" t="s">
        <v>115</v>
      </c>
      <c r="C40" t="s">
        <v>10</v>
      </c>
      <c r="D40" s="1">
        <v>259735</v>
      </c>
      <c r="E40" s="1">
        <v>99714</v>
      </c>
      <c r="F40" s="2">
        <v>0.383906674110151</v>
      </c>
      <c r="G40" s="1">
        <v>2548</v>
      </c>
      <c r="H40" s="2">
        <v>2.5553081813988E-2</v>
      </c>
      <c r="I40" s="9">
        <v>9.8099986524727099E-3</v>
      </c>
    </row>
    <row r="41" spans="1:9" x14ac:dyDescent="0.35">
      <c r="A41" s="8">
        <v>45330</v>
      </c>
      <c r="B41" t="s">
        <v>123</v>
      </c>
      <c r="C41" t="s">
        <v>10</v>
      </c>
      <c r="D41" s="1">
        <v>778446</v>
      </c>
      <c r="E41" s="1">
        <v>251848</v>
      </c>
      <c r="F41" s="2">
        <v>0.323526615847471</v>
      </c>
      <c r="G41" s="1">
        <v>3052</v>
      </c>
      <c r="H41" s="2">
        <v>1.21184206346685E-2</v>
      </c>
      <c r="I41" s="9">
        <v>3.9206316173504598E-3</v>
      </c>
    </row>
    <row r="42" spans="1:9" x14ac:dyDescent="0.35">
      <c r="A42" s="8">
        <v>45330</v>
      </c>
      <c r="B42" t="s">
        <v>124</v>
      </c>
      <c r="C42" t="s">
        <v>10</v>
      </c>
      <c r="D42" s="1">
        <v>81309</v>
      </c>
      <c r="E42" s="1">
        <v>32670</v>
      </c>
      <c r="F42" s="2">
        <v>0.40180053868575399</v>
      </c>
      <c r="G42" s="1">
        <v>438</v>
      </c>
      <c r="H42" s="2">
        <v>1.3406795224977E-2</v>
      </c>
      <c r="I42" s="9">
        <v>5.3868575434453704E-3</v>
      </c>
    </row>
    <row r="43" spans="1:9" x14ac:dyDescent="0.35">
      <c r="A43" s="8">
        <v>45330</v>
      </c>
      <c r="B43" t="s">
        <v>124</v>
      </c>
      <c r="C43" t="s">
        <v>11</v>
      </c>
      <c r="D43" s="1">
        <v>3185</v>
      </c>
      <c r="E43" s="1">
        <v>1189</v>
      </c>
      <c r="F43" s="2">
        <v>0.37331240188383003</v>
      </c>
      <c r="G43" s="1">
        <v>28</v>
      </c>
      <c r="H43" s="2">
        <v>2.3549201009251501E-2</v>
      </c>
      <c r="I43" s="9">
        <v>8.7912087912087895E-3</v>
      </c>
    </row>
    <row r="44" spans="1:9" x14ac:dyDescent="0.35">
      <c r="A44" s="8">
        <v>45330</v>
      </c>
      <c r="B44" t="s">
        <v>125</v>
      </c>
      <c r="C44" t="s">
        <v>126</v>
      </c>
      <c r="D44" s="1">
        <v>190561</v>
      </c>
      <c r="E44" s="1">
        <v>77154</v>
      </c>
      <c r="F44" s="3">
        <v>0.40620000000000001</v>
      </c>
      <c r="G44" s="1">
        <v>2581</v>
      </c>
      <c r="H44" s="3">
        <v>3.3500000000000002E-2</v>
      </c>
      <c r="I44" s="11">
        <v>1.3599999999999999E-2</v>
      </c>
    </row>
    <row r="45" spans="1:9" x14ac:dyDescent="0.35">
      <c r="A45" s="8">
        <v>45330</v>
      </c>
      <c r="B45" t="s">
        <v>125</v>
      </c>
      <c r="C45" t="s">
        <v>127</v>
      </c>
      <c r="D45" s="1">
        <v>9864</v>
      </c>
      <c r="E45" s="1">
        <v>3801</v>
      </c>
      <c r="F45" s="3">
        <v>0.38650000000000001</v>
      </c>
      <c r="G45">
        <v>268</v>
      </c>
      <c r="H45" s="3">
        <v>7.0499999999999993E-2</v>
      </c>
      <c r="I45" s="11">
        <v>2.7300000000000001E-2</v>
      </c>
    </row>
    <row r="46" spans="1:9" x14ac:dyDescent="0.35">
      <c r="A46" s="8">
        <v>45330</v>
      </c>
      <c r="B46" t="s">
        <v>125</v>
      </c>
      <c r="C46" t="s">
        <v>128</v>
      </c>
      <c r="D46" s="1">
        <v>190236</v>
      </c>
      <c r="E46" s="1">
        <v>76731</v>
      </c>
      <c r="F46" s="3">
        <v>0.40489999999999998</v>
      </c>
      <c r="G46" s="1">
        <v>2621</v>
      </c>
      <c r="H46" s="3">
        <v>3.4200000000000001E-2</v>
      </c>
      <c r="I46" s="11">
        <v>1.38E-2</v>
      </c>
    </row>
    <row r="47" spans="1:9" x14ac:dyDescent="0.35">
      <c r="A47" s="8">
        <v>45330</v>
      </c>
      <c r="B47" t="s">
        <v>125</v>
      </c>
      <c r="C47" t="s">
        <v>129</v>
      </c>
      <c r="D47" s="1">
        <v>9856</v>
      </c>
      <c r="E47" s="1">
        <v>3769</v>
      </c>
      <c r="F47" s="3">
        <v>0.38340000000000002</v>
      </c>
      <c r="G47">
        <v>245</v>
      </c>
      <c r="H47" s="3">
        <v>6.5000000000000002E-2</v>
      </c>
      <c r="I47" s="11">
        <v>2.4899999999999999E-2</v>
      </c>
    </row>
    <row r="48" spans="1:9" ht="15" thickBot="1" x14ac:dyDescent="0.4">
      <c r="A48" s="12" t="s">
        <v>35</v>
      </c>
      <c r="B48" s="4"/>
      <c r="C48" s="4"/>
      <c r="D48" s="13">
        <f>SUM(D37:D47)</f>
        <v>1842659</v>
      </c>
      <c r="E48" s="13">
        <f>SUM(E37:E47)</f>
        <v>677150</v>
      </c>
      <c r="F48" s="14">
        <f>AVERAGE(F37:F47)</f>
        <v>0.397659600500397</v>
      </c>
      <c r="G48" s="13">
        <f>SUM(G37:G47)</f>
        <v>16021</v>
      </c>
      <c r="H48" s="14">
        <f>AVERAGE(H37:H47)</f>
        <v>3.9609182788923697E-2</v>
      </c>
      <c r="I48" s="15">
        <f>AVERAGE(I37:I47)</f>
        <v>1.6203533354546287E-2</v>
      </c>
    </row>
    <row r="49" spans="1:9" ht="3" customHeight="1" thickBot="1" x14ac:dyDescent="0.4">
      <c r="A49" s="139"/>
      <c r="B49" s="138"/>
      <c r="C49" s="138"/>
      <c r="D49" s="138"/>
      <c r="E49" s="138"/>
      <c r="F49" s="138"/>
      <c r="G49" s="138"/>
      <c r="H49" s="138"/>
      <c r="I49" s="140"/>
    </row>
    <row r="50" spans="1:9" x14ac:dyDescent="0.35">
      <c r="A50" s="16" t="s">
        <v>38</v>
      </c>
      <c r="B50" s="17"/>
      <c r="C50" s="17"/>
      <c r="D50" s="17"/>
      <c r="E50" s="17"/>
      <c r="F50" s="17"/>
      <c r="G50" s="17"/>
      <c r="H50" s="17"/>
      <c r="I50" s="18"/>
    </row>
    <row r="51" spans="1:9" x14ac:dyDescent="0.35">
      <c r="A51" s="8">
        <v>45330</v>
      </c>
      <c r="B51" t="s">
        <v>116</v>
      </c>
      <c r="C51" t="s">
        <v>117</v>
      </c>
      <c r="D51" s="1">
        <v>307618</v>
      </c>
      <c r="E51" s="1">
        <v>120846</v>
      </c>
      <c r="F51" s="3">
        <v>0.39279999999999998</v>
      </c>
      <c r="G51" s="1">
        <v>1599</v>
      </c>
      <c r="H51" s="3">
        <v>1.32E-2</v>
      </c>
      <c r="I51" s="11">
        <v>5.1999999999999998E-3</v>
      </c>
    </row>
    <row r="52" spans="1:9" x14ac:dyDescent="0.35">
      <c r="A52" s="8">
        <v>45330</v>
      </c>
      <c r="B52" t="s">
        <v>118</v>
      </c>
      <c r="C52" t="s">
        <v>119</v>
      </c>
      <c r="D52">
        <v>854</v>
      </c>
      <c r="E52">
        <v>374</v>
      </c>
      <c r="F52" s="3">
        <v>0.43790000000000001</v>
      </c>
      <c r="G52">
        <v>4</v>
      </c>
      <c r="H52" s="3">
        <v>1.0699999999999999E-2</v>
      </c>
      <c r="I52" s="11">
        <v>4.7000000000000002E-3</v>
      </c>
    </row>
    <row r="53" spans="1:9" x14ac:dyDescent="0.35">
      <c r="A53" s="8">
        <v>45330</v>
      </c>
      <c r="B53" t="s">
        <v>120</v>
      </c>
      <c r="C53" t="s">
        <v>117</v>
      </c>
      <c r="D53" s="1">
        <v>43322</v>
      </c>
      <c r="E53" s="1">
        <v>17215</v>
      </c>
      <c r="F53" s="3">
        <v>0.39739999999999998</v>
      </c>
      <c r="G53">
        <v>118</v>
      </c>
      <c r="H53" s="3">
        <v>6.8999999999999999E-3</v>
      </c>
      <c r="I53" s="11">
        <v>2.7000000000000001E-3</v>
      </c>
    </row>
    <row r="54" spans="1:9" x14ac:dyDescent="0.35">
      <c r="A54" s="8">
        <v>45330</v>
      </c>
      <c r="B54" t="s">
        <v>121</v>
      </c>
      <c r="C54" t="s">
        <v>119</v>
      </c>
      <c r="D54" s="1">
        <v>3384</v>
      </c>
      <c r="E54" s="1">
        <v>1498</v>
      </c>
      <c r="F54" s="3">
        <v>0.44269999999999998</v>
      </c>
      <c r="G54">
        <v>10</v>
      </c>
      <c r="H54" s="3">
        <v>6.7000000000000002E-3</v>
      </c>
      <c r="I54" s="11">
        <v>3.0000000000000001E-3</v>
      </c>
    </row>
    <row r="55" spans="1:9" x14ac:dyDescent="0.35">
      <c r="A55" s="8">
        <v>45330</v>
      </c>
      <c r="B55" t="s">
        <v>99</v>
      </c>
      <c r="C55" t="s">
        <v>122</v>
      </c>
      <c r="D55" s="1">
        <v>418509</v>
      </c>
      <c r="E55" s="1">
        <v>155391</v>
      </c>
      <c r="F55" s="3">
        <v>0.37130000000000002</v>
      </c>
      <c r="G55" s="1">
        <v>1046</v>
      </c>
      <c r="H55" s="3">
        <v>6.7000000000000002E-3</v>
      </c>
      <c r="I55" s="11">
        <v>2.5000000000000001E-3</v>
      </c>
    </row>
    <row r="56" spans="1:9" ht="15" thickBot="1" x14ac:dyDescent="0.4">
      <c r="A56" s="12" t="s">
        <v>35</v>
      </c>
      <c r="B56" s="4"/>
      <c r="C56" s="4"/>
      <c r="D56" s="13">
        <f>SUM(D51:D55)</f>
        <v>773687</v>
      </c>
      <c r="E56" s="13">
        <f>SUM(E51:E55)</f>
        <v>295324</v>
      </c>
      <c r="F56" s="14">
        <f>AVERAGE(F51:F55)</f>
        <v>0.40842000000000001</v>
      </c>
      <c r="G56" s="13">
        <f>SUM(G51:G55)</f>
        <v>2777</v>
      </c>
      <c r="H56" s="14">
        <f>AVERAGE(H51:H55)</f>
        <v>8.8399999999999989E-3</v>
      </c>
      <c r="I56" s="15">
        <f>AVERAGE(I51:I55)</f>
        <v>3.6199999999999995E-3</v>
      </c>
    </row>
  </sheetData>
  <mergeCells count="3">
    <mergeCell ref="A25:I25"/>
    <mergeCell ref="A35:I35"/>
    <mergeCell ref="A49:I49"/>
  </mergeCells>
  <pageMargins left="0.7" right="0.7" top="0.75" bottom="0.75" header="0.3" footer="0.3"/>
  <ignoredErrors>
    <ignoredError sqref="F56:G56 F48:G48 F24:G24 F34:G34" formula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4EFE-5ABB-4A37-BCCC-2354CD2108AF}">
  <dimension ref="A1:I70"/>
  <sheetViews>
    <sheetView workbookViewId="0">
      <selection activeCell="G70" sqref="G70"/>
    </sheetView>
  </sheetViews>
  <sheetFormatPr defaultRowHeight="14.5" x14ac:dyDescent="0.35"/>
  <cols>
    <col min="1" max="1" width="11.81640625" customWidth="1"/>
    <col min="2" max="2" width="83.453125" bestFit="1" customWidth="1"/>
    <col min="3" max="3" width="33.179687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45331</v>
      </c>
      <c r="B2" t="s">
        <v>130</v>
      </c>
      <c r="C2" t="s">
        <v>10</v>
      </c>
      <c r="D2" s="1">
        <v>3878553</v>
      </c>
      <c r="E2" s="1">
        <v>1435119</v>
      </c>
      <c r="F2" s="2">
        <v>0.37001402327104999</v>
      </c>
      <c r="G2" s="1">
        <v>27153</v>
      </c>
      <c r="H2" s="2">
        <v>1.89203822122068E-2</v>
      </c>
      <c r="I2" s="2">
        <v>7.0008067441646397E-3</v>
      </c>
    </row>
    <row r="3" spans="1:9" x14ac:dyDescent="0.35">
      <c r="A3" s="19">
        <v>45331</v>
      </c>
      <c r="B3" t="s">
        <v>130</v>
      </c>
      <c r="C3" t="s">
        <v>11</v>
      </c>
      <c r="D3" s="1">
        <v>229929</v>
      </c>
      <c r="E3" s="1">
        <v>73753</v>
      </c>
      <c r="F3" s="2">
        <v>0.32076423591630498</v>
      </c>
      <c r="G3" s="1">
        <v>1794</v>
      </c>
      <c r="H3" s="2">
        <v>2.43244342603013E-2</v>
      </c>
      <c r="I3" s="2">
        <v>7.8024085696019197E-3</v>
      </c>
    </row>
    <row r="4" spans="1:9" x14ac:dyDescent="0.35">
      <c r="A4" s="19">
        <v>45331</v>
      </c>
      <c r="B4" t="s">
        <v>130</v>
      </c>
      <c r="C4" t="s">
        <v>131</v>
      </c>
      <c r="D4" s="1">
        <v>461072</v>
      </c>
      <c r="E4" s="1">
        <v>152390</v>
      </c>
      <c r="F4" s="2">
        <v>0.33051237116979598</v>
      </c>
      <c r="G4" s="1">
        <v>3776</v>
      </c>
      <c r="H4" s="2">
        <v>2.4778528774854001E-2</v>
      </c>
      <c r="I4" s="2">
        <v>8.1896102994759995E-3</v>
      </c>
    </row>
    <row r="5" spans="1:9" x14ac:dyDescent="0.35">
      <c r="A5" s="19">
        <v>45331</v>
      </c>
      <c r="B5" t="s">
        <v>130</v>
      </c>
      <c r="C5" t="s">
        <v>132</v>
      </c>
      <c r="D5" s="1">
        <v>33775</v>
      </c>
      <c r="E5" s="1">
        <v>10403</v>
      </c>
      <c r="F5" s="2">
        <v>0.30800888230939999</v>
      </c>
      <c r="G5" s="1">
        <v>318</v>
      </c>
      <c r="H5" s="2">
        <v>3.05681053542247E-2</v>
      </c>
      <c r="I5" s="2">
        <v>9.4152479644707601E-3</v>
      </c>
    </row>
    <row r="6" spans="1:9" x14ac:dyDescent="0.35">
      <c r="A6" s="19">
        <v>45331</v>
      </c>
      <c r="B6" t="s">
        <v>133</v>
      </c>
      <c r="C6" t="s">
        <v>10</v>
      </c>
      <c r="D6" s="1">
        <v>419144</v>
      </c>
      <c r="E6" s="1">
        <v>165271</v>
      </c>
      <c r="F6" s="2">
        <v>0.39430601416219702</v>
      </c>
      <c r="G6" s="1">
        <v>3063</v>
      </c>
      <c r="H6" s="2">
        <v>1.8533196991607701E-2</v>
      </c>
      <c r="I6" s="2">
        <v>7.3077510354436701E-3</v>
      </c>
    </row>
    <row r="7" spans="1:9" x14ac:dyDescent="0.35">
      <c r="A7" s="19">
        <v>45331</v>
      </c>
      <c r="B7" t="s">
        <v>134</v>
      </c>
      <c r="C7" t="s">
        <v>10</v>
      </c>
      <c r="D7" s="1">
        <v>42484</v>
      </c>
      <c r="E7" s="1">
        <v>25238</v>
      </c>
      <c r="F7" s="2">
        <v>0.59405893983617397</v>
      </c>
      <c r="G7" s="1">
        <v>116</v>
      </c>
      <c r="H7" s="2">
        <v>4.5962437594104103E-3</v>
      </c>
      <c r="I7" s="2">
        <v>2.7304396949439798E-3</v>
      </c>
    </row>
    <row r="8" spans="1:9" x14ac:dyDescent="0.35">
      <c r="A8" s="19">
        <v>45332</v>
      </c>
      <c r="B8" t="s">
        <v>135</v>
      </c>
      <c r="C8" t="s">
        <v>136</v>
      </c>
      <c r="D8" s="1">
        <v>31842</v>
      </c>
      <c r="E8" s="1">
        <v>13548</v>
      </c>
      <c r="F8" s="2">
        <v>0.42547578669681602</v>
      </c>
      <c r="G8" s="1">
        <v>437</v>
      </c>
      <c r="H8" s="2">
        <v>3.2255683495718897E-2</v>
      </c>
      <c r="I8" s="2">
        <v>1.37240123107845E-2</v>
      </c>
    </row>
    <row r="9" spans="1:9" x14ac:dyDescent="0.35">
      <c r="A9" s="19">
        <v>45335</v>
      </c>
      <c r="B9" t="s">
        <v>137</v>
      </c>
      <c r="C9" t="s">
        <v>10</v>
      </c>
      <c r="D9" s="1">
        <v>1411510</v>
      </c>
      <c r="E9" s="1">
        <v>557630</v>
      </c>
      <c r="F9" s="2">
        <v>0.39505919192921102</v>
      </c>
      <c r="G9" s="1">
        <v>16662</v>
      </c>
      <c r="H9" s="2">
        <v>2.9880027975539299E-2</v>
      </c>
      <c r="I9" s="2">
        <v>1.18043797068388E-2</v>
      </c>
    </row>
    <row r="10" spans="1:9" x14ac:dyDescent="0.35">
      <c r="A10" s="19">
        <v>45335</v>
      </c>
      <c r="B10" t="s">
        <v>137</v>
      </c>
      <c r="C10" t="s">
        <v>11</v>
      </c>
      <c r="D10" s="1">
        <v>101477</v>
      </c>
      <c r="E10" s="1">
        <v>34498</v>
      </c>
      <c r="F10" s="2">
        <v>0.33995880839993298</v>
      </c>
      <c r="G10" s="1">
        <v>1490</v>
      </c>
      <c r="H10" s="2">
        <v>4.31909096179489E-2</v>
      </c>
      <c r="I10" s="2">
        <v>1.4683130167427101E-2</v>
      </c>
    </row>
    <row r="11" spans="1:9" x14ac:dyDescent="0.35">
      <c r="A11" s="19">
        <v>45335</v>
      </c>
      <c r="B11" t="s">
        <v>138</v>
      </c>
      <c r="C11" t="s">
        <v>139</v>
      </c>
      <c r="D11" s="1">
        <v>12364</v>
      </c>
      <c r="E11" s="1">
        <v>4828</v>
      </c>
      <c r="F11" s="2">
        <v>0.39048851504367499</v>
      </c>
      <c r="G11" s="1">
        <v>533</v>
      </c>
      <c r="H11" s="2">
        <v>0.11039768019884</v>
      </c>
      <c r="I11" s="2">
        <v>4.3109026205111603E-2</v>
      </c>
    </row>
    <row r="12" spans="1:9" x14ac:dyDescent="0.35">
      <c r="A12" s="19">
        <v>45335</v>
      </c>
      <c r="B12" t="s">
        <v>138</v>
      </c>
      <c r="C12" t="s">
        <v>140</v>
      </c>
      <c r="D12" s="1">
        <v>14756</v>
      </c>
      <c r="E12" s="1">
        <v>5804</v>
      </c>
      <c r="F12" s="2">
        <v>0.39333152615885097</v>
      </c>
      <c r="G12" s="1">
        <v>709</v>
      </c>
      <c r="H12" s="2">
        <v>0.122157133011716</v>
      </c>
      <c r="I12" s="2">
        <v>4.8048251558687999E-2</v>
      </c>
    </row>
    <row r="13" spans="1:9" x14ac:dyDescent="0.35">
      <c r="A13" s="19">
        <v>45335</v>
      </c>
      <c r="B13" t="s">
        <v>138</v>
      </c>
      <c r="C13" t="s">
        <v>141</v>
      </c>
      <c r="D13" s="1">
        <v>2468</v>
      </c>
      <c r="E13" s="1">
        <v>808</v>
      </c>
      <c r="F13" s="2">
        <v>0.32739059967585099</v>
      </c>
      <c r="G13" s="1">
        <v>146</v>
      </c>
      <c r="H13" s="2">
        <v>0.18069306930693099</v>
      </c>
      <c r="I13" s="2">
        <v>5.9157212317666102E-2</v>
      </c>
    </row>
    <row r="14" spans="1:9" x14ac:dyDescent="0.35">
      <c r="A14" s="19">
        <v>45335</v>
      </c>
      <c r="B14" t="s">
        <v>138</v>
      </c>
      <c r="C14" t="s">
        <v>142</v>
      </c>
      <c r="D14" s="1">
        <v>30</v>
      </c>
      <c r="E14" s="1">
        <v>13</v>
      </c>
      <c r="F14" s="2">
        <v>0.43333333333333302</v>
      </c>
      <c r="G14" s="1">
        <v>1</v>
      </c>
      <c r="H14" s="2">
        <v>7.69230769230769E-2</v>
      </c>
      <c r="I14" s="2">
        <v>3.3333333333333298E-2</v>
      </c>
    </row>
    <row r="15" spans="1:9" x14ac:dyDescent="0.35">
      <c r="A15" s="19">
        <v>45336</v>
      </c>
      <c r="B15" t="s">
        <v>143</v>
      </c>
      <c r="C15" t="s">
        <v>136</v>
      </c>
      <c r="D15" s="1">
        <v>26712</v>
      </c>
      <c r="E15" s="1">
        <v>10871</v>
      </c>
      <c r="F15" s="2">
        <v>0.406970649895178</v>
      </c>
      <c r="G15" s="1">
        <v>226</v>
      </c>
      <c r="H15" s="2">
        <v>2.0789255818231999E-2</v>
      </c>
      <c r="I15" s="2">
        <v>8.4606169511829907E-3</v>
      </c>
    </row>
    <row r="16" spans="1:9" x14ac:dyDescent="0.35">
      <c r="A16" s="19">
        <v>45337</v>
      </c>
      <c r="B16" t="s">
        <v>116</v>
      </c>
      <c r="C16" t="s">
        <v>122</v>
      </c>
      <c r="D16" s="1">
        <v>264553</v>
      </c>
      <c r="E16" s="1">
        <v>102069</v>
      </c>
      <c r="F16" s="3">
        <v>0.38579999999999998</v>
      </c>
      <c r="G16" s="1">
        <v>1135</v>
      </c>
      <c r="H16" s="3">
        <v>1.11E-2</v>
      </c>
      <c r="I16" s="3">
        <v>4.3E-3</v>
      </c>
    </row>
    <row r="17" spans="1:9" x14ac:dyDescent="0.35">
      <c r="A17" s="19">
        <v>45337</v>
      </c>
      <c r="B17" t="s">
        <v>118</v>
      </c>
      <c r="C17" t="s">
        <v>144</v>
      </c>
      <c r="D17" s="1">
        <v>21300</v>
      </c>
      <c r="E17" s="1">
        <v>8156</v>
      </c>
      <c r="F17" s="3">
        <v>0.38290000000000002</v>
      </c>
      <c r="G17">
        <v>118</v>
      </c>
      <c r="H17" s="3">
        <v>1.4500000000000001E-2</v>
      </c>
      <c r="I17" s="3">
        <v>5.4999999999999997E-3</v>
      </c>
    </row>
    <row r="18" spans="1:9" x14ac:dyDescent="0.35">
      <c r="A18" s="19">
        <v>45337</v>
      </c>
      <c r="B18" t="s">
        <v>120</v>
      </c>
      <c r="C18" t="s">
        <v>122</v>
      </c>
      <c r="D18" s="1">
        <v>26080</v>
      </c>
      <c r="E18" s="1">
        <v>10294</v>
      </c>
      <c r="F18" s="3">
        <v>0.3947</v>
      </c>
      <c r="G18">
        <v>72</v>
      </c>
      <c r="H18" s="3">
        <v>7.0000000000000001E-3</v>
      </c>
      <c r="I18" s="3">
        <v>2.8E-3</v>
      </c>
    </row>
    <row r="19" spans="1:9" x14ac:dyDescent="0.35">
      <c r="A19" s="19">
        <v>45337</v>
      </c>
      <c r="B19" t="s">
        <v>121</v>
      </c>
      <c r="C19" t="s">
        <v>144</v>
      </c>
      <c r="D19" s="1">
        <v>2402</v>
      </c>
      <c r="E19" s="1">
        <v>1077</v>
      </c>
      <c r="F19" s="3">
        <v>0.44840000000000002</v>
      </c>
      <c r="G19">
        <v>9</v>
      </c>
      <c r="H19" s="3">
        <v>8.3999999999999995E-3</v>
      </c>
      <c r="I19" s="3">
        <v>3.7000000000000002E-3</v>
      </c>
    </row>
    <row r="20" spans="1:9" x14ac:dyDescent="0.35">
      <c r="A20" s="19">
        <v>45337</v>
      </c>
      <c r="B20" t="s">
        <v>99</v>
      </c>
      <c r="C20" t="s">
        <v>145</v>
      </c>
      <c r="D20" s="1">
        <v>415811</v>
      </c>
      <c r="E20" s="1">
        <v>156296</v>
      </c>
      <c r="F20" s="3">
        <v>0.37590000000000001</v>
      </c>
      <c r="G20" s="1">
        <v>1083</v>
      </c>
      <c r="H20" s="3">
        <v>6.8999999999999999E-3</v>
      </c>
      <c r="I20" s="3">
        <v>2.5999999999999999E-3</v>
      </c>
    </row>
    <row r="21" spans="1:9" x14ac:dyDescent="0.35">
      <c r="A21" s="19">
        <v>45337</v>
      </c>
      <c r="B21" t="s">
        <v>146</v>
      </c>
      <c r="C21" t="s">
        <v>10</v>
      </c>
      <c r="D21" s="1">
        <v>10856</v>
      </c>
      <c r="E21" s="1">
        <v>3264</v>
      </c>
      <c r="F21" s="2">
        <v>0.30066322770817999</v>
      </c>
      <c r="G21" s="1">
        <v>445</v>
      </c>
      <c r="H21" s="2">
        <v>0.13633578431372501</v>
      </c>
      <c r="I21" s="2">
        <v>4.0991156963890898E-2</v>
      </c>
    </row>
    <row r="22" spans="1:9" x14ac:dyDescent="0.35">
      <c r="A22" s="19">
        <v>45337</v>
      </c>
      <c r="B22" t="s">
        <v>147</v>
      </c>
      <c r="C22" t="s">
        <v>10</v>
      </c>
      <c r="D22" s="1">
        <v>947</v>
      </c>
      <c r="E22" s="1">
        <v>241</v>
      </c>
      <c r="F22" s="2">
        <v>0.254487856388596</v>
      </c>
      <c r="G22" s="1">
        <v>29</v>
      </c>
      <c r="H22" s="2">
        <v>0.12033195020746899</v>
      </c>
      <c r="I22" s="2">
        <v>3.0623020063358E-2</v>
      </c>
    </row>
    <row r="23" spans="1:9" x14ac:dyDescent="0.35">
      <c r="A23" s="19">
        <v>45337</v>
      </c>
      <c r="B23" t="s">
        <v>148</v>
      </c>
      <c r="C23" t="s">
        <v>74</v>
      </c>
      <c r="D23" s="1">
        <v>2881</v>
      </c>
      <c r="E23" s="1">
        <v>1252</v>
      </c>
      <c r="F23" s="2">
        <v>0.43457132939951398</v>
      </c>
      <c r="G23" s="1">
        <v>21</v>
      </c>
      <c r="H23" s="2">
        <v>1.67731629392971E-2</v>
      </c>
      <c r="I23" s="2">
        <v>7.2891357167650097E-3</v>
      </c>
    </row>
    <row r="24" spans="1:9" x14ac:dyDescent="0.35">
      <c r="A24" s="19">
        <v>45337</v>
      </c>
      <c r="B24" t="s">
        <v>148</v>
      </c>
      <c r="C24" t="s">
        <v>72</v>
      </c>
      <c r="D24" s="1">
        <v>55545</v>
      </c>
      <c r="E24" s="1">
        <v>24399</v>
      </c>
      <c r="F24" s="2">
        <v>0.43926546043748299</v>
      </c>
      <c r="G24" s="1">
        <v>626</v>
      </c>
      <c r="H24" s="2">
        <v>2.5656789212672601E-2</v>
      </c>
      <c r="I24" s="2">
        <v>1.12701413268521E-2</v>
      </c>
    </row>
    <row r="25" spans="1:9" x14ac:dyDescent="0.35">
      <c r="A25" s="19">
        <v>45337</v>
      </c>
      <c r="B25" t="s">
        <v>148</v>
      </c>
      <c r="C25" t="s">
        <v>75</v>
      </c>
      <c r="D25" s="1">
        <v>150</v>
      </c>
      <c r="E25" s="1">
        <v>82</v>
      </c>
      <c r="F25" s="2">
        <v>0.54666666666666697</v>
      </c>
      <c r="G25" s="1">
        <v>2</v>
      </c>
      <c r="H25" s="2">
        <v>2.4390243902439001E-2</v>
      </c>
      <c r="I25" s="2">
        <v>1.3333333333333299E-2</v>
      </c>
    </row>
    <row r="26" spans="1:9" x14ac:dyDescent="0.35">
      <c r="A26" s="19">
        <v>45337</v>
      </c>
      <c r="B26" t="s">
        <v>148</v>
      </c>
      <c r="C26" t="s">
        <v>73</v>
      </c>
      <c r="D26" s="1">
        <v>2725</v>
      </c>
      <c r="E26" s="1">
        <v>1206</v>
      </c>
      <c r="F26" s="2">
        <v>0.44256880733944998</v>
      </c>
      <c r="G26" s="1">
        <v>39</v>
      </c>
      <c r="H26" s="2">
        <v>3.23383084577114E-2</v>
      </c>
      <c r="I26" s="2">
        <v>1.43119266055046E-2</v>
      </c>
    </row>
    <row r="27" spans="1:9" x14ac:dyDescent="0.35">
      <c r="A27" s="19">
        <v>45337</v>
      </c>
      <c r="B27" t="s">
        <v>149</v>
      </c>
      <c r="C27" t="s">
        <v>74</v>
      </c>
      <c r="D27" s="1">
        <v>14668</v>
      </c>
      <c r="E27" s="1">
        <v>6503</v>
      </c>
      <c r="F27" s="2">
        <v>0.44334605944914102</v>
      </c>
      <c r="G27" s="1">
        <v>115</v>
      </c>
      <c r="H27" s="2">
        <v>1.7684145778871299E-2</v>
      </c>
      <c r="I27" s="2">
        <v>7.8401963457867506E-3</v>
      </c>
    </row>
    <row r="28" spans="1:9" x14ac:dyDescent="0.35">
      <c r="A28" s="19">
        <v>45337</v>
      </c>
      <c r="B28" t="s">
        <v>149</v>
      </c>
      <c r="C28" t="s">
        <v>72</v>
      </c>
      <c r="D28" s="1">
        <v>277345</v>
      </c>
      <c r="E28" s="1">
        <v>123188</v>
      </c>
      <c r="F28" s="2">
        <v>0.44416881501379102</v>
      </c>
      <c r="G28" s="1">
        <v>2010</v>
      </c>
      <c r="H28" s="2">
        <v>1.6316524336786001E-2</v>
      </c>
      <c r="I28" s="2">
        <v>7.2472912798139501E-3</v>
      </c>
    </row>
    <row r="29" spans="1:9" x14ac:dyDescent="0.35">
      <c r="A29" s="19">
        <v>45337</v>
      </c>
      <c r="B29" t="s">
        <v>149</v>
      </c>
      <c r="C29" t="s">
        <v>75</v>
      </c>
      <c r="D29" s="1">
        <v>937</v>
      </c>
      <c r="E29" s="1">
        <v>390</v>
      </c>
      <c r="F29" s="2">
        <v>0.41622198505869801</v>
      </c>
      <c r="G29" s="1">
        <v>11</v>
      </c>
      <c r="H29" s="2">
        <v>2.8205128205128199E-2</v>
      </c>
      <c r="I29" s="2">
        <v>1.17395944503735E-2</v>
      </c>
    </row>
    <row r="30" spans="1:9" x14ac:dyDescent="0.35">
      <c r="A30" s="19">
        <v>45337</v>
      </c>
      <c r="B30" t="s">
        <v>149</v>
      </c>
      <c r="C30" t="s">
        <v>73</v>
      </c>
      <c r="D30" s="1">
        <v>17508</v>
      </c>
      <c r="E30" s="1">
        <v>7589</v>
      </c>
      <c r="F30" s="2">
        <v>0.43345899017591999</v>
      </c>
      <c r="G30" s="1">
        <v>138</v>
      </c>
      <c r="H30" s="2">
        <v>1.8184213993938599E-2</v>
      </c>
      <c r="I30" s="2">
        <v>7.8821110349554507E-3</v>
      </c>
    </row>
    <row r="31" spans="1:9" ht="15" thickBot="1" x14ac:dyDescent="0.4">
      <c r="A31" s="20" t="s">
        <v>35</v>
      </c>
      <c r="D31" s="10">
        <f>SUM(D2:D30)</f>
        <v>7779824</v>
      </c>
      <c r="E31" s="10">
        <f>SUM(E2:E30)</f>
        <v>2936180</v>
      </c>
      <c r="F31" s="27">
        <f>AVERAGE(F2:F30)</f>
        <v>0.39906179570466233</v>
      </c>
      <c r="G31" s="10">
        <f>SUM(G2:G30)</f>
        <v>62277</v>
      </c>
      <c r="H31" s="27">
        <f>AVERAGE(H2:H30)</f>
        <v>4.2142206174091236E-2</v>
      </c>
      <c r="I31" s="27">
        <f>AVERAGE(I2:I30)</f>
        <v>1.5386004619991962E-2</v>
      </c>
    </row>
    <row r="32" spans="1:9" ht="15" thickBot="1" x14ac:dyDescent="0.4">
      <c r="A32" s="138"/>
      <c r="B32" s="138"/>
      <c r="C32" s="138"/>
      <c r="D32" s="138"/>
      <c r="E32" s="138"/>
      <c r="F32" s="138"/>
      <c r="G32" s="138"/>
      <c r="H32" s="138"/>
      <c r="I32" s="138"/>
    </row>
    <row r="33" spans="1:9" x14ac:dyDescent="0.35">
      <c r="A33" s="24" t="s">
        <v>0</v>
      </c>
      <c r="B33" s="25" t="s">
        <v>1</v>
      </c>
      <c r="C33" s="25" t="s">
        <v>2</v>
      </c>
      <c r="D33" s="25" t="s">
        <v>3</v>
      </c>
      <c r="E33" s="25" t="s">
        <v>4</v>
      </c>
      <c r="F33" s="25" t="s">
        <v>5</v>
      </c>
      <c r="G33" s="25" t="s">
        <v>6</v>
      </c>
      <c r="H33" s="25" t="s">
        <v>7</v>
      </c>
      <c r="I33" s="26" t="s">
        <v>8</v>
      </c>
    </row>
    <row r="34" spans="1:9" x14ac:dyDescent="0.35">
      <c r="A34" s="5" t="s">
        <v>36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8">
        <v>45331</v>
      </c>
      <c r="B35" t="s">
        <v>130</v>
      </c>
      <c r="C35" t="s">
        <v>10</v>
      </c>
      <c r="D35" s="1">
        <v>3878553</v>
      </c>
      <c r="E35" s="1">
        <v>1435119</v>
      </c>
      <c r="F35" s="2">
        <v>0.37001402327104999</v>
      </c>
      <c r="G35" s="1">
        <v>27153</v>
      </c>
      <c r="H35" s="2">
        <v>1.89203822122068E-2</v>
      </c>
      <c r="I35" s="9">
        <v>7.0008067441646397E-3</v>
      </c>
    </row>
    <row r="36" spans="1:9" x14ac:dyDescent="0.35">
      <c r="A36" s="8">
        <v>45331</v>
      </c>
      <c r="B36" t="s">
        <v>130</v>
      </c>
      <c r="C36" t="s">
        <v>11</v>
      </c>
      <c r="D36" s="1">
        <v>229929</v>
      </c>
      <c r="E36" s="1">
        <v>73753</v>
      </c>
      <c r="F36" s="2">
        <v>0.32076423591630498</v>
      </c>
      <c r="G36" s="1">
        <v>1794</v>
      </c>
      <c r="H36" s="2">
        <v>2.43244342603013E-2</v>
      </c>
      <c r="I36" s="9">
        <v>7.8024085696019197E-3</v>
      </c>
    </row>
    <row r="37" spans="1:9" x14ac:dyDescent="0.35">
      <c r="A37" s="8">
        <v>45331</v>
      </c>
      <c r="B37" t="s">
        <v>130</v>
      </c>
      <c r="C37" t="s">
        <v>131</v>
      </c>
      <c r="D37" s="1">
        <v>461072</v>
      </c>
      <c r="E37" s="1">
        <v>152390</v>
      </c>
      <c r="F37" s="2">
        <v>0.33051237116979598</v>
      </c>
      <c r="G37" s="1">
        <v>3776</v>
      </c>
      <c r="H37" s="2">
        <v>2.4778528774854001E-2</v>
      </c>
      <c r="I37" s="9">
        <v>8.1896102994759995E-3</v>
      </c>
    </row>
    <row r="38" spans="1:9" x14ac:dyDescent="0.35">
      <c r="A38" s="8">
        <v>45331</v>
      </c>
      <c r="B38" t="s">
        <v>130</v>
      </c>
      <c r="C38" t="s">
        <v>132</v>
      </c>
      <c r="D38" s="1">
        <v>33775</v>
      </c>
      <c r="E38" s="1">
        <v>10403</v>
      </c>
      <c r="F38" s="2">
        <v>0.30800888230939999</v>
      </c>
      <c r="G38" s="1">
        <v>318</v>
      </c>
      <c r="H38" s="2">
        <v>3.05681053542247E-2</v>
      </c>
      <c r="I38" s="9">
        <v>9.4152479644707601E-3</v>
      </c>
    </row>
    <row r="39" spans="1:9" x14ac:dyDescent="0.35">
      <c r="A39" s="8">
        <v>45331</v>
      </c>
      <c r="B39" t="s">
        <v>133</v>
      </c>
      <c r="C39" t="s">
        <v>10</v>
      </c>
      <c r="D39" s="1">
        <v>419144</v>
      </c>
      <c r="E39" s="1">
        <v>165271</v>
      </c>
      <c r="F39" s="2">
        <v>0.39430601416219702</v>
      </c>
      <c r="G39" s="1">
        <v>3063</v>
      </c>
      <c r="H39" s="2">
        <v>1.8533196991607701E-2</v>
      </c>
      <c r="I39" s="9">
        <v>7.3077510354436701E-3</v>
      </c>
    </row>
    <row r="40" spans="1:9" x14ac:dyDescent="0.35">
      <c r="A40" s="8">
        <v>45335</v>
      </c>
      <c r="B40" t="s">
        <v>137</v>
      </c>
      <c r="C40" t="s">
        <v>10</v>
      </c>
      <c r="D40" s="1">
        <v>1411510</v>
      </c>
      <c r="E40" s="1">
        <v>557630</v>
      </c>
      <c r="F40" s="2">
        <v>0.39505919192921102</v>
      </c>
      <c r="G40" s="1">
        <v>16662</v>
      </c>
      <c r="H40" s="2">
        <v>2.9880027975539299E-2</v>
      </c>
      <c r="I40" s="9">
        <v>1.18043797068388E-2</v>
      </c>
    </row>
    <row r="41" spans="1:9" x14ac:dyDescent="0.35">
      <c r="A41" s="8">
        <v>45335</v>
      </c>
      <c r="B41" t="s">
        <v>137</v>
      </c>
      <c r="C41" t="s">
        <v>11</v>
      </c>
      <c r="D41" s="1">
        <v>101477</v>
      </c>
      <c r="E41" s="1">
        <v>34498</v>
      </c>
      <c r="F41" s="2">
        <v>0.33995880839993298</v>
      </c>
      <c r="G41" s="1">
        <v>1490</v>
      </c>
      <c r="H41" s="2">
        <v>4.31909096179489E-2</v>
      </c>
      <c r="I41" s="9">
        <v>1.4683130167427101E-2</v>
      </c>
    </row>
    <row r="42" spans="1:9" ht="15" thickBot="1" x14ac:dyDescent="0.4">
      <c r="A42" s="12" t="s">
        <v>35</v>
      </c>
      <c r="B42" s="4"/>
      <c r="C42" s="4"/>
      <c r="D42" s="13">
        <f>SUM(D35:D41)</f>
        <v>6535460</v>
      </c>
      <c r="E42" s="13">
        <f>SUM(E35:E41)</f>
        <v>2429064</v>
      </c>
      <c r="F42" s="14">
        <f>AVERAGE(F35:F41)</f>
        <v>0.35123193245112738</v>
      </c>
      <c r="G42" s="13">
        <f>SUM(G35:G41)</f>
        <v>54256</v>
      </c>
      <c r="H42" s="14">
        <f>AVERAGE(H35:H41)</f>
        <v>2.7170797883811819E-2</v>
      </c>
      <c r="I42" s="15">
        <f>AVERAGE(I35:I41)</f>
        <v>9.4576192124889834E-3</v>
      </c>
    </row>
    <row r="43" spans="1:9" ht="3" customHeight="1" thickBot="1" x14ac:dyDescent="0.4">
      <c r="A43" s="139"/>
      <c r="B43" s="138"/>
      <c r="C43" s="138"/>
      <c r="D43" s="138"/>
      <c r="E43" s="138"/>
      <c r="F43" s="138"/>
      <c r="G43" s="138"/>
      <c r="H43" s="138"/>
      <c r="I43" s="140"/>
    </row>
    <row r="44" spans="1:9" x14ac:dyDescent="0.35">
      <c r="A44" s="16" t="s">
        <v>37</v>
      </c>
      <c r="B44" s="17"/>
      <c r="C44" s="17"/>
      <c r="D44" s="17"/>
      <c r="E44" s="17"/>
      <c r="F44" s="17"/>
      <c r="G44" s="17"/>
      <c r="H44" s="17"/>
      <c r="I44" s="18"/>
    </row>
    <row r="45" spans="1:9" x14ac:dyDescent="0.35">
      <c r="A45" s="8">
        <v>45331</v>
      </c>
      <c r="B45" t="s">
        <v>134</v>
      </c>
      <c r="C45" t="s">
        <v>10</v>
      </c>
      <c r="D45" s="1">
        <v>42484</v>
      </c>
      <c r="E45" s="1">
        <v>25238</v>
      </c>
      <c r="F45" s="2">
        <v>0.59405893983617397</v>
      </c>
      <c r="G45" s="1">
        <v>116</v>
      </c>
      <c r="H45" s="2">
        <v>4.5962437594104103E-3</v>
      </c>
      <c r="I45" s="9">
        <v>2.7304396949439798E-3</v>
      </c>
    </row>
    <row r="46" spans="1:9" x14ac:dyDescent="0.35">
      <c r="A46" s="8">
        <v>45332</v>
      </c>
      <c r="B46" t="s">
        <v>135</v>
      </c>
      <c r="C46" t="s">
        <v>136</v>
      </c>
      <c r="D46" s="1">
        <v>31842</v>
      </c>
      <c r="E46" s="1">
        <v>13548</v>
      </c>
      <c r="F46" s="2">
        <v>0.42547578669681602</v>
      </c>
      <c r="G46" s="1">
        <v>437</v>
      </c>
      <c r="H46" s="2">
        <v>3.2255683495718897E-2</v>
      </c>
      <c r="I46" s="9">
        <v>1.37240123107845E-2</v>
      </c>
    </row>
    <row r="47" spans="1:9" x14ac:dyDescent="0.35">
      <c r="A47" s="8">
        <v>45335</v>
      </c>
      <c r="B47" t="s">
        <v>138</v>
      </c>
      <c r="C47" t="s">
        <v>139</v>
      </c>
      <c r="D47" s="1">
        <v>12364</v>
      </c>
      <c r="E47" s="1">
        <v>4828</v>
      </c>
      <c r="F47" s="2">
        <v>0.39048851504367499</v>
      </c>
      <c r="G47" s="1">
        <v>533</v>
      </c>
      <c r="H47" s="2">
        <v>0.11039768019884</v>
      </c>
      <c r="I47" s="9">
        <v>4.3109026205111603E-2</v>
      </c>
    </row>
    <row r="48" spans="1:9" x14ac:dyDescent="0.35">
      <c r="A48" s="8">
        <v>45335</v>
      </c>
      <c r="B48" t="s">
        <v>138</v>
      </c>
      <c r="C48" t="s">
        <v>140</v>
      </c>
      <c r="D48" s="1">
        <v>14756</v>
      </c>
      <c r="E48" s="1">
        <v>5804</v>
      </c>
      <c r="F48" s="2">
        <v>0.39333152615885097</v>
      </c>
      <c r="G48" s="1">
        <v>709</v>
      </c>
      <c r="H48" s="2">
        <v>0.122157133011716</v>
      </c>
      <c r="I48" s="9">
        <v>4.8048251558687999E-2</v>
      </c>
    </row>
    <row r="49" spans="1:9" x14ac:dyDescent="0.35">
      <c r="A49" s="8">
        <v>45335</v>
      </c>
      <c r="B49" t="s">
        <v>138</v>
      </c>
      <c r="C49" t="s">
        <v>141</v>
      </c>
      <c r="D49" s="1">
        <v>2468</v>
      </c>
      <c r="E49" s="1">
        <v>808</v>
      </c>
      <c r="F49" s="2">
        <v>0.32739059967585099</v>
      </c>
      <c r="G49" s="1">
        <v>146</v>
      </c>
      <c r="H49" s="2">
        <v>0.18069306930693099</v>
      </c>
      <c r="I49" s="9">
        <v>5.9157212317666102E-2</v>
      </c>
    </row>
    <row r="50" spans="1:9" x14ac:dyDescent="0.35">
      <c r="A50" s="8">
        <v>45335</v>
      </c>
      <c r="B50" t="s">
        <v>138</v>
      </c>
      <c r="C50" t="s">
        <v>142</v>
      </c>
      <c r="D50" s="1">
        <v>30</v>
      </c>
      <c r="E50" s="1">
        <v>13</v>
      </c>
      <c r="F50" s="2">
        <v>0.43333333333333302</v>
      </c>
      <c r="G50" s="1">
        <v>1</v>
      </c>
      <c r="H50" s="2">
        <v>7.69230769230769E-2</v>
      </c>
      <c r="I50" s="9">
        <v>3.3333333333333298E-2</v>
      </c>
    </row>
    <row r="51" spans="1:9" x14ac:dyDescent="0.35">
      <c r="A51" s="8">
        <v>45336</v>
      </c>
      <c r="B51" t="s">
        <v>143</v>
      </c>
      <c r="C51" t="s">
        <v>136</v>
      </c>
      <c r="D51" s="1">
        <v>26712</v>
      </c>
      <c r="E51" s="1">
        <v>10871</v>
      </c>
      <c r="F51" s="2">
        <v>0.406970649895178</v>
      </c>
      <c r="G51" s="1">
        <v>226</v>
      </c>
      <c r="H51" s="2">
        <v>2.0789255818231999E-2</v>
      </c>
      <c r="I51" s="9">
        <v>8.4606169511829907E-3</v>
      </c>
    </row>
    <row r="52" spans="1:9" x14ac:dyDescent="0.35">
      <c r="A52" s="8">
        <v>45337</v>
      </c>
      <c r="B52" t="s">
        <v>146</v>
      </c>
      <c r="C52" t="s">
        <v>10</v>
      </c>
      <c r="D52" s="1">
        <v>10856</v>
      </c>
      <c r="E52" s="1">
        <v>3264</v>
      </c>
      <c r="F52" s="2">
        <v>0.30066322770817999</v>
      </c>
      <c r="G52" s="1">
        <v>445</v>
      </c>
      <c r="H52" s="2">
        <v>0.13633578431372501</v>
      </c>
      <c r="I52" s="9">
        <v>4.0991156963890898E-2</v>
      </c>
    </row>
    <row r="53" spans="1:9" x14ac:dyDescent="0.35">
      <c r="A53" s="8">
        <v>45337</v>
      </c>
      <c r="B53" t="s">
        <v>147</v>
      </c>
      <c r="C53" t="s">
        <v>10</v>
      </c>
      <c r="D53" s="1">
        <v>947</v>
      </c>
      <c r="E53" s="1">
        <v>241</v>
      </c>
      <c r="F53" s="2">
        <v>0.254487856388596</v>
      </c>
      <c r="G53" s="1">
        <v>29</v>
      </c>
      <c r="H53" s="2">
        <v>0.12033195020746899</v>
      </c>
      <c r="I53" s="9">
        <v>3.0623020063358E-2</v>
      </c>
    </row>
    <row r="54" spans="1:9" x14ac:dyDescent="0.35">
      <c r="A54" s="8">
        <v>45337</v>
      </c>
      <c r="B54" t="s">
        <v>148</v>
      </c>
      <c r="C54" t="s">
        <v>74</v>
      </c>
      <c r="D54" s="1">
        <v>2881</v>
      </c>
      <c r="E54" s="1">
        <v>1252</v>
      </c>
      <c r="F54" s="2">
        <v>0.43457132939951398</v>
      </c>
      <c r="G54" s="1">
        <v>21</v>
      </c>
      <c r="H54" s="2">
        <v>1.67731629392971E-2</v>
      </c>
      <c r="I54" s="9">
        <v>7.2891357167650097E-3</v>
      </c>
    </row>
    <row r="55" spans="1:9" x14ac:dyDescent="0.35">
      <c r="A55" s="8">
        <v>45337</v>
      </c>
      <c r="B55" t="s">
        <v>148</v>
      </c>
      <c r="C55" t="s">
        <v>72</v>
      </c>
      <c r="D55" s="1">
        <v>55545</v>
      </c>
      <c r="E55" s="1">
        <v>24399</v>
      </c>
      <c r="F55" s="2">
        <v>0.43926546043748299</v>
      </c>
      <c r="G55" s="1">
        <v>626</v>
      </c>
      <c r="H55" s="2">
        <v>2.5656789212672601E-2</v>
      </c>
      <c r="I55" s="9">
        <v>1.12701413268521E-2</v>
      </c>
    </row>
    <row r="56" spans="1:9" x14ac:dyDescent="0.35">
      <c r="A56" s="8">
        <v>45337</v>
      </c>
      <c r="B56" t="s">
        <v>148</v>
      </c>
      <c r="C56" t="s">
        <v>75</v>
      </c>
      <c r="D56" s="1">
        <v>150</v>
      </c>
      <c r="E56" s="1">
        <v>82</v>
      </c>
      <c r="F56" s="2">
        <v>0.54666666666666697</v>
      </c>
      <c r="G56" s="1">
        <v>2</v>
      </c>
      <c r="H56" s="2">
        <v>2.4390243902439001E-2</v>
      </c>
      <c r="I56" s="9">
        <v>1.3333333333333299E-2</v>
      </c>
    </row>
    <row r="57" spans="1:9" x14ac:dyDescent="0.35">
      <c r="A57" s="8">
        <v>45337</v>
      </c>
      <c r="B57" t="s">
        <v>148</v>
      </c>
      <c r="C57" t="s">
        <v>73</v>
      </c>
      <c r="D57" s="1">
        <v>2725</v>
      </c>
      <c r="E57" s="1">
        <v>1206</v>
      </c>
      <c r="F57" s="2">
        <v>0.44256880733944998</v>
      </c>
      <c r="G57" s="1">
        <v>39</v>
      </c>
      <c r="H57" s="2">
        <v>3.23383084577114E-2</v>
      </c>
      <c r="I57" s="9">
        <v>1.43119266055046E-2</v>
      </c>
    </row>
    <row r="58" spans="1:9" x14ac:dyDescent="0.35">
      <c r="A58" s="8">
        <v>45337</v>
      </c>
      <c r="B58" t="s">
        <v>149</v>
      </c>
      <c r="C58" t="s">
        <v>74</v>
      </c>
      <c r="D58" s="1">
        <v>14668</v>
      </c>
      <c r="E58" s="1">
        <v>6503</v>
      </c>
      <c r="F58" s="2">
        <v>0.44334605944914102</v>
      </c>
      <c r="G58" s="1">
        <v>115</v>
      </c>
      <c r="H58" s="2">
        <v>1.7684145778871299E-2</v>
      </c>
      <c r="I58" s="9">
        <v>7.8401963457867506E-3</v>
      </c>
    </row>
    <row r="59" spans="1:9" x14ac:dyDescent="0.35">
      <c r="A59" s="8">
        <v>45337</v>
      </c>
      <c r="B59" t="s">
        <v>149</v>
      </c>
      <c r="C59" t="s">
        <v>72</v>
      </c>
      <c r="D59" s="1">
        <v>277345</v>
      </c>
      <c r="E59" s="1">
        <v>123188</v>
      </c>
      <c r="F59" s="2">
        <v>0.44416881501379102</v>
      </c>
      <c r="G59" s="1">
        <v>2010</v>
      </c>
      <c r="H59" s="2">
        <v>1.6316524336786001E-2</v>
      </c>
      <c r="I59" s="9">
        <v>7.2472912798139501E-3</v>
      </c>
    </row>
    <row r="60" spans="1:9" x14ac:dyDescent="0.35">
      <c r="A60" s="8">
        <v>45337</v>
      </c>
      <c r="B60" t="s">
        <v>149</v>
      </c>
      <c r="C60" t="s">
        <v>75</v>
      </c>
      <c r="D60" s="1">
        <v>937</v>
      </c>
      <c r="E60" s="1">
        <v>390</v>
      </c>
      <c r="F60" s="2">
        <v>0.41622198505869801</v>
      </c>
      <c r="G60" s="1">
        <v>11</v>
      </c>
      <c r="H60" s="2">
        <v>2.8205128205128199E-2</v>
      </c>
      <c r="I60" s="9">
        <v>1.17395944503735E-2</v>
      </c>
    </row>
    <row r="61" spans="1:9" x14ac:dyDescent="0.35">
      <c r="A61" s="8">
        <v>45337</v>
      </c>
      <c r="B61" t="s">
        <v>149</v>
      </c>
      <c r="C61" t="s">
        <v>73</v>
      </c>
      <c r="D61" s="1">
        <v>17508</v>
      </c>
      <c r="E61" s="1">
        <v>7589</v>
      </c>
      <c r="F61" s="2">
        <v>0.43345899017591999</v>
      </c>
      <c r="G61" s="1">
        <v>138</v>
      </c>
      <c r="H61" s="2">
        <v>1.8184213993938599E-2</v>
      </c>
      <c r="I61" s="9">
        <v>7.8821110349554507E-3</v>
      </c>
    </row>
    <row r="62" spans="1:9" ht="15" thickBot="1" x14ac:dyDescent="0.4">
      <c r="A62" s="12" t="s">
        <v>35</v>
      </c>
      <c r="B62" s="4"/>
      <c r="C62" s="4"/>
      <c r="D62" s="13">
        <f>SUM(D45:D61)</f>
        <v>514218</v>
      </c>
      <c r="E62" s="13">
        <f>SUM(E45:E61)</f>
        <v>229224</v>
      </c>
      <c r="F62" s="14">
        <f>AVERAGE(F45:F61)</f>
        <v>0.41920403225160685</v>
      </c>
      <c r="G62" s="13">
        <f>SUM(G45:G61)</f>
        <v>5604</v>
      </c>
      <c r="H62" s="14">
        <f>AVERAGE(H45:H61)</f>
        <v>5.7884023168350784E-2</v>
      </c>
      <c r="I62" s="15">
        <f>AVERAGE(I45:I61)</f>
        <v>2.1240635264255531E-2</v>
      </c>
    </row>
    <row r="63" spans="1:9" ht="3" customHeight="1" thickBot="1" x14ac:dyDescent="0.4">
      <c r="A63" s="139"/>
      <c r="B63" s="138"/>
      <c r="C63" s="138"/>
      <c r="D63" s="138"/>
      <c r="E63" s="138"/>
      <c r="F63" s="138"/>
      <c r="G63" s="138"/>
      <c r="H63" s="138"/>
      <c r="I63" s="140"/>
    </row>
    <row r="64" spans="1:9" x14ac:dyDescent="0.35">
      <c r="A64" s="16" t="s">
        <v>38</v>
      </c>
      <c r="B64" s="17"/>
      <c r="C64" s="17"/>
      <c r="D64" s="17"/>
      <c r="E64" s="17"/>
      <c r="F64" s="17"/>
      <c r="G64" s="17"/>
      <c r="H64" s="17"/>
      <c r="I64" s="18"/>
    </row>
    <row r="65" spans="1:9" x14ac:dyDescent="0.35">
      <c r="A65" s="8">
        <v>45337</v>
      </c>
      <c r="B65" t="s">
        <v>116</v>
      </c>
      <c r="C65" t="s">
        <v>122</v>
      </c>
      <c r="D65" s="1">
        <v>264553</v>
      </c>
      <c r="E65" s="1">
        <v>102069</v>
      </c>
      <c r="F65" s="3">
        <v>0.38579999999999998</v>
      </c>
      <c r="G65" s="1">
        <v>1135</v>
      </c>
      <c r="H65" s="3">
        <v>1.11E-2</v>
      </c>
      <c r="I65" s="11">
        <v>4.3E-3</v>
      </c>
    </row>
    <row r="66" spans="1:9" x14ac:dyDescent="0.35">
      <c r="A66" s="8">
        <v>45337</v>
      </c>
      <c r="B66" t="s">
        <v>118</v>
      </c>
      <c r="C66" t="s">
        <v>144</v>
      </c>
      <c r="D66" s="1">
        <v>21300</v>
      </c>
      <c r="E66" s="1">
        <v>8156</v>
      </c>
      <c r="F66" s="3">
        <v>0.38290000000000002</v>
      </c>
      <c r="G66">
        <v>118</v>
      </c>
      <c r="H66" s="3">
        <v>1.4500000000000001E-2</v>
      </c>
      <c r="I66" s="11">
        <v>5.4999999999999997E-3</v>
      </c>
    </row>
    <row r="67" spans="1:9" x14ac:dyDescent="0.35">
      <c r="A67" s="8">
        <v>45337</v>
      </c>
      <c r="B67" t="s">
        <v>120</v>
      </c>
      <c r="C67" t="s">
        <v>122</v>
      </c>
      <c r="D67" s="1">
        <v>26080</v>
      </c>
      <c r="E67" s="1">
        <v>10294</v>
      </c>
      <c r="F67" s="3">
        <v>0.3947</v>
      </c>
      <c r="G67">
        <v>72</v>
      </c>
      <c r="H67" s="3">
        <v>7.0000000000000001E-3</v>
      </c>
      <c r="I67" s="11">
        <v>2.8E-3</v>
      </c>
    </row>
    <row r="68" spans="1:9" x14ac:dyDescent="0.35">
      <c r="A68" s="8">
        <v>45337</v>
      </c>
      <c r="B68" t="s">
        <v>121</v>
      </c>
      <c r="C68" t="s">
        <v>144</v>
      </c>
      <c r="D68" s="1">
        <v>2402</v>
      </c>
      <c r="E68" s="1">
        <v>1077</v>
      </c>
      <c r="F68" s="3">
        <v>0.44840000000000002</v>
      </c>
      <c r="G68">
        <v>9</v>
      </c>
      <c r="H68" s="3">
        <v>8.3999999999999995E-3</v>
      </c>
      <c r="I68" s="11">
        <v>3.7000000000000002E-3</v>
      </c>
    </row>
    <row r="69" spans="1:9" x14ac:dyDescent="0.35">
      <c r="A69" s="8">
        <v>45337</v>
      </c>
      <c r="B69" t="s">
        <v>99</v>
      </c>
      <c r="C69" t="s">
        <v>145</v>
      </c>
      <c r="D69" s="1">
        <v>415811</v>
      </c>
      <c r="E69" s="1">
        <v>156296</v>
      </c>
      <c r="F69" s="3">
        <v>0.37590000000000001</v>
      </c>
      <c r="G69" s="1">
        <v>1083</v>
      </c>
      <c r="H69" s="3">
        <v>6.8999999999999999E-3</v>
      </c>
      <c r="I69" s="11">
        <v>2.5999999999999999E-3</v>
      </c>
    </row>
    <row r="70" spans="1:9" ht="15" thickBot="1" x14ac:dyDescent="0.4">
      <c r="A70" s="12" t="s">
        <v>35</v>
      </c>
      <c r="B70" s="4"/>
      <c r="C70" s="4"/>
      <c r="D70" s="13">
        <f>SUM(D65:D69)</f>
        <v>730146</v>
      </c>
      <c r="E70" s="13">
        <f>SUM(E65:E69)</f>
        <v>277892</v>
      </c>
      <c r="F70" s="14">
        <f>AVERAGE(F65:F69)</f>
        <v>0.39754000000000006</v>
      </c>
      <c r="G70" s="13">
        <f>SUM(G65:G69)</f>
        <v>2417</v>
      </c>
      <c r="H70" s="14">
        <f>AVERAGE(H65:H69)</f>
        <v>9.58E-3</v>
      </c>
      <c r="I70" s="15">
        <f>AVERAGE(I65:I69)</f>
        <v>3.7799999999999999E-3</v>
      </c>
    </row>
  </sheetData>
  <mergeCells count="3">
    <mergeCell ref="A32:I32"/>
    <mergeCell ref="A43:I43"/>
    <mergeCell ref="A63:I63"/>
  </mergeCells>
  <pageMargins left="0.7" right="0.7" top="0.75" bottom="0.75" header="0.3" footer="0.3"/>
  <ignoredErrors>
    <ignoredError sqref="F42:G42 F62:G62 F70:G70 F31:G31" formula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800D-8665-4547-BF5E-BCC0402D4387}">
  <dimension ref="A1:I84"/>
  <sheetViews>
    <sheetView zoomScale="90" zoomScaleNormal="90" workbookViewId="0">
      <selection activeCell="E28" sqref="E28"/>
    </sheetView>
  </sheetViews>
  <sheetFormatPr defaultRowHeight="14.5" x14ac:dyDescent="0.35"/>
  <cols>
    <col min="1" max="1" width="11.81640625" customWidth="1"/>
    <col min="2" max="2" width="83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45338</v>
      </c>
      <c r="B2" t="s">
        <v>150</v>
      </c>
      <c r="C2" t="s">
        <v>10</v>
      </c>
      <c r="D2" s="1">
        <v>3870609</v>
      </c>
      <c r="E2" s="1">
        <v>1424097</v>
      </c>
      <c r="F2" s="2">
        <v>0.36792582252560302</v>
      </c>
      <c r="G2" s="1">
        <v>21698</v>
      </c>
      <c r="H2" s="2">
        <v>1.5236321683143801E-2</v>
      </c>
      <c r="I2" s="2">
        <v>5.6058361875353504E-3</v>
      </c>
    </row>
    <row r="3" spans="1:9" x14ac:dyDescent="0.35">
      <c r="A3" s="19">
        <v>45338</v>
      </c>
      <c r="B3" t="s">
        <v>150</v>
      </c>
      <c r="C3" t="s">
        <v>131</v>
      </c>
      <c r="D3" s="1">
        <v>459117</v>
      </c>
      <c r="E3" s="1">
        <v>151831</v>
      </c>
      <c r="F3" s="2">
        <v>0.33070219573659898</v>
      </c>
      <c r="G3" s="1">
        <v>3587</v>
      </c>
      <c r="H3" s="2">
        <v>2.3624951426256799E-2</v>
      </c>
      <c r="I3" s="2">
        <v>7.8128233108336193E-3</v>
      </c>
    </row>
    <row r="4" spans="1:9" x14ac:dyDescent="0.35">
      <c r="A4" s="19">
        <v>45338</v>
      </c>
      <c r="B4" t="s">
        <v>150</v>
      </c>
      <c r="C4" t="s">
        <v>11</v>
      </c>
      <c r="D4" s="1">
        <v>228462</v>
      </c>
      <c r="E4" s="1">
        <v>70224</v>
      </c>
      <c r="F4" s="2">
        <v>0.30737715681382499</v>
      </c>
      <c r="G4" s="1">
        <v>1582</v>
      </c>
      <c r="H4" s="2">
        <v>2.25279106858054E-2</v>
      </c>
      <c r="I4" s="2">
        <v>6.92456513555865E-3</v>
      </c>
    </row>
    <row r="5" spans="1:9" x14ac:dyDescent="0.35">
      <c r="A5" s="19">
        <v>45338</v>
      </c>
      <c r="B5" t="s">
        <v>150</v>
      </c>
      <c r="C5" t="s">
        <v>132</v>
      </c>
      <c r="D5" s="1">
        <v>34714</v>
      </c>
      <c r="E5" s="1">
        <v>10746</v>
      </c>
      <c r="F5" s="2">
        <v>0.30955810335887501</v>
      </c>
      <c r="G5" s="1">
        <v>330</v>
      </c>
      <c r="H5" s="2">
        <v>3.07091010608599E-2</v>
      </c>
      <c r="I5" s="2">
        <v>9.5062510802558006E-3</v>
      </c>
    </row>
    <row r="6" spans="1:9" x14ac:dyDescent="0.35">
      <c r="A6" s="19">
        <v>45338</v>
      </c>
      <c r="B6" t="s">
        <v>151</v>
      </c>
      <c r="C6" t="s">
        <v>10</v>
      </c>
      <c r="D6" s="1">
        <v>769297</v>
      </c>
      <c r="E6" s="1">
        <v>306635</v>
      </c>
      <c r="F6" s="2">
        <v>0.39859118129929</v>
      </c>
      <c r="G6" s="1">
        <v>4129</v>
      </c>
      <c r="H6" s="2">
        <v>1.34655208961795E-2</v>
      </c>
      <c r="I6" s="2">
        <v>5.3672378808184602E-3</v>
      </c>
    </row>
    <row r="7" spans="1:9" x14ac:dyDescent="0.35">
      <c r="A7" s="19">
        <v>45338</v>
      </c>
      <c r="B7" t="s">
        <v>152</v>
      </c>
      <c r="C7" t="s">
        <v>10</v>
      </c>
      <c r="D7" s="1">
        <v>259006</v>
      </c>
      <c r="E7" s="1">
        <v>103529</v>
      </c>
      <c r="F7" s="2">
        <v>0.39971660888164801</v>
      </c>
      <c r="G7" s="1">
        <v>1877</v>
      </c>
      <c r="H7" s="2">
        <v>1.8130185745056902E-2</v>
      </c>
      <c r="I7" s="2">
        <v>7.24693636440855E-3</v>
      </c>
    </row>
    <row r="8" spans="1:9" x14ac:dyDescent="0.35">
      <c r="A8" s="19">
        <v>45338</v>
      </c>
      <c r="B8" t="s">
        <v>153</v>
      </c>
      <c r="C8" t="s">
        <v>10</v>
      </c>
      <c r="D8" s="1">
        <v>418396</v>
      </c>
      <c r="E8" s="1">
        <v>163405</v>
      </c>
      <c r="F8" s="2">
        <v>0.39055105689346897</v>
      </c>
      <c r="G8" s="1">
        <v>3938</v>
      </c>
      <c r="H8" s="2">
        <v>2.4099629754291502E-2</v>
      </c>
      <c r="I8" s="2">
        <v>9.4121358712798402E-3</v>
      </c>
    </row>
    <row r="9" spans="1:9" x14ac:dyDescent="0.35">
      <c r="A9" s="19">
        <v>45338</v>
      </c>
      <c r="B9" t="s">
        <v>153</v>
      </c>
      <c r="C9" t="s">
        <v>11</v>
      </c>
      <c r="D9" s="1">
        <v>22450</v>
      </c>
      <c r="E9" s="1">
        <v>8052</v>
      </c>
      <c r="F9" s="2">
        <v>0.35866369710467699</v>
      </c>
      <c r="G9" s="1">
        <v>312</v>
      </c>
      <c r="H9" s="2">
        <v>3.8748137108792803E-2</v>
      </c>
      <c r="I9" s="2">
        <v>1.3897550111358599E-2</v>
      </c>
    </row>
    <row r="10" spans="1:9" x14ac:dyDescent="0.35">
      <c r="A10" s="19">
        <v>45339</v>
      </c>
      <c r="B10" t="s">
        <v>154</v>
      </c>
      <c r="C10" t="s">
        <v>10</v>
      </c>
      <c r="D10" s="1">
        <v>1297153</v>
      </c>
      <c r="E10" s="1">
        <v>496415</v>
      </c>
      <c r="F10" s="2">
        <v>0.38269579610115401</v>
      </c>
      <c r="G10" s="1">
        <v>12738</v>
      </c>
      <c r="H10" s="2">
        <v>2.56599820714523E-2</v>
      </c>
      <c r="I10" s="2">
        <v>9.8199672667757792E-3</v>
      </c>
    </row>
    <row r="11" spans="1:9" x14ac:dyDescent="0.35">
      <c r="A11" s="19">
        <v>45339</v>
      </c>
      <c r="B11" t="s">
        <v>155</v>
      </c>
      <c r="C11" t="s">
        <v>10</v>
      </c>
      <c r="D11" s="1">
        <v>61817</v>
      </c>
      <c r="E11" s="1">
        <v>23651</v>
      </c>
      <c r="F11" s="2">
        <v>0.38259702023715197</v>
      </c>
      <c r="G11" s="1">
        <v>371</v>
      </c>
      <c r="H11" s="2">
        <v>1.56864403196482E-2</v>
      </c>
      <c r="I11" s="2">
        <v>6.0015853244253202E-3</v>
      </c>
    </row>
    <row r="12" spans="1:9" x14ac:dyDescent="0.35">
      <c r="A12" s="19">
        <v>45340</v>
      </c>
      <c r="B12" t="s">
        <v>156</v>
      </c>
      <c r="C12" t="s">
        <v>10</v>
      </c>
      <c r="D12" s="1">
        <v>5558072</v>
      </c>
      <c r="E12" s="1">
        <v>2135820</v>
      </c>
      <c r="F12" s="2">
        <v>0.38427353945756698</v>
      </c>
      <c r="G12" s="1">
        <v>108746</v>
      </c>
      <c r="H12" s="2">
        <v>5.09153393076196E-2</v>
      </c>
      <c r="I12" s="2">
        <v>1.9565417648422002E-2</v>
      </c>
    </row>
    <row r="13" spans="1:9" x14ac:dyDescent="0.35">
      <c r="A13" s="19">
        <v>45340</v>
      </c>
      <c r="B13" t="s">
        <v>156</v>
      </c>
      <c r="C13" t="s">
        <v>11</v>
      </c>
      <c r="D13" s="1">
        <v>343152</v>
      </c>
      <c r="E13" s="1">
        <v>122746</v>
      </c>
      <c r="F13" s="2">
        <v>0.35770154333939502</v>
      </c>
      <c r="G13" s="1">
        <v>10009</v>
      </c>
      <c r="H13" s="2">
        <v>8.1542372052857096E-2</v>
      </c>
      <c r="I13" s="2">
        <v>2.9167832330862099E-2</v>
      </c>
    </row>
    <row r="14" spans="1:9" x14ac:dyDescent="0.35">
      <c r="A14" s="19">
        <v>45342</v>
      </c>
      <c r="B14" t="s">
        <v>157</v>
      </c>
      <c r="C14" t="s">
        <v>10</v>
      </c>
      <c r="D14" s="1">
        <v>1383080</v>
      </c>
      <c r="E14" s="1">
        <v>527138</v>
      </c>
      <c r="F14" s="2">
        <v>0.38113341238395498</v>
      </c>
      <c r="G14" s="1">
        <v>13333</v>
      </c>
      <c r="H14" s="2">
        <v>2.5293186983294701E-2</v>
      </c>
      <c r="I14" s="2">
        <v>9.6400786650085307E-3</v>
      </c>
    </row>
    <row r="15" spans="1:9" x14ac:dyDescent="0.35">
      <c r="A15" s="19">
        <v>45342</v>
      </c>
      <c r="B15" t="s">
        <v>157</v>
      </c>
      <c r="C15" t="s">
        <v>11</v>
      </c>
      <c r="D15" s="1">
        <v>99340</v>
      </c>
      <c r="E15" s="1">
        <v>40830</v>
      </c>
      <c r="F15" s="2">
        <v>0.41101268371250199</v>
      </c>
      <c r="G15" s="1">
        <v>1104</v>
      </c>
      <c r="H15" s="2">
        <v>2.7038941954445301E-2</v>
      </c>
      <c r="I15" s="2">
        <v>1.1113348097443101E-2</v>
      </c>
    </row>
    <row r="16" spans="1:9" x14ac:dyDescent="0.35">
      <c r="A16" s="19">
        <v>45342</v>
      </c>
      <c r="B16" t="s">
        <v>158</v>
      </c>
      <c r="C16" t="s">
        <v>10</v>
      </c>
      <c r="D16" s="1">
        <v>134335</v>
      </c>
      <c r="E16" s="1">
        <v>54201</v>
      </c>
      <c r="F16" s="2">
        <v>0.403476383667696</v>
      </c>
      <c r="G16" s="1">
        <v>1533</v>
      </c>
      <c r="H16" s="2">
        <v>2.8283611003486999E-2</v>
      </c>
      <c r="I16" s="2">
        <v>1.1411769084750801E-2</v>
      </c>
    </row>
    <row r="17" spans="1:9" x14ac:dyDescent="0.35">
      <c r="A17" s="19">
        <v>45343</v>
      </c>
      <c r="B17" t="s">
        <v>159</v>
      </c>
      <c r="C17" t="s">
        <v>10</v>
      </c>
      <c r="D17" s="1">
        <v>3147505</v>
      </c>
      <c r="E17" s="1">
        <v>1311161</v>
      </c>
      <c r="F17" s="2">
        <v>0.41657153840899402</v>
      </c>
      <c r="G17" s="1">
        <v>37616</v>
      </c>
      <c r="H17" s="2">
        <v>2.86890778478005E-2</v>
      </c>
      <c r="I17" s="2">
        <v>1.19510532945937E-2</v>
      </c>
    </row>
    <row r="18" spans="1:9" x14ac:dyDescent="0.35">
      <c r="A18" s="19">
        <v>45343</v>
      </c>
      <c r="B18" t="s">
        <v>160</v>
      </c>
      <c r="C18" t="s">
        <v>10</v>
      </c>
      <c r="D18" s="1">
        <v>204143</v>
      </c>
      <c r="E18" s="1">
        <v>86468</v>
      </c>
      <c r="F18" s="2">
        <v>0.42356583375378998</v>
      </c>
      <c r="G18" s="1">
        <v>1544</v>
      </c>
      <c r="H18" s="2">
        <v>1.7856316787713399E-2</v>
      </c>
      <c r="I18" s="2">
        <v>7.5633257079596198E-3</v>
      </c>
    </row>
    <row r="19" spans="1:9" x14ac:dyDescent="0.35">
      <c r="A19" s="19">
        <v>45343</v>
      </c>
      <c r="B19" t="s">
        <v>160</v>
      </c>
      <c r="C19" t="s">
        <v>11</v>
      </c>
      <c r="D19" s="1">
        <v>10030</v>
      </c>
      <c r="E19" s="1">
        <v>4045</v>
      </c>
      <c r="F19" s="2">
        <v>0.403290129611167</v>
      </c>
      <c r="G19" s="1">
        <v>89</v>
      </c>
      <c r="H19" s="2">
        <v>2.2002472187886299E-2</v>
      </c>
      <c r="I19" s="2">
        <v>8.8733798604187404E-3</v>
      </c>
    </row>
    <row r="20" spans="1:9" x14ac:dyDescent="0.35">
      <c r="A20" s="19">
        <v>45343</v>
      </c>
      <c r="B20" t="s">
        <v>161</v>
      </c>
      <c r="C20" t="s">
        <v>74</v>
      </c>
      <c r="D20" s="1">
        <v>5841</v>
      </c>
      <c r="E20" s="1">
        <v>2357</v>
      </c>
      <c r="F20" s="2">
        <v>0.40352679335730202</v>
      </c>
      <c r="G20" s="1">
        <v>68</v>
      </c>
      <c r="H20" s="2">
        <v>2.88502333474756E-2</v>
      </c>
      <c r="I20" s="2">
        <v>1.16418421503167E-2</v>
      </c>
    </row>
    <row r="21" spans="1:9" x14ac:dyDescent="0.35">
      <c r="A21" s="19">
        <v>45343</v>
      </c>
      <c r="B21" t="s">
        <v>161</v>
      </c>
      <c r="C21" t="s">
        <v>72</v>
      </c>
      <c r="D21" s="1">
        <v>111297</v>
      </c>
      <c r="E21" s="1">
        <v>45108</v>
      </c>
      <c r="F21" s="2">
        <v>0.40529394323297102</v>
      </c>
      <c r="G21" s="1">
        <v>1340</v>
      </c>
      <c r="H21" s="2">
        <v>2.97064822204487E-2</v>
      </c>
      <c r="I21" s="2">
        <v>1.2039857318705801E-2</v>
      </c>
    </row>
    <row r="22" spans="1:9" x14ac:dyDescent="0.35">
      <c r="A22" s="19">
        <v>45343</v>
      </c>
      <c r="B22" t="s">
        <v>161</v>
      </c>
      <c r="C22" t="s">
        <v>75</v>
      </c>
      <c r="D22" s="1">
        <v>689</v>
      </c>
      <c r="E22" s="1">
        <v>303</v>
      </c>
      <c r="F22" s="2">
        <v>0.439767779390421</v>
      </c>
      <c r="G22" s="1">
        <v>19</v>
      </c>
      <c r="H22" s="2">
        <v>6.2706270627062702E-2</v>
      </c>
      <c r="I22" s="2">
        <v>2.7576197387518101E-2</v>
      </c>
    </row>
    <row r="23" spans="1:9" x14ac:dyDescent="0.35">
      <c r="A23" s="19">
        <v>45343</v>
      </c>
      <c r="B23" t="s">
        <v>161</v>
      </c>
      <c r="C23" t="s">
        <v>73</v>
      </c>
      <c r="D23" s="1">
        <v>12969</v>
      </c>
      <c r="E23" s="1">
        <v>5798</v>
      </c>
      <c r="F23" s="2">
        <v>0.44706608065386699</v>
      </c>
      <c r="G23" s="1">
        <v>387</v>
      </c>
      <c r="H23" s="2">
        <v>6.6747154191100402E-2</v>
      </c>
      <c r="I23" s="2">
        <v>2.9840388619014599E-2</v>
      </c>
    </row>
    <row r="24" spans="1:9" x14ac:dyDescent="0.35">
      <c r="A24" s="19">
        <v>45343</v>
      </c>
      <c r="B24" t="s">
        <v>162</v>
      </c>
      <c r="C24" t="s">
        <v>163</v>
      </c>
      <c r="D24" s="1">
        <v>29290</v>
      </c>
      <c r="E24" s="1">
        <v>10653</v>
      </c>
      <c r="F24" s="2">
        <v>0.363707750085353</v>
      </c>
      <c r="G24" s="1">
        <v>685</v>
      </c>
      <c r="H24" s="2">
        <v>6.4301135830282505E-2</v>
      </c>
      <c r="I24" s="2">
        <v>2.3386821440764798E-2</v>
      </c>
    </row>
    <row r="25" spans="1:9" x14ac:dyDescent="0.35">
      <c r="A25" s="19">
        <v>45343</v>
      </c>
      <c r="B25" t="s">
        <v>162</v>
      </c>
      <c r="C25" t="s">
        <v>164</v>
      </c>
      <c r="D25" s="1">
        <v>174703</v>
      </c>
      <c r="E25" s="1">
        <v>60504</v>
      </c>
      <c r="F25" s="2">
        <v>0.34632490569709701</v>
      </c>
      <c r="G25" s="1">
        <v>1963</v>
      </c>
      <c r="H25" s="2">
        <v>3.2444135924897498E-2</v>
      </c>
      <c r="I25" s="2">
        <v>1.12362123146139E-2</v>
      </c>
    </row>
    <row r="26" spans="1:9" x14ac:dyDescent="0.35">
      <c r="A26" s="19">
        <v>45344</v>
      </c>
      <c r="B26" t="s">
        <v>165</v>
      </c>
      <c r="C26" t="s">
        <v>117</v>
      </c>
      <c r="D26" s="1">
        <v>380241</v>
      </c>
      <c r="E26" s="1">
        <v>159848</v>
      </c>
      <c r="F26" s="3">
        <v>0.4204</v>
      </c>
      <c r="G26" s="1">
        <v>2366</v>
      </c>
      <c r="H26" s="3">
        <v>1.4800000000000001E-2</v>
      </c>
      <c r="I26" s="3">
        <v>6.1999999999999998E-3</v>
      </c>
    </row>
    <row r="27" spans="1:9" x14ac:dyDescent="0.35">
      <c r="A27" s="19">
        <v>45344</v>
      </c>
      <c r="B27" t="s">
        <v>166</v>
      </c>
      <c r="C27" t="s">
        <v>119</v>
      </c>
      <c r="D27" s="1">
        <v>23480</v>
      </c>
      <c r="E27" s="1">
        <v>9818</v>
      </c>
      <c r="F27" s="3">
        <v>0.41810000000000003</v>
      </c>
      <c r="G27">
        <v>126</v>
      </c>
      <c r="H27" s="3">
        <v>1.2800000000000001E-2</v>
      </c>
      <c r="I27" s="3">
        <v>5.4000000000000003E-3</v>
      </c>
    </row>
    <row r="28" spans="1:9" x14ac:dyDescent="0.35">
      <c r="A28" s="19">
        <v>45344</v>
      </c>
      <c r="B28" t="s">
        <v>167</v>
      </c>
      <c r="C28" t="s">
        <v>117</v>
      </c>
      <c r="D28" s="1">
        <v>1611326</v>
      </c>
      <c r="E28" s="1">
        <v>585706</v>
      </c>
      <c r="F28" s="3">
        <v>0.36349999999999999</v>
      </c>
      <c r="G28" s="1">
        <v>4339</v>
      </c>
      <c r="H28" s="3">
        <v>7.4000000000000003E-3</v>
      </c>
      <c r="I28" s="3">
        <v>2.7000000000000001E-3</v>
      </c>
    </row>
    <row r="29" spans="1:9" x14ac:dyDescent="0.35">
      <c r="A29" s="19">
        <v>45344</v>
      </c>
      <c r="B29" t="s">
        <v>168</v>
      </c>
      <c r="C29" t="s">
        <v>119</v>
      </c>
      <c r="D29" s="1">
        <v>77953</v>
      </c>
      <c r="E29" s="1">
        <v>26272</v>
      </c>
      <c r="F29" s="3">
        <v>0.33700000000000002</v>
      </c>
      <c r="G29">
        <v>278</v>
      </c>
      <c r="H29" s="3">
        <v>1.06E-2</v>
      </c>
      <c r="I29" s="3">
        <v>3.5999999999999999E-3</v>
      </c>
    </row>
    <row r="30" spans="1:9" x14ac:dyDescent="0.35">
      <c r="A30" s="19">
        <v>45344</v>
      </c>
      <c r="B30" t="s">
        <v>169</v>
      </c>
      <c r="C30" t="s">
        <v>170</v>
      </c>
      <c r="D30" s="1">
        <v>498784</v>
      </c>
      <c r="E30" s="1">
        <v>184905</v>
      </c>
      <c r="F30" s="3">
        <v>0.37069999999999997</v>
      </c>
      <c r="G30" s="1">
        <v>1272</v>
      </c>
      <c r="H30" s="3">
        <v>6.8999999999999999E-3</v>
      </c>
      <c r="I30" s="3">
        <v>2.5999999999999999E-3</v>
      </c>
    </row>
    <row r="31" spans="1:9" x14ac:dyDescent="0.35">
      <c r="A31" s="19">
        <v>45344</v>
      </c>
      <c r="B31" t="s">
        <v>171</v>
      </c>
      <c r="C31" t="s">
        <v>172</v>
      </c>
      <c r="D31" s="1">
        <v>35576</v>
      </c>
      <c r="E31" s="1">
        <v>12420</v>
      </c>
      <c r="F31" s="3">
        <v>0.34910000000000002</v>
      </c>
      <c r="G31">
        <v>108</v>
      </c>
      <c r="H31" s="3">
        <v>8.6999999999999994E-3</v>
      </c>
      <c r="I31" s="3">
        <v>3.0000000000000001E-3</v>
      </c>
    </row>
    <row r="32" spans="1:9" x14ac:dyDescent="0.35">
      <c r="A32" s="19">
        <v>45344</v>
      </c>
      <c r="B32" t="s">
        <v>116</v>
      </c>
      <c r="C32" t="s">
        <v>145</v>
      </c>
      <c r="D32" s="1">
        <v>262093</v>
      </c>
      <c r="E32" s="1">
        <v>101125</v>
      </c>
      <c r="F32" s="3">
        <v>0.38579999999999998</v>
      </c>
      <c r="G32" s="1">
        <v>1087</v>
      </c>
      <c r="H32" s="3">
        <v>1.0699999999999999E-2</v>
      </c>
      <c r="I32" s="3">
        <v>4.1000000000000003E-3</v>
      </c>
    </row>
    <row r="33" spans="1:9" x14ac:dyDescent="0.35">
      <c r="A33" s="19">
        <v>45344</v>
      </c>
      <c r="B33" t="s">
        <v>118</v>
      </c>
      <c r="C33" t="s">
        <v>173</v>
      </c>
      <c r="D33" s="1">
        <v>21119</v>
      </c>
      <c r="E33" s="1">
        <v>8159</v>
      </c>
      <c r="F33" s="3">
        <v>0.38629999999999998</v>
      </c>
      <c r="G33">
        <v>99</v>
      </c>
      <c r="H33" s="3">
        <v>1.21E-2</v>
      </c>
      <c r="I33" s="3">
        <v>4.7000000000000002E-3</v>
      </c>
    </row>
    <row r="34" spans="1:9" x14ac:dyDescent="0.35">
      <c r="A34" s="19">
        <v>45344</v>
      </c>
      <c r="B34" t="s">
        <v>120</v>
      </c>
      <c r="C34" t="s">
        <v>170</v>
      </c>
      <c r="D34" s="1">
        <v>25791</v>
      </c>
      <c r="E34" s="1">
        <v>10211</v>
      </c>
      <c r="F34" s="3">
        <v>0.39589999999999997</v>
      </c>
      <c r="G34">
        <v>71</v>
      </c>
      <c r="H34" s="3">
        <v>7.0000000000000001E-3</v>
      </c>
      <c r="I34" s="3">
        <v>2.8E-3</v>
      </c>
    </row>
    <row r="35" spans="1:9" x14ac:dyDescent="0.35">
      <c r="A35" s="19">
        <v>45344</v>
      </c>
      <c r="B35" t="s">
        <v>121</v>
      </c>
      <c r="C35" t="s">
        <v>172</v>
      </c>
      <c r="D35" s="1">
        <v>2376</v>
      </c>
      <c r="E35" s="1">
        <v>1094</v>
      </c>
      <c r="F35" s="3">
        <v>0.46039999999999998</v>
      </c>
      <c r="G35">
        <v>12</v>
      </c>
      <c r="H35" s="3">
        <v>1.0999999999999999E-2</v>
      </c>
      <c r="I35" s="3">
        <v>5.1000000000000004E-3</v>
      </c>
    </row>
    <row r="36" spans="1:9" x14ac:dyDescent="0.35">
      <c r="A36" s="19">
        <v>45344</v>
      </c>
      <c r="B36" t="s">
        <v>174</v>
      </c>
      <c r="C36" t="s">
        <v>10</v>
      </c>
      <c r="D36" s="1">
        <v>232180</v>
      </c>
      <c r="E36" s="1">
        <v>101743</v>
      </c>
      <c r="F36" s="2">
        <v>0.43820742527349499</v>
      </c>
      <c r="G36" s="1">
        <v>2020</v>
      </c>
      <c r="H36" s="2">
        <v>1.98539457259959E-2</v>
      </c>
      <c r="I36" s="2">
        <v>8.7001464381083592E-3</v>
      </c>
    </row>
    <row r="37" spans="1:9" x14ac:dyDescent="0.35">
      <c r="A37" s="19">
        <v>45344</v>
      </c>
      <c r="B37" t="s">
        <v>174</v>
      </c>
      <c r="C37" t="s">
        <v>11</v>
      </c>
      <c r="D37" s="1">
        <v>13714</v>
      </c>
      <c r="E37" s="1">
        <v>6154</v>
      </c>
      <c r="F37" s="2">
        <v>0.448738515385737</v>
      </c>
      <c r="G37" s="1">
        <v>223</v>
      </c>
      <c r="H37" s="2">
        <v>3.62365940851479E-2</v>
      </c>
      <c r="I37" s="2">
        <v>1.6260755432404801E-2</v>
      </c>
    </row>
    <row r="38" spans="1:9" ht="15" thickBot="1" x14ac:dyDescent="0.4">
      <c r="A38" s="20" t="s">
        <v>35</v>
      </c>
      <c r="D38" s="10">
        <f>SUM(D2:D37)</f>
        <v>21820100</v>
      </c>
      <c r="E38" s="10">
        <f>SUM(E2:E37)</f>
        <v>8373172</v>
      </c>
      <c r="F38" s="27">
        <f>AVERAGE(F2:F37)</f>
        <v>0.38858991378787783</v>
      </c>
      <c r="G38" s="10">
        <f>SUM(G2:G37)</f>
        <v>240999</v>
      </c>
      <c r="H38" s="27">
        <f>AVERAGE(H2:H37)</f>
        <v>2.6454318078583398E-2</v>
      </c>
      <c r="I38" s="27">
        <f>AVERAGE(I2:I37)</f>
        <v>1.0326758731226545E-2</v>
      </c>
    </row>
    <row r="39" spans="1:9" ht="15" thickBot="1" x14ac:dyDescent="0.4">
      <c r="A39" s="138"/>
      <c r="B39" s="138"/>
      <c r="C39" s="138"/>
      <c r="D39" s="138"/>
      <c r="E39" s="138"/>
      <c r="F39" s="138"/>
      <c r="G39" s="138"/>
      <c r="H39" s="138"/>
      <c r="I39" s="138"/>
    </row>
    <row r="40" spans="1:9" x14ac:dyDescent="0.35">
      <c r="A40" s="24" t="s">
        <v>0</v>
      </c>
      <c r="B40" s="25" t="s">
        <v>1</v>
      </c>
      <c r="C40" s="25" t="s">
        <v>2</v>
      </c>
      <c r="D40" s="25" t="s">
        <v>3</v>
      </c>
      <c r="E40" s="25" t="s">
        <v>4</v>
      </c>
      <c r="F40" s="25" t="s">
        <v>5</v>
      </c>
      <c r="G40" s="25" t="s">
        <v>6</v>
      </c>
      <c r="H40" s="25" t="s">
        <v>7</v>
      </c>
      <c r="I40" s="26" t="s">
        <v>8</v>
      </c>
    </row>
    <row r="41" spans="1:9" x14ac:dyDescent="0.35">
      <c r="A41" s="5" t="s">
        <v>36</v>
      </c>
      <c r="B41" s="6"/>
      <c r="C41" s="6"/>
      <c r="D41" s="6"/>
      <c r="E41" s="6"/>
      <c r="F41" s="6"/>
      <c r="G41" s="6"/>
      <c r="H41" s="6"/>
      <c r="I41" s="7"/>
    </row>
    <row r="42" spans="1:9" x14ac:dyDescent="0.35">
      <c r="A42" s="8">
        <v>45338</v>
      </c>
      <c r="B42" t="s">
        <v>150</v>
      </c>
      <c r="C42" t="s">
        <v>10</v>
      </c>
      <c r="D42" s="1">
        <v>3870609</v>
      </c>
      <c r="E42" s="1">
        <v>1424097</v>
      </c>
      <c r="F42" s="2">
        <v>0.36792582252560302</v>
      </c>
      <c r="G42" s="1">
        <v>21698</v>
      </c>
      <c r="H42" s="2">
        <v>1.5236321683143801E-2</v>
      </c>
      <c r="I42" s="9">
        <v>5.6058361875353504E-3</v>
      </c>
    </row>
    <row r="43" spans="1:9" x14ac:dyDescent="0.35">
      <c r="A43" s="8">
        <v>45338</v>
      </c>
      <c r="B43" t="s">
        <v>150</v>
      </c>
      <c r="C43" t="s">
        <v>131</v>
      </c>
      <c r="D43" s="1">
        <v>459117</v>
      </c>
      <c r="E43" s="1">
        <v>151831</v>
      </c>
      <c r="F43" s="2">
        <v>0.33070219573659898</v>
      </c>
      <c r="G43" s="1">
        <v>3587</v>
      </c>
      <c r="H43" s="2">
        <v>2.3624951426256799E-2</v>
      </c>
      <c r="I43" s="9">
        <v>7.8128233108336193E-3</v>
      </c>
    </row>
    <row r="44" spans="1:9" x14ac:dyDescent="0.35">
      <c r="A44" s="8">
        <v>45338</v>
      </c>
      <c r="B44" t="s">
        <v>150</v>
      </c>
      <c r="C44" t="s">
        <v>11</v>
      </c>
      <c r="D44" s="1">
        <v>228462</v>
      </c>
      <c r="E44" s="1">
        <v>70224</v>
      </c>
      <c r="F44" s="2">
        <v>0.30737715681382499</v>
      </c>
      <c r="G44" s="1">
        <v>1582</v>
      </c>
      <c r="H44" s="2">
        <v>2.25279106858054E-2</v>
      </c>
      <c r="I44" s="9">
        <v>6.92456513555865E-3</v>
      </c>
    </row>
    <row r="45" spans="1:9" x14ac:dyDescent="0.35">
      <c r="A45" s="8">
        <v>45338</v>
      </c>
      <c r="B45" t="s">
        <v>150</v>
      </c>
      <c r="C45" t="s">
        <v>132</v>
      </c>
      <c r="D45" s="1">
        <v>34714</v>
      </c>
      <c r="E45" s="1">
        <v>10746</v>
      </c>
      <c r="F45" s="2">
        <v>0.30955810335887501</v>
      </c>
      <c r="G45" s="1">
        <v>330</v>
      </c>
      <c r="H45" s="2">
        <v>3.07091010608599E-2</v>
      </c>
      <c r="I45" s="9">
        <v>9.5062510802558006E-3</v>
      </c>
    </row>
    <row r="46" spans="1:9" x14ac:dyDescent="0.35">
      <c r="A46" s="8">
        <v>45338</v>
      </c>
      <c r="B46" t="s">
        <v>153</v>
      </c>
      <c r="C46" t="s">
        <v>10</v>
      </c>
      <c r="D46" s="1">
        <v>418396</v>
      </c>
      <c r="E46" s="1">
        <v>163405</v>
      </c>
      <c r="F46" s="2">
        <v>0.39055105689346897</v>
      </c>
      <c r="G46" s="1">
        <v>3938</v>
      </c>
      <c r="H46" s="2">
        <v>2.4099629754291502E-2</v>
      </c>
      <c r="I46" s="9">
        <v>9.4121358712798402E-3</v>
      </c>
    </row>
    <row r="47" spans="1:9" x14ac:dyDescent="0.35">
      <c r="A47" s="8">
        <v>45338</v>
      </c>
      <c r="B47" t="s">
        <v>153</v>
      </c>
      <c r="C47" t="s">
        <v>11</v>
      </c>
      <c r="D47" s="1">
        <v>22450</v>
      </c>
      <c r="E47" s="1">
        <v>8052</v>
      </c>
      <c r="F47" s="2">
        <v>0.35866369710467699</v>
      </c>
      <c r="G47" s="1">
        <v>312</v>
      </c>
      <c r="H47" s="2">
        <v>3.8748137108792803E-2</v>
      </c>
      <c r="I47" s="9">
        <v>1.3897550111358599E-2</v>
      </c>
    </row>
    <row r="48" spans="1:9" x14ac:dyDescent="0.35">
      <c r="A48" s="8">
        <v>45342</v>
      </c>
      <c r="B48" t="s">
        <v>157</v>
      </c>
      <c r="C48" t="s">
        <v>10</v>
      </c>
      <c r="D48" s="1">
        <v>1383080</v>
      </c>
      <c r="E48" s="1">
        <v>527138</v>
      </c>
      <c r="F48" s="2">
        <v>0.38113341238395498</v>
      </c>
      <c r="G48" s="1">
        <v>13333</v>
      </c>
      <c r="H48" s="2">
        <v>2.5293186983294701E-2</v>
      </c>
      <c r="I48" s="9">
        <v>9.6400786650085307E-3</v>
      </c>
    </row>
    <row r="49" spans="1:9" x14ac:dyDescent="0.35">
      <c r="A49" s="8">
        <v>45342</v>
      </c>
      <c r="B49" t="s">
        <v>157</v>
      </c>
      <c r="C49" t="s">
        <v>11</v>
      </c>
      <c r="D49" s="1">
        <v>99340</v>
      </c>
      <c r="E49" s="1">
        <v>40830</v>
      </c>
      <c r="F49" s="2">
        <v>0.41101268371250199</v>
      </c>
      <c r="G49" s="1">
        <v>1104</v>
      </c>
      <c r="H49" s="2">
        <v>2.7038941954445301E-2</v>
      </c>
      <c r="I49" s="9">
        <v>1.1113348097443101E-2</v>
      </c>
    </row>
    <row r="50" spans="1:9" ht="15" thickBot="1" x14ac:dyDescent="0.4">
      <c r="A50" s="12" t="s">
        <v>35</v>
      </c>
      <c r="B50" s="4"/>
      <c r="C50" s="4"/>
      <c r="D50" s="13">
        <f>SUM(D42:D49)</f>
        <v>6516168</v>
      </c>
      <c r="E50" s="13">
        <f>SUM(E42:E49)</f>
        <v>2396323</v>
      </c>
      <c r="F50" s="14">
        <f>AVERAGE(F42:F49)</f>
        <v>0.35711551606618813</v>
      </c>
      <c r="G50" s="13">
        <f>SUM(G42:G49)</f>
        <v>45884</v>
      </c>
      <c r="H50" s="14">
        <f>AVERAGE(H42:H49)</f>
        <v>2.5909772582111277E-2</v>
      </c>
      <c r="I50" s="15">
        <f>AVERAGE(I42:I49)</f>
        <v>9.2390735574091869E-3</v>
      </c>
    </row>
    <row r="51" spans="1:9" ht="3" customHeight="1" thickBot="1" x14ac:dyDescent="0.4">
      <c r="A51" s="139"/>
      <c r="B51" s="138"/>
      <c r="C51" s="138"/>
      <c r="D51" s="138"/>
      <c r="E51" s="138"/>
      <c r="F51" s="138"/>
      <c r="G51" s="138"/>
      <c r="H51" s="138"/>
      <c r="I51" s="140"/>
    </row>
    <row r="52" spans="1:9" x14ac:dyDescent="0.35">
      <c r="A52" s="16" t="s">
        <v>37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35">
      <c r="A53" s="8">
        <v>45338</v>
      </c>
      <c r="B53" t="s">
        <v>151</v>
      </c>
      <c r="C53" t="s">
        <v>10</v>
      </c>
      <c r="D53" s="1">
        <v>769297</v>
      </c>
      <c r="E53" s="1">
        <v>306635</v>
      </c>
      <c r="F53" s="2">
        <v>0.39859118129929</v>
      </c>
      <c r="G53" s="1">
        <v>4129</v>
      </c>
      <c r="H53" s="2">
        <v>1.34655208961795E-2</v>
      </c>
      <c r="I53" s="9">
        <v>5.3672378808184602E-3</v>
      </c>
    </row>
    <row r="54" spans="1:9" x14ac:dyDescent="0.35">
      <c r="A54" s="8">
        <v>45338</v>
      </c>
      <c r="B54" t="s">
        <v>152</v>
      </c>
      <c r="C54" t="s">
        <v>10</v>
      </c>
      <c r="D54" s="1">
        <v>259006</v>
      </c>
      <c r="E54" s="1">
        <v>103529</v>
      </c>
      <c r="F54" s="2">
        <v>0.39971660888164801</v>
      </c>
      <c r="G54" s="1">
        <v>1877</v>
      </c>
      <c r="H54" s="2">
        <v>1.8130185745056902E-2</v>
      </c>
      <c r="I54" s="9">
        <v>7.24693636440855E-3</v>
      </c>
    </row>
    <row r="55" spans="1:9" x14ac:dyDescent="0.35">
      <c r="A55" s="8">
        <v>45339</v>
      </c>
      <c r="B55" t="s">
        <v>154</v>
      </c>
      <c r="C55" t="s">
        <v>10</v>
      </c>
      <c r="D55" s="1">
        <v>1297153</v>
      </c>
      <c r="E55" s="1">
        <v>496415</v>
      </c>
      <c r="F55" s="2">
        <v>0.38269579610115401</v>
      </c>
      <c r="G55" s="1">
        <v>12738</v>
      </c>
      <c r="H55" s="2">
        <v>2.56599820714523E-2</v>
      </c>
      <c r="I55" s="9">
        <v>9.8199672667757792E-3</v>
      </c>
    </row>
    <row r="56" spans="1:9" x14ac:dyDescent="0.35">
      <c r="A56" s="8">
        <v>45339</v>
      </c>
      <c r="B56" t="s">
        <v>155</v>
      </c>
      <c r="C56" t="s">
        <v>10</v>
      </c>
      <c r="D56" s="1">
        <v>61817</v>
      </c>
      <c r="E56" s="1">
        <v>23651</v>
      </c>
      <c r="F56" s="2">
        <v>0.38259702023715197</v>
      </c>
      <c r="G56" s="1">
        <v>371</v>
      </c>
      <c r="H56" s="2">
        <v>1.56864403196482E-2</v>
      </c>
      <c r="I56" s="9">
        <v>6.0015853244253202E-3</v>
      </c>
    </row>
    <row r="57" spans="1:9" x14ac:dyDescent="0.35">
      <c r="A57" s="8">
        <v>45340</v>
      </c>
      <c r="B57" t="s">
        <v>156</v>
      </c>
      <c r="C57" t="s">
        <v>10</v>
      </c>
      <c r="D57" s="1">
        <v>5558072</v>
      </c>
      <c r="E57" s="1">
        <v>2135820</v>
      </c>
      <c r="F57" s="2">
        <v>0.38427353945756698</v>
      </c>
      <c r="G57" s="1">
        <v>108746</v>
      </c>
      <c r="H57" s="2">
        <v>5.09153393076196E-2</v>
      </c>
      <c r="I57" s="9">
        <v>1.9565417648422002E-2</v>
      </c>
    </row>
    <row r="58" spans="1:9" x14ac:dyDescent="0.35">
      <c r="A58" s="8">
        <v>45340</v>
      </c>
      <c r="B58" t="s">
        <v>156</v>
      </c>
      <c r="C58" t="s">
        <v>11</v>
      </c>
      <c r="D58" s="1">
        <v>343152</v>
      </c>
      <c r="E58" s="1">
        <v>122746</v>
      </c>
      <c r="F58" s="2">
        <v>0.35770154333939502</v>
      </c>
      <c r="G58" s="1">
        <v>10009</v>
      </c>
      <c r="H58" s="2">
        <v>8.1542372052857096E-2</v>
      </c>
      <c r="I58" s="9">
        <v>2.9167832330862099E-2</v>
      </c>
    </row>
    <row r="59" spans="1:9" x14ac:dyDescent="0.35">
      <c r="A59" s="8">
        <v>45342</v>
      </c>
      <c r="B59" t="s">
        <v>158</v>
      </c>
      <c r="C59" t="s">
        <v>10</v>
      </c>
      <c r="D59" s="1">
        <v>134335</v>
      </c>
      <c r="E59" s="1">
        <v>54201</v>
      </c>
      <c r="F59" s="2">
        <v>0.403476383667696</v>
      </c>
      <c r="G59" s="1">
        <v>1533</v>
      </c>
      <c r="H59" s="2">
        <v>2.8283611003486999E-2</v>
      </c>
      <c r="I59" s="9">
        <v>1.1411769084750801E-2</v>
      </c>
    </row>
    <row r="60" spans="1:9" x14ac:dyDescent="0.35">
      <c r="A60" s="8">
        <v>45343</v>
      </c>
      <c r="B60" t="s">
        <v>159</v>
      </c>
      <c r="C60" t="s">
        <v>10</v>
      </c>
      <c r="D60" s="1">
        <v>3147505</v>
      </c>
      <c r="E60" s="1">
        <v>1311161</v>
      </c>
      <c r="F60" s="2">
        <v>0.41657153840899402</v>
      </c>
      <c r="G60" s="1">
        <v>37616</v>
      </c>
      <c r="H60" s="2">
        <v>2.86890778478005E-2</v>
      </c>
      <c r="I60" s="9">
        <v>1.19510532945937E-2</v>
      </c>
    </row>
    <row r="61" spans="1:9" x14ac:dyDescent="0.35">
      <c r="A61" s="8">
        <v>45343</v>
      </c>
      <c r="B61" t="s">
        <v>160</v>
      </c>
      <c r="C61" t="s">
        <v>10</v>
      </c>
      <c r="D61" s="1">
        <v>204143</v>
      </c>
      <c r="E61" s="1">
        <v>86468</v>
      </c>
      <c r="F61" s="2">
        <v>0.42356583375378998</v>
      </c>
      <c r="G61" s="1">
        <v>1544</v>
      </c>
      <c r="H61" s="2">
        <v>1.7856316787713399E-2</v>
      </c>
      <c r="I61" s="9">
        <v>7.5633257079596198E-3</v>
      </c>
    </row>
    <row r="62" spans="1:9" x14ac:dyDescent="0.35">
      <c r="A62" s="8">
        <v>45343</v>
      </c>
      <c r="B62" t="s">
        <v>160</v>
      </c>
      <c r="C62" t="s">
        <v>11</v>
      </c>
      <c r="D62" s="1">
        <v>10030</v>
      </c>
      <c r="E62" s="1">
        <v>4045</v>
      </c>
      <c r="F62" s="2">
        <v>0.403290129611167</v>
      </c>
      <c r="G62" s="1">
        <v>89</v>
      </c>
      <c r="H62" s="2">
        <v>2.2002472187886299E-2</v>
      </c>
      <c r="I62" s="9">
        <v>8.8733798604187404E-3</v>
      </c>
    </row>
    <row r="63" spans="1:9" x14ac:dyDescent="0.35">
      <c r="A63" s="8">
        <v>45343</v>
      </c>
      <c r="B63" t="s">
        <v>161</v>
      </c>
      <c r="C63" t="s">
        <v>74</v>
      </c>
      <c r="D63" s="1">
        <v>5841</v>
      </c>
      <c r="E63" s="1">
        <v>2357</v>
      </c>
      <c r="F63" s="2">
        <v>0.40352679335730202</v>
      </c>
      <c r="G63" s="1">
        <v>68</v>
      </c>
      <c r="H63" s="2">
        <v>2.88502333474756E-2</v>
      </c>
      <c r="I63" s="9">
        <v>1.16418421503167E-2</v>
      </c>
    </row>
    <row r="64" spans="1:9" x14ac:dyDescent="0.35">
      <c r="A64" s="8">
        <v>45343</v>
      </c>
      <c r="B64" t="s">
        <v>161</v>
      </c>
      <c r="C64" t="s">
        <v>72</v>
      </c>
      <c r="D64" s="1">
        <v>111297</v>
      </c>
      <c r="E64" s="1">
        <v>45108</v>
      </c>
      <c r="F64" s="2">
        <v>0.40529394323297102</v>
      </c>
      <c r="G64" s="1">
        <v>1340</v>
      </c>
      <c r="H64" s="2">
        <v>2.97064822204487E-2</v>
      </c>
      <c r="I64" s="9">
        <v>1.2039857318705801E-2</v>
      </c>
    </row>
    <row r="65" spans="1:9" x14ac:dyDescent="0.35">
      <c r="A65" s="8">
        <v>45343</v>
      </c>
      <c r="B65" t="s">
        <v>161</v>
      </c>
      <c r="C65" t="s">
        <v>75</v>
      </c>
      <c r="D65" s="1">
        <v>689</v>
      </c>
      <c r="E65" s="1">
        <v>303</v>
      </c>
      <c r="F65" s="2">
        <v>0.439767779390421</v>
      </c>
      <c r="G65" s="1">
        <v>19</v>
      </c>
      <c r="H65" s="2">
        <v>6.2706270627062702E-2</v>
      </c>
      <c r="I65" s="9">
        <v>2.7576197387518101E-2</v>
      </c>
    </row>
    <row r="66" spans="1:9" x14ac:dyDescent="0.35">
      <c r="A66" s="8">
        <v>45343</v>
      </c>
      <c r="B66" t="s">
        <v>161</v>
      </c>
      <c r="C66" t="s">
        <v>73</v>
      </c>
      <c r="D66" s="1">
        <v>12969</v>
      </c>
      <c r="E66" s="1">
        <v>5798</v>
      </c>
      <c r="F66" s="2">
        <v>0.44706608065386699</v>
      </c>
      <c r="G66" s="1">
        <v>387</v>
      </c>
      <c r="H66" s="2">
        <v>6.6747154191100402E-2</v>
      </c>
      <c r="I66" s="9">
        <v>2.9840388619014599E-2</v>
      </c>
    </row>
    <row r="67" spans="1:9" x14ac:dyDescent="0.35">
      <c r="A67" s="8">
        <v>45343</v>
      </c>
      <c r="B67" t="s">
        <v>162</v>
      </c>
      <c r="C67" t="s">
        <v>163</v>
      </c>
      <c r="D67" s="1">
        <v>29290</v>
      </c>
      <c r="E67" s="1">
        <v>10653</v>
      </c>
      <c r="F67" s="2">
        <v>0.363707750085353</v>
      </c>
      <c r="G67" s="1">
        <v>685</v>
      </c>
      <c r="H67" s="2">
        <v>6.4301135830282505E-2</v>
      </c>
      <c r="I67" s="9">
        <v>2.3386821440764798E-2</v>
      </c>
    </row>
    <row r="68" spans="1:9" x14ac:dyDescent="0.35">
      <c r="A68" s="8">
        <v>45343</v>
      </c>
      <c r="B68" t="s">
        <v>162</v>
      </c>
      <c r="C68" t="s">
        <v>164</v>
      </c>
      <c r="D68" s="1">
        <v>174703</v>
      </c>
      <c r="E68" s="1">
        <v>60504</v>
      </c>
      <c r="F68" s="2">
        <v>0.34632490569709701</v>
      </c>
      <c r="G68" s="1">
        <v>1963</v>
      </c>
      <c r="H68" s="2">
        <v>3.2444135924897498E-2</v>
      </c>
      <c r="I68" s="9">
        <v>1.12362123146139E-2</v>
      </c>
    </row>
    <row r="69" spans="1:9" x14ac:dyDescent="0.35">
      <c r="A69" s="8">
        <v>45344</v>
      </c>
      <c r="B69" t="s">
        <v>174</v>
      </c>
      <c r="C69" t="s">
        <v>10</v>
      </c>
      <c r="D69" s="1">
        <v>232180</v>
      </c>
      <c r="E69" s="1">
        <v>101743</v>
      </c>
      <c r="F69" s="2">
        <v>0.43820742527349499</v>
      </c>
      <c r="G69" s="1">
        <v>2020</v>
      </c>
      <c r="H69" s="2">
        <v>1.98539457259959E-2</v>
      </c>
      <c r="I69" s="9">
        <v>8.7001464381083592E-3</v>
      </c>
    </row>
    <row r="70" spans="1:9" x14ac:dyDescent="0.35">
      <c r="A70" s="8">
        <v>45344</v>
      </c>
      <c r="B70" t="s">
        <v>174</v>
      </c>
      <c r="C70" t="s">
        <v>11</v>
      </c>
      <c r="D70" s="1">
        <v>13714</v>
      </c>
      <c r="E70" s="1">
        <v>6154</v>
      </c>
      <c r="F70" s="2">
        <v>0.448738515385737</v>
      </c>
      <c r="G70" s="1">
        <v>223</v>
      </c>
      <c r="H70" s="2">
        <v>3.62365940851479E-2</v>
      </c>
      <c r="I70" s="9">
        <v>1.6260755432404801E-2</v>
      </c>
    </row>
    <row r="71" spans="1:9" ht="15" thickBot="1" x14ac:dyDescent="0.4">
      <c r="A71" s="12" t="s">
        <v>35</v>
      </c>
      <c r="B71" s="4"/>
      <c r="C71" s="4"/>
      <c r="D71" s="13">
        <f>SUM(D53:D70)</f>
        <v>12365193</v>
      </c>
      <c r="E71" s="13">
        <f>SUM(E53:E70)</f>
        <v>4877291</v>
      </c>
      <c r="F71" s="14">
        <f>AVERAGE(F53:F70)</f>
        <v>0.402506264879672</v>
      </c>
      <c r="G71" s="13">
        <f>SUM(G53:G70)</f>
        <v>185357</v>
      </c>
      <c r="H71" s="14">
        <f>AVERAGE(H53:H70)</f>
        <v>3.5726515009561775E-2</v>
      </c>
      <c r="I71" s="15">
        <f>AVERAGE(I53:I70)</f>
        <v>1.4313929214715672E-2</v>
      </c>
    </row>
    <row r="72" spans="1:9" ht="3" customHeight="1" thickBot="1" x14ac:dyDescent="0.4">
      <c r="A72" s="139"/>
      <c r="B72" s="138"/>
      <c r="C72" s="138"/>
      <c r="D72" s="138"/>
      <c r="E72" s="138"/>
      <c r="F72" s="138"/>
      <c r="G72" s="138"/>
      <c r="H72" s="138"/>
      <c r="I72" s="140"/>
    </row>
    <row r="73" spans="1:9" x14ac:dyDescent="0.35">
      <c r="A73" s="16" t="s">
        <v>38</v>
      </c>
      <c r="B73" s="17"/>
      <c r="C73" s="17"/>
      <c r="D73" s="17"/>
      <c r="E73" s="17"/>
      <c r="F73" s="17"/>
      <c r="G73" s="17"/>
      <c r="H73" s="17"/>
      <c r="I73" s="18"/>
    </row>
    <row r="74" spans="1:9" x14ac:dyDescent="0.35">
      <c r="A74" s="28">
        <v>45344</v>
      </c>
      <c r="B74" t="s">
        <v>165</v>
      </c>
      <c r="C74" t="s">
        <v>117</v>
      </c>
      <c r="D74" s="1">
        <v>380241</v>
      </c>
      <c r="E74" s="1">
        <v>159848</v>
      </c>
      <c r="F74" s="3">
        <v>0.4204</v>
      </c>
      <c r="G74" s="1">
        <v>2366</v>
      </c>
      <c r="H74" s="3">
        <v>1.4800000000000001E-2</v>
      </c>
      <c r="I74" s="30">
        <v>6.1999999999999998E-3</v>
      </c>
    </row>
    <row r="75" spans="1:9" x14ac:dyDescent="0.35">
      <c r="A75" s="28">
        <v>45344</v>
      </c>
      <c r="B75" t="s">
        <v>166</v>
      </c>
      <c r="C75" t="s">
        <v>119</v>
      </c>
      <c r="D75" s="1">
        <v>23480</v>
      </c>
      <c r="E75" s="1">
        <v>9818</v>
      </c>
      <c r="F75" s="3">
        <v>0.41810000000000003</v>
      </c>
      <c r="G75">
        <v>126</v>
      </c>
      <c r="H75" s="3">
        <v>1.2800000000000001E-2</v>
      </c>
      <c r="I75" s="30">
        <v>5.4000000000000003E-3</v>
      </c>
    </row>
    <row r="76" spans="1:9" x14ac:dyDescent="0.35">
      <c r="A76" s="28">
        <v>45344</v>
      </c>
      <c r="B76" t="s">
        <v>167</v>
      </c>
      <c r="C76" t="s">
        <v>117</v>
      </c>
      <c r="D76" s="1">
        <v>1611326</v>
      </c>
      <c r="E76" s="1">
        <v>585706</v>
      </c>
      <c r="F76" s="3">
        <v>0.36349999999999999</v>
      </c>
      <c r="G76" s="1">
        <v>4339</v>
      </c>
      <c r="H76" s="3">
        <v>7.4000000000000003E-3</v>
      </c>
      <c r="I76" s="30">
        <v>2.7000000000000001E-3</v>
      </c>
    </row>
    <row r="77" spans="1:9" x14ac:dyDescent="0.35">
      <c r="A77" s="28">
        <v>45344</v>
      </c>
      <c r="B77" t="s">
        <v>168</v>
      </c>
      <c r="C77" t="s">
        <v>119</v>
      </c>
      <c r="D77" s="1">
        <v>77953</v>
      </c>
      <c r="E77" s="1">
        <v>26272</v>
      </c>
      <c r="F77" s="3">
        <v>0.33700000000000002</v>
      </c>
      <c r="G77">
        <v>278</v>
      </c>
      <c r="H77" s="3">
        <v>1.06E-2</v>
      </c>
      <c r="I77" s="30">
        <v>3.5999999999999999E-3</v>
      </c>
    </row>
    <row r="78" spans="1:9" x14ac:dyDescent="0.35">
      <c r="A78" s="28">
        <v>45344</v>
      </c>
      <c r="B78" t="s">
        <v>169</v>
      </c>
      <c r="C78" t="s">
        <v>170</v>
      </c>
      <c r="D78" s="1">
        <v>498784</v>
      </c>
      <c r="E78" s="1">
        <v>184905</v>
      </c>
      <c r="F78" s="3">
        <v>0.37069999999999997</v>
      </c>
      <c r="G78" s="1">
        <v>1272</v>
      </c>
      <c r="H78" s="3">
        <v>6.8999999999999999E-3</v>
      </c>
      <c r="I78" s="30">
        <v>2.5999999999999999E-3</v>
      </c>
    </row>
    <row r="79" spans="1:9" x14ac:dyDescent="0.35">
      <c r="A79" s="28">
        <v>45344</v>
      </c>
      <c r="B79" t="s">
        <v>171</v>
      </c>
      <c r="C79" t="s">
        <v>172</v>
      </c>
      <c r="D79" s="1">
        <v>35576</v>
      </c>
      <c r="E79" s="1">
        <v>12420</v>
      </c>
      <c r="F79" s="3">
        <v>0.34910000000000002</v>
      </c>
      <c r="G79">
        <v>108</v>
      </c>
      <c r="H79" s="3">
        <v>8.6999999999999994E-3</v>
      </c>
      <c r="I79" s="30">
        <v>3.0000000000000001E-3</v>
      </c>
    </row>
    <row r="80" spans="1:9" x14ac:dyDescent="0.35">
      <c r="A80" s="28">
        <v>45344</v>
      </c>
      <c r="B80" t="s">
        <v>116</v>
      </c>
      <c r="C80" t="s">
        <v>145</v>
      </c>
      <c r="D80" s="1">
        <v>262093</v>
      </c>
      <c r="E80" s="1">
        <v>101125</v>
      </c>
      <c r="F80" s="3">
        <v>0.38579999999999998</v>
      </c>
      <c r="G80" s="1">
        <v>1087</v>
      </c>
      <c r="H80" s="3">
        <v>1.0699999999999999E-2</v>
      </c>
      <c r="I80" s="30">
        <v>4.1000000000000003E-3</v>
      </c>
    </row>
    <row r="81" spans="1:9" x14ac:dyDescent="0.35">
      <c r="A81" s="28">
        <v>45344</v>
      </c>
      <c r="B81" t="s">
        <v>118</v>
      </c>
      <c r="C81" t="s">
        <v>173</v>
      </c>
      <c r="D81" s="1">
        <v>21119</v>
      </c>
      <c r="E81" s="1">
        <v>8159</v>
      </c>
      <c r="F81" s="3">
        <v>0.38629999999999998</v>
      </c>
      <c r="G81">
        <v>99</v>
      </c>
      <c r="H81" s="3">
        <v>1.21E-2</v>
      </c>
      <c r="I81" s="30">
        <v>4.7000000000000002E-3</v>
      </c>
    </row>
    <row r="82" spans="1:9" x14ac:dyDescent="0.35">
      <c r="A82" s="28">
        <v>45344</v>
      </c>
      <c r="B82" t="s">
        <v>120</v>
      </c>
      <c r="C82" t="s">
        <v>170</v>
      </c>
      <c r="D82" s="1">
        <v>25791</v>
      </c>
      <c r="E82" s="1">
        <v>10211</v>
      </c>
      <c r="F82" s="3">
        <v>0.39589999999999997</v>
      </c>
      <c r="G82">
        <v>71</v>
      </c>
      <c r="H82" s="3">
        <v>7.0000000000000001E-3</v>
      </c>
      <c r="I82" s="30">
        <v>2.8E-3</v>
      </c>
    </row>
    <row r="83" spans="1:9" x14ac:dyDescent="0.35">
      <c r="A83" s="28">
        <v>45344</v>
      </c>
      <c r="B83" t="s">
        <v>121</v>
      </c>
      <c r="C83" t="s">
        <v>172</v>
      </c>
      <c r="D83" s="1">
        <v>2376</v>
      </c>
      <c r="E83" s="1">
        <v>1094</v>
      </c>
      <c r="F83" s="3">
        <v>0.46039999999999998</v>
      </c>
      <c r="G83">
        <v>12</v>
      </c>
      <c r="H83" s="3">
        <v>1.0999999999999999E-2</v>
      </c>
      <c r="I83" s="30">
        <v>5.1000000000000004E-3</v>
      </c>
    </row>
    <row r="84" spans="1:9" ht="15" thickBot="1" x14ac:dyDescent="0.4">
      <c r="A84" s="12" t="s">
        <v>35</v>
      </c>
      <c r="B84" s="4"/>
      <c r="C84" s="4"/>
      <c r="D84" s="13">
        <f>SUM(D74:D83)</f>
        <v>2938739</v>
      </c>
      <c r="E84" s="13">
        <f>SUM(E74:E83)</f>
        <v>1099558</v>
      </c>
      <c r="F84" s="14">
        <f>AVERAGE(F74:F83)</f>
        <v>0.38872000000000001</v>
      </c>
      <c r="G84" s="13">
        <f>SUM(G74:G83)</f>
        <v>9758</v>
      </c>
      <c r="H84" s="14">
        <f>AVERAGE(H74:H83)</f>
        <v>1.0200000000000001E-2</v>
      </c>
      <c r="I84" s="15">
        <f>AVERAGE(I74:I83)</f>
        <v>4.0199999999999993E-3</v>
      </c>
    </row>
  </sheetData>
  <mergeCells count="3">
    <mergeCell ref="A39:I39"/>
    <mergeCell ref="A51:I51"/>
    <mergeCell ref="A72:I72"/>
  </mergeCells>
  <pageMargins left="0.7" right="0.7" top="0.75" bottom="0.75" header="0.3" footer="0.3"/>
  <ignoredErrors>
    <ignoredError sqref="F38:G38 F50:G50 F71:G71 F84:G84" formula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E2BB-5E00-46D1-880F-2F9F83599BFB}">
  <dimension ref="A1:I62"/>
  <sheetViews>
    <sheetView workbookViewId="0">
      <selection activeCell="G23" sqref="G23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45345</v>
      </c>
      <c r="B2" t="s">
        <v>175</v>
      </c>
      <c r="C2" t="s">
        <v>10</v>
      </c>
      <c r="D2" s="1">
        <v>3823727</v>
      </c>
      <c r="E2" s="1">
        <v>1425316</v>
      </c>
      <c r="F2" s="2">
        <v>0.37275569097898498</v>
      </c>
      <c r="G2" s="1">
        <v>25385</v>
      </c>
      <c r="H2" s="2">
        <v>1.7810085623118001E-2</v>
      </c>
      <c r="I2" s="2">
        <v>6.63881077284022E-3</v>
      </c>
    </row>
    <row r="3" spans="1:9" x14ac:dyDescent="0.35">
      <c r="A3" s="19">
        <v>45345</v>
      </c>
      <c r="B3" t="s">
        <v>175</v>
      </c>
      <c r="C3" t="s">
        <v>131</v>
      </c>
      <c r="D3" s="1">
        <v>458108</v>
      </c>
      <c r="E3" s="1">
        <v>156299</v>
      </c>
      <c r="F3" s="2">
        <v>0.34118373833244597</v>
      </c>
      <c r="G3" s="1">
        <v>3807</v>
      </c>
      <c r="H3" s="2">
        <v>2.4357161594124099E-2</v>
      </c>
      <c r="I3" s="2">
        <v>8.3102674478507197E-3</v>
      </c>
    </row>
    <row r="4" spans="1:9" x14ac:dyDescent="0.35">
      <c r="A4" s="19">
        <v>45345</v>
      </c>
      <c r="B4" t="s">
        <v>175</v>
      </c>
      <c r="C4" t="s">
        <v>11</v>
      </c>
      <c r="D4" s="1">
        <v>225735</v>
      </c>
      <c r="E4" s="1">
        <v>70224</v>
      </c>
      <c r="F4" s="2">
        <v>0.31109043790285101</v>
      </c>
      <c r="G4" s="1">
        <v>1657</v>
      </c>
      <c r="H4" s="2">
        <v>2.3595921622237399E-2</v>
      </c>
      <c r="I4" s="2">
        <v>7.3404655901831801E-3</v>
      </c>
    </row>
    <row r="5" spans="1:9" x14ac:dyDescent="0.35">
      <c r="A5" s="19">
        <v>45345</v>
      </c>
      <c r="B5" t="s">
        <v>175</v>
      </c>
      <c r="C5" t="s">
        <v>132</v>
      </c>
      <c r="D5" s="1">
        <v>34967</v>
      </c>
      <c r="E5" s="1">
        <v>10904</v>
      </c>
      <c r="F5" s="2">
        <v>0.31183687476763799</v>
      </c>
      <c r="G5" s="1">
        <v>321</v>
      </c>
      <c r="H5" s="2">
        <v>2.9438738077769599E-2</v>
      </c>
      <c r="I5" s="2">
        <v>9.1800840792747394E-3</v>
      </c>
    </row>
    <row r="6" spans="1:9" x14ac:dyDescent="0.35">
      <c r="A6" s="19">
        <v>45345</v>
      </c>
      <c r="B6" t="s">
        <v>176</v>
      </c>
      <c r="C6" t="s">
        <v>10</v>
      </c>
      <c r="D6" s="1">
        <v>614756</v>
      </c>
      <c r="E6" s="1">
        <v>269618</v>
      </c>
      <c r="F6" s="2">
        <v>0.43857725666768599</v>
      </c>
      <c r="G6" s="1">
        <v>5037</v>
      </c>
      <c r="H6" s="2">
        <v>1.8681987107685701E-2</v>
      </c>
      <c r="I6" s="2">
        <v>8.1934946547898707E-3</v>
      </c>
    </row>
    <row r="7" spans="1:9" x14ac:dyDescent="0.35">
      <c r="A7" s="19">
        <v>45345</v>
      </c>
      <c r="B7" t="s">
        <v>176</v>
      </c>
      <c r="C7" t="s">
        <v>11</v>
      </c>
      <c r="D7" s="1">
        <v>45428</v>
      </c>
      <c r="E7" s="1">
        <v>18401</v>
      </c>
      <c r="F7" s="2">
        <v>0.40505855419565001</v>
      </c>
      <c r="G7" s="1">
        <v>737</v>
      </c>
      <c r="H7" s="2">
        <v>4.0052171077658801E-2</v>
      </c>
      <c r="I7" s="2">
        <v>1.6223474509113298E-2</v>
      </c>
    </row>
    <row r="8" spans="1:9" x14ac:dyDescent="0.35">
      <c r="A8" s="19">
        <v>45345</v>
      </c>
      <c r="B8" t="s">
        <v>177</v>
      </c>
      <c r="C8" t="s">
        <v>10</v>
      </c>
      <c r="D8" s="1">
        <v>410302</v>
      </c>
      <c r="E8" s="1">
        <v>162236</v>
      </c>
      <c r="F8" s="2">
        <v>0.39540631047374902</v>
      </c>
      <c r="G8" s="1">
        <v>3657</v>
      </c>
      <c r="H8" s="2">
        <v>2.2541236223772802E-2</v>
      </c>
      <c r="I8" s="2">
        <v>8.9129470487592094E-3</v>
      </c>
    </row>
    <row r="9" spans="1:9" x14ac:dyDescent="0.35">
      <c r="A9" s="19">
        <v>45345</v>
      </c>
      <c r="B9" t="s">
        <v>178</v>
      </c>
      <c r="C9" t="s">
        <v>11</v>
      </c>
      <c r="D9" s="1">
        <v>139023</v>
      </c>
      <c r="E9" s="1">
        <v>56118</v>
      </c>
      <c r="F9" s="2">
        <v>0.403659826071945</v>
      </c>
      <c r="G9" s="1">
        <v>3108</v>
      </c>
      <c r="H9" s="2">
        <v>5.5383299476103903E-2</v>
      </c>
      <c r="I9" s="2">
        <v>2.2356013033814501E-2</v>
      </c>
    </row>
    <row r="10" spans="1:9" x14ac:dyDescent="0.35">
      <c r="A10" s="19">
        <v>45345</v>
      </c>
      <c r="B10" t="s">
        <v>179</v>
      </c>
      <c r="C10" t="s">
        <v>10</v>
      </c>
      <c r="D10" s="1">
        <v>5238</v>
      </c>
      <c r="E10" s="1">
        <v>2493</v>
      </c>
      <c r="F10" s="2">
        <v>0.475945017182131</v>
      </c>
      <c r="G10" s="1">
        <v>292</v>
      </c>
      <c r="H10" s="2">
        <v>0.117127958283193</v>
      </c>
      <c r="I10" s="2">
        <v>5.5746468117602102E-2</v>
      </c>
    </row>
    <row r="11" spans="1:9" x14ac:dyDescent="0.35">
      <c r="A11" s="19">
        <v>45345</v>
      </c>
      <c r="B11" t="s">
        <v>179</v>
      </c>
      <c r="C11" t="s">
        <v>11</v>
      </c>
      <c r="D11" s="1">
        <v>1769</v>
      </c>
      <c r="E11" s="1">
        <v>935</v>
      </c>
      <c r="F11" s="2">
        <v>0.528547201808932</v>
      </c>
      <c r="G11" s="1">
        <v>139</v>
      </c>
      <c r="H11" s="2">
        <v>0.14866310160427801</v>
      </c>
      <c r="I11" s="2">
        <v>7.8575466365178107E-2</v>
      </c>
    </row>
    <row r="12" spans="1:9" x14ac:dyDescent="0.35">
      <c r="A12" s="19">
        <v>45346</v>
      </c>
      <c r="B12" t="s">
        <v>180</v>
      </c>
      <c r="C12" t="s">
        <v>11</v>
      </c>
      <c r="D12" s="1">
        <v>98426</v>
      </c>
      <c r="E12" s="1">
        <v>32499</v>
      </c>
      <c r="F12" s="2">
        <v>0.33018714567289098</v>
      </c>
      <c r="G12" s="1">
        <v>1020</v>
      </c>
      <c r="H12" s="2">
        <v>3.1385581094802897E-2</v>
      </c>
      <c r="I12" s="2">
        <v>1.0363115436978E-2</v>
      </c>
    </row>
    <row r="13" spans="1:9" x14ac:dyDescent="0.35">
      <c r="A13" s="19">
        <v>45348</v>
      </c>
      <c r="B13" t="s">
        <v>181</v>
      </c>
      <c r="C13" t="s">
        <v>182</v>
      </c>
      <c r="D13" s="1">
        <v>255451</v>
      </c>
      <c r="E13" s="1">
        <v>106656</v>
      </c>
      <c r="F13" s="2">
        <v>0.41752038551424703</v>
      </c>
      <c r="G13" s="1">
        <v>3525</v>
      </c>
      <c r="H13" s="2">
        <v>3.30501800180018E-2</v>
      </c>
      <c r="I13" s="2">
        <v>1.37991239024314E-2</v>
      </c>
    </row>
    <row r="14" spans="1:9" x14ac:dyDescent="0.35">
      <c r="A14" s="19">
        <v>45349</v>
      </c>
      <c r="B14" t="s">
        <v>183</v>
      </c>
      <c r="C14" t="s">
        <v>10</v>
      </c>
      <c r="D14" s="1">
        <v>1379738</v>
      </c>
      <c r="E14" s="1">
        <v>519705</v>
      </c>
      <c r="F14" s="2">
        <v>0.37666933867154501</v>
      </c>
      <c r="G14" s="1">
        <v>7904</v>
      </c>
      <c r="H14" s="2">
        <v>1.52086279716378E-2</v>
      </c>
      <c r="I14" s="2">
        <v>5.72862384017835E-3</v>
      </c>
    </row>
    <row r="15" spans="1:9" x14ac:dyDescent="0.35">
      <c r="A15" s="19">
        <v>45349</v>
      </c>
      <c r="B15" t="s">
        <v>183</v>
      </c>
      <c r="C15" t="s">
        <v>11</v>
      </c>
      <c r="D15" s="1">
        <v>98783</v>
      </c>
      <c r="E15" s="1">
        <v>31118</v>
      </c>
      <c r="F15" s="2">
        <v>0.3150137169351</v>
      </c>
      <c r="G15" s="1">
        <v>962</v>
      </c>
      <c r="H15" s="2">
        <v>3.0914583199434399E-2</v>
      </c>
      <c r="I15" s="2">
        <v>9.7385177611532293E-3</v>
      </c>
    </row>
    <row r="16" spans="1:9" x14ac:dyDescent="0.35">
      <c r="A16" s="19">
        <v>45349</v>
      </c>
      <c r="B16" t="s">
        <v>184</v>
      </c>
      <c r="C16" t="s">
        <v>185</v>
      </c>
      <c r="D16" s="1">
        <v>61113</v>
      </c>
      <c r="E16" s="1">
        <v>23037</v>
      </c>
      <c r="F16" s="2">
        <v>0.37695743949732502</v>
      </c>
      <c r="G16" s="1">
        <v>857</v>
      </c>
      <c r="H16" s="2">
        <v>3.7201024438945997E-2</v>
      </c>
      <c r="I16" s="2">
        <v>1.4023202919182499E-2</v>
      </c>
    </row>
    <row r="17" spans="1:9" x14ac:dyDescent="0.35">
      <c r="A17" s="19">
        <v>45350</v>
      </c>
      <c r="B17" t="s">
        <v>186</v>
      </c>
      <c r="C17" t="s">
        <v>11</v>
      </c>
      <c r="D17" s="1">
        <v>7626</v>
      </c>
      <c r="E17" s="1">
        <v>2982</v>
      </c>
      <c r="F17" s="2">
        <v>0.39103068450039302</v>
      </c>
      <c r="G17" s="1">
        <v>51</v>
      </c>
      <c r="H17" s="2">
        <v>1.7102615694165001E-2</v>
      </c>
      <c r="I17" s="2">
        <v>6.6876475216365097E-3</v>
      </c>
    </row>
    <row r="18" spans="1:9" x14ac:dyDescent="0.35">
      <c r="A18" s="19">
        <v>45351</v>
      </c>
      <c r="B18" t="s">
        <v>165</v>
      </c>
      <c r="C18" t="s">
        <v>187</v>
      </c>
      <c r="D18" s="1">
        <v>322692</v>
      </c>
      <c r="E18" s="1">
        <v>133773</v>
      </c>
      <c r="F18" s="3">
        <v>0.41460000000000002</v>
      </c>
      <c r="G18" s="1">
        <v>1490</v>
      </c>
      <c r="H18" s="3">
        <v>1.11E-2</v>
      </c>
      <c r="I18" s="3">
        <v>4.5999999999999999E-3</v>
      </c>
    </row>
    <row r="19" spans="1:9" x14ac:dyDescent="0.35">
      <c r="A19" s="19">
        <v>45351</v>
      </c>
      <c r="B19" t="s">
        <v>166</v>
      </c>
      <c r="C19" t="s">
        <v>188</v>
      </c>
      <c r="D19" s="1">
        <v>20537</v>
      </c>
      <c r="E19" s="1">
        <v>8265</v>
      </c>
      <c r="F19" s="3">
        <v>0.40239999999999998</v>
      </c>
      <c r="G19">
        <v>119</v>
      </c>
      <c r="H19" s="3">
        <v>1.44E-2</v>
      </c>
      <c r="I19" s="3">
        <v>5.7999999999999996E-3</v>
      </c>
    </row>
    <row r="20" spans="1:9" x14ac:dyDescent="0.35">
      <c r="A20" s="19">
        <v>45351</v>
      </c>
      <c r="B20" t="s">
        <v>167</v>
      </c>
      <c r="C20" t="s">
        <v>187</v>
      </c>
      <c r="D20" s="1">
        <v>1451006</v>
      </c>
      <c r="E20" s="1">
        <v>517525</v>
      </c>
      <c r="F20" s="3">
        <v>0.35670000000000002</v>
      </c>
      <c r="G20" s="1">
        <v>3831</v>
      </c>
      <c r="H20" s="3">
        <v>7.4000000000000003E-3</v>
      </c>
      <c r="I20" s="3">
        <v>2.5999999999999999E-3</v>
      </c>
    </row>
    <row r="21" spans="1:9" x14ac:dyDescent="0.35">
      <c r="A21" s="19">
        <v>45351</v>
      </c>
      <c r="B21" t="s">
        <v>168</v>
      </c>
      <c r="C21" t="s">
        <v>188</v>
      </c>
      <c r="D21" s="1">
        <v>70838</v>
      </c>
      <c r="E21" s="1">
        <v>22719</v>
      </c>
      <c r="F21" s="3">
        <v>0.32069999999999999</v>
      </c>
      <c r="G21">
        <v>298</v>
      </c>
      <c r="H21" s="3">
        <v>1.3100000000000001E-2</v>
      </c>
      <c r="I21" s="3">
        <v>4.1999999999999997E-3</v>
      </c>
    </row>
    <row r="22" spans="1:9" x14ac:dyDescent="0.35">
      <c r="A22" s="19">
        <v>45351</v>
      </c>
      <c r="B22" t="s">
        <v>169</v>
      </c>
      <c r="C22" t="s">
        <v>189</v>
      </c>
      <c r="D22" s="1">
        <v>478675</v>
      </c>
      <c r="E22" s="1">
        <v>175360</v>
      </c>
      <c r="F22" s="3">
        <v>0.36630000000000001</v>
      </c>
      <c r="G22" s="1">
        <v>1306</v>
      </c>
      <c r="H22" s="3">
        <v>7.4000000000000003E-3</v>
      </c>
      <c r="I22" s="3">
        <v>2.7000000000000001E-3</v>
      </c>
    </row>
    <row r="23" spans="1:9" x14ac:dyDescent="0.35">
      <c r="A23" s="19">
        <v>45351</v>
      </c>
      <c r="B23" t="s">
        <v>171</v>
      </c>
      <c r="C23" t="s">
        <v>190</v>
      </c>
      <c r="D23" s="1">
        <v>34737</v>
      </c>
      <c r="E23" s="1">
        <v>11736</v>
      </c>
      <c r="F23" s="3">
        <v>0.33789999999999998</v>
      </c>
      <c r="G23">
        <v>127</v>
      </c>
      <c r="H23" s="3">
        <v>1.0800000000000001E-2</v>
      </c>
      <c r="I23" s="3">
        <v>3.7000000000000002E-3</v>
      </c>
    </row>
    <row r="24" spans="1:9" x14ac:dyDescent="0.35">
      <c r="A24" s="19">
        <v>45351</v>
      </c>
      <c r="B24" t="s">
        <v>191</v>
      </c>
      <c r="C24" t="s">
        <v>10</v>
      </c>
      <c r="D24" s="1">
        <v>6743500</v>
      </c>
      <c r="E24" s="1">
        <v>2371265</v>
      </c>
      <c r="F24" s="2">
        <v>0.351637132053088</v>
      </c>
      <c r="G24" s="1">
        <v>28616</v>
      </c>
      <c r="H24" s="2">
        <v>1.20678203406199E-2</v>
      </c>
      <c r="I24" s="2">
        <v>4.2434937347074998E-3</v>
      </c>
    </row>
    <row r="25" spans="1:9" x14ac:dyDescent="0.35">
      <c r="A25" s="19">
        <v>45351</v>
      </c>
      <c r="B25" t="s">
        <v>191</v>
      </c>
      <c r="C25" t="s">
        <v>11</v>
      </c>
      <c r="D25" s="1">
        <v>435173</v>
      </c>
      <c r="E25" s="1">
        <v>142705</v>
      </c>
      <c r="F25" s="2">
        <v>0.327927054297946</v>
      </c>
      <c r="G25" s="1">
        <v>2180</v>
      </c>
      <c r="H25" s="2">
        <v>1.5276269226726501E-2</v>
      </c>
      <c r="I25" s="2">
        <v>5.0095019681827696E-3</v>
      </c>
    </row>
    <row r="26" spans="1:9" x14ac:dyDescent="0.35">
      <c r="A26" s="19">
        <v>45351</v>
      </c>
      <c r="B26" t="s">
        <v>192</v>
      </c>
      <c r="C26" t="s">
        <v>10</v>
      </c>
      <c r="D26" s="1">
        <v>137249</v>
      </c>
      <c r="E26" s="1">
        <v>54812</v>
      </c>
      <c r="F26" s="2">
        <v>0.399361743983563</v>
      </c>
      <c r="G26" s="1">
        <v>1402</v>
      </c>
      <c r="H26" s="2">
        <v>2.55783405093775E-2</v>
      </c>
      <c r="I26" s="2">
        <v>1.0215010674030399E-2</v>
      </c>
    </row>
    <row r="27" spans="1:9" ht="15" thickBot="1" x14ac:dyDescent="0.4">
      <c r="A27" s="20" t="s">
        <v>35</v>
      </c>
      <c r="D27" s="10">
        <f>SUM(D2:D26)</f>
        <v>17354597</v>
      </c>
      <c r="E27" s="10">
        <f>SUM(E2:E26)</f>
        <v>6326701</v>
      </c>
      <c r="F27" s="27">
        <f>AVERAGE(F2:F26)</f>
        <v>0.37875862198032451</v>
      </c>
      <c r="G27" s="10">
        <f>SUM(G2:G26)</f>
        <v>97828</v>
      </c>
      <c r="H27" s="27">
        <f>AVERAGE(H2:H26)</f>
        <v>3.1185468127346124E-2</v>
      </c>
      <c r="I27" s="27">
        <f>AVERAGE(I2:I26)</f>
        <v>1.2995429175115463E-2</v>
      </c>
    </row>
    <row r="28" spans="1:9" ht="15" thickBot="1" x14ac:dyDescent="0.4">
      <c r="A28" s="138"/>
      <c r="B28" s="138"/>
      <c r="C28" s="138"/>
      <c r="D28" s="138"/>
      <c r="E28" s="138"/>
      <c r="F28" s="138"/>
      <c r="G28" s="138"/>
      <c r="H28" s="138"/>
      <c r="I28" s="138"/>
    </row>
    <row r="29" spans="1:9" x14ac:dyDescent="0.35">
      <c r="A29" s="24" t="s">
        <v>0</v>
      </c>
      <c r="B29" s="25" t="s">
        <v>1</v>
      </c>
      <c r="C29" s="25" t="s">
        <v>2</v>
      </c>
      <c r="D29" s="25" t="s">
        <v>3</v>
      </c>
      <c r="E29" s="25" t="s">
        <v>4</v>
      </c>
      <c r="F29" s="25" t="s">
        <v>5</v>
      </c>
      <c r="G29" s="25" t="s">
        <v>6</v>
      </c>
      <c r="H29" s="25" t="s">
        <v>7</v>
      </c>
      <c r="I29" s="26" t="s">
        <v>8</v>
      </c>
    </row>
    <row r="30" spans="1:9" x14ac:dyDescent="0.35">
      <c r="A30" s="5" t="s">
        <v>36</v>
      </c>
      <c r="B30" s="6"/>
      <c r="C30" s="6"/>
      <c r="D30" s="6"/>
      <c r="E30" s="6"/>
      <c r="F30" s="6"/>
      <c r="G30" s="6"/>
      <c r="H30" s="6"/>
      <c r="I30" s="7"/>
    </row>
    <row r="31" spans="1:9" x14ac:dyDescent="0.35">
      <c r="A31" s="8">
        <v>45345</v>
      </c>
      <c r="B31" t="s">
        <v>175</v>
      </c>
      <c r="C31" t="s">
        <v>10</v>
      </c>
      <c r="D31" s="1">
        <v>3823727</v>
      </c>
      <c r="E31" s="1">
        <v>1425316</v>
      </c>
      <c r="F31" s="2">
        <v>0.37275569097898498</v>
      </c>
      <c r="G31" s="1">
        <v>25385</v>
      </c>
      <c r="H31" s="2">
        <v>1.7810085623118001E-2</v>
      </c>
      <c r="I31" s="9">
        <v>6.63881077284022E-3</v>
      </c>
    </row>
    <row r="32" spans="1:9" x14ac:dyDescent="0.35">
      <c r="A32" s="8">
        <v>45345</v>
      </c>
      <c r="B32" t="s">
        <v>175</v>
      </c>
      <c r="C32" t="s">
        <v>131</v>
      </c>
      <c r="D32" s="1">
        <v>458108</v>
      </c>
      <c r="E32" s="1">
        <v>156299</v>
      </c>
      <c r="F32" s="2">
        <v>0.34118373833244597</v>
      </c>
      <c r="G32" s="1">
        <v>3807</v>
      </c>
      <c r="H32" s="2">
        <v>2.4357161594124099E-2</v>
      </c>
      <c r="I32" s="9">
        <v>8.3102674478507197E-3</v>
      </c>
    </row>
    <row r="33" spans="1:9" x14ac:dyDescent="0.35">
      <c r="A33" s="8">
        <v>45345</v>
      </c>
      <c r="B33" t="s">
        <v>175</v>
      </c>
      <c r="C33" t="s">
        <v>11</v>
      </c>
      <c r="D33" s="1">
        <v>225735</v>
      </c>
      <c r="E33" s="1">
        <v>70224</v>
      </c>
      <c r="F33" s="2">
        <v>0.31109043790285101</v>
      </c>
      <c r="G33" s="1">
        <v>1657</v>
      </c>
      <c r="H33" s="2">
        <v>2.3595921622237399E-2</v>
      </c>
      <c r="I33" s="9">
        <v>7.3404655901831801E-3</v>
      </c>
    </row>
    <row r="34" spans="1:9" x14ac:dyDescent="0.35">
      <c r="A34" s="8">
        <v>45345</v>
      </c>
      <c r="B34" t="s">
        <v>175</v>
      </c>
      <c r="C34" t="s">
        <v>132</v>
      </c>
      <c r="D34" s="1">
        <v>34967</v>
      </c>
      <c r="E34" s="1">
        <v>10904</v>
      </c>
      <c r="F34" s="2">
        <v>0.31183687476763799</v>
      </c>
      <c r="G34" s="1">
        <v>321</v>
      </c>
      <c r="H34" s="2">
        <v>2.9438738077769599E-2</v>
      </c>
      <c r="I34" s="9">
        <v>9.1800840792747394E-3</v>
      </c>
    </row>
    <row r="35" spans="1:9" x14ac:dyDescent="0.35">
      <c r="A35" s="8">
        <v>45345</v>
      </c>
      <c r="B35" t="s">
        <v>177</v>
      </c>
      <c r="C35" t="s">
        <v>10</v>
      </c>
      <c r="D35" s="1">
        <v>410302</v>
      </c>
      <c r="E35" s="1">
        <v>162236</v>
      </c>
      <c r="F35" s="2">
        <v>0.39540631047374902</v>
      </c>
      <c r="G35" s="1">
        <v>3657</v>
      </c>
      <c r="H35" s="2">
        <v>2.2541236223772802E-2</v>
      </c>
      <c r="I35" s="9">
        <v>8.9129470487592094E-3</v>
      </c>
    </row>
    <row r="36" spans="1:9" x14ac:dyDescent="0.35">
      <c r="A36" s="8">
        <v>45349</v>
      </c>
      <c r="B36" t="s">
        <v>183</v>
      </c>
      <c r="C36" t="s">
        <v>10</v>
      </c>
      <c r="D36" s="1">
        <v>1379738</v>
      </c>
      <c r="E36" s="1">
        <v>519705</v>
      </c>
      <c r="F36" s="2">
        <v>0.37666933867154501</v>
      </c>
      <c r="G36" s="1">
        <v>7904</v>
      </c>
      <c r="H36" s="2">
        <v>1.52086279716378E-2</v>
      </c>
      <c r="I36" s="9">
        <v>5.72862384017835E-3</v>
      </c>
    </row>
    <row r="37" spans="1:9" x14ac:dyDescent="0.35">
      <c r="A37" s="8">
        <v>45349</v>
      </c>
      <c r="B37" t="s">
        <v>183</v>
      </c>
      <c r="C37" t="s">
        <v>11</v>
      </c>
      <c r="D37" s="1">
        <v>98783</v>
      </c>
      <c r="E37" s="1">
        <v>31118</v>
      </c>
      <c r="F37" s="2">
        <v>0.3150137169351</v>
      </c>
      <c r="G37" s="1">
        <v>962</v>
      </c>
      <c r="H37" s="2">
        <v>3.0914583199434399E-2</v>
      </c>
      <c r="I37" s="9">
        <v>9.7385177611532293E-3</v>
      </c>
    </row>
    <row r="38" spans="1:9" ht="15" thickBot="1" x14ac:dyDescent="0.4">
      <c r="A38" s="12" t="s">
        <v>35</v>
      </c>
      <c r="B38" s="4"/>
      <c r="C38" s="4"/>
      <c r="D38" s="13">
        <f>SUM(D31:D37)</f>
        <v>6431360</v>
      </c>
      <c r="E38" s="13">
        <f>SUM(E31:E37)</f>
        <v>2375802</v>
      </c>
      <c r="F38" s="14">
        <f>AVERAGE(F31:F37)</f>
        <v>0.34627944400890204</v>
      </c>
      <c r="G38" s="13">
        <f>SUM(G31:G37)</f>
        <v>43693</v>
      </c>
      <c r="H38" s="14">
        <f>AVERAGE(H31:H37)</f>
        <v>2.3409479187442017E-2</v>
      </c>
      <c r="I38" s="15">
        <f>AVERAGE(I31:I37)</f>
        <v>7.9785309343199506E-3</v>
      </c>
    </row>
    <row r="39" spans="1:9" ht="3" customHeight="1" thickBot="1" x14ac:dyDescent="0.4">
      <c r="A39" s="139"/>
      <c r="B39" s="138"/>
      <c r="C39" s="138"/>
      <c r="D39" s="138"/>
      <c r="E39" s="138"/>
      <c r="F39" s="138"/>
      <c r="G39" s="138"/>
      <c r="H39" s="138"/>
      <c r="I39" s="140"/>
    </row>
    <row r="40" spans="1:9" x14ac:dyDescent="0.35">
      <c r="A40" s="16" t="s">
        <v>37</v>
      </c>
      <c r="B40" s="17"/>
      <c r="C40" s="17"/>
      <c r="D40" s="17"/>
      <c r="E40" s="17"/>
      <c r="F40" s="17"/>
      <c r="G40" s="17"/>
      <c r="H40" s="17"/>
      <c r="I40" s="18"/>
    </row>
    <row r="41" spans="1:9" x14ac:dyDescent="0.35">
      <c r="A41" s="8">
        <v>45345</v>
      </c>
      <c r="B41" t="s">
        <v>176</v>
      </c>
      <c r="C41" t="s">
        <v>10</v>
      </c>
      <c r="D41" s="1">
        <v>614756</v>
      </c>
      <c r="E41" s="1">
        <v>269618</v>
      </c>
      <c r="F41" s="2">
        <v>0.43857725666768599</v>
      </c>
      <c r="G41" s="1">
        <v>5037</v>
      </c>
      <c r="H41" s="2">
        <v>1.8681987107685701E-2</v>
      </c>
      <c r="I41" s="9">
        <v>8.1934946547898707E-3</v>
      </c>
    </row>
    <row r="42" spans="1:9" x14ac:dyDescent="0.35">
      <c r="A42" s="8">
        <v>45345</v>
      </c>
      <c r="B42" t="s">
        <v>176</v>
      </c>
      <c r="C42" t="s">
        <v>11</v>
      </c>
      <c r="D42" s="1">
        <v>45428</v>
      </c>
      <c r="E42" s="1">
        <v>18401</v>
      </c>
      <c r="F42" s="2">
        <v>0.40505855419565001</v>
      </c>
      <c r="G42" s="1">
        <v>737</v>
      </c>
      <c r="H42" s="2">
        <v>4.0052171077658801E-2</v>
      </c>
      <c r="I42" s="9">
        <v>1.6223474509113298E-2</v>
      </c>
    </row>
    <row r="43" spans="1:9" x14ac:dyDescent="0.35">
      <c r="A43" s="8">
        <v>45345</v>
      </c>
      <c r="B43" t="s">
        <v>178</v>
      </c>
      <c r="C43" t="s">
        <v>11</v>
      </c>
      <c r="D43" s="1">
        <v>139023</v>
      </c>
      <c r="E43" s="1">
        <v>56118</v>
      </c>
      <c r="F43" s="2">
        <v>0.403659826071945</v>
      </c>
      <c r="G43" s="1">
        <v>3108</v>
      </c>
      <c r="H43" s="2">
        <v>5.5383299476103903E-2</v>
      </c>
      <c r="I43" s="9">
        <v>2.2356013033814501E-2</v>
      </c>
    </row>
    <row r="44" spans="1:9" x14ac:dyDescent="0.35">
      <c r="A44" s="8">
        <v>45345</v>
      </c>
      <c r="B44" t="s">
        <v>179</v>
      </c>
      <c r="C44" t="s">
        <v>10</v>
      </c>
      <c r="D44" s="1">
        <v>5238</v>
      </c>
      <c r="E44" s="1">
        <v>2493</v>
      </c>
      <c r="F44" s="2">
        <v>0.475945017182131</v>
      </c>
      <c r="G44" s="1">
        <v>292</v>
      </c>
      <c r="H44" s="2">
        <v>0.117127958283193</v>
      </c>
      <c r="I44" s="9">
        <v>5.5746468117602102E-2</v>
      </c>
    </row>
    <row r="45" spans="1:9" x14ac:dyDescent="0.35">
      <c r="A45" s="8">
        <v>45345</v>
      </c>
      <c r="B45" t="s">
        <v>179</v>
      </c>
      <c r="C45" t="s">
        <v>11</v>
      </c>
      <c r="D45" s="1">
        <v>1769</v>
      </c>
      <c r="E45" s="1">
        <v>935</v>
      </c>
      <c r="F45" s="2">
        <v>0.528547201808932</v>
      </c>
      <c r="G45" s="1">
        <v>139</v>
      </c>
      <c r="H45" s="2">
        <v>0.14866310160427801</v>
      </c>
      <c r="I45" s="9">
        <v>7.8575466365178107E-2</v>
      </c>
    </row>
    <row r="46" spans="1:9" x14ac:dyDescent="0.35">
      <c r="A46" s="8">
        <v>45346</v>
      </c>
      <c r="B46" t="s">
        <v>180</v>
      </c>
      <c r="C46" t="s">
        <v>11</v>
      </c>
      <c r="D46" s="1">
        <v>98426</v>
      </c>
      <c r="E46" s="1">
        <v>32499</v>
      </c>
      <c r="F46" s="2">
        <v>0.33018714567289098</v>
      </c>
      <c r="G46" s="1">
        <v>1020</v>
      </c>
      <c r="H46" s="2">
        <v>3.1385581094802897E-2</v>
      </c>
      <c r="I46" s="9">
        <v>1.0363115436978E-2</v>
      </c>
    </row>
    <row r="47" spans="1:9" x14ac:dyDescent="0.35">
      <c r="A47" s="8">
        <v>45348</v>
      </c>
      <c r="B47" t="s">
        <v>181</v>
      </c>
      <c r="C47" t="s">
        <v>182</v>
      </c>
      <c r="D47" s="1">
        <v>255451</v>
      </c>
      <c r="E47" s="1">
        <v>106656</v>
      </c>
      <c r="F47" s="2">
        <v>0.41752038551424703</v>
      </c>
      <c r="G47" s="1">
        <v>3525</v>
      </c>
      <c r="H47" s="2">
        <v>3.30501800180018E-2</v>
      </c>
      <c r="I47" s="9">
        <v>1.37991239024314E-2</v>
      </c>
    </row>
    <row r="48" spans="1:9" x14ac:dyDescent="0.35">
      <c r="A48" s="8">
        <v>45349</v>
      </c>
      <c r="B48" t="s">
        <v>184</v>
      </c>
      <c r="C48" t="s">
        <v>185</v>
      </c>
      <c r="D48" s="1">
        <v>61113</v>
      </c>
      <c r="E48" s="1">
        <v>23037</v>
      </c>
      <c r="F48" s="2">
        <v>0.37695743949732502</v>
      </c>
      <c r="G48" s="1">
        <v>857</v>
      </c>
      <c r="H48" s="2">
        <v>3.7201024438945997E-2</v>
      </c>
      <c r="I48" s="9">
        <v>1.4023202919182499E-2</v>
      </c>
    </row>
    <row r="49" spans="1:9" x14ac:dyDescent="0.35">
      <c r="A49" s="8">
        <v>45350</v>
      </c>
      <c r="B49" t="s">
        <v>186</v>
      </c>
      <c r="C49" t="s">
        <v>11</v>
      </c>
      <c r="D49" s="1">
        <v>7626</v>
      </c>
      <c r="E49" s="1">
        <v>2982</v>
      </c>
      <c r="F49" s="2">
        <v>0.39103068450039302</v>
      </c>
      <c r="G49" s="1">
        <v>51</v>
      </c>
      <c r="H49" s="2">
        <v>1.7102615694165001E-2</v>
      </c>
      <c r="I49" s="9">
        <v>6.6876475216365097E-3</v>
      </c>
    </row>
    <row r="50" spans="1:9" x14ac:dyDescent="0.35">
      <c r="A50" s="8">
        <v>45351</v>
      </c>
      <c r="B50" t="s">
        <v>191</v>
      </c>
      <c r="C50" t="s">
        <v>10</v>
      </c>
      <c r="D50" s="1">
        <v>6743500</v>
      </c>
      <c r="E50" s="1">
        <v>2371265</v>
      </c>
      <c r="F50" s="2">
        <v>0.351637132053088</v>
      </c>
      <c r="G50" s="1">
        <v>28616</v>
      </c>
      <c r="H50" s="2">
        <v>1.20678203406199E-2</v>
      </c>
      <c r="I50" s="9">
        <v>4.2434937347074998E-3</v>
      </c>
    </row>
    <row r="51" spans="1:9" x14ac:dyDescent="0.35">
      <c r="A51" s="8">
        <v>45351</v>
      </c>
      <c r="B51" t="s">
        <v>191</v>
      </c>
      <c r="C51" t="s">
        <v>11</v>
      </c>
      <c r="D51" s="1">
        <v>435173</v>
      </c>
      <c r="E51" s="1">
        <v>142705</v>
      </c>
      <c r="F51" s="2">
        <v>0.327927054297946</v>
      </c>
      <c r="G51" s="1">
        <v>2180</v>
      </c>
      <c r="H51" s="2">
        <v>1.5276269226726501E-2</v>
      </c>
      <c r="I51" s="9">
        <v>5.0095019681827696E-3</v>
      </c>
    </row>
    <row r="52" spans="1:9" x14ac:dyDescent="0.35">
      <c r="A52" s="8">
        <v>45351</v>
      </c>
      <c r="B52" t="s">
        <v>192</v>
      </c>
      <c r="C52" t="s">
        <v>10</v>
      </c>
      <c r="D52" s="1">
        <v>137249</v>
      </c>
      <c r="E52" s="1">
        <v>54812</v>
      </c>
      <c r="F52" s="2">
        <v>0.399361743983563</v>
      </c>
      <c r="G52" s="1">
        <v>1402</v>
      </c>
      <c r="H52" s="2">
        <v>2.55783405093775E-2</v>
      </c>
      <c r="I52" s="9">
        <v>1.0215010674030399E-2</v>
      </c>
    </row>
    <row r="53" spans="1:9" ht="15" thickBot="1" x14ac:dyDescent="0.4">
      <c r="A53" s="12" t="s">
        <v>35</v>
      </c>
      <c r="B53" s="4"/>
      <c r="C53" s="4"/>
      <c r="D53" s="13">
        <f>SUM(D41:D52)</f>
        <v>8544752</v>
      </c>
      <c r="E53" s="13">
        <f>SUM(E41:E52)</f>
        <v>3081521</v>
      </c>
      <c r="F53" s="14">
        <f>AVERAGE(F41:F52)</f>
        <v>0.40386745345381631</v>
      </c>
      <c r="G53" s="13">
        <f>SUM(G41:G52)</f>
        <v>46964</v>
      </c>
      <c r="H53" s="14">
        <f>AVERAGE(H41:H52)</f>
        <v>4.5964195739296582E-2</v>
      </c>
      <c r="I53" s="15">
        <f>AVERAGE(I41:I52)</f>
        <v>2.0453001069803911E-2</v>
      </c>
    </row>
    <row r="54" spans="1:9" ht="3" customHeight="1" thickBot="1" x14ac:dyDescent="0.4">
      <c r="A54" s="139"/>
      <c r="B54" s="138"/>
      <c r="C54" s="138"/>
      <c r="D54" s="138"/>
      <c r="E54" s="138"/>
      <c r="F54" s="138"/>
      <c r="G54" s="138"/>
      <c r="H54" s="138"/>
      <c r="I54" s="140"/>
    </row>
    <row r="55" spans="1:9" x14ac:dyDescent="0.35">
      <c r="A55" s="16" t="s">
        <v>38</v>
      </c>
      <c r="B55" s="17"/>
      <c r="C55" s="17"/>
      <c r="D55" s="17"/>
      <c r="E55" s="17"/>
      <c r="F55" s="17"/>
      <c r="G55" s="17"/>
      <c r="H55" s="17"/>
      <c r="I55" s="18"/>
    </row>
    <row r="56" spans="1:9" x14ac:dyDescent="0.35">
      <c r="A56" s="8">
        <v>45351</v>
      </c>
      <c r="B56" t="s">
        <v>165</v>
      </c>
      <c r="C56" t="s">
        <v>187</v>
      </c>
      <c r="D56" s="1">
        <v>322692</v>
      </c>
      <c r="E56" s="1">
        <v>133773</v>
      </c>
      <c r="F56" s="3">
        <v>0.41460000000000002</v>
      </c>
      <c r="G56" s="1">
        <v>1490</v>
      </c>
      <c r="H56" s="3">
        <v>1.11E-2</v>
      </c>
      <c r="I56" s="11">
        <v>4.5999999999999999E-3</v>
      </c>
    </row>
    <row r="57" spans="1:9" x14ac:dyDescent="0.35">
      <c r="A57" s="8">
        <v>45351</v>
      </c>
      <c r="B57" t="s">
        <v>166</v>
      </c>
      <c r="C57" t="s">
        <v>188</v>
      </c>
      <c r="D57" s="1">
        <v>20537</v>
      </c>
      <c r="E57" s="1">
        <v>8265</v>
      </c>
      <c r="F57" s="3">
        <v>0.40239999999999998</v>
      </c>
      <c r="G57">
        <v>119</v>
      </c>
      <c r="H57" s="3">
        <v>1.44E-2</v>
      </c>
      <c r="I57" s="11">
        <v>5.7999999999999996E-3</v>
      </c>
    </row>
    <row r="58" spans="1:9" x14ac:dyDescent="0.35">
      <c r="A58" s="8">
        <v>45351</v>
      </c>
      <c r="B58" t="s">
        <v>167</v>
      </c>
      <c r="C58" t="s">
        <v>187</v>
      </c>
      <c r="D58" s="1">
        <v>1451006</v>
      </c>
      <c r="E58" s="1">
        <v>517525</v>
      </c>
      <c r="F58" s="3">
        <v>0.35670000000000002</v>
      </c>
      <c r="G58" s="1">
        <v>3831</v>
      </c>
      <c r="H58" s="3">
        <v>7.4000000000000003E-3</v>
      </c>
      <c r="I58" s="11">
        <v>2.5999999999999999E-3</v>
      </c>
    </row>
    <row r="59" spans="1:9" x14ac:dyDescent="0.35">
      <c r="A59" s="8">
        <v>45351</v>
      </c>
      <c r="B59" t="s">
        <v>168</v>
      </c>
      <c r="C59" t="s">
        <v>188</v>
      </c>
      <c r="D59" s="1">
        <v>70838</v>
      </c>
      <c r="E59" s="1">
        <v>22719</v>
      </c>
      <c r="F59" s="3">
        <v>0.32069999999999999</v>
      </c>
      <c r="G59">
        <v>298</v>
      </c>
      <c r="H59" s="3">
        <v>1.3100000000000001E-2</v>
      </c>
      <c r="I59" s="11">
        <v>4.1999999999999997E-3</v>
      </c>
    </row>
    <row r="60" spans="1:9" x14ac:dyDescent="0.35">
      <c r="A60" s="8">
        <v>45351</v>
      </c>
      <c r="B60" t="s">
        <v>169</v>
      </c>
      <c r="C60" t="s">
        <v>189</v>
      </c>
      <c r="D60" s="1">
        <v>478675</v>
      </c>
      <c r="E60" s="1">
        <v>175360</v>
      </c>
      <c r="F60" s="3">
        <v>0.36630000000000001</v>
      </c>
      <c r="G60" s="1">
        <v>1306</v>
      </c>
      <c r="H60" s="3">
        <v>7.4000000000000003E-3</v>
      </c>
      <c r="I60" s="11">
        <v>2.7000000000000001E-3</v>
      </c>
    </row>
    <row r="61" spans="1:9" x14ac:dyDescent="0.35">
      <c r="A61" s="8">
        <v>45351</v>
      </c>
      <c r="B61" t="s">
        <v>171</v>
      </c>
      <c r="C61" t="s">
        <v>190</v>
      </c>
      <c r="D61" s="1">
        <v>34737</v>
      </c>
      <c r="E61" s="1">
        <v>11736</v>
      </c>
      <c r="F61" s="3">
        <v>0.33789999999999998</v>
      </c>
      <c r="G61">
        <v>127</v>
      </c>
      <c r="H61" s="3">
        <v>1.0800000000000001E-2</v>
      </c>
      <c r="I61" s="11">
        <v>3.7000000000000002E-3</v>
      </c>
    </row>
    <row r="62" spans="1:9" ht="15" thickBot="1" x14ac:dyDescent="0.4">
      <c r="A62" s="12" t="s">
        <v>35</v>
      </c>
      <c r="B62" s="4"/>
      <c r="C62" s="4"/>
      <c r="D62" s="13">
        <f>SUM(D56:D61)</f>
        <v>2378485</v>
      </c>
      <c r="E62" s="13">
        <f>SUM(E56:E61)</f>
        <v>869378</v>
      </c>
      <c r="F62" s="14">
        <f>AVERAGE(F56:F61)</f>
        <v>0.36643333333333333</v>
      </c>
      <c r="G62" s="13">
        <f>SUM(G56:G61)</f>
        <v>7171</v>
      </c>
      <c r="H62" s="14">
        <f>AVERAGE(H56:H61)</f>
        <v>1.0700000000000001E-2</v>
      </c>
      <c r="I62" s="15">
        <f>AVERAGE(I56:I61)</f>
        <v>3.9333333333333338E-3</v>
      </c>
    </row>
  </sheetData>
  <mergeCells count="3">
    <mergeCell ref="A28:I28"/>
    <mergeCell ref="A39:I39"/>
    <mergeCell ref="A54:I54"/>
  </mergeCells>
  <pageMargins left="0.7" right="0.7" top="0.75" bottom="0.75" header="0.3" footer="0.3"/>
  <ignoredErrors>
    <ignoredError sqref="F27:G27 F38:G38 F53:G53 F62:G62" formula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C769-0BDF-45ED-BE04-952B933CF19F}">
  <dimension ref="A1:I84"/>
  <sheetViews>
    <sheetView topLeftCell="A6" workbookViewId="0">
      <selection activeCell="L23" sqref="L23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45352</v>
      </c>
      <c r="B2" t="s">
        <v>193</v>
      </c>
      <c r="C2" t="s">
        <v>10</v>
      </c>
      <c r="D2" s="1">
        <v>6747101</v>
      </c>
      <c r="E2" s="1">
        <v>2481139</v>
      </c>
      <c r="F2" s="2">
        <v>0.36773408312696099</v>
      </c>
      <c r="G2" s="1">
        <v>19901</v>
      </c>
      <c r="H2" s="2">
        <v>8.0209129758550407E-3</v>
      </c>
      <c r="I2" s="2">
        <v>2.9495630790172E-3</v>
      </c>
    </row>
    <row r="3" spans="1:9" x14ac:dyDescent="0.35">
      <c r="A3" s="19">
        <v>45352</v>
      </c>
      <c r="B3" t="s">
        <v>193</v>
      </c>
      <c r="C3" t="s">
        <v>11</v>
      </c>
      <c r="D3" s="1">
        <v>435113</v>
      </c>
      <c r="E3" s="1">
        <v>142360</v>
      </c>
      <c r="F3" s="2">
        <v>0.32717937639187999</v>
      </c>
      <c r="G3" s="1">
        <v>1836</v>
      </c>
      <c r="H3" s="2">
        <v>1.28968811463894E-2</v>
      </c>
      <c r="I3" s="2">
        <v>4.2195935308758899E-3</v>
      </c>
    </row>
    <row r="4" spans="1:9" x14ac:dyDescent="0.35">
      <c r="A4" s="19">
        <v>45352</v>
      </c>
      <c r="B4" t="s">
        <v>194</v>
      </c>
      <c r="C4" t="s">
        <v>10</v>
      </c>
      <c r="D4" s="1">
        <v>5035944</v>
      </c>
      <c r="E4" s="1">
        <v>1748478</v>
      </c>
      <c r="F4" s="2">
        <v>0.34719965114782803</v>
      </c>
      <c r="G4" s="1">
        <v>31683</v>
      </c>
      <c r="H4" s="2">
        <v>1.8120330939251202E-2</v>
      </c>
      <c r="I4" s="2">
        <v>6.2913725807912102E-3</v>
      </c>
    </row>
    <row r="5" spans="1:9" x14ac:dyDescent="0.35">
      <c r="A5" s="19">
        <v>45352</v>
      </c>
      <c r="B5" t="s">
        <v>194</v>
      </c>
      <c r="C5" t="s">
        <v>11</v>
      </c>
      <c r="D5" s="1">
        <v>320466</v>
      </c>
      <c r="E5" s="1">
        <v>99391</v>
      </c>
      <c r="F5" s="2">
        <v>0.31014522601461603</v>
      </c>
      <c r="G5" s="1">
        <v>3054</v>
      </c>
      <c r="H5" s="2">
        <v>3.0727128210803801E-2</v>
      </c>
      <c r="I5" s="2">
        <v>9.5298721237198295E-3</v>
      </c>
    </row>
    <row r="6" spans="1:9" ht="13.4" customHeight="1" x14ac:dyDescent="0.35">
      <c r="A6" s="19">
        <v>45352</v>
      </c>
      <c r="B6" t="s">
        <v>195</v>
      </c>
      <c r="C6" t="s">
        <v>10</v>
      </c>
      <c r="D6" s="1">
        <v>429995</v>
      </c>
      <c r="E6" s="1">
        <v>159810</v>
      </c>
      <c r="F6" s="2">
        <v>0.37165548436609702</v>
      </c>
      <c r="G6" s="1">
        <v>3063</v>
      </c>
      <c r="H6" s="2">
        <v>1.91665102308992E-2</v>
      </c>
      <c r="I6" s="2">
        <v>7.1233386434725997E-3</v>
      </c>
    </row>
    <row r="7" spans="1:9" x14ac:dyDescent="0.35">
      <c r="A7" s="19">
        <v>45352</v>
      </c>
      <c r="B7" t="s">
        <v>195</v>
      </c>
      <c r="C7" t="s">
        <v>11</v>
      </c>
      <c r="D7" s="1">
        <v>22818</v>
      </c>
      <c r="E7" s="1">
        <v>7771</v>
      </c>
      <c r="F7" s="2">
        <v>0.34056446664913698</v>
      </c>
      <c r="G7" s="1">
        <v>245</v>
      </c>
      <c r="H7" s="2">
        <v>3.1527473941577698E-2</v>
      </c>
      <c r="I7" s="2">
        <v>1.0737137347708E-2</v>
      </c>
    </row>
    <row r="8" spans="1:9" x14ac:dyDescent="0.35">
      <c r="A8" s="19">
        <v>45352</v>
      </c>
      <c r="B8" t="s">
        <v>196</v>
      </c>
      <c r="C8" t="s">
        <v>101</v>
      </c>
      <c r="D8" s="1">
        <v>24552</v>
      </c>
      <c r="E8" s="1">
        <v>8180</v>
      </c>
      <c r="F8" s="2">
        <v>0.333170413815575</v>
      </c>
      <c r="G8" s="1">
        <v>194</v>
      </c>
      <c r="H8" s="2">
        <v>2.3716381418092899E-2</v>
      </c>
      <c r="I8" s="2">
        <v>7.90159661127403E-3</v>
      </c>
    </row>
    <row r="9" spans="1:9" x14ac:dyDescent="0.35">
      <c r="A9" s="19">
        <v>45352</v>
      </c>
      <c r="B9" t="s">
        <v>196</v>
      </c>
      <c r="C9" t="s">
        <v>102</v>
      </c>
      <c r="D9" s="1">
        <v>8145</v>
      </c>
      <c r="E9" s="1">
        <v>3028</v>
      </c>
      <c r="F9" s="2">
        <v>0.37176181706568401</v>
      </c>
      <c r="G9" s="1">
        <v>124</v>
      </c>
      <c r="H9" s="2">
        <v>4.0951122853368598E-2</v>
      </c>
      <c r="I9" s="2">
        <v>1.52240638428484E-2</v>
      </c>
    </row>
    <row r="10" spans="1:9" x14ac:dyDescent="0.35">
      <c r="A10" s="19">
        <v>45352</v>
      </c>
      <c r="B10" t="s">
        <v>196</v>
      </c>
      <c r="C10" t="s">
        <v>103</v>
      </c>
      <c r="D10" s="1">
        <v>37898</v>
      </c>
      <c r="E10" s="1">
        <v>15345</v>
      </c>
      <c r="F10" s="2">
        <v>0.40490263338434701</v>
      </c>
      <c r="G10" s="1">
        <v>457</v>
      </c>
      <c r="H10" s="2">
        <v>2.9781687846204E-2</v>
      </c>
      <c r="I10" s="2">
        <v>1.20586838355586E-2</v>
      </c>
    </row>
    <row r="11" spans="1:9" x14ac:dyDescent="0.35">
      <c r="A11" s="19">
        <v>45352</v>
      </c>
      <c r="B11" t="s">
        <v>196</v>
      </c>
      <c r="C11" t="s">
        <v>106</v>
      </c>
      <c r="D11" s="1">
        <v>12113</v>
      </c>
      <c r="E11" s="1">
        <v>4453</v>
      </c>
      <c r="F11" s="2">
        <v>0.367621563609345</v>
      </c>
      <c r="G11" s="1">
        <v>120</v>
      </c>
      <c r="H11" s="2">
        <v>2.6948124859645199E-2</v>
      </c>
      <c r="I11" s="2">
        <v>9.9067117972426299E-3</v>
      </c>
    </row>
    <row r="12" spans="1:9" ht="14.5" customHeight="1" x14ac:dyDescent="0.35">
      <c r="A12" s="19">
        <v>45352</v>
      </c>
      <c r="B12" t="s">
        <v>196</v>
      </c>
      <c r="C12" t="s">
        <v>104</v>
      </c>
      <c r="D12" s="1">
        <v>158906</v>
      </c>
      <c r="E12" s="1">
        <v>60614</v>
      </c>
      <c r="F12" s="2">
        <v>0.381445634526072</v>
      </c>
      <c r="G12" s="1">
        <v>1466</v>
      </c>
      <c r="H12" s="2">
        <v>2.4185831656053099E-2</v>
      </c>
      <c r="I12" s="2">
        <v>9.2255799025839202E-3</v>
      </c>
    </row>
    <row r="13" spans="1:9" x14ac:dyDescent="0.35">
      <c r="A13" s="19">
        <v>45352</v>
      </c>
      <c r="B13" t="s">
        <v>197</v>
      </c>
      <c r="C13" t="s">
        <v>10</v>
      </c>
      <c r="D13" s="1">
        <v>87651</v>
      </c>
      <c r="E13" s="1">
        <v>34909</v>
      </c>
      <c r="F13" s="2">
        <v>0.39827269512042102</v>
      </c>
      <c r="G13" s="1">
        <v>3631</v>
      </c>
      <c r="H13" s="2">
        <v>0.10401329170128</v>
      </c>
      <c r="I13" s="2">
        <v>4.1425654014215503E-2</v>
      </c>
    </row>
    <row r="14" spans="1:9" ht="14.15" customHeight="1" x14ac:dyDescent="0.35">
      <c r="A14" s="19">
        <v>45352</v>
      </c>
      <c r="B14" t="s">
        <v>197</v>
      </c>
      <c r="C14" t="s">
        <v>11</v>
      </c>
      <c r="D14" s="1">
        <v>9645</v>
      </c>
      <c r="E14" s="1">
        <v>3592</v>
      </c>
      <c r="F14" s="2">
        <v>0.37242094349403798</v>
      </c>
      <c r="G14" s="1">
        <v>597</v>
      </c>
      <c r="H14" s="2">
        <v>0.166202672605791</v>
      </c>
      <c r="I14" s="2">
        <v>6.1897356143079299E-2</v>
      </c>
    </row>
    <row r="15" spans="1:9" x14ac:dyDescent="0.35">
      <c r="A15" s="19">
        <v>45353</v>
      </c>
      <c r="B15" t="s">
        <v>198</v>
      </c>
      <c r="C15" t="s">
        <v>10</v>
      </c>
      <c r="D15" s="1">
        <v>56811</v>
      </c>
      <c r="E15" s="1">
        <v>24929</v>
      </c>
      <c r="F15" s="2">
        <v>0.438805865061344</v>
      </c>
      <c r="G15" s="1">
        <v>1849</v>
      </c>
      <c r="H15" s="2">
        <v>7.4170644630751306E-2</v>
      </c>
      <c r="I15" s="2">
        <v>3.2546513879354401E-2</v>
      </c>
    </row>
    <row r="16" spans="1:9" ht="14.15" customHeight="1" x14ac:dyDescent="0.35">
      <c r="A16" s="19">
        <v>45353</v>
      </c>
      <c r="B16" t="s">
        <v>198</v>
      </c>
      <c r="C16" t="s">
        <v>11</v>
      </c>
      <c r="D16" s="1">
        <v>5502</v>
      </c>
      <c r="E16" s="1">
        <v>2592</v>
      </c>
      <c r="F16" s="2">
        <v>0.47110141766630298</v>
      </c>
      <c r="G16" s="1">
        <v>247</v>
      </c>
      <c r="H16" s="2">
        <v>9.5293209876543203E-2</v>
      </c>
      <c r="I16" s="2">
        <v>4.4892766266812101E-2</v>
      </c>
    </row>
    <row r="17" spans="1:9" ht="14.5" customHeight="1" x14ac:dyDescent="0.35">
      <c r="A17" s="19">
        <v>45354</v>
      </c>
      <c r="B17" t="s">
        <v>199</v>
      </c>
      <c r="C17" t="s">
        <v>10</v>
      </c>
      <c r="D17" s="1">
        <v>253049</v>
      </c>
      <c r="E17" s="1">
        <v>94556</v>
      </c>
      <c r="F17" s="2">
        <v>0.37366676019269002</v>
      </c>
      <c r="G17" s="1">
        <v>1865</v>
      </c>
      <c r="H17" s="2">
        <v>1.9723761580439099E-2</v>
      </c>
      <c r="I17" s="2">
        <v>7.3701140885757297E-3</v>
      </c>
    </row>
    <row r="18" spans="1:9" x14ac:dyDescent="0.35">
      <c r="A18" s="19">
        <v>45355</v>
      </c>
      <c r="B18" t="s">
        <v>200</v>
      </c>
      <c r="C18" t="s">
        <v>201</v>
      </c>
      <c r="D18" s="1">
        <v>252957</v>
      </c>
      <c r="E18" s="1">
        <v>90673</v>
      </c>
      <c r="F18" s="2">
        <v>0.358452227058354</v>
      </c>
      <c r="G18" s="1">
        <v>1981</v>
      </c>
      <c r="H18" s="2">
        <v>2.1847738577084701E-2</v>
      </c>
      <c r="I18" s="2">
        <v>7.83137054914472E-3</v>
      </c>
    </row>
    <row r="19" spans="1:9" x14ac:dyDescent="0.35">
      <c r="A19" s="19">
        <v>45356</v>
      </c>
      <c r="B19" t="s">
        <v>202</v>
      </c>
      <c r="C19" t="s">
        <v>10</v>
      </c>
      <c r="D19" s="1">
        <v>1371931</v>
      </c>
      <c r="E19" s="1">
        <v>525432</v>
      </c>
      <c r="F19" s="2">
        <v>0.38298719104677997</v>
      </c>
      <c r="G19" s="1">
        <v>14760</v>
      </c>
      <c r="H19" s="2">
        <v>2.80911706938291E-2</v>
      </c>
      <c r="I19" s="2">
        <v>1.0758558557245199E-2</v>
      </c>
    </row>
    <row r="20" spans="1:9" x14ac:dyDescent="0.35">
      <c r="A20" s="19">
        <v>45356</v>
      </c>
      <c r="B20" t="s">
        <v>202</v>
      </c>
      <c r="C20" t="s">
        <v>11</v>
      </c>
      <c r="D20" s="1">
        <v>97095</v>
      </c>
      <c r="E20" s="1">
        <v>31379</v>
      </c>
      <c r="F20" s="2">
        <v>0.32317833050105599</v>
      </c>
      <c r="G20" s="1">
        <v>1122</v>
      </c>
      <c r="H20" s="2">
        <v>3.5756397590745399E-2</v>
      </c>
      <c r="I20" s="2">
        <v>1.15556928781091E-2</v>
      </c>
    </row>
    <row r="21" spans="1:9" x14ac:dyDescent="0.35">
      <c r="A21" s="19">
        <v>45356</v>
      </c>
      <c r="B21" t="s">
        <v>203</v>
      </c>
      <c r="C21" t="s">
        <v>204</v>
      </c>
      <c r="D21" s="1">
        <v>60841</v>
      </c>
      <c r="E21" s="1">
        <v>21932</v>
      </c>
      <c r="F21" s="2">
        <v>0.36048059696586199</v>
      </c>
      <c r="G21" s="1">
        <v>294</v>
      </c>
      <c r="H21" s="2">
        <v>1.34050702170345E-2</v>
      </c>
      <c r="I21" s="2">
        <v>4.8322677142058797E-3</v>
      </c>
    </row>
    <row r="22" spans="1:9" x14ac:dyDescent="0.35">
      <c r="A22" s="19">
        <v>45357</v>
      </c>
      <c r="B22" t="s">
        <v>205</v>
      </c>
      <c r="C22" t="s">
        <v>10</v>
      </c>
      <c r="D22" s="1">
        <v>228386</v>
      </c>
      <c r="E22" s="1">
        <v>98763</v>
      </c>
      <c r="F22" s="2">
        <v>0.43243894109095998</v>
      </c>
      <c r="G22" s="1">
        <v>1649</v>
      </c>
      <c r="H22" s="2">
        <v>1.66965361522027E-2</v>
      </c>
      <c r="I22" s="2">
        <v>7.2202324135454904E-3</v>
      </c>
    </row>
    <row r="23" spans="1:9" x14ac:dyDescent="0.35">
      <c r="A23" s="19">
        <v>45357</v>
      </c>
      <c r="B23" t="s">
        <v>205</v>
      </c>
      <c r="C23" t="s">
        <v>11</v>
      </c>
      <c r="D23" s="1">
        <v>13548</v>
      </c>
      <c r="E23" s="1">
        <v>5985</v>
      </c>
      <c r="F23" s="2">
        <v>0.44176262178919401</v>
      </c>
      <c r="G23" s="1">
        <v>211</v>
      </c>
      <c r="H23" s="2">
        <v>3.5254803675856303E-2</v>
      </c>
      <c r="I23" s="2">
        <v>1.5574254502509601E-2</v>
      </c>
    </row>
    <row r="24" spans="1:9" x14ac:dyDescent="0.35">
      <c r="A24" s="19">
        <v>45357</v>
      </c>
      <c r="B24" t="s">
        <v>206</v>
      </c>
      <c r="C24" t="s">
        <v>10</v>
      </c>
      <c r="D24" s="1">
        <v>313292</v>
      </c>
      <c r="E24" s="1">
        <v>104078</v>
      </c>
      <c r="F24" s="2">
        <v>0.332207652924428</v>
      </c>
      <c r="G24" s="1">
        <v>1313</v>
      </c>
      <c r="H24" s="2">
        <v>1.2615538346240299E-2</v>
      </c>
      <c r="I24" s="2">
        <v>4.1909783843826201E-3</v>
      </c>
    </row>
    <row r="25" spans="1:9" x14ac:dyDescent="0.35">
      <c r="A25" s="19">
        <v>45357</v>
      </c>
      <c r="B25" t="s">
        <v>206</v>
      </c>
      <c r="C25" t="s">
        <v>11</v>
      </c>
      <c r="D25" s="1">
        <v>16093</v>
      </c>
      <c r="E25" s="1">
        <v>4980</v>
      </c>
      <c r="F25" s="2">
        <v>0.30945131423600297</v>
      </c>
      <c r="G25" s="1">
        <v>134</v>
      </c>
      <c r="H25" s="2">
        <v>2.6907630522088399E-2</v>
      </c>
      <c r="I25" s="2">
        <v>8.3266016280370402E-3</v>
      </c>
    </row>
    <row r="26" spans="1:9" x14ac:dyDescent="0.35">
      <c r="A26" s="19">
        <v>45357</v>
      </c>
      <c r="B26" t="s">
        <v>207</v>
      </c>
      <c r="C26" t="s">
        <v>10</v>
      </c>
      <c r="D26" s="1">
        <v>283875</v>
      </c>
      <c r="E26" s="1">
        <v>108535</v>
      </c>
      <c r="F26" s="2">
        <v>0.38233377366798799</v>
      </c>
      <c r="G26" s="1">
        <v>2748</v>
      </c>
      <c r="H26" s="2">
        <v>2.5319021513797401E-2</v>
      </c>
      <c r="I26" s="2">
        <v>9.68031704095112E-3</v>
      </c>
    </row>
    <row r="27" spans="1:9" x14ac:dyDescent="0.35">
      <c r="A27" s="19">
        <v>45358</v>
      </c>
      <c r="B27" t="s">
        <v>208</v>
      </c>
      <c r="C27" t="s">
        <v>209</v>
      </c>
      <c r="D27" s="1">
        <v>576592</v>
      </c>
      <c r="E27" s="1">
        <v>201819</v>
      </c>
      <c r="F27" s="3">
        <v>0.35</v>
      </c>
      <c r="G27" s="1">
        <v>3426</v>
      </c>
      <c r="H27" s="3">
        <v>1.7000000000000001E-2</v>
      </c>
      <c r="I27" s="3">
        <v>5.8999999999999999E-3</v>
      </c>
    </row>
    <row r="28" spans="1:9" x14ac:dyDescent="0.35">
      <c r="A28" s="19">
        <v>45358</v>
      </c>
      <c r="B28" t="s">
        <v>210</v>
      </c>
      <c r="C28" t="s">
        <v>211</v>
      </c>
      <c r="D28" s="1">
        <v>50402</v>
      </c>
      <c r="E28" s="1">
        <v>17879</v>
      </c>
      <c r="F28" s="3">
        <v>0.35470000000000002</v>
      </c>
      <c r="G28">
        <v>486</v>
      </c>
      <c r="H28" s="3">
        <v>2.7199999999999998E-2</v>
      </c>
      <c r="I28" s="3">
        <v>9.5999999999999992E-3</v>
      </c>
    </row>
    <row r="29" spans="1:9" x14ac:dyDescent="0.35">
      <c r="A29" s="19">
        <v>45358</v>
      </c>
      <c r="B29" t="s">
        <v>165</v>
      </c>
      <c r="C29" t="s">
        <v>31</v>
      </c>
      <c r="D29" s="1">
        <v>319928</v>
      </c>
      <c r="E29" s="1">
        <v>125157</v>
      </c>
      <c r="F29" s="3">
        <v>0.39119999999999999</v>
      </c>
      <c r="G29" s="1">
        <v>1485</v>
      </c>
      <c r="H29" s="3">
        <v>1.1900000000000001E-2</v>
      </c>
      <c r="I29" s="3">
        <v>4.5999999999999999E-3</v>
      </c>
    </row>
    <row r="30" spans="1:9" x14ac:dyDescent="0.35">
      <c r="A30" s="19">
        <v>45358</v>
      </c>
      <c r="B30" t="s">
        <v>166</v>
      </c>
      <c r="C30" t="s">
        <v>32</v>
      </c>
      <c r="D30" s="1">
        <v>20282</v>
      </c>
      <c r="E30" s="1">
        <v>7801</v>
      </c>
      <c r="F30" s="3">
        <v>0.3846</v>
      </c>
      <c r="G30">
        <v>135</v>
      </c>
      <c r="H30" s="3">
        <v>1.7299999999999999E-2</v>
      </c>
      <c r="I30" s="3">
        <v>6.7000000000000002E-3</v>
      </c>
    </row>
    <row r="31" spans="1:9" x14ac:dyDescent="0.35">
      <c r="A31" s="19">
        <v>45358</v>
      </c>
      <c r="B31" t="s">
        <v>167</v>
      </c>
      <c r="C31" t="s">
        <v>31</v>
      </c>
      <c r="D31" s="1">
        <v>1444966</v>
      </c>
      <c r="E31" s="1">
        <v>485826</v>
      </c>
      <c r="F31" s="3">
        <v>0.3362</v>
      </c>
      <c r="G31" s="1">
        <v>4003</v>
      </c>
      <c r="H31" s="3">
        <v>8.2000000000000007E-3</v>
      </c>
      <c r="I31" s="3">
        <v>2.8E-3</v>
      </c>
    </row>
    <row r="32" spans="1:9" x14ac:dyDescent="0.35">
      <c r="A32" s="19">
        <v>45358</v>
      </c>
      <c r="B32" t="s">
        <v>168</v>
      </c>
      <c r="C32" t="s">
        <v>32</v>
      </c>
      <c r="D32" s="1">
        <v>70236</v>
      </c>
      <c r="E32" s="1">
        <v>21440</v>
      </c>
      <c r="F32" s="3">
        <v>0.30530000000000002</v>
      </c>
      <c r="G32">
        <v>295</v>
      </c>
      <c r="H32" s="3">
        <v>1.38E-2</v>
      </c>
      <c r="I32" s="3">
        <v>4.1999999999999997E-3</v>
      </c>
    </row>
    <row r="33" spans="1:9" x14ac:dyDescent="0.35">
      <c r="A33" s="19">
        <v>45358</v>
      </c>
      <c r="B33" t="s">
        <v>169</v>
      </c>
      <c r="C33" t="s">
        <v>212</v>
      </c>
      <c r="D33" s="1">
        <v>477386</v>
      </c>
      <c r="E33" s="1">
        <v>164066</v>
      </c>
      <c r="F33" s="3">
        <v>0.34370000000000001</v>
      </c>
      <c r="G33" s="1">
        <v>1289</v>
      </c>
      <c r="H33" s="3">
        <v>7.9000000000000008E-3</v>
      </c>
      <c r="I33" s="3">
        <v>2.7000000000000001E-3</v>
      </c>
    </row>
    <row r="34" spans="1:9" x14ac:dyDescent="0.35">
      <c r="A34" s="19">
        <v>45358</v>
      </c>
      <c r="B34" t="s">
        <v>171</v>
      </c>
      <c r="C34" t="s">
        <v>213</v>
      </c>
      <c r="D34" s="1">
        <v>34628</v>
      </c>
      <c r="E34" s="1">
        <v>10983</v>
      </c>
      <c r="F34" s="3">
        <v>0.31719999999999998</v>
      </c>
      <c r="G34">
        <v>125</v>
      </c>
      <c r="H34" s="3">
        <v>1.14E-2</v>
      </c>
      <c r="I34" s="3">
        <v>3.5999999999999999E-3</v>
      </c>
    </row>
    <row r="35" spans="1:9" x14ac:dyDescent="0.35">
      <c r="A35" s="19">
        <v>45358</v>
      </c>
      <c r="B35" t="s">
        <v>214</v>
      </c>
      <c r="C35" t="s">
        <v>10</v>
      </c>
      <c r="D35" s="1">
        <v>797837</v>
      </c>
      <c r="E35" s="1">
        <v>210164</v>
      </c>
      <c r="F35" s="2">
        <v>0.30669999999999997</v>
      </c>
      <c r="G35" s="1">
        <v>2917</v>
      </c>
      <c r="H35" s="2">
        <v>1.2566376734359799E-2</v>
      </c>
      <c r="I35" s="2">
        <v>3.7000000000000002E-3</v>
      </c>
    </row>
    <row r="36" spans="1:9" x14ac:dyDescent="0.35">
      <c r="A36" s="19">
        <v>45358</v>
      </c>
      <c r="B36" t="s">
        <v>215</v>
      </c>
      <c r="C36" t="s">
        <v>10</v>
      </c>
      <c r="D36" s="1">
        <v>369655</v>
      </c>
      <c r="E36" s="1">
        <v>133989</v>
      </c>
      <c r="F36" s="2">
        <v>0.36247041160000498</v>
      </c>
      <c r="G36" s="1">
        <v>2579</v>
      </c>
      <c r="H36" s="2">
        <v>1.9247848703998101E-2</v>
      </c>
      <c r="I36" s="2">
        <v>6.9767756421528198E-3</v>
      </c>
    </row>
    <row r="37" spans="1:9" x14ac:dyDescent="0.35">
      <c r="A37" s="19">
        <v>45358</v>
      </c>
      <c r="B37" t="s">
        <v>215</v>
      </c>
      <c r="C37" t="s">
        <v>11</v>
      </c>
      <c r="D37" s="1">
        <v>22484</v>
      </c>
      <c r="E37" s="1">
        <v>7843</v>
      </c>
      <c r="F37" s="2">
        <v>0.348825831702544</v>
      </c>
      <c r="G37" s="1">
        <v>269</v>
      </c>
      <c r="H37" s="2">
        <v>3.42981002167538E-2</v>
      </c>
      <c r="I37" s="2">
        <v>1.19640633339263E-2</v>
      </c>
    </row>
    <row r="38" spans="1:9" ht="15" thickBot="1" x14ac:dyDescent="0.4">
      <c r="A38" s="20" t="s">
        <v>35</v>
      </c>
      <c r="D38" s="10">
        <f>SUM(D2:D37)</f>
        <v>20468123</v>
      </c>
      <c r="E38" s="10">
        <f>SUM(E2:E37)</f>
        <v>7269871</v>
      </c>
      <c r="F38" s="27">
        <f>AVERAGE(F2:F37)</f>
        <v>0.36393991456154207</v>
      </c>
      <c r="G38" s="10">
        <f>SUM(G2:G37)</f>
        <v>111553</v>
      </c>
      <c r="H38" s="27">
        <f>AVERAGE(H2:H37)</f>
        <v>3.1170894428248205E-2</v>
      </c>
      <c r="I38" s="27">
        <f>AVERAGE(I2:I37)</f>
        <v>1.1833639731426086E-2</v>
      </c>
    </row>
    <row r="39" spans="1:9" ht="15" thickBot="1" x14ac:dyDescent="0.4">
      <c r="A39" s="138"/>
      <c r="B39" s="138"/>
      <c r="C39" s="138"/>
      <c r="D39" s="138"/>
      <c r="E39" s="138"/>
      <c r="F39" s="138"/>
      <c r="G39" s="138"/>
      <c r="H39" s="138"/>
      <c r="I39" s="138"/>
    </row>
    <row r="40" spans="1:9" x14ac:dyDescent="0.35">
      <c r="A40" s="24" t="s">
        <v>0</v>
      </c>
      <c r="B40" s="25" t="s">
        <v>1</v>
      </c>
      <c r="C40" s="25" t="s">
        <v>2</v>
      </c>
      <c r="D40" s="25" t="s">
        <v>3</v>
      </c>
      <c r="E40" s="25" t="s">
        <v>4</v>
      </c>
      <c r="F40" s="25" t="s">
        <v>5</v>
      </c>
      <c r="G40" s="25" t="s">
        <v>6</v>
      </c>
      <c r="H40" s="25" t="s">
        <v>7</v>
      </c>
      <c r="I40" s="26" t="s">
        <v>8</v>
      </c>
    </row>
    <row r="41" spans="1:9" x14ac:dyDescent="0.35">
      <c r="A41" s="5" t="s">
        <v>36</v>
      </c>
      <c r="B41" s="6"/>
      <c r="C41" s="6"/>
      <c r="D41" s="6"/>
      <c r="E41" s="6"/>
      <c r="F41" s="6"/>
      <c r="G41" s="6"/>
      <c r="H41" s="6"/>
      <c r="I41" s="7"/>
    </row>
    <row r="42" spans="1:9" x14ac:dyDescent="0.35">
      <c r="A42" s="8">
        <v>45352</v>
      </c>
      <c r="B42" t="s">
        <v>194</v>
      </c>
      <c r="C42" t="s">
        <v>10</v>
      </c>
      <c r="D42" s="1">
        <v>5035944</v>
      </c>
      <c r="E42" s="1">
        <v>1748478</v>
      </c>
      <c r="F42" s="2">
        <v>0.34719965114782803</v>
      </c>
      <c r="G42" s="1">
        <v>31683</v>
      </c>
      <c r="H42" s="2">
        <v>1.8120330939251202E-2</v>
      </c>
      <c r="I42" s="9">
        <v>6.2913725807912102E-3</v>
      </c>
    </row>
    <row r="43" spans="1:9" x14ac:dyDescent="0.35">
      <c r="A43" s="8">
        <v>45352</v>
      </c>
      <c r="B43" t="s">
        <v>194</v>
      </c>
      <c r="C43" t="s">
        <v>11</v>
      </c>
      <c r="D43" s="1">
        <v>320466</v>
      </c>
      <c r="E43" s="1">
        <v>99391</v>
      </c>
      <c r="F43" s="2">
        <v>0.31014522601461603</v>
      </c>
      <c r="G43" s="1">
        <v>3054</v>
      </c>
      <c r="H43" s="2">
        <v>3.0727128210803801E-2</v>
      </c>
      <c r="I43" s="9">
        <v>9.5298721237198295E-3</v>
      </c>
    </row>
    <row r="44" spans="1:9" ht="13.4" customHeight="1" x14ac:dyDescent="0.35">
      <c r="A44" s="8">
        <v>45352</v>
      </c>
      <c r="B44" t="s">
        <v>195</v>
      </c>
      <c r="C44" t="s">
        <v>10</v>
      </c>
      <c r="D44" s="1">
        <v>429995</v>
      </c>
      <c r="E44" s="1">
        <v>159810</v>
      </c>
      <c r="F44" s="2">
        <v>0.37165548436609702</v>
      </c>
      <c r="G44" s="1">
        <v>3063</v>
      </c>
      <c r="H44" s="2">
        <v>1.91665102308992E-2</v>
      </c>
      <c r="I44" s="9">
        <v>7.1233386434725997E-3</v>
      </c>
    </row>
    <row r="45" spans="1:9" x14ac:dyDescent="0.35">
      <c r="A45" s="8">
        <v>45352</v>
      </c>
      <c r="B45" t="s">
        <v>195</v>
      </c>
      <c r="C45" t="s">
        <v>11</v>
      </c>
      <c r="D45" s="1">
        <v>22818</v>
      </c>
      <c r="E45" s="1">
        <v>7771</v>
      </c>
      <c r="F45" s="2">
        <v>0.34056446664913698</v>
      </c>
      <c r="G45" s="1">
        <v>245</v>
      </c>
      <c r="H45" s="2">
        <v>3.1527473941577698E-2</v>
      </c>
      <c r="I45" s="9">
        <v>1.0737137347708E-2</v>
      </c>
    </row>
    <row r="46" spans="1:9" x14ac:dyDescent="0.35">
      <c r="A46" s="8">
        <v>45356</v>
      </c>
      <c r="B46" t="s">
        <v>202</v>
      </c>
      <c r="C46" t="s">
        <v>10</v>
      </c>
      <c r="D46" s="1">
        <v>1371931</v>
      </c>
      <c r="E46" s="1">
        <v>525432</v>
      </c>
      <c r="F46" s="2">
        <v>0.38298719104677997</v>
      </c>
      <c r="G46" s="1">
        <v>14760</v>
      </c>
      <c r="H46" s="2">
        <v>2.80911706938291E-2</v>
      </c>
      <c r="I46" s="9">
        <v>1.0758558557245199E-2</v>
      </c>
    </row>
    <row r="47" spans="1:9" x14ac:dyDescent="0.35">
      <c r="A47" s="8">
        <v>45356</v>
      </c>
      <c r="B47" t="s">
        <v>202</v>
      </c>
      <c r="C47" t="s">
        <v>11</v>
      </c>
      <c r="D47" s="1">
        <v>97095</v>
      </c>
      <c r="E47" s="1">
        <v>31379</v>
      </c>
      <c r="F47" s="2">
        <v>0.32317833050105599</v>
      </c>
      <c r="G47" s="1">
        <v>1122</v>
      </c>
      <c r="H47" s="2">
        <v>3.5756397590745399E-2</v>
      </c>
      <c r="I47" s="9">
        <v>1.15556928781091E-2</v>
      </c>
    </row>
    <row r="48" spans="1:9" ht="15" thickBot="1" x14ac:dyDescent="0.4">
      <c r="A48" s="12" t="s">
        <v>35</v>
      </c>
      <c r="B48" s="4"/>
      <c r="C48" s="4"/>
      <c r="D48" s="13">
        <f>SUM(D42:D47)</f>
        <v>7278249</v>
      </c>
      <c r="E48" s="13">
        <f>SUM(E42:E47)</f>
        <v>2572261</v>
      </c>
      <c r="F48" s="14">
        <f>AVERAGE(F42:F47)</f>
        <v>0.34595505828758566</v>
      </c>
      <c r="G48" s="13">
        <f>SUM(G42:G47)</f>
        <v>53927</v>
      </c>
      <c r="H48" s="14">
        <f>AVERAGE(H42:H47)</f>
        <v>2.7231501934517732E-2</v>
      </c>
      <c r="I48" s="15">
        <f>AVERAGE(I42:I47)</f>
        <v>9.3326620218409893E-3</v>
      </c>
    </row>
    <row r="49" spans="1:9" ht="3" customHeight="1" thickBot="1" x14ac:dyDescent="0.4">
      <c r="A49" s="139"/>
      <c r="B49" s="138"/>
      <c r="C49" s="138"/>
      <c r="D49" s="138"/>
      <c r="E49" s="138"/>
      <c r="F49" s="138"/>
      <c r="G49" s="138"/>
      <c r="H49" s="138"/>
      <c r="I49" s="140"/>
    </row>
    <row r="50" spans="1:9" x14ac:dyDescent="0.35">
      <c r="A50" s="16" t="s">
        <v>37</v>
      </c>
      <c r="B50" s="17"/>
      <c r="C50" s="17"/>
      <c r="D50" s="17"/>
      <c r="E50" s="17"/>
      <c r="F50" s="17"/>
      <c r="G50" s="17"/>
      <c r="H50" s="17"/>
      <c r="I50" s="18"/>
    </row>
    <row r="51" spans="1:9" x14ac:dyDescent="0.35">
      <c r="A51" s="8">
        <v>45352</v>
      </c>
      <c r="B51" t="s">
        <v>193</v>
      </c>
      <c r="C51" t="s">
        <v>10</v>
      </c>
      <c r="D51" s="1">
        <v>6747101</v>
      </c>
      <c r="E51" s="1">
        <v>2481139</v>
      </c>
      <c r="F51" s="2">
        <v>0.36773408312696099</v>
      </c>
      <c r="G51" s="1">
        <v>19901</v>
      </c>
      <c r="H51" s="2">
        <v>8.0209129758550407E-3</v>
      </c>
      <c r="I51" s="9">
        <v>2.9495630790172E-3</v>
      </c>
    </row>
    <row r="52" spans="1:9" x14ac:dyDescent="0.35">
      <c r="A52" s="8">
        <v>45352</v>
      </c>
      <c r="B52" t="s">
        <v>193</v>
      </c>
      <c r="C52" t="s">
        <v>11</v>
      </c>
      <c r="D52" s="1">
        <v>435113</v>
      </c>
      <c r="E52" s="1">
        <v>142360</v>
      </c>
      <c r="F52" s="2">
        <v>0.32717937639187999</v>
      </c>
      <c r="G52" s="1">
        <v>1836</v>
      </c>
      <c r="H52" s="2">
        <v>1.28968811463894E-2</v>
      </c>
      <c r="I52" s="9">
        <v>4.2195935308758899E-3</v>
      </c>
    </row>
    <row r="53" spans="1:9" x14ac:dyDescent="0.35">
      <c r="A53" s="8">
        <v>45352</v>
      </c>
      <c r="B53" t="s">
        <v>196</v>
      </c>
      <c r="C53" t="s">
        <v>101</v>
      </c>
      <c r="D53" s="1">
        <v>24552</v>
      </c>
      <c r="E53" s="1">
        <v>8180</v>
      </c>
      <c r="F53" s="2">
        <v>0.333170413815575</v>
      </c>
      <c r="G53" s="1">
        <v>194</v>
      </c>
      <c r="H53" s="2">
        <v>2.3716381418092899E-2</v>
      </c>
      <c r="I53" s="9">
        <v>7.90159661127403E-3</v>
      </c>
    </row>
    <row r="54" spans="1:9" x14ac:dyDescent="0.35">
      <c r="A54" s="8">
        <v>45352</v>
      </c>
      <c r="B54" t="s">
        <v>196</v>
      </c>
      <c r="C54" t="s">
        <v>102</v>
      </c>
      <c r="D54" s="1">
        <v>8145</v>
      </c>
      <c r="E54" s="1">
        <v>3028</v>
      </c>
      <c r="F54" s="2">
        <v>0.37176181706568401</v>
      </c>
      <c r="G54" s="1">
        <v>124</v>
      </c>
      <c r="H54" s="2">
        <v>4.0951122853368598E-2</v>
      </c>
      <c r="I54" s="9">
        <v>1.52240638428484E-2</v>
      </c>
    </row>
    <row r="55" spans="1:9" x14ac:dyDescent="0.35">
      <c r="A55" s="8">
        <v>45352</v>
      </c>
      <c r="B55" t="s">
        <v>196</v>
      </c>
      <c r="C55" t="s">
        <v>103</v>
      </c>
      <c r="D55" s="1">
        <v>37898</v>
      </c>
      <c r="E55" s="1">
        <v>15345</v>
      </c>
      <c r="F55" s="2">
        <v>0.40490263338434701</v>
      </c>
      <c r="G55" s="1">
        <v>457</v>
      </c>
      <c r="H55" s="2">
        <v>2.9781687846204E-2</v>
      </c>
      <c r="I55" s="9">
        <v>1.20586838355586E-2</v>
      </c>
    </row>
    <row r="56" spans="1:9" x14ac:dyDescent="0.35">
      <c r="A56" s="8">
        <v>45352</v>
      </c>
      <c r="B56" t="s">
        <v>196</v>
      </c>
      <c r="C56" t="s">
        <v>106</v>
      </c>
      <c r="D56" s="1">
        <v>12113</v>
      </c>
      <c r="E56" s="1">
        <v>4453</v>
      </c>
      <c r="F56" s="2">
        <v>0.367621563609345</v>
      </c>
      <c r="G56" s="1">
        <v>120</v>
      </c>
      <c r="H56" s="2">
        <v>2.6948124859645199E-2</v>
      </c>
      <c r="I56" s="9">
        <v>9.9067117972426299E-3</v>
      </c>
    </row>
    <row r="57" spans="1:9" ht="14.5" customHeight="1" x14ac:dyDescent="0.35">
      <c r="A57" s="8">
        <v>45352</v>
      </c>
      <c r="B57" t="s">
        <v>196</v>
      </c>
      <c r="C57" t="s">
        <v>104</v>
      </c>
      <c r="D57" s="1">
        <v>158906</v>
      </c>
      <c r="E57" s="1">
        <v>60614</v>
      </c>
      <c r="F57" s="2">
        <v>0.381445634526072</v>
      </c>
      <c r="G57" s="1">
        <v>1466</v>
      </c>
      <c r="H57" s="2">
        <v>2.4185831656053099E-2</v>
      </c>
      <c r="I57" s="9">
        <v>9.2255799025839202E-3</v>
      </c>
    </row>
    <row r="58" spans="1:9" x14ac:dyDescent="0.35">
      <c r="A58" s="8">
        <v>45352</v>
      </c>
      <c r="B58" t="s">
        <v>197</v>
      </c>
      <c r="C58" t="s">
        <v>10</v>
      </c>
      <c r="D58" s="1">
        <v>87651</v>
      </c>
      <c r="E58" s="1">
        <v>34909</v>
      </c>
      <c r="F58" s="2">
        <v>0.39827269512042102</v>
      </c>
      <c r="G58" s="1">
        <v>3631</v>
      </c>
      <c r="H58" s="2">
        <v>0.10401329170128</v>
      </c>
      <c r="I58" s="9">
        <v>4.1425654014215503E-2</v>
      </c>
    </row>
    <row r="59" spans="1:9" ht="14.15" customHeight="1" x14ac:dyDescent="0.35">
      <c r="A59" s="8">
        <v>45352</v>
      </c>
      <c r="B59" t="s">
        <v>197</v>
      </c>
      <c r="C59" t="s">
        <v>11</v>
      </c>
      <c r="D59" s="1">
        <v>9645</v>
      </c>
      <c r="E59" s="1">
        <v>3592</v>
      </c>
      <c r="F59" s="2">
        <v>0.37242094349403798</v>
      </c>
      <c r="G59" s="1">
        <v>597</v>
      </c>
      <c r="H59" s="2">
        <v>0.166202672605791</v>
      </c>
      <c r="I59" s="9">
        <v>6.1897356143079299E-2</v>
      </c>
    </row>
    <row r="60" spans="1:9" x14ac:dyDescent="0.35">
      <c r="A60" s="8">
        <v>45353</v>
      </c>
      <c r="B60" t="s">
        <v>198</v>
      </c>
      <c r="C60" t="s">
        <v>10</v>
      </c>
      <c r="D60" s="1">
        <v>56811</v>
      </c>
      <c r="E60" s="1">
        <v>24929</v>
      </c>
      <c r="F60" s="2">
        <v>0.438805865061344</v>
      </c>
      <c r="G60" s="1">
        <v>1849</v>
      </c>
      <c r="H60" s="2">
        <v>7.4170644630751306E-2</v>
      </c>
      <c r="I60" s="9">
        <v>3.2546513879354401E-2</v>
      </c>
    </row>
    <row r="61" spans="1:9" ht="14.15" customHeight="1" x14ac:dyDescent="0.35">
      <c r="A61" s="8">
        <v>45353</v>
      </c>
      <c r="B61" t="s">
        <v>198</v>
      </c>
      <c r="C61" t="s">
        <v>11</v>
      </c>
      <c r="D61" s="1">
        <v>5502</v>
      </c>
      <c r="E61" s="1">
        <v>2592</v>
      </c>
      <c r="F61" s="2">
        <v>0.47110141766630298</v>
      </c>
      <c r="G61" s="1">
        <v>247</v>
      </c>
      <c r="H61" s="2">
        <v>9.5293209876543203E-2</v>
      </c>
      <c r="I61" s="9">
        <v>4.4892766266812101E-2</v>
      </c>
    </row>
    <row r="62" spans="1:9" ht="14.5" customHeight="1" x14ac:dyDescent="0.35">
      <c r="A62" s="8">
        <v>45354</v>
      </c>
      <c r="B62" t="s">
        <v>199</v>
      </c>
      <c r="C62" t="s">
        <v>10</v>
      </c>
      <c r="D62" s="1">
        <v>253049</v>
      </c>
      <c r="E62" s="1">
        <v>94556</v>
      </c>
      <c r="F62" s="2">
        <v>0.37366676019269002</v>
      </c>
      <c r="G62" s="1">
        <v>1865</v>
      </c>
      <c r="H62" s="2">
        <v>1.9723761580439099E-2</v>
      </c>
      <c r="I62" s="9">
        <v>7.3701140885757297E-3</v>
      </c>
    </row>
    <row r="63" spans="1:9" x14ac:dyDescent="0.35">
      <c r="A63" s="8">
        <v>45355</v>
      </c>
      <c r="B63" t="s">
        <v>200</v>
      </c>
      <c r="C63" t="s">
        <v>201</v>
      </c>
      <c r="D63" s="1">
        <v>252957</v>
      </c>
      <c r="E63" s="1">
        <v>90673</v>
      </c>
      <c r="F63" s="2">
        <v>0.358452227058354</v>
      </c>
      <c r="G63" s="1">
        <v>1981</v>
      </c>
      <c r="H63" s="2">
        <v>2.1847738577084701E-2</v>
      </c>
      <c r="I63" s="9">
        <v>7.83137054914472E-3</v>
      </c>
    </row>
    <row r="64" spans="1:9" x14ac:dyDescent="0.35">
      <c r="A64" s="8">
        <v>45356</v>
      </c>
      <c r="B64" t="s">
        <v>203</v>
      </c>
      <c r="C64" t="s">
        <v>204</v>
      </c>
      <c r="D64" s="1">
        <v>60841</v>
      </c>
      <c r="E64" s="1">
        <v>21932</v>
      </c>
      <c r="F64" s="2">
        <v>0.36048059696586199</v>
      </c>
      <c r="G64" s="1">
        <v>294</v>
      </c>
      <c r="H64" s="2">
        <v>1.34050702170345E-2</v>
      </c>
      <c r="I64" s="9">
        <v>4.8322677142058797E-3</v>
      </c>
    </row>
    <row r="65" spans="1:9" x14ac:dyDescent="0.35">
      <c r="A65" s="8">
        <v>45357</v>
      </c>
      <c r="B65" t="s">
        <v>205</v>
      </c>
      <c r="C65" t="s">
        <v>10</v>
      </c>
      <c r="D65" s="1">
        <v>228386</v>
      </c>
      <c r="E65" s="1">
        <v>98763</v>
      </c>
      <c r="F65" s="2">
        <v>0.43243894109095998</v>
      </c>
      <c r="G65" s="1">
        <v>1649</v>
      </c>
      <c r="H65" s="2">
        <v>1.66965361522027E-2</v>
      </c>
      <c r="I65" s="9">
        <v>7.2202324135454904E-3</v>
      </c>
    </row>
    <row r="66" spans="1:9" x14ac:dyDescent="0.35">
      <c r="A66" s="8">
        <v>45357</v>
      </c>
      <c r="B66" t="s">
        <v>205</v>
      </c>
      <c r="C66" t="s">
        <v>11</v>
      </c>
      <c r="D66" s="1">
        <v>13548</v>
      </c>
      <c r="E66" s="1">
        <v>5985</v>
      </c>
      <c r="F66" s="2">
        <v>0.44176262178919401</v>
      </c>
      <c r="G66" s="1">
        <v>211</v>
      </c>
      <c r="H66" s="2">
        <v>3.5254803675856303E-2</v>
      </c>
      <c r="I66" s="9">
        <v>1.5574254502509601E-2</v>
      </c>
    </row>
    <row r="67" spans="1:9" x14ac:dyDescent="0.35">
      <c r="A67" s="8">
        <v>45357</v>
      </c>
      <c r="B67" t="s">
        <v>206</v>
      </c>
      <c r="C67" t="s">
        <v>10</v>
      </c>
      <c r="D67" s="1">
        <v>313292</v>
      </c>
      <c r="E67" s="1">
        <v>104078</v>
      </c>
      <c r="F67" s="2">
        <v>0.332207652924428</v>
      </c>
      <c r="G67" s="1">
        <v>1313</v>
      </c>
      <c r="H67" s="2">
        <v>1.2615538346240299E-2</v>
      </c>
      <c r="I67" s="9">
        <v>4.1909783843826201E-3</v>
      </c>
    </row>
    <row r="68" spans="1:9" x14ac:dyDescent="0.35">
      <c r="A68" s="8">
        <v>45357</v>
      </c>
      <c r="B68" t="s">
        <v>206</v>
      </c>
      <c r="C68" t="s">
        <v>11</v>
      </c>
      <c r="D68" s="1">
        <v>16093</v>
      </c>
      <c r="E68" s="1">
        <v>4980</v>
      </c>
      <c r="F68" s="2">
        <v>0.30945131423600297</v>
      </c>
      <c r="G68" s="1">
        <v>134</v>
      </c>
      <c r="H68" s="2">
        <v>2.6907630522088399E-2</v>
      </c>
      <c r="I68" s="9">
        <v>8.3266016280370402E-3</v>
      </c>
    </row>
    <row r="69" spans="1:9" x14ac:dyDescent="0.35">
      <c r="A69" s="8">
        <v>45357</v>
      </c>
      <c r="B69" t="s">
        <v>207</v>
      </c>
      <c r="C69" t="s">
        <v>10</v>
      </c>
      <c r="D69" s="1">
        <v>283875</v>
      </c>
      <c r="E69" s="1">
        <v>108535</v>
      </c>
      <c r="F69" s="2">
        <v>0.38233377366798799</v>
      </c>
      <c r="G69" s="1">
        <v>2748</v>
      </c>
      <c r="H69" s="2">
        <v>2.5319021513797401E-2</v>
      </c>
      <c r="I69" s="9">
        <v>9.68031704095112E-3</v>
      </c>
    </row>
    <row r="70" spans="1:9" x14ac:dyDescent="0.35">
      <c r="A70" s="8">
        <v>45358</v>
      </c>
      <c r="B70" t="s">
        <v>214</v>
      </c>
      <c r="C70" t="s">
        <v>10</v>
      </c>
      <c r="D70" s="1">
        <v>797837</v>
      </c>
      <c r="E70" s="1">
        <v>210164</v>
      </c>
      <c r="F70" s="2">
        <v>0.30669999999999997</v>
      </c>
      <c r="G70" s="1">
        <v>2917</v>
      </c>
      <c r="H70" s="2">
        <v>1.2566376734359799E-2</v>
      </c>
      <c r="I70" s="9">
        <v>3.7000000000000002E-3</v>
      </c>
    </row>
    <row r="71" spans="1:9" x14ac:dyDescent="0.35">
      <c r="A71" s="8">
        <v>45358</v>
      </c>
      <c r="B71" t="s">
        <v>215</v>
      </c>
      <c r="C71" t="s">
        <v>10</v>
      </c>
      <c r="D71" s="1">
        <v>369655</v>
      </c>
      <c r="E71" s="1">
        <v>133989</v>
      </c>
      <c r="F71" s="2">
        <v>0.36247041160000498</v>
      </c>
      <c r="G71" s="1">
        <v>2579</v>
      </c>
      <c r="H71" s="2">
        <v>1.9247848703998101E-2</v>
      </c>
      <c r="I71" s="9">
        <v>6.9767756421528198E-3</v>
      </c>
    </row>
    <row r="72" spans="1:9" x14ac:dyDescent="0.35">
      <c r="A72" s="8">
        <v>45358</v>
      </c>
      <c r="B72" t="s">
        <v>215</v>
      </c>
      <c r="C72" t="s">
        <v>11</v>
      </c>
      <c r="D72" s="1">
        <v>22484</v>
      </c>
      <c r="E72" s="1">
        <v>7843</v>
      </c>
      <c r="F72" s="2">
        <v>0.348825831702544</v>
      </c>
      <c r="G72" s="1">
        <v>269</v>
      </c>
      <c r="H72" s="2">
        <v>3.42981002167538E-2</v>
      </c>
      <c r="I72" s="9">
        <v>1.19640633339263E-2</v>
      </c>
    </row>
    <row r="73" spans="1:9" ht="15" thickBot="1" x14ac:dyDescent="0.4">
      <c r="A73" s="12" t="s">
        <v>35</v>
      </c>
      <c r="B73" s="4"/>
      <c r="C73" s="4"/>
      <c r="D73" s="13">
        <f>SUM(D51:D72)</f>
        <v>10195454</v>
      </c>
      <c r="E73" s="13">
        <f>SUM(E51:E72)</f>
        <v>3662639</v>
      </c>
      <c r="F73" s="14">
        <f>AVERAGE(F51:F72)</f>
        <v>0.37469120793136362</v>
      </c>
      <c r="G73" s="13">
        <f>SUM(G51:G72)</f>
        <v>46382</v>
      </c>
      <c r="H73" s="14">
        <f>AVERAGE(H51:H72)</f>
        <v>3.8366508536810402E-2</v>
      </c>
      <c r="I73" s="15">
        <f>AVERAGE(I51:I72)</f>
        <v>1.4996139009104237E-2</v>
      </c>
    </row>
    <row r="74" spans="1:9" ht="3" customHeight="1" thickBot="1" x14ac:dyDescent="0.4">
      <c r="A74" s="139"/>
      <c r="B74" s="138"/>
      <c r="C74" s="138"/>
      <c r="D74" s="138"/>
      <c r="E74" s="138"/>
      <c r="F74" s="138"/>
      <c r="G74" s="138"/>
      <c r="H74" s="138"/>
      <c r="I74" s="140"/>
    </row>
    <row r="75" spans="1:9" x14ac:dyDescent="0.35">
      <c r="A75" s="16" t="s">
        <v>38</v>
      </c>
      <c r="B75" s="17"/>
      <c r="C75" s="17"/>
      <c r="D75" s="17"/>
      <c r="E75" s="17"/>
      <c r="F75" s="17"/>
      <c r="G75" s="17"/>
      <c r="H75" s="17"/>
      <c r="I75" s="18"/>
    </row>
    <row r="76" spans="1:9" x14ac:dyDescent="0.35">
      <c r="A76" s="8">
        <v>45358</v>
      </c>
      <c r="B76" t="s">
        <v>208</v>
      </c>
      <c r="C76" t="s">
        <v>209</v>
      </c>
      <c r="D76" s="1">
        <v>576592</v>
      </c>
      <c r="E76" s="1">
        <v>201819</v>
      </c>
      <c r="F76" s="3">
        <v>0.35</v>
      </c>
      <c r="G76" s="1">
        <v>3426</v>
      </c>
      <c r="H76" s="3">
        <v>1.7000000000000001E-2</v>
      </c>
      <c r="I76" s="11">
        <v>5.8999999999999999E-3</v>
      </c>
    </row>
    <row r="77" spans="1:9" x14ac:dyDescent="0.35">
      <c r="A77" s="8">
        <v>45358</v>
      </c>
      <c r="B77" t="s">
        <v>210</v>
      </c>
      <c r="C77" t="s">
        <v>211</v>
      </c>
      <c r="D77" s="1">
        <v>50402</v>
      </c>
      <c r="E77" s="1">
        <v>17879</v>
      </c>
      <c r="F77" s="3">
        <v>0.35470000000000002</v>
      </c>
      <c r="G77">
        <v>486</v>
      </c>
      <c r="H77" s="3">
        <v>2.7199999999999998E-2</v>
      </c>
      <c r="I77" s="11">
        <v>9.5999999999999992E-3</v>
      </c>
    </row>
    <row r="78" spans="1:9" x14ac:dyDescent="0.35">
      <c r="A78" s="8">
        <v>45358</v>
      </c>
      <c r="B78" t="s">
        <v>165</v>
      </c>
      <c r="C78" t="s">
        <v>31</v>
      </c>
      <c r="D78" s="1">
        <v>319928</v>
      </c>
      <c r="E78" s="1">
        <v>125157</v>
      </c>
      <c r="F78" s="3">
        <v>0.39119999999999999</v>
      </c>
      <c r="G78" s="1">
        <v>1485</v>
      </c>
      <c r="H78" s="3">
        <v>1.1900000000000001E-2</v>
      </c>
      <c r="I78" s="11">
        <v>4.5999999999999999E-3</v>
      </c>
    </row>
    <row r="79" spans="1:9" x14ac:dyDescent="0.35">
      <c r="A79" s="8">
        <v>45358</v>
      </c>
      <c r="B79" t="s">
        <v>166</v>
      </c>
      <c r="C79" t="s">
        <v>32</v>
      </c>
      <c r="D79" s="1">
        <v>20282</v>
      </c>
      <c r="E79" s="1">
        <v>7801</v>
      </c>
      <c r="F79" s="3">
        <v>0.3846</v>
      </c>
      <c r="G79">
        <v>135</v>
      </c>
      <c r="H79" s="3">
        <v>1.7299999999999999E-2</v>
      </c>
      <c r="I79" s="11">
        <v>6.7000000000000002E-3</v>
      </c>
    </row>
    <row r="80" spans="1:9" x14ac:dyDescent="0.35">
      <c r="A80" s="8">
        <v>45358</v>
      </c>
      <c r="B80" t="s">
        <v>167</v>
      </c>
      <c r="C80" t="s">
        <v>31</v>
      </c>
      <c r="D80" s="1">
        <v>1444966</v>
      </c>
      <c r="E80" s="1">
        <v>485826</v>
      </c>
      <c r="F80" s="3">
        <v>0.3362</v>
      </c>
      <c r="G80" s="1">
        <v>4003</v>
      </c>
      <c r="H80" s="3">
        <v>8.2000000000000007E-3</v>
      </c>
      <c r="I80" s="11">
        <v>2.8E-3</v>
      </c>
    </row>
    <row r="81" spans="1:9" x14ac:dyDescent="0.35">
      <c r="A81" s="8">
        <v>45358</v>
      </c>
      <c r="B81" t="s">
        <v>168</v>
      </c>
      <c r="C81" t="s">
        <v>32</v>
      </c>
      <c r="D81" s="1">
        <v>70236</v>
      </c>
      <c r="E81" s="1">
        <v>21440</v>
      </c>
      <c r="F81" s="3">
        <v>0.30530000000000002</v>
      </c>
      <c r="G81">
        <v>295</v>
      </c>
      <c r="H81" s="3">
        <v>1.38E-2</v>
      </c>
      <c r="I81" s="11">
        <v>4.1999999999999997E-3</v>
      </c>
    </row>
    <row r="82" spans="1:9" x14ac:dyDescent="0.35">
      <c r="A82" s="8">
        <v>45358</v>
      </c>
      <c r="B82" t="s">
        <v>169</v>
      </c>
      <c r="C82" t="s">
        <v>212</v>
      </c>
      <c r="D82" s="1">
        <v>477386</v>
      </c>
      <c r="E82" s="1">
        <v>164066</v>
      </c>
      <c r="F82" s="3">
        <v>0.34370000000000001</v>
      </c>
      <c r="G82" s="1">
        <v>1289</v>
      </c>
      <c r="H82" s="3">
        <v>7.9000000000000008E-3</v>
      </c>
      <c r="I82" s="11">
        <v>2.7000000000000001E-3</v>
      </c>
    </row>
    <row r="83" spans="1:9" x14ac:dyDescent="0.35">
      <c r="A83" s="8">
        <v>45358</v>
      </c>
      <c r="B83" t="s">
        <v>171</v>
      </c>
      <c r="C83" t="s">
        <v>213</v>
      </c>
      <c r="D83" s="1">
        <v>34628</v>
      </c>
      <c r="E83" s="1">
        <v>10983</v>
      </c>
      <c r="F83" s="3">
        <v>0.31719999999999998</v>
      </c>
      <c r="G83">
        <v>125</v>
      </c>
      <c r="H83" s="3">
        <v>1.14E-2</v>
      </c>
      <c r="I83" s="11">
        <v>3.5999999999999999E-3</v>
      </c>
    </row>
    <row r="84" spans="1:9" ht="15" thickBot="1" x14ac:dyDescent="0.4">
      <c r="A84" s="12" t="s">
        <v>35</v>
      </c>
      <c r="B84" s="4"/>
      <c r="C84" s="4"/>
      <c r="D84" s="13">
        <f>SUM(D76:D83)</f>
        <v>2994420</v>
      </c>
      <c r="E84" s="13">
        <f>SUM(E76:E83)</f>
        <v>1034971</v>
      </c>
      <c r="F84" s="14">
        <f>AVERAGE(F76:F83)</f>
        <v>0.34786250000000002</v>
      </c>
      <c r="G84" s="13">
        <f>SUM(G76:G83)</f>
        <v>11244</v>
      </c>
      <c r="H84" s="14">
        <f>AVERAGE(H76:H83)</f>
        <v>1.4337500000000003E-2</v>
      </c>
      <c r="I84" s="15">
        <f>AVERAGE(I76:I83)</f>
        <v>5.0125000000000005E-3</v>
      </c>
    </row>
  </sheetData>
  <mergeCells count="3">
    <mergeCell ref="A39:I39"/>
    <mergeCell ref="A49:I49"/>
    <mergeCell ref="A74:I74"/>
  </mergeCells>
  <pageMargins left="0.7" right="0.7" top="0.75" bottom="0.75" header="0.3" footer="0.3"/>
  <ignoredErrors>
    <ignoredError sqref="F38:G38 F84:G84 F73:G73 F48:G48" formula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8A3A-F124-4F8F-BEDB-B3CF498ED710}">
  <dimension ref="A1:I64"/>
  <sheetViews>
    <sheetView workbookViewId="0">
      <selection activeCell="D28" sqref="D28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45359</v>
      </c>
      <c r="B2" t="s">
        <v>216</v>
      </c>
      <c r="C2" t="s">
        <v>10</v>
      </c>
      <c r="D2" s="1">
        <v>425014</v>
      </c>
      <c r="E2" s="1">
        <v>136083</v>
      </c>
      <c r="F2" s="2">
        <v>0.32018474685539799</v>
      </c>
      <c r="G2" s="1">
        <v>2737</v>
      </c>
      <c r="H2" s="2">
        <v>2.01127253220461E-2</v>
      </c>
      <c r="I2" s="2">
        <v>6.4397878658114796E-3</v>
      </c>
    </row>
    <row r="3" spans="1:9" x14ac:dyDescent="0.35">
      <c r="A3" s="19">
        <v>45359</v>
      </c>
      <c r="B3" t="s">
        <v>217</v>
      </c>
      <c r="C3" t="s">
        <v>10</v>
      </c>
      <c r="D3" s="1">
        <v>283579</v>
      </c>
      <c r="E3" s="1">
        <v>95283</v>
      </c>
      <c r="F3" s="2">
        <v>0.33600160801751899</v>
      </c>
      <c r="G3" s="1">
        <v>1163</v>
      </c>
      <c r="H3" s="2">
        <v>1.2205744991236601E-2</v>
      </c>
      <c r="I3" s="2">
        <v>4.1011499441072899E-3</v>
      </c>
    </row>
    <row r="4" spans="1:9" x14ac:dyDescent="0.35">
      <c r="A4" s="19">
        <v>45359</v>
      </c>
      <c r="B4" t="s">
        <v>218</v>
      </c>
      <c r="C4" t="s">
        <v>10</v>
      </c>
      <c r="D4" s="1">
        <v>4998705</v>
      </c>
      <c r="E4" s="1">
        <v>1795311</v>
      </c>
      <c r="F4" s="2">
        <v>0.36109999999999998</v>
      </c>
      <c r="G4" s="1">
        <v>27363</v>
      </c>
      <c r="H4" s="2">
        <v>1.52E-2</v>
      </c>
      <c r="I4" s="2">
        <v>5.4999999999999997E-3</v>
      </c>
    </row>
    <row r="5" spans="1:9" x14ac:dyDescent="0.35">
      <c r="A5" s="19">
        <v>45359</v>
      </c>
      <c r="B5" t="s">
        <v>218</v>
      </c>
      <c r="C5" t="s">
        <v>11</v>
      </c>
      <c r="D5" s="1">
        <v>318098</v>
      </c>
      <c r="E5" s="1">
        <v>97562</v>
      </c>
      <c r="F5" s="2">
        <v>0.30809999999999998</v>
      </c>
      <c r="G5" s="1">
        <v>2221</v>
      </c>
      <c r="H5" s="2">
        <v>2.2800000000000001E-2</v>
      </c>
      <c r="I5" s="2">
        <v>7.0000000000000001E-3</v>
      </c>
    </row>
    <row r="6" spans="1:9" ht="13.4" customHeight="1" x14ac:dyDescent="0.35">
      <c r="A6" s="19">
        <v>45361</v>
      </c>
      <c r="B6" t="s">
        <v>199</v>
      </c>
      <c r="C6" t="s">
        <v>14</v>
      </c>
      <c r="D6" s="1">
        <v>252050</v>
      </c>
      <c r="E6" s="1">
        <v>99128</v>
      </c>
      <c r="F6" s="2">
        <v>0.39328704622098798</v>
      </c>
      <c r="G6" s="1">
        <v>2187</v>
      </c>
      <c r="H6" s="2">
        <v>2.20623839883787E-2</v>
      </c>
      <c r="I6" s="2">
        <v>8.6768498313826593E-3</v>
      </c>
    </row>
    <row r="7" spans="1:9" x14ac:dyDescent="0.35">
      <c r="A7" s="19">
        <v>45361</v>
      </c>
      <c r="B7" t="s">
        <v>219</v>
      </c>
      <c r="C7" t="s">
        <v>10</v>
      </c>
      <c r="D7" s="1">
        <v>259761</v>
      </c>
      <c r="E7" s="1">
        <v>98413</v>
      </c>
      <c r="F7" s="2">
        <v>0.37885979804512598</v>
      </c>
      <c r="G7" s="1">
        <v>1226</v>
      </c>
      <c r="H7" s="2">
        <v>1.24577037586498E-2</v>
      </c>
      <c r="I7" s="2">
        <v>4.7197231301080601E-3</v>
      </c>
    </row>
    <row r="8" spans="1:9" x14ac:dyDescent="0.35">
      <c r="A8" s="19">
        <v>45361</v>
      </c>
      <c r="B8" t="s">
        <v>219</v>
      </c>
      <c r="C8" t="s">
        <v>11</v>
      </c>
      <c r="D8" s="1">
        <v>9812</v>
      </c>
      <c r="E8" s="1">
        <v>3401</v>
      </c>
      <c r="F8" s="2">
        <v>0.34661638809620898</v>
      </c>
      <c r="G8" s="1">
        <v>54</v>
      </c>
      <c r="H8" s="2">
        <v>1.58776830344016E-2</v>
      </c>
      <c r="I8" s="2">
        <v>5.5034651447207501E-3</v>
      </c>
    </row>
    <row r="9" spans="1:9" x14ac:dyDescent="0.35">
      <c r="A9" s="19">
        <v>45362</v>
      </c>
      <c r="B9" t="s">
        <v>220</v>
      </c>
      <c r="C9" t="s">
        <v>221</v>
      </c>
      <c r="D9" s="1">
        <v>9120</v>
      </c>
      <c r="E9" s="1">
        <v>3825</v>
      </c>
      <c r="F9" s="2">
        <v>0.41940789473684198</v>
      </c>
      <c r="G9" s="1">
        <v>80</v>
      </c>
      <c r="H9" s="2">
        <v>2.0915032679738599E-2</v>
      </c>
      <c r="I9" s="2">
        <v>8.7719298245613996E-3</v>
      </c>
    </row>
    <row r="10" spans="1:9" x14ac:dyDescent="0.35">
      <c r="A10" s="19">
        <v>45362</v>
      </c>
      <c r="B10" t="s">
        <v>220</v>
      </c>
      <c r="C10" t="s">
        <v>222</v>
      </c>
      <c r="D10" s="1">
        <v>821</v>
      </c>
      <c r="E10" s="1">
        <v>315</v>
      </c>
      <c r="F10" s="2">
        <v>0.38367844092570003</v>
      </c>
      <c r="G10" s="1">
        <v>7</v>
      </c>
      <c r="H10" s="2">
        <v>2.2222222222222199E-2</v>
      </c>
      <c r="I10" s="2">
        <v>8.5261875761266804E-3</v>
      </c>
    </row>
    <row r="11" spans="1:9" x14ac:dyDescent="0.35">
      <c r="A11" s="19">
        <v>45362</v>
      </c>
      <c r="B11" t="s">
        <v>223</v>
      </c>
      <c r="C11" t="s">
        <v>224</v>
      </c>
      <c r="D11" s="1">
        <v>149850</v>
      </c>
      <c r="E11" s="1">
        <v>59513</v>
      </c>
      <c r="F11" s="2">
        <v>0.39715048381715001</v>
      </c>
      <c r="G11" s="1">
        <v>829</v>
      </c>
      <c r="H11" s="2">
        <v>1.39297296389024E-2</v>
      </c>
      <c r="I11" s="2">
        <v>5.5321988655322001E-3</v>
      </c>
    </row>
    <row r="12" spans="1:9" ht="14.5" customHeight="1" x14ac:dyDescent="0.35">
      <c r="A12" s="19">
        <v>45362</v>
      </c>
      <c r="B12" t="s">
        <v>223</v>
      </c>
      <c r="C12" t="s">
        <v>225</v>
      </c>
      <c r="D12" s="1">
        <v>8120</v>
      </c>
      <c r="E12" s="1">
        <v>3321</v>
      </c>
      <c r="F12" s="2">
        <v>0.40899014778325099</v>
      </c>
      <c r="G12" s="1">
        <v>117</v>
      </c>
      <c r="H12" s="2">
        <v>3.5230352303522998E-2</v>
      </c>
      <c r="I12" s="2">
        <v>1.4408866995073899E-2</v>
      </c>
    </row>
    <row r="13" spans="1:9" x14ac:dyDescent="0.35">
      <c r="A13" s="19">
        <v>45363</v>
      </c>
      <c r="B13" t="s">
        <v>226</v>
      </c>
      <c r="C13" t="s">
        <v>227</v>
      </c>
      <c r="D13" s="1">
        <v>2496</v>
      </c>
      <c r="E13" s="1">
        <v>676</v>
      </c>
      <c r="F13" s="2">
        <v>0.27083333333333298</v>
      </c>
      <c r="G13" s="1">
        <v>96</v>
      </c>
      <c r="H13" s="2">
        <v>0.14201183431952699</v>
      </c>
      <c r="I13" s="2">
        <v>3.8461538461538498E-2</v>
      </c>
    </row>
    <row r="14" spans="1:9" ht="14.15" customHeight="1" x14ac:dyDescent="0.35">
      <c r="A14" s="19">
        <v>45363</v>
      </c>
      <c r="B14" t="s">
        <v>228</v>
      </c>
      <c r="C14" t="s">
        <v>229</v>
      </c>
      <c r="D14" s="1">
        <v>109</v>
      </c>
      <c r="E14" s="1">
        <v>39</v>
      </c>
      <c r="F14" s="2">
        <v>0.35779816513761498</v>
      </c>
      <c r="G14" s="1">
        <v>1</v>
      </c>
      <c r="H14" s="2">
        <v>2.5641025641025599E-2</v>
      </c>
      <c r="I14" s="2">
        <v>9.1743119266055103E-3</v>
      </c>
    </row>
    <row r="15" spans="1:9" x14ac:dyDescent="0.35">
      <c r="A15" s="19">
        <v>45363</v>
      </c>
      <c r="B15" t="s">
        <v>230</v>
      </c>
      <c r="C15" t="s">
        <v>10</v>
      </c>
      <c r="D15" s="1">
        <v>1361948</v>
      </c>
      <c r="E15" s="1">
        <v>514624</v>
      </c>
      <c r="F15" s="2">
        <v>0.37785877287532299</v>
      </c>
      <c r="G15" s="1">
        <v>10922</v>
      </c>
      <c r="H15" s="2">
        <v>2.1223262032085601E-2</v>
      </c>
      <c r="I15" s="2">
        <v>8.0193957478552798E-3</v>
      </c>
    </row>
    <row r="16" spans="1:9" ht="14.15" customHeight="1" x14ac:dyDescent="0.35">
      <c r="A16" s="19">
        <v>45363</v>
      </c>
      <c r="B16" t="s">
        <v>230</v>
      </c>
      <c r="C16" t="s">
        <v>11</v>
      </c>
      <c r="D16" s="1">
        <v>97348</v>
      </c>
      <c r="E16" s="1">
        <v>32090</v>
      </c>
      <c r="F16" s="2">
        <v>0.32964210872334299</v>
      </c>
      <c r="G16" s="1">
        <v>954</v>
      </c>
      <c r="H16" s="2">
        <v>2.9728887503895299E-2</v>
      </c>
      <c r="I16" s="2">
        <v>9.7998931667830896E-3</v>
      </c>
    </row>
    <row r="17" spans="1:9" ht="14.5" customHeight="1" x14ac:dyDescent="0.35">
      <c r="A17" s="19">
        <v>45364</v>
      </c>
      <c r="B17" t="s">
        <v>231</v>
      </c>
      <c r="C17" t="s">
        <v>10</v>
      </c>
      <c r="D17" s="1">
        <v>376862</v>
      </c>
      <c r="E17" s="1">
        <v>162292</v>
      </c>
      <c r="F17" s="2">
        <v>0.43064039356581502</v>
      </c>
      <c r="G17" s="1">
        <v>4041</v>
      </c>
      <c r="H17" s="2">
        <v>2.4899563749291399E-2</v>
      </c>
      <c r="I17" s="2">
        <v>1.07227579326119E-2</v>
      </c>
    </row>
    <row r="18" spans="1:9" x14ac:dyDescent="0.35">
      <c r="A18" s="19">
        <v>45364</v>
      </c>
      <c r="B18" t="s">
        <v>232</v>
      </c>
      <c r="C18" t="s">
        <v>10</v>
      </c>
      <c r="D18" s="1">
        <v>166293</v>
      </c>
      <c r="E18" s="1">
        <v>18149</v>
      </c>
      <c r="F18" s="2">
        <v>0.10913868894060499</v>
      </c>
      <c r="G18" s="1">
        <v>471</v>
      </c>
      <c r="H18" s="2">
        <v>2.5951843076753502E-2</v>
      </c>
      <c r="I18" s="2">
        <v>2.83235012898919E-3</v>
      </c>
    </row>
    <row r="19" spans="1:9" x14ac:dyDescent="0.35">
      <c r="A19" s="19">
        <v>45364</v>
      </c>
      <c r="B19" t="s">
        <v>232</v>
      </c>
      <c r="C19" t="s">
        <v>11</v>
      </c>
      <c r="D19" s="1">
        <v>6663</v>
      </c>
      <c r="E19" s="1">
        <v>853</v>
      </c>
      <c r="F19" s="2">
        <v>0.128020411226174</v>
      </c>
      <c r="G19" s="1">
        <v>22</v>
      </c>
      <c r="H19" s="2">
        <v>2.5791324736225099E-2</v>
      </c>
      <c r="I19" s="2">
        <v>3.3018159987993402E-3</v>
      </c>
    </row>
    <row r="20" spans="1:9" x14ac:dyDescent="0.35">
      <c r="A20" s="19">
        <v>45364</v>
      </c>
      <c r="B20" t="s">
        <v>233</v>
      </c>
      <c r="C20" t="s">
        <v>10</v>
      </c>
      <c r="D20" s="1">
        <v>6655629</v>
      </c>
      <c r="E20" s="1">
        <v>2342321</v>
      </c>
      <c r="F20" s="2">
        <v>0.35193082426920103</v>
      </c>
      <c r="G20" s="1">
        <v>29937</v>
      </c>
      <c r="H20" s="2">
        <v>1.2780912607623001E-2</v>
      </c>
      <c r="I20" s="2">
        <v>4.4979971089133697E-3</v>
      </c>
    </row>
    <row r="21" spans="1:9" x14ac:dyDescent="0.35">
      <c r="A21" s="19">
        <v>45364</v>
      </c>
      <c r="B21" t="s">
        <v>233</v>
      </c>
      <c r="C21" t="s">
        <v>11</v>
      </c>
      <c r="D21" s="1">
        <v>431113</v>
      </c>
      <c r="E21" s="1">
        <v>134517</v>
      </c>
      <c r="F21" s="2">
        <v>0.312022601962826</v>
      </c>
      <c r="G21" s="1">
        <v>1983</v>
      </c>
      <c r="H21" s="2">
        <v>1.4741631169294601E-2</v>
      </c>
      <c r="I21" s="2">
        <v>4.5997221146195999E-3</v>
      </c>
    </row>
    <row r="22" spans="1:9" x14ac:dyDescent="0.35">
      <c r="A22" s="19">
        <v>45365</v>
      </c>
      <c r="B22" t="s">
        <v>208</v>
      </c>
      <c r="C22" t="s">
        <v>234</v>
      </c>
      <c r="D22" s="1">
        <v>599620</v>
      </c>
      <c r="E22" s="1">
        <v>217899</v>
      </c>
      <c r="F22" s="3">
        <v>0.3634</v>
      </c>
      <c r="G22" s="1">
        <v>3162</v>
      </c>
      <c r="H22" s="3">
        <v>1.4500000000000001E-2</v>
      </c>
      <c r="I22" s="3">
        <v>5.3E-3</v>
      </c>
    </row>
    <row r="23" spans="1:9" x14ac:dyDescent="0.35">
      <c r="A23" s="19">
        <v>45365</v>
      </c>
      <c r="B23" t="s">
        <v>210</v>
      </c>
      <c r="C23" t="s">
        <v>235</v>
      </c>
      <c r="D23" s="1">
        <v>56245</v>
      </c>
      <c r="E23" s="1">
        <v>21148</v>
      </c>
      <c r="F23" s="3">
        <v>0.376</v>
      </c>
      <c r="G23">
        <v>570</v>
      </c>
      <c r="H23" s="3">
        <v>2.7E-2</v>
      </c>
      <c r="I23" s="3">
        <v>1.01E-2</v>
      </c>
    </row>
    <row r="24" spans="1:9" x14ac:dyDescent="0.35">
      <c r="A24" s="19">
        <v>45365</v>
      </c>
      <c r="B24" t="s">
        <v>236</v>
      </c>
      <c r="C24" t="s">
        <v>23</v>
      </c>
      <c r="D24" s="1">
        <v>1065806</v>
      </c>
      <c r="E24" s="1">
        <v>370099</v>
      </c>
      <c r="F24" s="3">
        <v>0.34720000000000001</v>
      </c>
      <c r="G24" s="1">
        <v>4644</v>
      </c>
      <c r="H24" s="3">
        <v>1.2500000000000001E-2</v>
      </c>
      <c r="I24" s="3">
        <v>4.4000000000000003E-3</v>
      </c>
    </row>
    <row r="25" spans="1:9" x14ac:dyDescent="0.35">
      <c r="A25" s="19">
        <v>45365</v>
      </c>
      <c r="B25" t="s">
        <v>237</v>
      </c>
      <c r="C25" t="s">
        <v>25</v>
      </c>
      <c r="D25" s="1">
        <v>64395</v>
      </c>
      <c r="E25" s="1">
        <v>20223</v>
      </c>
      <c r="F25" s="3">
        <v>0.314</v>
      </c>
      <c r="G25">
        <v>229</v>
      </c>
      <c r="H25" s="3">
        <v>1.1299999999999999E-2</v>
      </c>
      <c r="I25" s="3">
        <v>3.5999999999999999E-3</v>
      </c>
    </row>
    <row r="26" spans="1:9" x14ac:dyDescent="0.35">
      <c r="A26" s="19">
        <v>45365</v>
      </c>
      <c r="B26" t="s">
        <v>223</v>
      </c>
      <c r="C26" t="s">
        <v>238</v>
      </c>
      <c r="D26" s="1">
        <v>151940</v>
      </c>
      <c r="E26" s="1">
        <v>57935</v>
      </c>
      <c r="F26" s="2">
        <v>0.38130182966960602</v>
      </c>
      <c r="G26" s="1">
        <v>851</v>
      </c>
      <c r="H26" s="2">
        <v>1.46888754638819E-2</v>
      </c>
      <c r="I26" s="2">
        <v>5.6008950901671696E-3</v>
      </c>
    </row>
    <row r="27" spans="1:9" x14ac:dyDescent="0.35">
      <c r="A27" s="19">
        <v>45365</v>
      </c>
      <c r="B27" t="s">
        <v>223</v>
      </c>
      <c r="C27" t="s">
        <v>239</v>
      </c>
      <c r="D27" s="1">
        <v>8514</v>
      </c>
      <c r="E27" s="1">
        <v>3394</v>
      </c>
      <c r="F27" s="2">
        <v>0.39863753817242198</v>
      </c>
      <c r="G27" s="1">
        <v>116</v>
      </c>
      <c r="H27" s="2">
        <v>3.4177961107837398E-2</v>
      </c>
      <c r="I27" s="2">
        <v>1.3624618275781099E-2</v>
      </c>
    </row>
    <row r="28" spans="1:9" ht="15" thickBot="1" x14ac:dyDescent="0.4">
      <c r="A28" s="20" t="s">
        <v>35</v>
      </c>
      <c r="D28" s="10">
        <f>SUM(D2:D27)</f>
        <v>17759911</v>
      </c>
      <c r="E28" s="10">
        <f>SUM(E2:E27)</f>
        <v>6288414</v>
      </c>
      <c r="F28" s="27">
        <f>AVERAGE(F2:F27)</f>
        <v>0.34237697009132478</v>
      </c>
      <c r="G28" s="10">
        <f>SUM(G2:G27)</f>
        <v>95983</v>
      </c>
      <c r="H28" s="27">
        <f>AVERAGE(H2:H27)</f>
        <v>2.4998103821020745E-2</v>
      </c>
      <c r="I28" s="27">
        <f>AVERAGE(I2:I27)</f>
        <v>8.2005944280803249E-3</v>
      </c>
    </row>
    <row r="29" spans="1:9" ht="15" thickBot="1" x14ac:dyDescent="0.4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9" x14ac:dyDescent="0.35">
      <c r="A30" s="24" t="s">
        <v>0</v>
      </c>
      <c r="B30" s="25" t="s">
        <v>1</v>
      </c>
      <c r="C30" s="25" t="s">
        <v>2</v>
      </c>
      <c r="D30" s="25" t="s">
        <v>3</v>
      </c>
      <c r="E30" s="25" t="s">
        <v>4</v>
      </c>
      <c r="F30" s="25" t="s">
        <v>5</v>
      </c>
      <c r="G30" s="25" t="s">
        <v>6</v>
      </c>
      <c r="H30" s="25" t="s">
        <v>7</v>
      </c>
      <c r="I30" s="26" t="s">
        <v>8</v>
      </c>
    </row>
    <row r="31" spans="1:9" x14ac:dyDescent="0.35">
      <c r="A31" s="5" t="s">
        <v>36</v>
      </c>
      <c r="B31" s="6"/>
      <c r="C31" s="6"/>
      <c r="D31" s="6"/>
      <c r="E31" s="6"/>
      <c r="F31" s="6"/>
      <c r="G31" s="6"/>
      <c r="H31" s="6"/>
      <c r="I31" s="7"/>
    </row>
    <row r="32" spans="1:9" x14ac:dyDescent="0.35">
      <c r="A32" s="8">
        <v>45359</v>
      </c>
      <c r="B32" t="s">
        <v>218</v>
      </c>
      <c r="C32" t="s">
        <v>10</v>
      </c>
      <c r="D32" s="1">
        <v>4998705</v>
      </c>
      <c r="E32" s="1">
        <v>1795311</v>
      </c>
      <c r="F32" s="2">
        <v>0.36109999999999998</v>
      </c>
      <c r="G32" s="1">
        <v>27363</v>
      </c>
      <c r="H32" s="2">
        <v>1.52E-2</v>
      </c>
      <c r="I32" s="9">
        <v>5.4999999999999997E-3</v>
      </c>
    </row>
    <row r="33" spans="1:9" x14ac:dyDescent="0.35">
      <c r="A33" s="8">
        <v>45359</v>
      </c>
      <c r="B33" t="s">
        <v>218</v>
      </c>
      <c r="C33" t="s">
        <v>11</v>
      </c>
      <c r="D33" s="1">
        <v>318098</v>
      </c>
      <c r="E33" s="1">
        <v>97562</v>
      </c>
      <c r="F33" s="2">
        <v>0.30809999999999998</v>
      </c>
      <c r="G33" s="1">
        <v>2221</v>
      </c>
      <c r="H33" s="2">
        <v>2.2800000000000001E-2</v>
      </c>
      <c r="I33" s="9">
        <v>7.0000000000000001E-3</v>
      </c>
    </row>
    <row r="34" spans="1:9" x14ac:dyDescent="0.35">
      <c r="A34" s="8">
        <v>45359</v>
      </c>
      <c r="B34" t="s">
        <v>216</v>
      </c>
      <c r="C34" t="s">
        <v>10</v>
      </c>
      <c r="D34" s="1">
        <v>425014</v>
      </c>
      <c r="E34" s="1">
        <v>136083</v>
      </c>
      <c r="F34" s="2">
        <v>0.32018474685539799</v>
      </c>
      <c r="G34" s="1">
        <v>2737</v>
      </c>
      <c r="H34" s="2">
        <v>2.01127253220461E-2</v>
      </c>
      <c r="I34" s="9">
        <v>6.4397878658114796E-3</v>
      </c>
    </row>
    <row r="35" spans="1:9" x14ac:dyDescent="0.35">
      <c r="A35" s="8">
        <v>45363</v>
      </c>
      <c r="B35" t="s">
        <v>230</v>
      </c>
      <c r="C35" t="s">
        <v>10</v>
      </c>
      <c r="D35" s="1">
        <v>1361948</v>
      </c>
      <c r="E35" s="1">
        <v>514624</v>
      </c>
      <c r="F35" s="2">
        <v>0.37785877287532299</v>
      </c>
      <c r="G35" s="1">
        <v>10922</v>
      </c>
      <c r="H35" s="2">
        <v>2.1223262032085601E-2</v>
      </c>
      <c r="I35" s="9">
        <v>8.0193957478552798E-3</v>
      </c>
    </row>
    <row r="36" spans="1:9" ht="14.15" customHeight="1" x14ac:dyDescent="0.35">
      <c r="A36" s="8">
        <v>45363</v>
      </c>
      <c r="B36" t="s">
        <v>230</v>
      </c>
      <c r="C36" t="s">
        <v>11</v>
      </c>
      <c r="D36" s="1">
        <v>97348</v>
      </c>
      <c r="E36" s="1">
        <v>32090</v>
      </c>
      <c r="F36" s="2">
        <v>0.32964210872334299</v>
      </c>
      <c r="G36" s="1">
        <v>954</v>
      </c>
      <c r="H36" s="2">
        <v>2.9728887503895299E-2</v>
      </c>
      <c r="I36" s="9">
        <v>9.7998931667830896E-3</v>
      </c>
    </row>
    <row r="37" spans="1:9" ht="15" thickBot="1" x14ac:dyDescent="0.4">
      <c r="A37" s="12" t="s">
        <v>35</v>
      </c>
      <c r="B37" s="4"/>
      <c r="C37" s="4"/>
      <c r="D37" s="13">
        <f>SUM(D32:D36)</f>
        <v>7201113</v>
      </c>
      <c r="E37" s="13">
        <f>SUM(E32:E36)</f>
        <v>2575670</v>
      </c>
      <c r="F37" s="14">
        <f>AVERAGE(F32:F36)</f>
        <v>0.3393771256908128</v>
      </c>
      <c r="G37" s="13">
        <f>SUM(G32:G36)</f>
        <v>44197</v>
      </c>
      <c r="H37" s="14">
        <f>AVERAGE(H32:H36)</f>
        <v>2.1812974971605399E-2</v>
      </c>
      <c r="I37" s="15">
        <f>AVERAGE(I32:I36)</f>
        <v>7.3518153560899703E-3</v>
      </c>
    </row>
    <row r="38" spans="1:9" ht="3" customHeight="1" thickBot="1" x14ac:dyDescent="0.4">
      <c r="A38" s="139"/>
      <c r="B38" s="138"/>
      <c r="C38" s="138"/>
      <c r="D38" s="138"/>
      <c r="E38" s="138"/>
      <c r="F38" s="138"/>
      <c r="G38" s="138"/>
      <c r="H38" s="138"/>
      <c r="I38" s="140"/>
    </row>
    <row r="39" spans="1:9" x14ac:dyDescent="0.35">
      <c r="A39" s="16" t="s">
        <v>37</v>
      </c>
      <c r="B39" s="17"/>
      <c r="C39" s="17"/>
      <c r="D39" s="17"/>
      <c r="E39" s="17"/>
      <c r="F39" s="17"/>
      <c r="G39" s="17"/>
      <c r="H39" s="17"/>
      <c r="I39" s="18"/>
    </row>
    <row r="40" spans="1:9" x14ac:dyDescent="0.35">
      <c r="A40" s="8">
        <v>45359</v>
      </c>
      <c r="B40" t="s">
        <v>217</v>
      </c>
      <c r="C40" t="s">
        <v>10</v>
      </c>
      <c r="D40" s="1">
        <v>283579</v>
      </c>
      <c r="E40" s="1">
        <v>95283</v>
      </c>
      <c r="F40" s="2">
        <v>0.33600160801751899</v>
      </c>
      <c r="G40" s="1">
        <v>1163</v>
      </c>
      <c r="H40" s="2">
        <v>1.2205744991236601E-2</v>
      </c>
      <c r="I40" s="9">
        <v>4.1011499441072899E-3</v>
      </c>
    </row>
    <row r="41" spans="1:9" ht="13.4" customHeight="1" x14ac:dyDescent="0.35">
      <c r="A41" s="8">
        <v>45361</v>
      </c>
      <c r="B41" t="s">
        <v>199</v>
      </c>
      <c r="C41" t="s">
        <v>14</v>
      </c>
      <c r="D41" s="1">
        <v>252050</v>
      </c>
      <c r="E41" s="1">
        <v>99128</v>
      </c>
      <c r="F41" s="2">
        <v>0.39328704622098798</v>
      </c>
      <c r="G41" s="1">
        <v>2187</v>
      </c>
      <c r="H41" s="2">
        <v>2.20623839883787E-2</v>
      </c>
      <c r="I41" s="9">
        <v>8.6768498313826593E-3</v>
      </c>
    </row>
    <row r="42" spans="1:9" x14ac:dyDescent="0.35">
      <c r="A42" s="8">
        <v>45361</v>
      </c>
      <c r="B42" t="s">
        <v>219</v>
      </c>
      <c r="C42" t="s">
        <v>10</v>
      </c>
      <c r="D42" s="1">
        <v>259761</v>
      </c>
      <c r="E42" s="1">
        <v>98413</v>
      </c>
      <c r="F42" s="2">
        <v>0.37885979804512598</v>
      </c>
      <c r="G42" s="1">
        <v>1226</v>
      </c>
      <c r="H42" s="2">
        <v>1.24577037586498E-2</v>
      </c>
      <c r="I42" s="9">
        <v>4.7197231301080601E-3</v>
      </c>
    </row>
    <row r="43" spans="1:9" x14ac:dyDescent="0.35">
      <c r="A43" s="8">
        <v>45361</v>
      </c>
      <c r="B43" t="s">
        <v>219</v>
      </c>
      <c r="C43" t="s">
        <v>11</v>
      </c>
      <c r="D43" s="1">
        <v>9812</v>
      </c>
      <c r="E43" s="1">
        <v>3401</v>
      </c>
      <c r="F43" s="2">
        <v>0.34661638809620898</v>
      </c>
      <c r="G43" s="1">
        <v>54</v>
      </c>
      <c r="H43" s="2">
        <v>1.58776830344016E-2</v>
      </c>
      <c r="I43" s="9">
        <v>5.5034651447207501E-3</v>
      </c>
    </row>
    <row r="44" spans="1:9" x14ac:dyDescent="0.35">
      <c r="A44" s="8">
        <v>45362</v>
      </c>
      <c r="B44" t="s">
        <v>220</v>
      </c>
      <c r="C44" t="s">
        <v>221</v>
      </c>
      <c r="D44" s="1">
        <v>9120</v>
      </c>
      <c r="E44" s="1">
        <v>3825</v>
      </c>
      <c r="F44" s="2">
        <v>0.41940789473684198</v>
      </c>
      <c r="G44" s="1">
        <v>80</v>
      </c>
      <c r="H44" s="2">
        <v>2.0915032679738599E-2</v>
      </c>
      <c r="I44" s="9">
        <v>8.7719298245613996E-3</v>
      </c>
    </row>
    <row r="45" spans="1:9" x14ac:dyDescent="0.35">
      <c r="A45" s="8">
        <v>45362</v>
      </c>
      <c r="B45" t="s">
        <v>220</v>
      </c>
      <c r="C45" t="s">
        <v>222</v>
      </c>
      <c r="D45" s="1">
        <v>821</v>
      </c>
      <c r="E45" s="1">
        <v>315</v>
      </c>
      <c r="F45" s="2">
        <v>0.38367844092570003</v>
      </c>
      <c r="G45" s="1">
        <v>7</v>
      </c>
      <c r="H45" s="2">
        <v>2.2222222222222199E-2</v>
      </c>
      <c r="I45" s="9">
        <v>8.5261875761266804E-3</v>
      </c>
    </row>
    <row r="46" spans="1:9" x14ac:dyDescent="0.35">
      <c r="A46" s="8">
        <v>45362</v>
      </c>
      <c r="B46" t="s">
        <v>223</v>
      </c>
      <c r="C46" t="s">
        <v>224</v>
      </c>
      <c r="D46" s="1">
        <v>149850</v>
      </c>
      <c r="E46" s="1">
        <v>59513</v>
      </c>
      <c r="F46" s="2">
        <v>0.39715048381715001</v>
      </c>
      <c r="G46" s="1">
        <v>829</v>
      </c>
      <c r="H46" s="2">
        <v>1.39297296389024E-2</v>
      </c>
      <c r="I46" s="9">
        <v>5.5321988655322001E-3</v>
      </c>
    </row>
    <row r="47" spans="1:9" ht="14.5" customHeight="1" x14ac:dyDescent="0.35">
      <c r="A47" s="8">
        <v>45362</v>
      </c>
      <c r="B47" t="s">
        <v>223</v>
      </c>
      <c r="C47" t="s">
        <v>225</v>
      </c>
      <c r="D47" s="1">
        <v>8120</v>
      </c>
      <c r="E47" s="1">
        <v>3321</v>
      </c>
      <c r="F47" s="2">
        <v>0.40899014778325099</v>
      </c>
      <c r="G47" s="1">
        <v>117</v>
      </c>
      <c r="H47" s="2">
        <v>3.5230352303522998E-2</v>
      </c>
      <c r="I47" s="9">
        <v>1.4408866995073899E-2</v>
      </c>
    </row>
    <row r="48" spans="1:9" x14ac:dyDescent="0.35">
      <c r="A48" s="8">
        <v>45363</v>
      </c>
      <c r="B48" t="s">
        <v>226</v>
      </c>
      <c r="C48" t="s">
        <v>227</v>
      </c>
      <c r="D48" s="1">
        <v>2496</v>
      </c>
      <c r="E48" s="1">
        <v>676</v>
      </c>
      <c r="F48" s="2">
        <v>0.27083333333333298</v>
      </c>
      <c r="G48" s="1">
        <v>96</v>
      </c>
      <c r="H48" s="2">
        <v>0.14201183431952699</v>
      </c>
      <c r="I48" s="9">
        <v>3.8461538461538498E-2</v>
      </c>
    </row>
    <row r="49" spans="1:9" ht="14.15" customHeight="1" x14ac:dyDescent="0.35">
      <c r="A49" s="8">
        <v>45363</v>
      </c>
      <c r="B49" t="s">
        <v>228</v>
      </c>
      <c r="C49" t="s">
        <v>229</v>
      </c>
      <c r="D49" s="1">
        <v>109</v>
      </c>
      <c r="E49" s="1">
        <v>39</v>
      </c>
      <c r="F49" s="2">
        <v>0.35779816513761498</v>
      </c>
      <c r="G49" s="1">
        <v>1</v>
      </c>
      <c r="H49" s="2">
        <v>2.5641025641025599E-2</v>
      </c>
      <c r="I49" s="9">
        <v>9.1743119266055103E-3</v>
      </c>
    </row>
    <row r="50" spans="1:9" ht="14.5" customHeight="1" x14ac:dyDescent="0.35">
      <c r="A50" s="8">
        <v>45364</v>
      </c>
      <c r="B50" t="s">
        <v>231</v>
      </c>
      <c r="C50" t="s">
        <v>10</v>
      </c>
      <c r="D50" s="1">
        <v>376862</v>
      </c>
      <c r="E50" s="1">
        <v>162292</v>
      </c>
      <c r="F50" s="2">
        <v>0.43064039356581502</v>
      </c>
      <c r="G50" s="1">
        <v>4041</v>
      </c>
      <c r="H50" s="2">
        <v>2.4899563749291399E-2</v>
      </c>
      <c r="I50" s="9">
        <v>1.07227579326119E-2</v>
      </c>
    </row>
    <row r="51" spans="1:9" x14ac:dyDescent="0.35">
      <c r="A51" s="8">
        <v>45364</v>
      </c>
      <c r="B51" t="s">
        <v>232</v>
      </c>
      <c r="C51" t="s">
        <v>10</v>
      </c>
      <c r="D51" s="1">
        <v>166293</v>
      </c>
      <c r="E51" s="1">
        <v>18149</v>
      </c>
      <c r="F51" s="2">
        <v>0.10913868894060499</v>
      </c>
      <c r="G51" s="1">
        <v>471</v>
      </c>
      <c r="H51" s="2">
        <v>2.5951843076753502E-2</v>
      </c>
      <c r="I51" s="9">
        <v>2.83235012898919E-3</v>
      </c>
    </row>
    <row r="52" spans="1:9" x14ac:dyDescent="0.35">
      <c r="A52" s="8">
        <v>45364</v>
      </c>
      <c r="B52" t="s">
        <v>232</v>
      </c>
      <c r="C52" t="s">
        <v>11</v>
      </c>
      <c r="D52" s="1">
        <v>6663</v>
      </c>
      <c r="E52" s="1">
        <v>853</v>
      </c>
      <c r="F52" s="2">
        <v>0.128020411226174</v>
      </c>
      <c r="G52" s="1">
        <v>22</v>
      </c>
      <c r="H52" s="2">
        <v>2.5791324736225099E-2</v>
      </c>
      <c r="I52" s="9">
        <v>3.3018159987993402E-3</v>
      </c>
    </row>
    <row r="53" spans="1:9" x14ac:dyDescent="0.35">
      <c r="A53" s="8">
        <v>45364</v>
      </c>
      <c r="B53" t="s">
        <v>233</v>
      </c>
      <c r="C53" t="s">
        <v>10</v>
      </c>
      <c r="D53" s="1">
        <v>6655629</v>
      </c>
      <c r="E53" s="1">
        <v>2342321</v>
      </c>
      <c r="F53" s="2">
        <v>0.35193082426920103</v>
      </c>
      <c r="G53" s="1">
        <v>29937</v>
      </c>
      <c r="H53" s="2">
        <v>1.2780912607623001E-2</v>
      </c>
      <c r="I53" s="9">
        <v>4.4979971089133697E-3</v>
      </c>
    </row>
    <row r="54" spans="1:9" x14ac:dyDescent="0.35">
      <c r="A54" s="8">
        <v>45364</v>
      </c>
      <c r="B54" t="s">
        <v>233</v>
      </c>
      <c r="C54" t="s">
        <v>11</v>
      </c>
      <c r="D54" s="1">
        <v>431113</v>
      </c>
      <c r="E54" s="1">
        <v>134517</v>
      </c>
      <c r="F54" s="2">
        <v>0.312022601962826</v>
      </c>
      <c r="G54" s="1">
        <v>1983</v>
      </c>
      <c r="H54" s="2">
        <v>1.4741631169294601E-2</v>
      </c>
      <c r="I54" s="9">
        <v>4.5997221146195999E-3</v>
      </c>
    </row>
    <row r="55" spans="1:9" x14ac:dyDescent="0.35">
      <c r="A55" s="8">
        <v>45365</v>
      </c>
      <c r="B55" t="s">
        <v>223</v>
      </c>
      <c r="C55" t="s">
        <v>238</v>
      </c>
      <c r="D55" s="1">
        <v>151940</v>
      </c>
      <c r="E55" s="1">
        <v>57935</v>
      </c>
      <c r="F55" s="2">
        <v>0.38130182966960602</v>
      </c>
      <c r="G55" s="1">
        <v>851</v>
      </c>
      <c r="H55" s="2">
        <v>1.46888754638819E-2</v>
      </c>
      <c r="I55" s="9">
        <v>5.6008950901671696E-3</v>
      </c>
    </row>
    <row r="56" spans="1:9" x14ac:dyDescent="0.35">
      <c r="A56" s="8">
        <v>45365</v>
      </c>
      <c r="B56" t="s">
        <v>223</v>
      </c>
      <c r="C56" t="s">
        <v>239</v>
      </c>
      <c r="D56" s="1">
        <v>8514</v>
      </c>
      <c r="E56" s="1">
        <v>3394</v>
      </c>
      <c r="F56" s="2">
        <v>0.39863753817242198</v>
      </c>
      <c r="G56" s="1">
        <v>116</v>
      </c>
      <c r="H56" s="2">
        <v>3.4177961107837398E-2</v>
      </c>
      <c r="I56" s="9">
        <v>1.3624618275781099E-2</v>
      </c>
    </row>
    <row r="57" spans="1:9" ht="15" thickBot="1" x14ac:dyDescent="0.4">
      <c r="A57" s="12" t="s">
        <v>35</v>
      </c>
      <c r="B57" s="4"/>
      <c r="C57" s="4"/>
      <c r="D57" s="13">
        <f>SUM(D40:D56)</f>
        <v>8772732</v>
      </c>
      <c r="E57" s="13">
        <f>SUM(E40:E56)</f>
        <v>3083375</v>
      </c>
      <c r="F57" s="14">
        <f>AVERAGE(F40:F56)</f>
        <v>0.34143032905414006</v>
      </c>
      <c r="G57" s="13">
        <f>SUM(G40:G56)</f>
        <v>43181</v>
      </c>
      <c r="H57" s="14">
        <f>AVERAGE(H40:H56)</f>
        <v>2.7975636734618378E-2</v>
      </c>
      <c r="I57" s="15">
        <f>AVERAGE(I40:I56)</f>
        <v>9.003316373508154E-3</v>
      </c>
    </row>
    <row r="58" spans="1:9" ht="3" customHeight="1" thickBot="1" x14ac:dyDescent="0.4">
      <c r="A58" s="139"/>
      <c r="B58" s="138"/>
      <c r="C58" s="138"/>
      <c r="D58" s="138"/>
      <c r="E58" s="138"/>
      <c r="F58" s="138"/>
      <c r="G58" s="138"/>
      <c r="H58" s="138"/>
      <c r="I58" s="140"/>
    </row>
    <row r="59" spans="1:9" x14ac:dyDescent="0.35">
      <c r="A59" s="16" t="s">
        <v>38</v>
      </c>
      <c r="B59" s="17"/>
      <c r="C59" s="17"/>
      <c r="D59" s="17"/>
      <c r="E59" s="17"/>
      <c r="F59" s="17"/>
      <c r="G59" s="17"/>
      <c r="H59" s="17"/>
      <c r="I59" s="18"/>
    </row>
    <row r="60" spans="1:9" x14ac:dyDescent="0.35">
      <c r="A60" s="8">
        <v>45365</v>
      </c>
      <c r="B60" t="s">
        <v>208</v>
      </c>
      <c r="C60" t="s">
        <v>234</v>
      </c>
      <c r="D60" s="1">
        <v>599620</v>
      </c>
      <c r="E60" s="1">
        <v>217899</v>
      </c>
      <c r="F60" s="3">
        <v>0.3634</v>
      </c>
      <c r="G60" s="1">
        <v>3162</v>
      </c>
      <c r="H60" s="3">
        <v>1.4500000000000001E-2</v>
      </c>
      <c r="I60" s="11">
        <v>5.3E-3</v>
      </c>
    </row>
    <row r="61" spans="1:9" x14ac:dyDescent="0.35">
      <c r="A61" s="8">
        <v>45365</v>
      </c>
      <c r="B61" t="s">
        <v>210</v>
      </c>
      <c r="C61" t="s">
        <v>235</v>
      </c>
      <c r="D61" s="1">
        <v>56245</v>
      </c>
      <c r="E61" s="1">
        <v>21148</v>
      </c>
      <c r="F61" s="3">
        <v>0.376</v>
      </c>
      <c r="G61">
        <v>570</v>
      </c>
      <c r="H61" s="3">
        <v>2.7E-2</v>
      </c>
      <c r="I61" s="11">
        <v>1.01E-2</v>
      </c>
    </row>
    <row r="62" spans="1:9" x14ac:dyDescent="0.35">
      <c r="A62" s="8">
        <v>45365</v>
      </c>
      <c r="B62" t="s">
        <v>236</v>
      </c>
      <c r="C62" t="s">
        <v>23</v>
      </c>
      <c r="D62" s="1">
        <v>1065806</v>
      </c>
      <c r="E62" s="1">
        <v>370099</v>
      </c>
      <c r="F62" s="3">
        <v>0.34720000000000001</v>
      </c>
      <c r="G62" s="1">
        <v>4644</v>
      </c>
      <c r="H62" s="3">
        <v>1.2500000000000001E-2</v>
      </c>
      <c r="I62" s="11">
        <v>4.4000000000000003E-3</v>
      </c>
    </row>
    <row r="63" spans="1:9" x14ac:dyDescent="0.35">
      <c r="A63" s="8">
        <v>45365</v>
      </c>
      <c r="B63" t="s">
        <v>237</v>
      </c>
      <c r="C63" t="s">
        <v>25</v>
      </c>
      <c r="D63" s="1">
        <v>64395</v>
      </c>
      <c r="E63" s="1">
        <v>20223</v>
      </c>
      <c r="F63" s="3">
        <v>0.314</v>
      </c>
      <c r="G63">
        <v>229</v>
      </c>
      <c r="H63" s="3">
        <v>1.1299999999999999E-2</v>
      </c>
      <c r="I63" s="11">
        <v>3.5999999999999999E-3</v>
      </c>
    </row>
    <row r="64" spans="1:9" ht="15" thickBot="1" x14ac:dyDescent="0.4">
      <c r="A64" s="12" t="s">
        <v>35</v>
      </c>
      <c r="B64" s="4"/>
      <c r="C64" s="4"/>
      <c r="D64" s="13">
        <f>SUM(D60:D63)</f>
        <v>1786066</v>
      </c>
      <c r="E64" s="13">
        <f>SUM(E60:E63)</f>
        <v>629369</v>
      </c>
      <c r="F64" s="14">
        <f>AVERAGE(F60:F63)</f>
        <v>0.35015000000000002</v>
      </c>
      <c r="G64" s="13">
        <f>SUM(G60:G63)</f>
        <v>8605</v>
      </c>
      <c r="H64" s="14">
        <f>AVERAGE(H60:H63)</f>
        <v>1.6325000000000003E-2</v>
      </c>
      <c r="I64" s="15">
        <f>AVERAGE(I60:I63)</f>
        <v>5.8500000000000002E-3</v>
      </c>
    </row>
  </sheetData>
  <mergeCells count="3">
    <mergeCell ref="A29:I29"/>
    <mergeCell ref="A38:I38"/>
    <mergeCell ref="A58:I58"/>
  </mergeCells>
  <pageMargins left="0.7" right="0.7" top="0.75" bottom="0.75" header="0.3" footer="0.3"/>
  <ignoredErrors>
    <ignoredError sqref="F28:G28 F37:G37 F64:G64 F57" formula="1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2D55-83BC-474B-B614-D24BF020E6DB}">
  <dimension ref="A1:I66"/>
  <sheetViews>
    <sheetView workbookViewId="0">
      <selection activeCell="B19" sqref="B19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45366</v>
      </c>
      <c r="B2" t="s">
        <v>240</v>
      </c>
      <c r="C2" t="s">
        <v>10</v>
      </c>
      <c r="D2" s="1">
        <v>421203</v>
      </c>
      <c r="E2" s="1">
        <v>156106</v>
      </c>
      <c r="F2" s="2">
        <v>0.37061939254943599</v>
      </c>
      <c r="G2" s="1">
        <v>3013</v>
      </c>
      <c r="H2" s="2">
        <v>1.9300987790347598E-2</v>
      </c>
      <c r="I2" s="2">
        <v>7.1533203704626999E-3</v>
      </c>
    </row>
    <row r="3" spans="1:9" x14ac:dyDescent="0.35">
      <c r="A3" s="19">
        <v>45366</v>
      </c>
      <c r="B3" t="s">
        <v>240</v>
      </c>
      <c r="C3" t="s">
        <v>11</v>
      </c>
      <c r="D3" s="1">
        <v>22429</v>
      </c>
      <c r="E3" s="1">
        <v>7848</v>
      </c>
      <c r="F3" s="2">
        <v>0.34990414195907099</v>
      </c>
      <c r="G3" s="1">
        <v>287</v>
      </c>
      <c r="H3" s="2">
        <v>3.6569826707441397E-2</v>
      </c>
      <c r="I3" s="2">
        <v>1.27959338356592E-2</v>
      </c>
    </row>
    <row r="4" spans="1:9" x14ac:dyDescent="0.35">
      <c r="A4" s="19">
        <v>45366</v>
      </c>
      <c r="B4" t="s">
        <v>241</v>
      </c>
      <c r="C4" t="s">
        <v>10</v>
      </c>
      <c r="D4" s="1">
        <v>4971049</v>
      </c>
      <c r="E4" s="1">
        <v>1713996</v>
      </c>
      <c r="F4" s="2">
        <v>0.34479563568977101</v>
      </c>
      <c r="G4" s="1">
        <v>24008</v>
      </c>
      <c r="H4" s="2">
        <v>1.40070338553882E-2</v>
      </c>
      <c r="I4" s="2">
        <v>4.8295641422967297E-3</v>
      </c>
    </row>
    <row r="5" spans="1:9" x14ac:dyDescent="0.35">
      <c r="A5" s="19">
        <v>45366</v>
      </c>
      <c r="B5" t="s">
        <v>241</v>
      </c>
      <c r="C5" t="s">
        <v>11</v>
      </c>
      <c r="D5" s="1">
        <v>317204</v>
      </c>
      <c r="E5" s="1">
        <v>94342</v>
      </c>
      <c r="F5" s="2">
        <v>0.29741743483688698</v>
      </c>
      <c r="G5" s="1">
        <v>2081</v>
      </c>
      <c r="H5" s="2">
        <v>2.2058044137287701E-2</v>
      </c>
      <c r="I5" s="2">
        <v>6.5604469048309603E-3</v>
      </c>
    </row>
    <row r="6" spans="1:9" ht="13.4" customHeight="1" x14ac:dyDescent="0.35">
      <c r="A6" s="19">
        <v>45367</v>
      </c>
      <c r="B6" t="s">
        <v>242</v>
      </c>
      <c r="C6" t="s">
        <v>10</v>
      </c>
      <c r="D6" s="1">
        <v>1258369</v>
      </c>
      <c r="E6" s="1">
        <v>403795</v>
      </c>
      <c r="F6" s="2">
        <v>0.32088759338477002</v>
      </c>
      <c r="G6" s="1">
        <v>9815</v>
      </c>
      <c r="H6" s="2">
        <v>2.4306888396339699E-2</v>
      </c>
      <c r="I6" s="2">
        <v>7.7997789201736502E-3</v>
      </c>
    </row>
    <row r="7" spans="1:9" x14ac:dyDescent="0.35">
      <c r="A7" s="19">
        <v>45367</v>
      </c>
      <c r="B7" t="s">
        <v>242</v>
      </c>
      <c r="C7" t="s">
        <v>11</v>
      </c>
      <c r="D7" s="1">
        <v>95197</v>
      </c>
      <c r="E7" s="1">
        <v>30208</v>
      </c>
      <c r="F7" s="2">
        <v>0.31732092397869699</v>
      </c>
      <c r="G7" s="1">
        <v>782</v>
      </c>
      <c r="H7" s="2">
        <v>2.58871822033898E-2</v>
      </c>
      <c r="I7" s="2">
        <v>8.2145445759845403E-3</v>
      </c>
    </row>
    <row r="8" spans="1:9" x14ac:dyDescent="0.35">
      <c r="A8" s="19">
        <v>45369</v>
      </c>
      <c r="B8" t="s">
        <v>220</v>
      </c>
      <c r="C8" t="s">
        <v>243</v>
      </c>
      <c r="D8" s="1">
        <v>9069</v>
      </c>
      <c r="E8" s="1">
        <v>3741</v>
      </c>
      <c r="F8" s="2">
        <v>0.412504134965266</v>
      </c>
      <c r="G8" s="1">
        <v>65</v>
      </c>
      <c r="H8" s="2">
        <v>1.7375033413525798E-2</v>
      </c>
      <c r="I8" s="2">
        <v>7.16727312823906E-3</v>
      </c>
    </row>
    <row r="9" spans="1:9" x14ac:dyDescent="0.35">
      <c r="A9" s="19">
        <v>45369</v>
      </c>
      <c r="B9" t="s">
        <v>220</v>
      </c>
      <c r="C9" t="s">
        <v>244</v>
      </c>
      <c r="D9" s="1">
        <v>820</v>
      </c>
      <c r="E9" s="1">
        <v>307</v>
      </c>
      <c r="F9" s="2">
        <v>0.37439024390243902</v>
      </c>
      <c r="G9" s="1">
        <v>9</v>
      </c>
      <c r="H9" s="2">
        <v>2.9315960912052099E-2</v>
      </c>
      <c r="I9" s="2">
        <v>1.09756097560976E-2</v>
      </c>
    </row>
    <row r="10" spans="1:9" x14ac:dyDescent="0.35">
      <c r="A10" s="19">
        <v>45369</v>
      </c>
      <c r="B10" t="s">
        <v>223</v>
      </c>
      <c r="C10" t="s">
        <v>245</v>
      </c>
      <c r="D10" s="1">
        <v>149437</v>
      </c>
      <c r="E10" s="1">
        <v>58272</v>
      </c>
      <c r="F10" s="2">
        <v>0.38994358826796599</v>
      </c>
      <c r="G10" s="1">
        <v>923</v>
      </c>
      <c r="H10" s="2">
        <v>1.5839511257550801E-2</v>
      </c>
      <c r="I10" s="2">
        <v>6.1765158561802001E-3</v>
      </c>
    </row>
    <row r="11" spans="1:9" x14ac:dyDescent="0.35">
      <c r="A11" s="19">
        <v>45369</v>
      </c>
      <c r="B11" t="s">
        <v>223</v>
      </c>
      <c r="C11" t="s">
        <v>246</v>
      </c>
      <c r="D11" s="1">
        <v>8107</v>
      </c>
      <c r="E11" s="1">
        <v>3307</v>
      </c>
      <c r="F11" s="2">
        <v>0.40791908227457802</v>
      </c>
      <c r="G11" s="1">
        <v>115</v>
      </c>
      <c r="H11" s="2">
        <v>3.4774720290293298E-2</v>
      </c>
      <c r="I11" s="2">
        <v>1.4185271987171601E-2</v>
      </c>
    </row>
    <row r="12" spans="1:9" ht="14.5" customHeight="1" x14ac:dyDescent="0.35">
      <c r="A12" s="19">
        <v>45369</v>
      </c>
      <c r="B12" t="s">
        <v>247</v>
      </c>
      <c r="C12" t="s">
        <v>10</v>
      </c>
      <c r="D12" s="1">
        <v>58</v>
      </c>
      <c r="E12" s="1">
        <v>30</v>
      </c>
      <c r="F12" s="2">
        <v>0.52631578947368396</v>
      </c>
      <c r="G12" s="1">
        <v>2</v>
      </c>
      <c r="H12" s="2">
        <v>6.6666666666666693E-2</v>
      </c>
      <c r="I12" s="2">
        <v>3.5087719298245598E-2</v>
      </c>
    </row>
    <row r="13" spans="1:9" x14ac:dyDescent="0.35">
      <c r="A13" s="19">
        <v>45369</v>
      </c>
      <c r="B13" t="s">
        <v>248</v>
      </c>
      <c r="C13" t="s">
        <v>11</v>
      </c>
      <c r="D13" s="1">
        <v>3</v>
      </c>
      <c r="E13" s="1">
        <v>3</v>
      </c>
      <c r="F13" s="2">
        <v>1</v>
      </c>
      <c r="G13" s="1">
        <v>0</v>
      </c>
      <c r="H13" s="2">
        <v>0</v>
      </c>
      <c r="I13" s="2">
        <v>0</v>
      </c>
    </row>
    <row r="14" spans="1:9" ht="14.15" customHeight="1" x14ac:dyDescent="0.35">
      <c r="A14" s="19">
        <v>45370</v>
      </c>
      <c r="B14" t="s">
        <v>249</v>
      </c>
      <c r="C14" t="s">
        <v>10</v>
      </c>
      <c r="D14" s="1">
        <v>1355459</v>
      </c>
      <c r="E14" s="1">
        <v>502716</v>
      </c>
      <c r="F14" s="2">
        <v>0.37088248335065799</v>
      </c>
      <c r="G14" s="1">
        <v>8669</v>
      </c>
      <c r="H14" s="2">
        <v>1.7244328805926201E-2</v>
      </c>
      <c r="I14" s="2">
        <v>6.3956194912572102E-3</v>
      </c>
    </row>
    <row r="15" spans="1:9" x14ac:dyDescent="0.35">
      <c r="A15" s="19">
        <v>45370</v>
      </c>
      <c r="B15" t="s">
        <v>249</v>
      </c>
      <c r="C15" t="s">
        <v>11</v>
      </c>
      <c r="D15" s="1">
        <v>96874</v>
      </c>
      <c r="E15" s="1">
        <v>34325</v>
      </c>
      <c r="F15" s="2">
        <v>0.35432623820633002</v>
      </c>
      <c r="G15" s="1">
        <v>1055</v>
      </c>
      <c r="H15" s="2">
        <v>3.07356154406409E-2</v>
      </c>
      <c r="I15" s="2">
        <v>1.0890434998038699E-2</v>
      </c>
    </row>
    <row r="16" spans="1:9" ht="14.15" customHeight="1" x14ac:dyDescent="0.35">
      <c r="A16" s="19">
        <v>45371</v>
      </c>
      <c r="B16" t="s">
        <v>250</v>
      </c>
      <c r="C16" t="s">
        <v>10</v>
      </c>
      <c r="D16" s="1">
        <v>6621903</v>
      </c>
      <c r="E16" s="1">
        <v>2426027</v>
      </c>
      <c r="F16" s="2">
        <v>0.36636401952731701</v>
      </c>
      <c r="G16" s="1">
        <v>30300</v>
      </c>
      <c r="H16" s="2">
        <v>1.24895559694925E-2</v>
      </c>
      <c r="I16" s="2">
        <v>4.5757239270946704E-3</v>
      </c>
    </row>
    <row r="17" spans="1:9" ht="14.5" customHeight="1" x14ac:dyDescent="0.35">
      <c r="A17" s="19">
        <v>45371</v>
      </c>
      <c r="B17" t="s">
        <v>250</v>
      </c>
      <c r="C17" t="s">
        <v>11</v>
      </c>
      <c r="D17" s="1">
        <v>429078</v>
      </c>
      <c r="E17" s="1">
        <v>150214</v>
      </c>
      <c r="F17" s="2">
        <v>0.350085532234232</v>
      </c>
      <c r="G17" s="1">
        <v>3103</v>
      </c>
      <c r="H17" s="2">
        <v>2.0657195734086E-2</v>
      </c>
      <c r="I17" s="2">
        <v>7.2317853630342304E-3</v>
      </c>
    </row>
    <row r="18" spans="1:9" x14ac:dyDescent="0.35">
      <c r="A18" s="19">
        <v>45371</v>
      </c>
      <c r="B18" t="s">
        <v>251</v>
      </c>
      <c r="C18" t="s">
        <v>10</v>
      </c>
      <c r="D18" s="1">
        <v>424389</v>
      </c>
      <c r="E18" s="1">
        <v>159887</v>
      </c>
      <c r="F18" s="2">
        <v>0.37674633414155401</v>
      </c>
      <c r="G18" s="1">
        <v>1175</v>
      </c>
      <c r="H18" s="2">
        <v>7.3489401890084903E-3</v>
      </c>
      <c r="I18" s="2">
        <v>2.7686862760344902E-3</v>
      </c>
    </row>
    <row r="19" spans="1:9" x14ac:dyDescent="0.35">
      <c r="A19" s="19">
        <v>45371</v>
      </c>
      <c r="B19" t="s">
        <v>252</v>
      </c>
      <c r="C19" t="s">
        <v>10</v>
      </c>
      <c r="D19" s="1">
        <v>5126459</v>
      </c>
      <c r="E19" s="1">
        <v>1808301</v>
      </c>
      <c r="F19" s="2">
        <v>0.35273880079797798</v>
      </c>
      <c r="G19" s="1">
        <v>18243</v>
      </c>
      <c r="H19" s="2">
        <v>1.00884753146738E-2</v>
      </c>
      <c r="I19" s="2">
        <v>3.5585966843780501E-3</v>
      </c>
    </row>
    <row r="20" spans="1:9" x14ac:dyDescent="0.35">
      <c r="A20" s="19">
        <v>45371</v>
      </c>
      <c r="B20" t="s">
        <v>252</v>
      </c>
      <c r="C20" t="s">
        <v>11</v>
      </c>
      <c r="D20" s="1">
        <v>336329</v>
      </c>
      <c r="E20" s="1">
        <v>109308</v>
      </c>
      <c r="F20" s="2">
        <v>0.32500319627507601</v>
      </c>
      <c r="G20" s="1">
        <v>1486</v>
      </c>
      <c r="H20" s="2">
        <v>1.3594613386028499E-2</v>
      </c>
      <c r="I20" s="2">
        <v>4.4182928025831803E-3</v>
      </c>
    </row>
    <row r="21" spans="1:9" x14ac:dyDescent="0.35">
      <c r="A21" s="19">
        <v>45372</v>
      </c>
      <c r="B21" t="s">
        <v>208</v>
      </c>
      <c r="C21" t="s">
        <v>253</v>
      </c>
      <c r="D21" s="1">
        <v>485263</v>
      </c>
      <c r="E21" s="1">
        <v>172154</v>
      </c>
      <c r="F21" s="2">
        <v>0.35339999999999999</v>
      </c>
      <c r="G21" s="1">
        <v>2777</v>
      </c>
      <c r="H21" s="2">
        <v>1.6E-2</v>
      </c>
      <c r="I21" s="2">
        <v>5.7000000000000002E-3</v>
      </c>
    </row>
    <row r="22" spans="1:9" x14ac:dyDescent="0.35">
      <c r="A22" s="19">
        <v>45372</v>
      </c>
      <c r="B22" t="s">
        <v>208</v>
      </c>
      <c r="C22" t="s">
        <v>254</v>
      </c>
      <c r="D22" s="1">
        <v>113459</v>
      </c>
      <c r="E22" s="1">
        <v>44433</v>
      </c>
      <c r="F22" s="3">
        <v>0.3916</v>
      </c>
      <c r="G22">
        <v>958</v>
      </c>
      <c r="H22" s="3">
        <v>2.1600000000000001E-2</v>
      </c>
      <c r="I22" s="2">
        <v>8.4435787376937899E-3</v>
      </c>
    </row>
    <row r="23" spans="1:9" x14ac:dyDescent="0.35">
      <c r="A23" s="19">
        <v>45372</v>
      </c>
      <c r="B23" t="s">
        <v>210</v>
      </c>
      <c r="C23" t="s">
        <v>255</v>
      </c>
      <c r="D23" s="1">
        <v>42142</v>
      </c>
      <c r="E23" s="1">
        <v>14992</v>
      </c>
      <c r="F23" s="2">
        <v>0.36120000000000002</v>
      </c>
      <c r="G23" s="1">
        <v>482</v>
      </c>
      <c r="H23" s="2">
        <v>3.2500000000000001E-2</v>
      </c>
      <c r="I23" s="2">
        <v>1.1900000000000001E-2</v>
      </c>
    </row>
    <row r="24" spans="1:9" x14ac:dyDescent="0.35">
      <c r="A24" s="19">
        <v>45372</v>
      </c>
      <c r="B24" t="s">
        <v>210</v>
      </c>
      <c r="C24" t="s">
        <v>256</v>
      </c>
      <c r="D24" s="1">
        <v>14001</v>
      </c>
      <c r="E24" s="1">
        <v>5792</v>
      </c>
      <c r="F24" s="3">
        <v>0.41370000000000001</v>
      </c>
      <c r="G24">
        <v>149</v>
      </c>
      <c r="H24" s="3">
        <v>2.5700000000000001E-2</v>
      </c>
      <c r="I24" s="3">
        <v>1.06E-2</v>
      </c>
    </row>
    <row r="25" spans="1:9" x14ac:dyDescent="0.35">
      <c r="A25" s="19">
        <v>45372</v>
      </c>
      <c r="B25" t="s">
        <v>236</v>
      </c>
      <c r="C25" t="s">
        <v>234</v>
      </c>
      <c r="D25" s="1">
        <v>962745</v>
      </c>
      <c r="E25" s="1">
        <v>323008</v>
      </c>
      <c r="F25" s="3">
        <v>0.33550000000000002</v>
      </c>
      <c r="G25" s="1">
        <v>2974</v>
      </c>
      <c r="H25" s="3">
        <v>9.1999999999999998E-3</v>
      </c>
      <c r="I25" s="3">
        <v>3.0999999999999999E-3</v>
      </c>
    </row>
    <row r="26" spans="1:9" x14ac:dyDescent="0.35">
      <c r="A26" s="19">
        <v>45372</v>
      </c>
      <c r="B26" t="s">
        <v>237</v>
      </c>
      <c r="C26" t="s">
        <v>235</v>
      </c>
      <c r="D26" s="1">
        <v>59758</v>
      </c>
      <c r="E26" s="1">
        <v>17680</v>
      </c>
      <c r="F26" s="3">
        <v>0.2959</v>
      </c>
      <c r="G26">
        <v>263</v>
      </c>
      <c r="H26" s="3">
        <v>1.49E-2</v>
      </c>
      <c r="I26" s="3">
        <v>4.4000000000000003E-3</v>
      </c>
    </row>
    <row r="27" spans="1:9" x14ac:dyDescent="0.35">
      <c r="A27" s="19">
        <v>45372</v>
      </c>
      <c r="B27" t="s">
        <v>223</v>
      </c>
      <c r="C27" t="s">
        <v>257</v>
      </c>
      <c r="D27" s="1">
        <v>151681</v>
      </c>
      <c r="E27" s="1">
        <v>56875</v>
      </c>
      <c r="F27" s="2">
        <v>0.37496456378847698</v>
      </c>
      <c r="G27" s="1">
        <v>810</v>
      </c>
      <c r="H27" s="2">
        <v>1.42417582417582E-2</v>
      </c>
      <c r="I27" s="2">
        <v>5.3401546667018298E-3</v>
      </c>
    </row>
    <row r="28" spans="1:9" x14ac:dyDescent="0.35">
      <c r="A28" s="19">
        <v>45372</v>
      </c>
      <c r="B28" t="s">
        <v>223</v>
      </c>
      <c r="C28" t="s">
        <v>258</v>
      </c>
      <c r="D28" s="1">
        <v>8510</v>
      </c>
      <c r="E28" s="1">
        <v>3319</v>
      </c>
      <c r="F28" s="2">
        <v>0.39001175088131601</v>
      </c>
      <c r="G28" s="1">
        <v>80</v>
      </c>
      <c r="H28" s="2">
        <v>2.4103645676408599E-2</v>
      </c>
      <c r="I28" s="2">
        <v>9.4007050528789708E-3</v>
      </c>
    </row>
    <row r="29" spans="1:9" ht="15" thickBot="1" x14ac:dyDescent="0.4">
      <c r="A29" s="20" t="s">
        <v>35</v>
      </c>
      <c r="D29" s="10">
        <f>SUM(D2:D28)</f>
        <v>23480995</v>
      </c>
      <c r="E29" s="10">
        <f>SUM(E2:E28)</f>
        <v>8300986</v>
      </c>
      <c r="F29" s="27">
        <f>AVERAGE(F2:F28)</f>
        <v>0.38979410668464826</v>
      </c>
      <c r="G29" s="10">
        <f>SUM(G2:G28)</f>
        <v>113624</v>
      </c>
      <c r="H29" s="27">
        <f>AVERAGE(H2:H28)</f>
        <v>2.1352073495863193E-2</v>
      </c>
      <c r="I29" s="27">
        <f>AVERAGE(I2:I28)</f>
        <v>8.1359095101865547E-3</v>
      </c>
    </row>
    <row r="30" spans="1:9" ht="15" thickBot="1" x14ac:dyDescent="0.4">
      <c r="A30" s="138"/>
      <c r="B30" s="138"/>
      <c r="C30" s="138"/>
      <c r="D30" s="138"/>
      <c r="E30" s="138"/>
      <c r="F30" s="138"/>
      <c r="G30" s="138"/>
      <c r="H30" s="138"/>
      <c r="I30" s="138"/>
    </row>
    <row r="31" spans="1:9" x14ac:dyDescent="0.35">
      <c r="A31" s="24" t="s">
        <v>0</v>
      </c>
      <c r="B31" s="25" t="s">
        <v>1</v>
      </c>
      <c r="C31" s="25" t="s">
        <v>2</v>
      </c>
      <c r="D31" s="25" t="s">
        <v>3</v>
      </c>
      <c r="E31" s="25" t="s">
        <v>4</v>
      </c>
      <c r="F31" s="25" t="s">
        <v>5</v>
      </c>
      <c r="G31" s="25" t="s">
        <v>6</v>
      </c>
      <c r="H31" s="25" t="s">
        <v>7</v>
      </c>
      <c r="I31" s="26" t="s">
        <v>8</v>
      </c>
    </row>
    <row r="32" spans="1:9" x14ac:dyDescent="0.35">
      <c r="A32" s="5" t="s">
        <v>36</v>
      </c>
      <c r="B32" s="6"/>
      <c r="C32" s="6"/>
      <c r="D32" s="6"/>
      <c r="E32" s="6"/>
      <c r="F32" s="6"/>
      <c r="G32" s="6"/>
      <c r="H32" s="6"/>
      <c r="I32" s="7"/>
    </row>
    <row r="33" spans="1:9" x14ac:dyDescent="0.35">
      <c r="A33" s="8">
        <v>45366</v>
      </c>
      <c r="B33" t="s">
        <v>240</v>
      </c>
      <c r="C33" t="s">
        <v>10</v>
      </c>
      <c r="D33" s="1">
        <v>421203</v>
      </c>
      <c r="E33" s="1">
        <v>156106</v>
      </c>
      <c r="F33" s="2">
        <v>0.37061939254943599</v>
      </c>
      <c r="G33" s="1">
        <v>3013</v>
      </c>
      <c r="H33" s="2">
        <v>1.9300987790347598E-2</v>
      </c>
      <c r="I33" s="9">
        <v>7.1533203704626999E-3</v>
      </c>
    </row>
    <row r="34" spans="1:9" x14ac:dyDescent="0.35">
      <c r="A34" s="8">
        <v>45366</v>
      </c>
      <c r="B34" t="s">
        <v>240</v>
      </c>
      <c r="C34" t="s">
        <v>11</v>
      </c>
      <c r="D34" s="1">
        <v>22429</v>
      </c>
      <c r="E34" s="1">
        <v>7848</v>
      </c>
      <c r="F34" s="2">
        <v>0.34990414195907099</v>
      </c>
      <c r="G34" s="1">
        <v>287</v>
      </c>
      <c r="H34" s="2">
        <v>3.6569826707441397E-2</v>
      </c>
      <c r="I34" s="9">
        <v>1.27959338356592E-2</v>
      </c>
    </row>
    <row r="35" spans="1:9" x14ac:dyDescent="0.35">
      <c r="A35" s="8">
        <v>45366</v>
      </c>
      <c r="B35" t="s">
        <v>241</v>
      </c>
      <c r="C35" t="s">
        <v>10</v>
      </c>
      <c r="D35" s="1">
        <v>4971049</v>
      </c>
      <c r="E35" s="1">
        <v>1713996</v>
      </c>
      <c r="F35" s="2">
        <v>0.34479563568977101</v>
      </c>
      <c r="G35" s="1">
        <v>24008</v>
      </c>
      <c r="H35" s="2">
        <v>1.40070338553882E-2</v>
      </c>
      <c r="I35" s="9">
        <v>4.8295641422967297E-3</v>
      </c>
    </row>
    <row r="36" spans="1:9" x14ac:dyDescent="0.35">
      <c r="A36" s="8">
        <v>45366</v>
      </c>
      <c r="B36" t="s">
        <v>241</v>
      </c>
      <c r="C36" t="s">
        <v>11</v>
      </c>
      <c r="D36" s="1">
        <v>317204</v>
      </c>
      <c r="E36" s="1">
        <v>94342</v>
      </c>
      <c r="F36" s="2">
        <v>0.29741743483688698</v>
      </c>
      <c r="G36" s="1">
        <v>2081</v>
      </c>
      <c r="H36" s="2">
        <v>2.2058044137287701E-2</v>
      </c>
      <c r="I36" s="9">
        <v>6.5604469048309603E-3</v>
      </c>
    </row>
    <row r="37" spans="1:9" ht="14.15" customHeight="1" x14ac:dyDescent="0.35">
      <c r="A37" s="8">
        <v>45370</v>
      </c>
      <c r="B37" t="s">
        <v>249</v>
      </c>
      <c r="C37" t="s">
        <v>10</v>
      </c>
      <c r="D37" s="1">
        <v>1355459</v>
      </c>
      <c r="E37" s="1">
        <v>502716</v>
      </c>
      <c r="F37" s="2">
        <v>0.37088248335065799</v>
      </c>
      <c r="G37" s="1">
        <v>8669</v>
      </c>
      <c r="H37" s="2">
        <v>1.7244328805926201E-2</v>
      </c>
      <c r="I37" s="9">
        <v>6.3956194912572102E-3</v>
      </c>
    </row>
    <row r="38" spans="1:9" x14ac:dyDescent="0.35">
      <c r="A38" s="8">
        <v>45370</v>
      </c>
      <c r="B38" t="s">
        <v>249</v>
      </c>
      <c r="C38" t="s">
        <v>11</v>
      </c>
      <c r="D38" s="1">
        <v>96874</v>
      </c>
      <c r="E38" s="1">
        <v>34325</v>
      </c>
      <c r="F38" s="2">
        <v>0.35432623820633002</v>
      </c>
      <c r="G38" s="1">
        <v>1055</v>
      </c>
      <c r="H38" s="2">
        <v>3.07356154406409E-2</v>
      </c>
      <c r="I38" s="9">
        <v>1.0890434998038699E-2</v>
      </c>
    </row>
    <row r="39" spans="1:9" ht="15" thickBot="1" x14ac:dyDescent="0.4">
      <c r="A39" s="12" t="s">
        <v>35</v>
      </c>
      <c r="B39" s="4"/>
      <c r="C39" s="4"/>
      <c r="D39" s="13">
        <f>SUM(D33:D38)</f>
        <v>7184218</v>
      </c>
      <c r="E39" s="13">
        <f>SUM(E33:E38)</f>
        <v>2509333</v>
      </c>
      <c r="F39" s="14">
        <f>AVERAGE(F33:F38)</f>
        <v>0.34799088776535886</v>
      </c>
      <c r="G39" s="13">
        <f>SUM(G33:G38)</f>
        <v>39113</v>
      </c>
      <c r="H39" s="14">
        <f>AVERAGE(H33:H38)</f>
        <v>2.3319306122838668E-2</v>
      </c>
      <c r="I39" s="15">
        <f>AVERAGE(I33:I38)</f>
        <v>8.1042199570909162E-3</v>
      </c>
    </row>
    <row r="40" spans="1:9" ht="3" customHeight="1" thickBot="1" x14ac:dyDescent="0.4">
      <c r="A40" s="139"/>
      <c r="B40" s="138"/>
      <c r="C40" s="138"/>
      <c r="D40" s="138"/>
      <c r="E40" s="138"/>
      <c r="F40" s="138"/>
      <c r="G40" s="138"/>
      <c r="H40" s="138"/>
      <c r="I40" s="140"/>
    </row>
    <row r="41" spans="1:9" x14ac:dyDescent="0.35">
      <c r="A41" s="16" t="s">
        <v>37</v>
      </c>
      <c r="B41" s="17"/>
      <c r="C41" s="17"/>
      <c r="D41" s="17"/>
      <c r="E41" s="17"/>
      <c r="F41" s="17"/>
      <c r="G41" s="17"/>
      <c r="H41" s="17"/>
      <c r="I41" s="18"/>
    </row>
    <row r="42" spans="1:9" ht="13.4" customHeight="1" x14ac:dyDescent="0.35">
      <c r="A42" s="8">
        <v>45367</v>
      </c>
      <c r="B42" t="s">
        <v>242</v>
      </c>
      <c r="C42" t="s">
        <v>10</v>
      </c>
      <c r="D42" s="1">
        <v>1258369</v>
      </c>
      <c r="E42" s="1">
        <v>403795</v>
      </c>
      <c r="F42" s="2">
        <v>0.32088759338477002</v>
      </c>
      <c r="G42" s="1">
        <v>9815</v>
      </c>
      <c r="H42" s="2">
        <v>2.4306888396339699E-2</v>
      </c>
      <c r="I42" s="9">
        <v>7.7997789201736502E-3</v>
      </c>
    </row>
    <row r="43" spans="1:9" x14ac:dyDescent="0.35">
      <c r="A43" s="8">
        <v>45367</v>
      </c>
      <c r="B43" t="s">
        <v>242</v>
      </c>
      <c r="C43" t="s">
        <v>11</v>
      </c>
      <c r="D43" s="1">
        <v>95197</v>
      </c>
      <c r="E43" s="1">
        <v>30208</v>
      </c>
      <c r="F43" s="2">
        <v>0.31732092397869699</v>
      </c>
      <c r="G43" s="1">
        <v>782</v>
      </c>
      <c r="H43" s="2">
        <v>2.58871822033898E-2</v>
      </c>
      <c r="I43" s="9">
        <v>8.2145445759845403E-3</v>
      </c>
    </row>
    <row r="44" spans="1:9" x14ac:dyDescent="0.35">
      <c r="A44" s="8">
        <v>45369</v>
      </c>
      <c r="B44" t="s">
        <v>220</v>
      </c>
      <c r="C44" t="s">
        <v>243</v>
      </c>
      <c r="D44" s="1">
        <v>9069</v>
      </c>
      <c r="E44" s="1">
        <v>3741</v>
      </c>
      <c r="F44" s="2">
        <v>0.412504134965266</v>
      </c>
      <c r="G44" s="1">
        <v>65</v>
      </c>
      <c r="H44" s="2">
        <v>1.7375033413525798E-2</v>
      </c>
      <c r="I44" s="9">
        <v>7.16727312823906E-3</v>
      </c>
    </row>
    <row r="45" spans="1:9" x14ac:dyDescent="0.35">
      <c r="A45" s="8">
        <v>45369</v>
      </c>
      <c r="B45" t="s">
        <v>220</v>
      </c>
      <c r="C45" t="s">
        <v>244</v>
      </c>
      <c r="D45" s="1">
        <v>820</v>
      </c>
      <c r="E45" s="1">
        <v>307</v>
      </c>
      <c r="F45" s="2">
        <v>0.37439024390243902</v>
      </c>
      <c r="G45" s="1">
        <v>9</v>
      </c>
      <c r="H45" s="2">
        <v>2.9315960912052099E-2</v>
      </c>
      <c r="I45" s="9">
        <v>1.09756097560976E-2</v>
      </c>
    </row>
    <row r="46" spans="1:9" x14ac:dyDescent="0.35">
      <c r="A46" s="8">
        <v>45369</v>
      </c>
      <c r="B46" t="s">
        <v>223</v>
      </c>
      <c r="C46" t="s">
        <v>245</v>
      </c>
      <c r="D46" s="1">
        <v>149437</v>
      </c>
      <c r="E46" s="1">
        <v>58272</v>
      </c>
      <c r="F46" s="2">
        <v>0.38994358826796599</v>
      </c>
      <c r="G46" s="1">
        <v>923</v>
      </c>
      <c r="H46" s="2">
        <v>1.5839511257550801E-2</v>
      </c>
      <c r="I46" s="9">
        <v>6.1765158561802001E-3</v>
      </c>
    </row>
    <row r="47" spans="1:9" x14ac:dyDescent="0.35">
      <c r="A47" s="8">
        <v>45369</v>
      </c>
      <c r="B47" t="s">
        <v>223</v>
      </c>
      <c r="C47" t="s">
        <v>246</v>
      </c>
      <c r="D47" s="1">
        <v>8107</v>
      </c>
      <c r="E47" s="1">
        <v>3307</v>
      </c>
      <c r="F47" s="2">
        <v>0.40791908227457802</v>
      </c>
      <c r="G47" s="1">
        <v>115</v>
      </c>
      <c r="H47" s="2">
        <v>3.4774720290293298E-2</v>
      </c>
      <c r="I47" s="9">
        <v>1.4185271987171601E-2</v>
      </c>
    </row>
    <row r="48" spans="1:9" ht="14.5" customHeight="1" x14ac:dyDescent="0.35">
      <c r="A48" s="8">
        <v>45369</v>
      </c>
      <c r="B48" t="s">
        <v>247</v>
      </c>
      <c r="C48" t="s">
        <v>10</v>
      </c>
      <c r="D48" s="1">
        <v>58</v>
      </c>
      <c r="E48" s="1">
        <v>30</v>
      </c>
      <c r="F48" s="2">
        <v>0.52631578947368396</v>
      </c>
      <c r="G48" s="1">
        <v>2</v>
      </c>
      <c r="H48" s="2">
        <v>6.6666666666666693E-2</v>
      </c>
      <c r="I48" s="9">
        <v>3.5087719298245598E-2</v>
      </c>
    </row>
    <row r="49" spans="1:9" x14ac:dyDescent="0.35">
      <c r="A49" s="8">
        <v>45369</v>
      </c>
      <c r="B49" t="s">
        <v>248</v>
      </c>
      <c r="C49" t="s">
        <v>11</v>
      </c>
      <c r="D49" s="1">
        <v>3</v>
      </c>
      <c r="E49" s="1">
        <v>3</v>
      </c>
      <c r="F49" s="2">
        <v>1</v>
      </c>
      <c r="G49" s="1">
        <v>0</v>
      </c>
      <c r="H49" s="2">
        <v>0</v>
      </c>
      <c r="I49" s="9">
        <v>0</v>
      </c>
    </row>
    <row r="50" spans="1:9" ht="14.15" customHeight="1" x14ac:dyDescent="0.35">
      <c r="A50" s="8">
        <v>45371</v>
      </c>
      <c r="B50" t="s">
        <v>250</v>
      </c>
      <c r="C50" t="s">
        <v>10</v>
      </c>
      <c r="D50" s="1">
        <v>6621903</v>
      </c>
      <c r="E50" s="1">
        <v>2426027</v>
      </c>
      <c r="F50" s="2">
        <v>0.36636401952731701</v>
      </c>
      <c r="G50" s="1">
        <v>30300</v>
      </c>
      <c r="H50" s="2">
        <v>1.24895559694925E-2</v>
      </c>
      <c r="I50" s="9">
        <v>4.5757239270946704E-3</v>
      </c>
    </row>
    <row r="51" spans="1:9" ht="14.5" customHeight="1" x14ac:dyDescent="0.35">
      <c r="A51" s="8">
        <v>45371</v>
      </c>
      <c r="B51" t="s">
        <v>250</v>
      </c>
      <c r="C51" t="s">
        <v>11</v>
      </c>
      <c r="D51" s="1">
        <v>429078</v>
      </c>
      <c r="E51" s="1">
        <v>150214</v>
      </c>
      <c r="F51" s="2">
        <v>0.350085532234232</v>
      </c>
      <c r="G51" s="1">
        <v>3103</v>
      </c>
      <c r="H51" s="2">
        <v>2.0657195734086E-2</v>
      </c>
      <c r="I51" s="9">
        <v>7.2317853630342304E-3</v>
      </c>
    </row>
    <row r="52" spans="1:9" x14ac:dyDescent="0.35">
      <c r="A52" s="8">
        <v>45371</v>
      </c>
      <c r="B52" t="s">
        <v>251</v>
      </c>
      <c r="C52" t="s">
        <v>10</v>
      </c>
      <c r="D52" s="1">
        <v>424389</v>
      </c>
      <c r="E52" s="1">
        <v>159887</v>
      </c>
      <c r="F52" s="2">
        <v>0.37674633414155401</v>
      </c>
      <c r="G52" s="1">
        <v>1175</v>
      </c>
      <c r="H52" s="2">
        <v>7.3489401890084903E-3</v>
      </c>
      <c r="I52" s="9">
        <v>2.7686862760344902E-3</v>
      </c>
    </row>
    <row r="53" spans="1:9" x14ac:dyDescent="0.35">
      <c r="A53" s="8">
        <v>45371</v>
      </c>
      <c r="B53" t="s">
        <v>252</v>
      </c>
      <c r="C53" t="s">
        <v>10</v>
      </c>
      <c r="D53" s="1">
        <v>5126459</v>
      </c>
      <c r="E53" s="1">
        <v>1808301</v>
      </c>
      <c r="F53" s="2">
        <v>0.35273880079797798</v>
      </c>
      <c r="G53" s="1">
        <v>18243</v>
      </c>
      <c r="H53" s="2">
        <v>1.00884753146738E-2</v>
      </c>
      <c r="I53" s="9">
        <v>3.5585966843780501E-3</v>
      </c>
    </row>
    <row r="54" spans="1:9" x14ac:dyDescent="0.35">
      <c r="A54" s="8">
        <v>45371</v>
      </c>
      <c r="B54" t="s">
        <v>252</v>
      </c>
      <c r="C54" t="s">
        <v>11</v>
      </c>
      <c r="D54" s="1">
        <v>336329</v>
      </c>
      <c r="E54" s="1">
        <v>109308</v>
      </c>
      <c r="F54" s="2">
        <v>0.32500319627507601</v>
      </c>
      <c r="G54" s="1">
        <v>1486</v>
      </c>
      <c r="H54" s="2">
        <v>1.3594613386028499E-2</v>
      </c>
      <c r="I54" s="9">
        <v>4.4182928025831803E-3</v>
      </c>
    </row>
    <row r="55" spans="1:9" x14ac:dyDescent="0.35">
      <c r="A55" s="8">
        <v>45372</v>
      </c>
      <c r="B55" t="s">
        <v>223</v>
      </c>
      <c r="C55" t="s">
        <v>257</v>
      </c>
      <c r="D55" s="1">
        <v>151681</v>
      </c>
      <c r="E55" s="1">
        <v>56875</v>
      </c>
      <c r="F55" s="2">
        <v>0.37496456378847698</v>
      </c>
      <c r="G55" s="1">
        <v>810</v>
      </c>
      <c r="H55" s="2">
        <v>1.42417582417582E-2</v>
      </c>
      <c r="I55" s="9">
        <v>5.3401546667018298E-3</v>
      </c>
    </row>
    <row r="56" spans="1:9" x14ac:dyDescent="0.35">
      <c r="A56" s="8">
        <v>45372</v>
      </c>
      <c r="B56" t="s">
        <v>223</v>
      </c>
      <c r="C56" t="s">
        <v>258</v>
      </c>
      <c r="D56" s="1">
        <v>8510</v>
      </c>
      <c r="E56" s="1">
        <v>3319</v>
      </c>
      <c r="F56" s="2">
        <v>0.39001175088131601</v>
      </c>
      <c r="G56" s="1">
        <v>80</v>
      </c>
      <c r="H56" s="2">
        <v>2.4103645676408599E-2</v>
      </c>
      <c r="I56" s="9">
        <v>9.4007050528789708E-3</v>
      </c>
    </row>
    <row r="57" spans="1:9" ht="15" thickBot="1" x14ac:dyDescent="0.4">
      <c r="A57" s="12" t="s">
        <v>35</v>
      </c>
      <c r="B57" s="4"/>
      <c r="C57" s="4"/>
      <c r="D57" s="13">
        <f>SUM(D42:D56)</f>
        <v>14619409</v>
      </c>
      <c r="E57" s="13">
        <f>SUM(E42:E56)</f>
        <v>5213594</v>
      </c>
      <c r="F57" s="14">
        <f>AVERAGE(F42:F56)</f>
        <v>0.41901303692622327</v>
      </c>
      <c r="G57" s="13">
        <f>SUM(G42:G56)</f>
        <v>66908</v>
      </c>
      <c r="H57" s="14">
        <f>AVERAGE(H42:H56)</f>
        <v>2.1112676510084954E-2</v>
      </c>
      <c r="I57" s="15">
        <f>AVERAGE(I42:I56)</f>
        <v>8.4600438863198461E-3</v>
      </c>
    </row>
    <row r="58" spans="1:9" ht="3" customHeight="1" thickBot="1" x14ac:dyDescent="0.4">
      <c r="A58" s="139"/>
      <c r="B58" s="138"/>
      <c r="C58" s="138"/>
      <c r="D58" s="138"/>
      <c r="E58" s="138"/>
      <c r="F58" s="138"/>
      <c r="G58" s="138"/>
      <c r="H58" s="138"/>
      <c r="I58" s="140"/>
    </row>
    <row r="59" spans="1:9" x14ac:dyDescent="0.35">
      <c r="A59" s="16" t="s">
        <v>38</v>
      </c>
      <c r="B59" s="17"/>
      <c r="C59" s="17"/>
      <c r="D59" s="17"/>
      <c r="E59" s="17"/>
      <c r="F59" s="17"/>
      <c r="G59" s="17"/>
      <c r="H59" s="17"/>
      <c r="I59" s="18"/>
    </row>
    <row r="60" spans="1:9" x14ac:dyDescent="0.35">
      <c r="A60" s="8">
        <v>45372</v>
      </c>
      <c r="B60" t="s">
        <v>208</v>
      </c>
      <c r="C60" t="s">
        <v>253</v>
      </c>
      <c r="D60" s="1">
        <v>485263</v>
      </c>
      <c r="E60" s="1">
        <v>172154</v>
      </c>
      <c r="F60" s="2">
        <v>0.35339999999999999</v>
      </c>
      <c r="G60" s="1">
        <v>2777</v>
      </c>
      <c r="H60" s="2">
        <v>1.6E-2</v>
      </c>
      <c r="I60" s="9">
        <v>5.7000000000000002E-3</v>
      </c>
    </row>
    <row r="61" spans="1:9" x14ac:dyDescent="0.35">
      <c r="A61" s="8">
        <v>45372</v>
      </c>
      <c r="B61" t="s">
        <v>208</v>
      </c>
      <c r="C61" t="s">
        <v>254</v>
      </c>
      <c r="D61" s="1">
        <v>113459</v>
      </c>
      <c r="E61" s="1">
        <v>44433</v>
      </c>
      <c r="F61" s="3">
        <v>0.3916</v>
      </c>
      <c r="G61">
        <v>958</v>
      </c>
      <c r="H61" s="3">
        <v>2.1600000000000001E-2</v>
      </c>
      <c r="I61" s="9">
        <v>8.4435787376937899E-3</v>
      </c>
    </row>
    <row r="62" spans="1:9" x14ac:dyDescent="0.35">
      <c r="A62" s="8">
        <v>45372</v>
      </c>
      <c r="B62" t="s">
        <v>210</v>
      </c>
      <c r="C62" t="s">
        <v>255</v>
      </c>
      <c r="D62" s="1">
        <v>42142</v>
      </c>
      <c r="E62" s="1">
        <v>14992</v>
      </c>
      <c r="F62" s="2">
        <v>0.36120000000000002</v>
      </c>
      <c r="G62" s="1">
        <v>482</v>
      </c>
      <c r="H62" s="2">
        <v>3.2500000000000001E-2</v>
      </c>
      <c r="I62" s="9">
        <v>1.1900000000000001E-2</v>
      </c>
    </row>
    <row r="63" spans="1:9" x14ac:dyDescent="0.35">
      <c r="A63" s="8">
        <v>45372</v>
      </c>
      <c r="B63" t="s">
        <v>210</v>
      </c>
      <c r="C63" t="s">
        <v>256</v>
      </c>
      <c r="D63" s="1">
        <v>14001</v>
      </c>
      <c r="E63" s="1">
        <v>5792</v>
      </c>
      <c r="F63" s="3">
        <v>0.41370000000000001</v>
      </c>
      <c r="G63">
        <v>149</v>
      </c>
      <c r="H63" s="3">
        <v>2.5700000000000001E-2</v>
      </c>
      <c r="I63" s="11">
        <v>1.06E-2</v>
      </c>
    </row>
    <row r="64" spans="1:9" x14ac:dyDescent="0.35">
      <c r="A64" s="8">
        <v>45372</v>
      </c>
      <c r="B64" t="s">
        <v>236</v>
      </c>
      <c r="C64" t="s">
        <v>234</v>
      </c>
      <c r="D64" s="1">
        <v>962745</v>
      </c>
      <c r="E64" s="1">
        <v>323008</v>
      </c>
      <c r="F64" s="3">
        <v>0.33550000000000002</v>
      </c>
      <c r="G64" s="1">
        <v>2974</v>
      </c>
      <c r="H64" s="3">
        <v>9.1999999999999998E-3</v>
      </c>
      <c r="I64" s="11">
        <v>3.0999999999999999E-3</v>
      </c>
    </row>
    <row r="65" spans="1:9" x14ac:dyDescent="0.35">
      <c r="A65" s="8">
        <v>45372</v>
      </c>
      <c r="B65" t="s">
        <v>237</v>
      </c>
      <c r="C65" t="s">
        <v>235</v>
      </c>
      <c r="D65" s="1">
        <v>59758</v>
      </c>
      <c r="E65" s="1">
        <v>17680</v>
      </c>
      <c r="F65" s="3">
        <v>0.2959</v>
      </c>
      <c r="G65">
        <v>263</v>
      </c>
      <c r="H65" s="3">
        <v>1.49E-2</v>
      </c>
      <c r="I65" s="11">
        <v>4.4000000000000003E-3</v>
      </c>
    </row>
    <row r="66" spans="1:9" ht="15" thickBot="1" x14ac:dyDescent="0.4">
      <c r="A66" s="12" t="s">
        <v>35</v>
      </c>
      <c r="B66" s="4"/>
      <c r="C66" s="4"/>
      <c r="D66" s="13">
        <f>SUM(D60:D65)</f>
        <v>1677368</v>
      </c>
      <c r="E66" s="13">
        <f>SUM(E60:E65)</f>
        <v>578059</v>
      </c>
      <c r="F66" s="14">
        <f>AVERAGE(F60:F65)</f>
        <v>0.35854999999999998</v>
      </c>
      <c r="G66" s="13">
        <f>SUM(G60:G65)</f>
        <v>7603</v>
      </c>
      <c r="H66" s="14">
        <f>AVERAGE(H60:H65)</f>
        <v>1.9983333333333332E-2</v>
      </c>
      <c r="I66" s="15">
        <f>AVERAGE(I60:I65)</f>
        <v>7.3572631229489654E-3</v>
      </c>
    </row>
  </sheetData>
  <mergeCells count="3">
    <mergeCell ref="A30:I30"/>
    <mergeCell ref="A40:I40"/>
    <mergeCell ref="A58:I58"/>
  </mergeCells>
  <pageMargins left="0.7" right="0.7" top="0.75" bottom="0.75" header="0.3" footer="0.3"/>
  <ignoredErrors>
    <ignoredError sqref="F29:G29 F39:G39 F66:G66 F57:G57" formula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043F-5CA5-4A15-A6E0-1A0CD414DCEF}">
  <dimension ref="A1:I68"/>
  <sheetViews>
    <sheetView workbookViewId="0">
      <selection activeCell="M21" sqref="M21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45373</v>
      </c>
      <c r="B2" t="s">
        <v>259</v>
      </c>
      <c r="C2" t="s">
        <v>260</v>
      </c>
      <c r="D2" s="1">
        <v>249695</v>
      </c>
      <c r="E2" s="1">
        <v>120734</v>
      </c>
      <c r="F2" s="2">
        <v>0.48352590159995201</v>
      </c>
      <c r="G2" s="1">
        <v>2629</v>
      </c>
      <c r="H2" s="2">
        <v>2.18E-2</v>
      </c>
      <c r="I2" s="2">
        <v>1.0500000000000001E-2</v>
      </c>
    </row>
    <row r="3" spans="1:9" x14ac:dyDescent="0.35">
      <c r="A3" s="19">
        <v>45373</v>
      </c>
      <c r="B3" t="s">
        <v>261</v>
      </c>
      <c r="C3" t="s">
        <v>10</v>
      </c>
      <c r="D3" s="1">
        <v>420436</v>
      </c>
      <c r="E3" s="1">
        <v>153400</v>
      </c>
      <c r="F3" s="2">
        <v>0.36485933649830199</v>
      </c>
      <c r="G3" s="1">
        <v>2952</v>
      </c>
      <c r="H3" s="2">
        <v>1.9243807040417199E-2</v>
      </c>
      <c r="I3" s="2">
        <v>7.0212826684679704E-3</v>
      </c>
    </row>
    <row r="4" spans="1:9" x14ac:dyDescent="0.35">
      <c r="A4" s="19">
        <v>45373</v>
      </c>
      <c r="B4" t="s">
        <v>262</v>
      </c>
      <c r="C4" t="s">
        <v>10</v>
      </c>
      <c r="D4" s="1">
        <v>2770241</v>
      </c>
      <c r="E4" s="1">
        <v>929503</v>
      </c>
      <c r="F4" s="2">
        <v>0.335531457371398</v>
      </c>
      <c r="G4" s="1">
        <v>13992</v>
      </c>
      <c r="H4" s="2">
        <v>1.5053205853020399E-2</v>
      </c>
      <c r="I4" s="2">
        <v>5.0508240979755901E-3</v>
      </c>
    </row>
    <row r="5" spans="1:9" x14ac:dyDescent="0.35">
      <c r="A5" s="19">
        <v>45373</v>
      </c>
      <c r="B5" t="s">
        <v>262</v>
      </c>
      <c r="C5" t="s">
        <v>263</v>
      </c>
      <c r="D5" s="1">
        <v>3376122</v>
      </c>
      <c r="E5" s="1">
        <v>1248593</v>
      </c>
      <c r="F5" s="2">
        <v>0.36983053337527499</v>
      </c>
      <c r="G5" s="1">
        <v>16048</v>
      </c>
      <c r="H5" s="2">
        <v>1.2852867187305999E-2</v>
      </c>
      <c r="I5" s="2">
        <v>4.75338272728296E-3</v>
      </c>
    </row>
    <row r="6" spans="1:9" ht="13.4" customHeight="1" x14ac:dyDescent="0.35">
      <c r="A6" s="19">
        <v>45373</v>
      </c>
      <c r="B6" t="s">
        <v>262</v>
      </c>
      <c r="C6" t="s">
        <v>11</v>
      </c>
      <c r="D6" s="1">
        <v>159952</v>
      </c>
      <c r="E6" s="1">
        <v>45030</v>
      </c>
      <c r="F6" s="2">
        <v>0.28152195658697599</v>
      </c>
      <c r="G6" s="1">
        <v>953</v>
      </c>
      <c r="H6" s="2">
        <v>2.1163668665334201E-2</v>
      </c>
      <c r="I6" s="2">
        <v>5.9580374112233698E-3</v>
      </c>
    </row>
    <row r="7" spans="1:9" x14ac:dyDescent="0.35">
      <c r="A7" s="19">
        <v>45373</v>
      </c>
      <c r="B7" t="s">
        <v>262</v>
      </c>
      <c r="C7" t="s">
        <v>264</v>
      </c>
      <c r="D7" s="1">
        <v>246611</v>
      </c>
      <c r="E7" s="1">
        <v>73973</v>
      </c>
      <c r="F7" s="2">
        <v>0.29995823381763198</v>
      </c>
      <c r="G7" s="1">
        <v>1722</v>
      </c>
      <c r="H7" s="2">
        <v>2.3278763873305099E-2</v>
      </c>
      <c r="I7" s="2">
        <v>6.9826568968943004E-3</v>
      </c>
    </row>
    <row r="8" spans="1:9" x14ac:dyDescent="0.35">
      <c r="A8" s="19">
        <v>45374</v>
      </c>
      <c r="B8" t="s">
        <v>265</v>
      </c>
      <c r="C8" t="s">
        <v>266</v>
      </c>
      <c r="D8" s="1">
        <v>22606</v>
      </c>
      <c r="E8" s="1">
        <v>8862</v>
      </c>
      <c r="F8" s="2">
        <v>0.392019817747501</v>
      </c>
      <c r="G8" s="1">
        <v>218</v>
      </c>
      <c r="H8" s="2">
        <v>2.4599413225005601E-2</v>
      </c>
      <c r="I8" s="2">
        <v>9.6434574891621702E-3</v>
      </c>
    </row>
    <row r="9" spans="1:9" x14ac:dyDescent="0.35">
      <c r="A9" s="19">
        <v>45376</v>
      </c>
      <c r="B9" t="s">
        <v>267</v>
      </c>
      <c r="C9" t="s">
        <v>10</v>
      </c>
      <c r="D9" s="1">
        <v>623367</v>
      </c>
      <c r="E9" s="1">
        <v>234926</v>
      </c>
      <c r="F9" s="2">
        <v>0.37686627620647201</v>
      </c>
      <c r="G9" s="1">
        <v>2227</v>
      </c>
      <c r="H9" s="2">
        <v>9.4795808041681206E-3</v>
      </c>
      <c r="I9" s="2">
        <v>3.5725343176652002E-3</v>
      </c>
    </row>
    <row r="10" spans="1:9" x14ac:dyDescent="0.35">
      <c r="A10" s="19">
        <v>45376</v>
      </c>
      <c r="B10" t="s">
        <v>267</v>
      </c>
      <c r="C10" t="s">
        <v>11</v>
      </c>
      <c r="D10" s="1">
        <v>32507</v>
      </c>
      <c r="E10" s="1">
        <v>11642</v>
      </c>
      <c r="F10" s="2">
        <v>0.35813824714676801</v>
      </c>
      <c r="G10" s="1">
        <v>147</v>
      </c>
      <c r="H10" s="2">
        <v>1.2626696443910001E-2</v>
      </c>
      <c r="I10" s="2">
        <v>4.5221029316762501E-3</v>
      </c>
    </row>
    <row r="11" spans="1:9" x14ac:dyDescent="0.35">
      <c r="A11" s="19">
        <v>45376</v>
      </c>
      <c r="B11" t="s">
        <v>268</v>
      </c>
      <c r="C11" t="s">
        <v>269</v>
      </c>
      <c r="D11" s="1">
        <v>250871</v>
      </c>
      <c r="E11" s="1">
        <v>92802</v>
      </c>
      <c r="F11" s="2">
        <v>0.369919201501967</v>
      </c>
      <c r="G11" s="1">
        <v>1892</v>
      </c>
      <c r="H11" s="2">
        <v>2.03874916488869E-2</v>
      </c>
      <c r="I11" s="2">
        <v>7.5417246313842596E-3</v>
      </c>
    </row>
    <row r="12" spans="1:9" ht="14.5" customHeight="1" x14ac:dyDescent="0.35">
      <c r="A12" s="19">
        <v>45377</v>
      </c>
      <c r="B12" t="s">
        <v>270</v>
      </c>
      <c r="C12" t="s">
        <v>271</v>
      </c>
      <c r="D12" s="1">
        <v>60276</v>
      </c>
      <c r="E12" s="1">
        <v>21755</v>
      </c>
      <c r="F12" s="2">
        <v>0.36092308713252402</v>
      </c>
      <c r="G12" s="1">
        <v>307</v>
      </c>
      <c r="H12" s="2">
        <v>1.4111698460124099E-2</v>
      </c>
      <c r="I12" s="2">
        <v>5.0932377729112702E-3</v>
      </c>
    </row>
    <row r="13" spans="1:9" x14ac:dyDescent="0.35">
      <c r="A13" s="19">
        <v>45377</v>
      </c>
      <c r="B13" t="s">
        <v>272</v>
      </c>
      <c r="C13" t="s">
        <v>10</v>
      </c>
      <c r="D13" s="1">
        <v>1380065</v>
      </c>
      <c r="E13" s="1">
        <v>511745</v>
      </c>
      <c r="F13" s="2">
        <v>0.37081224435081001</v>
      </c>
      <c r="G13" s="1">
        <v>8662</v>
      </c>
      <c r="H13" s="2">
        <v>1.6926398890072199E-2</v>
      </c>
      <c r="I13" s="2">
        <v>6.2765159612047303E-3</v>
      </c>
    </row>
    <row r="14" spans="1:9" ht="14.15" customHeight="1" x14ac:dyDescent="0.35">
      <c r="A14" s="19">
        <v>45377</v>
      </c>
      <c r="B14" t="s">
        <v>272</v>
      </c>
      <c r="C14" t="s">
        <v>11</v>
      </c>
      <c r="D14" s="1">
        <v>98120</v>
      </c>
      <c r="E14" s="1">
        <v>33872</v>
      </c>
      <c r="F14" s="2">
        <v>0.34520994700366903</v>
      </c>
      <c r="G14" s="1">
        <v>768</v>
      </c>
      <c r="H14" s="2">
        <v>2.26735947094946E-2</v>
      </c>
      <c r="I14" s="2">
        <v>7.8271504280472901E-3</v>
      </c>
    </row>
    <row r="15" spans="1:9" x14ac:dyDescent="0.35">
      <c r="A15" s="19">
        <v>45378</v>
      </c>
      <c r="B15" t="s">
        <v>273</v>
      </c>
      <c r="C15" t="s">
        <v>14</v>
      </c>
      <c r="D15" s="1">
        <v>6610016</v>
      </c>
      <c r="E15" s="1">
        <v>2390001</v>
      </c>
      <c r="F15" s="2">
        <v>0.36157264974850301</v>
      </c>
      <c r="G15" s="1">
        <v>28589</v>
      </c>
      <c r="H15" s="2">
        <v>1.19619196812052E-2</v>
      </c>
      <c r="I15" s="2">
        <v>4.3251029952121097E-3</v>
      </c>
    </row>
    <row r="16" spans="1:9" ht="14.15" customHeight="1" x14ac:dyDescent="0.35">
      <c r="A16" s="19">
        <v>45378</v>
      </c>
      <c r="B16" t="s">
        <v>273</v>
      </c>
      <c r="C16" t="s">
        <v>274</v>
      </c>
      <c r="D16" s="1">
        <v>428438</v>
      </c>
      <c r="E16" s="1">
        <v>148409</v>
      </c>
      <c r="F16" s="2">
        <v>0.34639551113580003</v>
      </c>
      <c r="G16" s="1">
        <v>2858</v>
      </c>
      <c r="H16" s="2">
        <v>1.92575921945435E-2</v>
      </c>
      <c r="I16" s="2">
        <v>6.6707434914736801E-3</v>
      </c>
    </row>
    <row r="17" spans="1:9" ht="14.5" customHeight="1" x14ac:dyDescent="0.35">
      <c r="A17" s="19">
        <v>45378</v>
      </c>
      <c r="B17" t="s">
        <v>275</v>
      </c>
      <c r="C17" t="s">
        <v>74</v>
      </c>
      <c r="D17" s="1">
        <v>33826</v>
      </c>
      <c r="E17" s="1">
        <v>12879</v>
      </c>
      <c r="F17" s="2">
        <v>0.38074262401702802</v>
      </c>
      <c r="G17" s="1">
        <v>173</v>
      </c>
      <c r="H17" s="2">
        <v>1.3432719931671701E-2</v>
      </c>
      <c r="I17" s="2">
        <v>5.11440903447053E-3</v>
      </c>
    </row>
    <row r="18" spans="1:9" x14ac:dyDescent="0.35">
      <c r="A18" s="19">
        <v>45378</v>
      </c>
      <c r="B18" t="s">
        <v>275</v>
      </c>
      <c r="C18" t="s">
        <v>72</v>
      </c>
      <c r="D18" s="1">
        <v>639027</v>
      </c>
      <c r="E18" s="1">
        <v>240229</v>
      </c>
      <c r="F18" s="2">
        <v>0.37592934257863903</v>
      </c>
      <c r="G18" s="1">
        <v>3041</v>
      </c>
      <c r="H18" s="2">
        <v>1.26587547714889E-2</v>
      </c>
      <c r="I18" s="2">
        <v>4.7587973591100199E-3</v>
      </c>
    </row>
    <row r="19" spans="1:9" x14ac:dyDescent="0.35">
      <c r="A19" s="19">
        <v>45378</v>
      </c>
      <c r="B19" t="s">
        <v>275</v>
      </c>
      <c r="C19" t="s">
        <v>75</v>
      </c>
      <c r="D19" s="1">
        <v>2001</v>
      </c>
      <c r="E19" s="1">
        <v>725</v>
      </c>
      <c r="F19" s="2">
        <v>0.36231884057970998</v>
      </c>
      <c r="G19" s="1">
        <v>20</v>
      </c>
      <c r="H19" s="2">
        <v>2.7586206896551699E-2</v>
      </c>
      <c r="I19" s="2">
        <v>9.9950024987506304E-3</v>
      </c>
    </row>
    <row r="20" spans="1:9" x14ac:dyDescent="0.35">
      <c r="A20" s="19">
        <v>45378</v>
      </c>
      <c r="B20" t="s">
        <v>275</v>
      </c>
      <c r="C20" t="s">
        <v>73</v>
      </c>
      <c r="D20" s="1">
        <v>37845</v>
      </c>
      <c r="E20" s="1">
        <v>13487</v>
      </c>
      <c r="F20" s="2">
        <v>0.35637468622010798</v>
      </c>
      <c r="G20" s="1">
        <v>242</v>
      </c>
      <c r="H20" s="2">
        <v>1.79432045673612E-2</v>
      </c>
      <c r="I20" s="2">
        <v>6.3945038974765498E-3</v>
      </c>
    </row>
    <row r="21" spans="1:9" x14ac:dyDescent="0.35">
      <c r="A21" s="19">
        <v>45378</v>
      </c>
      <c r="B21" t="s">
        <v>276</v>
      </c>
      <c r="C21" t="s">
        <v>10</v>
      </c>
      <c r="D21" s="1">
        <v>12036</v>
      </c>
      <c r="E21" s="1">
        <v>4125</v>
      </c>
      <c r="F21" s="2">
        <v>0.34272183449651</v>
      </c>
      <c r="G21" s="1">
        <v>83</v>
      </c>
      <c r="H21" s="2">
        <v>2.0121212121212099E-2</v>
      </c>
      <c r="I21" s="2">
        <v>6.8959787304752398E-3</v>
      </c>
    </row>
    <row r="22" spans="1:9" x14ac:dyDescent="0.35">
      <c r="A22" s="19">
        <v>45378</v>
      </c>
      <c r="B22" t="s">
        <v>277</v>
      </c>
      <c r="C22" t="s">
        <v>10</v>
      </c>
      <c r="D22" s="1">
        <v>97304</v>
      </c>
      <c r="E22" s="1">
        <v>45542</v>
      </c>
      <c r="F22" s="2">
        <v>0.468038312916221</v>
      </c>
      <c r="G22" s="1">
        <v>3631</v>
      </c>
      <c r="H22" s="2">
        <v>7.9728602169425997E-2</v>
      </c>
      <c r="I22" s="2">
        <v>3.7316040450546699E-2</v>
      </c>
    </row>
    <row r="23" spans="1:9" x14ac:dyDescent="0.35">
      <c r="A23" s="19">
        <v>45378</v>
      </c>
      <c r="B23" t="s">
        <v>277</v>
      </c>
      <c r="C23" t="s">
        <v>11</v>
      </c>
      <c r="D23" s="1">
        <v>4435</v>
      </c>
      <c r="E23" s="1">
        <v>1987</v>
      </c>
      <c r="F23" s="2">
        <v>0.44802705749718202</v>
      </c>
      <c r="G23" s="1">
        <v>129</v>
      </c>
      <c r="H23" s="2">
        <v>6.4921992954202298E-2</v>
      </c>
      <c r="I23" s="2">
        <v>2.9086809470124E-2</v>
      </c>
    </row>
    <row r="24" spans="1:9" x14ac:dyDescent="0.35">
      <c r="A24" s="19">
        <v>45379</v>
      </c>
      <c r="B24" t="s">
        <v>278</v>
      </c>
      <c r="C24" t="s">
        <v>279</v>
      </c>
      <c r="D24" s="1">
        <v>1005433</v>
      </c>
      <c r="E24" s="1">
        <v>350499</v>
      </c>
      <c r="F24" s="3">
        <v>0.34860000000000002</v>
      </c>
      <c r="G24" s="1">
        <v>2824</v>
      </c>
      <c r="H24" s="3">
        <v>8.0999999999999996E-3</v>
      </c>
      <c r="I24" s="3">
        <v>2.8E-3</v>
      </c>
    </row>
    <row r="25" spans="1:9" x14ac:dyDescent="0.35">
      <c r="A25" s="19">
        <v>45379</v>
      </c>
      <c r="B25" t="s">
        <v>280</v>
      </c>
      <c r="C25" t="s">
        <v>281</v>
      </c>
      <c r="D25" s="1">
        <v>75943</v>
      </c>
      <c r="E25" s="1">
        <v>25013</v>
      </c>
      <c r="F25" s="3">
        <v>0.32940000000000003</v>
      </c>
      <c r="G25">
        <v>254</v>
      </c>
      <c r="H25" s="3">
        <v>1.0200000000000001E-2</v>
      </c>
      <c r="I25" s="3">
        <v>3.3E-3</v>
      </c>
    </row>
    <row r="26" spans="1:9" x14ac:dyDescent="0.35">
      <c r="A26" s="19">
        <v>45379</v>
      </c>
      <c r="B26" t="s">
        <v>282</v>
      </c>
      <c r="C26" t="s">
        <v>283</v>
      </c>
      <c r="D26" s="1">
        <v>952986</v>
      </c>
      <c r="E26" s="1">
        <v>316973</v>
      </c>
      <c r="F26" s="3">
        <v>0.33260000000000001</v>
      </c>
      <c r="G26" s="1">
        <v>3738</v>
      </c>
      <c r="H26" s="3">
        <v>1.18E-2</v>
      </c>
      <c r="I26" s="3">
        <v>3.8999999999999998E-3</v>
      </c>
    </row>
    <row r="27" spans="1:9" x14ac:dyDescent="0.35">
      <c r="A27" s="19">
        <v>45379</v>
      </c>
      <c r="B27" t="s">
        <v>284</v>
      </c>
      <c r="C27" t="s">
        <v>285</v>
      </c>
      <c r="D27" s="1">
        <v>59301</v>
      </c>
      <c r="E27" s="1">
        <v>17744</v>
      </c>
      <c r="F27" s="3">
        <v>0.29920000000000002</v>
      </c>
      <c r="G27">
        <v>272</v>
      </c>
      <c r="H27" s="3">
        <v>1.5299999999999999E-2</v>
      </c>
      <c r="I27" s="3">
        <v>4.5999999999999999E-3</v>
      </c>
    </row>
    <row r="28" spans="1:9" x14ac:dyDescent="0.35">
      <c r="A28" s="19">
        <v>45379</v>
      </c>
      <c r="B28" t="s">
        <v>286</v>
      </c>
      <c r="C28" t="s">
        <v>287</v>
      </c>
      <c r="D28" s="1">
        <v>41958</v>
      </c>
      <c r="E28" s="1">
        <v>11798</v>
      </c>
      <c r="F28" s="2">
        <v>0.28118594785261503</v>
      </c>
      <c r="G28" s="1">
        <v>603</v>
      </c>
      <c r="H28" s="2">
        <v>5.1110357687743697E-2</v>
      </c>
      <c r="I28" s="2">
        <v>1.4371514371514399E-2</v>
      </c>
    </row>
    <row r="29" spans="1:9" x14ac:dyDescent="0.35">
      <c r="A29" s="19">
        <v>45379</v>
      </c>
      <c r="B29" t="s">
        <v>286</v>
      </c>
      <c r="C29" t="s">
        <v>288</v>
      </c>
      <c r="D29" s="1">
        <v>125395</v>
      </c>
      <c r="E29" s="1">
        <v>41855</v>
      </c>
      <c r="F29" s="2">
        <v>0.333785238645879</v>
      </c>
      <c r="G29" s="1">
        <v>2867</v>
      </c>
      <c r="H29" s="2">
        <v>6.8498387289451707E-2</v>
      </c>
      <c r="I29" s="2">
        <v>2.28637505482675E-2</v>
      </c>
    </row>
    <row r="30" spans="1:9" ht="15" thickBot="1" x14ac:dyDescent="0.4">
      <c r="A30" s="20" t="s">
        <v>35</v>
      </c>
      <c r="D30" s="10">
        <f>SUM(D2:D29)</f>
        <v>19816813</v>
      </c>
      <c r="E30" s="10">
        <f>SUM(E2:E29)</f>
        <v>7108103</v>
      </c>
      <c r="F30" s="27">
        <f>AVERAGE(F2:F29)</f>
        <v>0.35985743878669429</v>
      </c>
      <c r="G30" s="10">
        <f>SUM(G2:G29)</f>
        <v>101841</v>
      </c>
      <c r="H30" s="27">
        <f>AVERAGE(H2:H29)</f>
        <v>2.3814933466639376E-2</v>
      </c>
      <c r="I30" s="27">
        <f>AVERAGE(I2:I29)</f>
        <v>8.8262700064755967E-3</v>
      </c>
    </row>
    <row r="31" spans="1:9" ht="15" thickBot="1" x14ac:dyDescent="0.4">
      <c r="A31" s="138"/>
      <c r="B31" s="138"/>
      <c r="C31" s="138"/>
      <c r="D31" s="138"/>
      <c r="E31" s="138"/>
      <c r="F31" s="138"/>
      <c r="G31" s="138"/>
      <c r="H31" s="138"/>
      <c r="I31" s="138"/>
    </row>
    <row r="32" spans="1:9" x14ac:dyDescent="0.35">
      <c r="A32" s="24" t="s">
        <v>0</v>
      </c>
      <c r="B32" s="25" t="s">
        <v>1</v>
      </c>
      <c r="C32" s="25" t="s">
        <v>2</v>
      </c>
      <c r="D32" s="25" t="s">
        <v>3</v>
      </c>
      <c r="E32" s="25" t="s">
        <v>4</v>
      </c>
      <c r="F32" s="25" t="s">
        <v>5</v>
      </c>
      <c r="G32" s="25" t="s">
        <v>6</v>
      </c>
      <c r="H32" s="25" t="s">
        <v>7</v>
      </c>
      <c r="I32" s="26" t="s">
        <v>8</v>
      </c>
    </row>
    <row r="33" spans="1:9" x14ac:dyDescent="0.35">
      <c r="A33" s="5" t="s">
        <v>36</v>
      </c>
      <c r="B33" s="6"/>
      <c r="C33" s="6"/>
      <c r="D33" s="6"/>
      <c r="E33" s="6"/>
      <c r="F33" s="6"/>
      <c r="G33" s="6"/>
      <c r="H33" s="6"/>
      <c r="I33" s="7"/>
    </row>
    <row r="34" spans="1:9" x14ac:dyDescent="0.35">
      <c r="A34" s="8">
        <v>45373</v>
      </c>
      <c r="B34" t="s">
        <v>261</v>
      </c>
      <c r="C34" t="s">
        <v>10</v>
      </c>
      <c r="D34" s="1">
        <v>420436</v>
      </c>
      <c r="E34" s="1">
        <v>153400</v>
      </c>
      <c r="F34" s="2">
        <v>0.36485933649830199</v>
      </c>
      <c r="G34" s="1">
        <v>2952</v>
      </c>
      <c r="H34" s="2">
        <v>1.9243807040417199E-2</v>
      </c>
      <c r="I34" s="9">
        <v>7.0212826684679704E-3</v>
      </c>
    </row>
    <row r="35" spans="1:9" x14ac:dyDescent="0.35">
      <c r="A35" s="8">
        <v>45373</v>
      </c>
      <c r="B35" t="s">
        <v>262</v>
      </c>
      <c r="C35" t="s">
        <v>10</v>
      </c>
      <c r="D35" s="1">
        <v>2770241</v>
      </c>
      <c r="E35" s="1">
        <v>929503</v>
      </c>
      <c r="F35" s="2">
        <v>0.335531457371398</v>
      </c>
      <c r="G35" s="1">
        <v>13992</v>
      </c>
      <c r="H35" s="2">
        <v>1.5053205853020399E-2</v>
      </c>
      <c r="I35" s="9">
        <v>5.0508240979755901E-3</v>
      </c>
    </row>
    <row r="36" spans="1:9" x14ac:dyDescent="0.35">
      <c r="A36" s="8">
        <v>45373</v>
      </c>
      <c r="B36" t="s">
        <v>262</v>
      </c>
      <c r="C36" t="s">
        <v>263</v>
      </c>
      <c r="D36" s="1">
        <v>3376122</v>
      </c>
      <c r="E36" s="1">
        <v>1248593</v>
      </c>
      <c r="F36" s="2">
        <v>0.36983053337527499</v>
      </c>
      <c r="G36" s="1">
        <v>16048</v>
      </c>
      <c r="H36" s="2">
        <v>1.2852867187305999E-2</v>
      </c>
      <c r="I36" s="9">
        <v>4.75338272728296E-3</v>
      </c>
    </row>
    <row r="37" spans="1:9" ht="13.4" customHeight="1" x14ac:dyDescent="0.35">
      <c r="A37" s="8">
        <v>45373</v>
      </c>
      <c r="B37" t="s">
        <v>262</v>
      </c>
      <c r="C37" t="s">
        <v>11</v>
      </c>
      <c r="D37" s="1">
        <v>159952</v>
      </c>
      <c r="E37" s="1">
        <v>45030</v>
      </c>
      <c r="F37" s="2">
        <v>0.28152195658697599</v>
      </c>
      <c r="G37" s="1">
        <v>953</v>
      </c>
      <c r="H37" s="2">
        <v>2.1163668665334201E-2</v>
      </c>
      <c r="I37" s="9">
        <v>5.9580374112233698E-3</v>
      </c>
    </row>
    <row r="38" spans="1:9" x14ac:dyDescent="0.35">
      <c r="A38" s="8">
        <v>45373</v>
      </c>
      <c r="B38" t="s">
        <v>262</v>
      </c>
      <c r="C38" t="s">
        <v>264</v>
      </c>
      <c r="D38" s="1">
        <v>246611</v>
      </c>
      <c r="E38" s="1">
        <v>73973</v>
      </c>
      <c r="F38" s="2">
        <v>0.29995823381763198</v>
      </c>
      <c r="G38" s="1">
        <v>1722</v>
      </c>
      <c r="H38" s="2">
        <v>2.3278763873305099E-2</v>
      </c>
      <c r="I38" s="9">
        <v>6.9826568968943004E-3</v>
      </c>
    </row>
    <row r="39" spans="1:9" x14ac:dyDescent="0.35">
      <c r="A39" s="8">
        <v>45377</v>
      </c>
      <c r="B39" t="s">
        <v>272</v>
      </c>
      <c r="C39" t="s">
        <v>10</v>
      </c>
      <c r="D39" s="1">
        <v>1380065</v>
      </c>
      <c r="E39" s="1">
        <v>511745</v>
      </c>
      <c r="F39" s="2">
        <v>0.37081224435081001</v>
      </c>
      <c r="G39" s="1">
        <v>8662</v>
      </c>
      <c r="H39" s="2">
        <v>1.6926398890072199E-2</v>
      </c>
      <c r="I39" s="9">
        <v>6.2765159612047303E-3</v>
      </c>
    </row>
    <row r="40" spans="1:9" ht="14.15" customHeight="1" x14ac:dyDescent="0.35">
      <c r="A40" s="8">
        <v>45377</v>
      </c>
      <c r="B40" t="s">
        <v>272</v>
      </c>
      <c r="C40" t="s">
        <v>11</v>
      </c>
      <c r="D40" s="1">
        <v>98120</v>
      </c>
      <c r="E40" s="1">
        <v>33872</v>
      </c>
      <c r="F40" s="2">
        <v>0.34520994700366903</v>
      </c>
      <c r="G40" s="1">
        <v>768</v>
      </c>
      <c r="H40" s="2">
        <v>2.26735947094946E-2</v>
      </c>
      <c r="I40" s="9">
        <v>7.8271504280472901E-3</v>
      </c>
    </row>
    <row r="41" spans="1:9" ht="15" thickBot="1" x14ac:dyDescent="0.4">
      <c r="A41" s="12" t="s">
        <v>35</v>
      </c>
      <c r="B41" s="4"/>
      <c r="C41" s="4"/>
      <c r="D41" s="13">
        <f>SUM(D34:D40)</f>
        <v>8451547</v>
      </c>
      <c r="E41" s="13">
        <f>SUM(E34:E40)</f>
        <v>2996116</v>
      </c>
      <c r="F41" s="14">
        <f>AVERAGE(F34:F40)</f>
        <v>0.3382462441434374</v>
      </c>
      <c r="G41" s="13">
        <f>SUM(G34:G40)</f>
        <v>45097</v>
      </c>
      <c r="H41" s="14">
        <f>AVERAGE(H34:H40)</f>
        <v>1.8741758031278529E-2</v>
      </c>
      <c r="I41" s="15">
        <f>AVERAGE(I34:I40)</f>
        <v>6.2671214558708875E-3</v>
      </c>
    </row>
    <row r="42" spans="1:9" ht="3" customHeight="1" thickBot="1" x14ac:dyDescent="0.4">
      <c r="A42" s="139"/>
      <c r="B42" s="138"/>
      <c r="C42" s="138"/>
      <c r="D42" s="138"/>
      <c r="E42" s="138"/>
      <c r="F42" s="138"/>
      <c r="G42" s="138"/>
      <c r="H42" s="138"/>
      <c r="I42" s="140"/>
    </row>
    <row r="43" spans="1:9" x14ac:dyDescent="0.35">
      <c r="A43" s="16" t="s">
        <v>37</v>
      </c>
      <c r="B43" s="17"/>
      <c r="C43" s="17"/>
      <c r="D43" s="17"/>
      <c r="E43" s="17"/>
      <c r="F43" s="17"/>
      <c r="G43" s="17"/>
      <c r="H43" s="17"/>
      <c r="I43" s="18"/>
    </row>
    <row r="44" spans="1:9" x14ac:dyDescent="0.35">
      <c r="A44" s="8">
        <v>45373</v>
      </c>
      <c r="B44" t="s">
        <v>259</v>
      </c>
      <c r="C44" t="s">
        <v>260</v>
      </c>
      <c r="D44" s="1">
        <v>249695</v>
      </c>
      <c r="E44" s="1">
        <v>120734</v>
      </c>
      <c r="F44" s="2">
        <v>0.48352590159995201</v>
      </c>
      <c r="G44" s="1">
        <v>2629</v>
      </c>
      <c r="H44" s="2">
        <v>2.18E-2</v>
      </c>
      <c r="I44" s="9">
        <v>1.0500000000000001E-2</v>
      </c>
    </row>
    <row r="45" spans="1:9" x14ac:dyDescent="0.35">
      <c r="A45" s="8">
        <v>45374</v>
      </c>
      <c r="B45" t="s">
        <v>265</v>
      </c>
      <c r="C45" t="s">
        <v>266</v>
      </c>
      <c r="D45" s="1">
        <v>22606</v>
      </c>
      <c r="E45" s="1">
        <v>8862</v>
      </c>
      <c r="F45" s="2">
        <v>0.392019817747501</v>
      </c>
      <c r="G45" s="1">
        <v>218</v>
      </c>
      <c r="H45" s="2">
        <v>2.4599413225005601E-2</v>
      </c>
      <c r="I45" s="9">
        <v>9.6434574891621702E-3</v>
      </c>
    </row>
    <row r="46" spans="1:9" x14ac:dyDescent="0.35">
      <c r="A46" s="8">
        <v>45376</v>
      </c>
      <c r="B46" t="s">
        <v>267</v>
      </c>
      <c r="C46" t="s">
        <v>10</v>
      </c>
      <c r="D46" s="1">
        <v>623367</v>
      </c>
      <c r="E46" s="1">
        <v>234926</v>
      </c>
      <c r="F46" s="2">
        <v>0.37686627620647201</v>
      </c>
      <c r="G46" s="1">
        <v>2227</v>
      </c>
      <c r="H46" s="2">
        <v>9.4795808041681206E-3</v>
      </c>
      <c r="I46" s="9">
        <v>3.5725343176652002E-3</v>
      </c>
    </row>
    <row r="47" spans="1:9" x14ac:dyDescent="0.35">
      <c r="A47" s="8">
        <v>45376</v>
      </c>
      <c r="B47" t="s">
        <v>267</v>
      </c>
      <c r="C47" t="s">
        <v>11</v>
      </c>
      <c r="D47" s="1">
        <v>32507</v>
      </c>
      <c r="E47" s="1">
        <v>11642</v>
      </c>
      <c r="F47" s="2">
        <v>0.35813824714676801</v>
      </c>
      <c r="G47" s="1">
        <v>147</v>
      </c>
      <c r="H47" s="2">
        <v>1.2626696443910001E-2</v>
      </c>
      <c r="I47" s="9">
        <v>4.5221029316762501E-3</v>
      </c>
    </row>
    <row r="48" spans="1:9" x14ac:dyDescent="0.35">
      <c r="A48" s="8">
        <v>45376</v>
      </c>
      <c r="B48" t="s">
        <v>268</v>
      </c>
      <c r="C48" t="s">
        <v>269</v>
      </c>
      <c r="D48" s="1">
        <v>250871</v>
      </c>
      <c r="E48" s="1">
        <v>92802</v>
      </c>
      <c r="F48" s="2">
        <v>0.369919201501967</v>
      </c>
      <c r="G48" s="1">
        <v>1892</v>
      </c>
      <c r="H48" s="2">
        <v>2.03874916488869E-2</v>
      </c>
      <c r="I48" s="9">
        <v>7.5417246313842596E-3</v>
      </c>
    </row>
    <row r="49" spans="1:9" ht="14.5" customHeight="1" x14ac:dyDescent="0.35">
      <c r="A49" s="8">
        <v>45377</v>
      </c>
      <c r="B49" t="s">
        <v>270</v>
      </c>
      <c r="C49" t="s">
        <v>271</v>
      </c>
      <c r="D49" s="1">
        <v>60276</v>
      </c>
      <c r="E49" s="1">
        <v>21755</v>
      </c>
      <c r="F49" s="2">
        <v>0.36092308713252402</v>
      </c>
      <c r="G49" s="1">
        <v>307</v>
      </c>
      <c r="H49" s="2">
        <v>1.4111698460124099E-2</v>
      </c>
      <c r="I49" s="9">
        <v>5.0932377729112702E-3</v>
      </c>
    </row>
    <row r="50" spans="1:9" x14ac:dyDescent="0.35">
      <c r="A50" s="8">
        <v>45378</v>
      </c>
      <c r="B50" t="s">
        <v>273</v>
      </c>
      <c r="C50" t="s">
        <v>14</v>
      </c>
      <c r="D50" s="1">
        <v>6610016</v>
      </c>
      <c r="E50" s="1">
        <v>2390001</v>
      </c>
      <c r="F50" s="2">
        <v>0.36157264974850301</v>
      </c>
      <c r="G50" s="1">
        <v>28589</v>
      </c>
      <c r="H50" s="2">
        <v>1.19619196812052E-2</v>
      </c>
      <c r="I50" s="9">
        <v>4.3251029952121097E-3</v>
      </c>
    </row>
    <row r="51" spans="1:9" ht="14.15" customHeight="1" x14ac:dyDescent="0.35">
      <c r="A51" s="8">
        <v>45378</v>
      </c>
      <c r="B51" t="s">
        <v>273</v>
      </c>
      <c r="C51" t="s">
        <v>274</v>
      </c>
      <c r="D51" s="1">
        <v>428438</v>
      </c>
      <c r="E51" s="1">
        <v>148409</v>
      </c>
      <c r="F51" s="2">
        <v>0.34639551113580003</v>
      </c>
      <c r="G51" s="1">
        <v>2858</v>
      </c>
      <c r="H51" s="2">
        <v>1.92575921945435E-2</v>
      </c>
      <c r="I51" s="9">
        <v>6.6707434914736801E-3</v>
      </c>
    </row>
    <row r="52" spans="1:9" ht="14.5" customHeight="1" x14ac:dyDescent="0.35">
      <c r="A52" s="8">
        <v>45378</v>
      </c>
      <c r="B52" t="s">
        <v>275</v>
      </c>
      <c r="C52" t="s">
        <v>74</v>
      </c>
      <c r="D52" s="1">
        <v>33826</v>
      </c>
      <c r="E52" s="1">
        <v>12879</v>
      </c>
      <c r="F52" s="2">
        <v>0.38074262401702802</v>
      </c>
      <c r="G52" s="1">
        <v>173</v>
      </c>
      <c r="H52" s="2">
        <v>1.3432719931671701E-2</v>
      </c>
      <c r="I52" s="9">
        <v>5.11440903447053E-3</v>
      </c>
    </row>
    <row r="53" spans="1:9" x14ac:dyDescent="0.35">
      <c r="A53" s="8">
        <v>45378</v>
      </c>
      <c r="B53" t="s">
        <v>275</v>
      </c>
      <c r="C53" t="s">
        <v>72</v>
      </c>
      <c r="D53" s="1">
        <v>639027</v>
      </c>
      <c r="E53" s="1">
        <v>240229</v>
      </c>
      <c r="F53" s="2">
        <v>0.37592934257863903</v>
      </c>
      <c r="G53" s="1">
        <v>3041</v>
      </c>
      <c r="H53" s="2">
        <v>1.26587547714889E-2</v>
      </c>
      <c r="I53" s="9">
        <v>4.7587973591100199E-3</v>
      </c>
    </row>
    <row r="54" spans="1:9" x14ac:dyDescent="0.35">
      <c r="A54" s="8">
        <v>45378</v>
      </c>
      <c r="B54" t="s">
        <v>275</v>
      </c>
      <c r="C54" t="s">
        <v>75</v>
      </c>
      <c r="D54" s="1">
        <v>2001</v>
      </c>
      <c r="E54" s="1">
        <v>725</v>
      </c>
      <c r="F54" s="2">
        <v>0.36231884057970998</v>
      </c>
      <c r="G54" s="1">
        <v>20</v>
      </c>
      <c r="H54" s="2">
        <v>2.7586206896551699E-2</v>
      </c>
      <c r="I54" s="9">
        <v>9.9950024987506304E-3</v>
      </c>
    </row>
    <row r="55" spans="1:9" x14ac:dyDescent="0.35">
      <c r="A55" s="8">
        <v>45378</v>
      </c>
      <c r="B55" t="s">
        <v>275</v>
      </c>
      <c r="C55" t="s">
        <v>73</v>
      </c>
      <c r="D55" s="1">
        <v>37845</v>
      </c>
      <c r="E55" s="1">
        <v>13487</v>
      </c>
      <c r="F55" s="2">
        <v>0.35637468622010798</v>
      </c>
      <c r="G55" s="1">
        <v>242</v>
      </c>
      <c r="H55" s="2">
        <v>1.79432045673612E-2</v>
      </c>
      <c r="I55" s="9">
        <v>6.3945038974765498E-3</v>
      </c>
    </row>
    <row r="56" spans="1:9" x14ac:dyDescent="0.35">
      <c r="A56" s="8">
        <v>45378</v>
      </c>
      <c r="B56" t="s">
        <v>276</v>
      </c>
      <c r="C56" t="s">
        <v>10</v>
      </c>
      <c r="D56" s="1">
        <v>12036</v>
      </c>
      <c r="E56" s="1">
        <v>4125</v>
      </c>
      <c r="F56" s="2">
        <v>0.34272183449651</v>
      </c>
      <c r="G56" s="1">
        <v>83</v>
      </c>
      <c r="H56" s="2">
        <v>2.0121212121212099E-2</v>
      </c>
      <c r="I56" s="9">
        <v>6.8959787304752398E-3</v>
      </c>
    </row>
    <row r="57" spans="1:9" x14ac:dyDescent="0.35">
      <c r="A57" s="8">
        <v>45378</v>
      </c>
      <c r="B57" t="s">
        <v>277</v>
      </c>
      <c r="C57" t="s">
        <v>10</v>
      </c>
      <c r="D57" s="1">
        <v>97304</v>
      </c>
      <c r="E57" s="1">
        <v>45542</v>
      </c>
      <c r="F57" s="2">
        <v>0.468038312916221</v>
      </c>
      <c r="G57" s="1">
        <v>3631</v>
      </c>
      <c r="H57" s="2">
        <v>7.9728602169425997E-2</v>
      </c>
      <c r="I57" s="9">
        <v>3.7316040450546699E-2</v>
      </c>
    </row>
    <row r="58" spans="1:9" x14ac:dyDescent="0.35">
      <c r="A58" s="8">
        <v>45378</v>
      </c>
      <c r="B58" t="s">
        <v>277</v>
      </c>
      <c r="C58" t="s">
        <v>11</v>
      </c>
      <c r="D58" s="1">
        <v>4435</v>
      </c>
      <c r="E58" s="1">
        <v>1987</v>
      </c>
      <c r="F58" s="2">
        <v>0.44802705749718202</v>
      </c>
      <c r="G58" s="1">
        <v>129</v>
      </c>
      <c r="H58" s="2">
        <v>6.4921992954202298E-2</v>
      </c>
      <c r="I58" s="9">
        <v>2.9086809470124E-2</v>
      </c>
    </row>
    <row r="59" spans="1:9" x14ac:dyDescent="0.35">
      <c r="A59" s="8">
        <v>45379</v>
      </c>
      <c r="B59" t="s">
        <v>286</v>
      </c>
      <c r="C59" t="s">
        <v>287</v>
      </c>
      <c r="D59" s="1">
        <v>41958</v>
      </c>
      <c r="E59" s="1">
        <v>11798</v>
      </c>
      <c r="F59" s="2">
        <v>0.28118594785261503</v>
      </c>
      <c r="G59" s="1">
        <v>603</v>
      </c>
      <c r="H59" s="2">
        <v>5.1110357687743697E-2</v>
      </c>
      <c r="I59" s="9">
        <v>1.4371514371514399E-2</v>
      </c>
    </row>
    <row r="60" spans="1:9" x14ac:dyDescent="0.35">
      <c r="A60" s="8">
        <v>45379</v>
      </c>
      <c r="B60" t="s">
        <v>286</v>
      </c>
      <c r="C60" t="s">
        <v>288</v>
      </c>
      <c r="D60" s="1">
        <v>125395</v>
      </c>
      <c r="E60" s="1">
        <v>41855</v>
      </c>
      <c r="F60" s="2">
        <v>0.333785238645879</v>
      </c>
      <c r="G60" s="1">
        <v>2867</v>
      </c>
      <c r="H60" s="2">
        <v>6.8498387289451707E-2</v>
      </c>
      <c r="I60" s="9">
        <v>2.28637505482675E-2</v>
      </c>
    </row>
    <row r="61" spans="1:9" ht="15" thickBot="1" x14ac:dyDescent="0.4">
      <c r="A61" s="12" t="s">
        <v>35</v>
      </c>
      <c r="B61" s="4"/>
      <c r="C61" s="4"/>
      <c r="D61" s="13">
        <f>SUM(D44:D60)</f>
        <v>9271603</v>
      </c>
      <c r="E61" s="13">
        <f>SUM(E44:E60)</f>
        <v>3401758</v>
      </c>
      <c r="F61" s="14">
        <f>AVERAGE(F44:F60)</f>
        <v>0.37638144570725762</v>
      </c>
      <c r="G61" s="13">
        <f>SUM(G44:G60)</f>
        <v>49656</v>
      </c>
      <c r="H61" s="14">
        <f>AVERAGE(H44:H60)</f>
        <v>2.8836813579232512E-2</v>
      </c>
      <c r="I61" s="15">
        <f>AVERAGE(I44:I60)</f>
        <v>1.1097982940601207E-2</v>
      </c>
    </row>
    <row r="62" spans="1:9" ht="3" customHeight="1" thickBot="1" x14ac:dyDescent="0.4">
      <c r="A62" s="139"/>
      <c r="B62" s="138"/>
      <c r="C62" s="138"/>
      <c r="D62" s="138"/>
      <c r="E62" s="138"/>
      <c r="F62" s="138"/>
      <c r="G62" s="138"/>
      <c r="H62" s="138"/>
      <c r="I62" s="140"/>
    </row>
    <row r="63" spans="1:9" x14ac:dyDescent="0.35">
      <c r="A63" s="16" t="s">
        <v>38</v>
      </c>
      <c r="B63" s="17"/>
      <c r="C63" s="17"/>
      <c r="D63" s="17"/>
      <c r="E63" s="17"/>
      <c r="F63" s="17"/>
      <c r="G63" s="17"/>
      <c r="H63" s="17"/>
      <c r="I63" s="18"/>
    </row>
    <row r="64" spans="1:9" x14ac:dyDescent="0.35">
      <c r="A64" s="8">
        <v>45379</v>
      </c>
      <c r="B64" t="s">
        <v>278</v>
      </c>
      <c r="C64" t="s">
        <v>279</v>
      </c>
      <c r="D64" s="1">
        <v>1005433</v>
      </c>
      <c r="E64" s="1">
        <v>350499</v>
      </c>
      <c r="F64" s="3">
        <v>0.34860000000000002</v>
      </c>
      <c r="G64" s="1">
        <v>2824</v>
      </c>
      <c r="H64" s="3">
        <v>8.0999999999999996E-3</v>
      </c>
      <c r="I64" s="11">
        <v>2.8E-3</v>
      </c>
    </row>
    <row r="65" spans="1:9" x14ac:dyDescent="0.35">
      <c r="A65" s="8">
        <v>45379</v>
      </c>
      <c r="B65" t="s">
        <v>280</v>
      </c>
      <c r="C65" t="s">
        <v>281</v>
      </c>
      <c r="D65" s="1">
        <v>75943</v>
      </c>
      <c r="E65" s="1">
        <v>25013</v>
      </c>
      <c r="F65" s="3">
        <v>0.32940000000000003</v>
      </c>
      <c r="G65">
        <v>254</v>
      </c>
      <c r="H65" s="3">
        <v>1.0200000000000001E-2</v>
      </c>
      <c r="I65" s="11">
        <v>3.3E-3</v>
      </c>
    </row>
    <row r="66" spans="1:9" x14ac:dyDescent="0.35">
      <c r="A66" s="8">
        <v>45379</v>
      </c>
      <c r="B66" t="s">
        <v>282</v>
      </c>
      <c r="C66" t="s">
        <v>283</v>
      </c>
      <c r="D66" s="1">
        <v>952986</v>
      </c>
      <c r="E66" s="1">
        <v>316973</v>
      </c>
      <c r="F66" s="3">
        <v>0.33260000000000001</v>
      </c>
      <c r="G66" s="1">
        <v>3738</v>
      </c>
      <c r="H66" s="3">
        <v>1.18E-2</v>
      </c>
      <c r="I66" s="11">
        <v>3.8999999999999998E-3</v>
      </c>
    </row>
    <row r="67" spans="1:9" x14ac:dyDescent="0.35">
      <c r="A67" s="8">
        <v>45379</v>
      </c>
      <c r="B67" t="s">
        <v>284</v>
      </c>
      <c r="C67" t="s">
        <v>285</v>
      </c>
      <c r="D67" s="1">
        <v>59301</v>
      </c>
      <c r="E67" s="1">
        <v>17744</v>
      </c>
      <c r="F67" s="3">
        <v>0.29920000000000002</v>
      </c>
      <c r="G67">
        <v>272</v>
      </c>
      <c r="H67" s="3">
        <v>1.5299999999999999E-2</v>
      </c>
      <c r="I67" s="11">
        <v>4.5999999999999999E-3</v>
      </c>
    </row>
    <row r="68" spans="1:9" ht="15" thickBot="1" x14ac:dyDescent="0.4">
      <c r="A68" s="12" t="s">
        <v>35</v>
      </c>
      <c r="B68" s="4"/>
      <c r="C68" s="4"/>
      <c r="D68" s="13">
        <f>SUM(D64:D67)</f>
        <v>2093663</v>
      </c>
      <c r="E68" s="13">
        <f>SUM(E64:E67)</f>
        <v>710229</v>
      </c>
      <c r="F68" s="14">
        <f>AVERAGE(F64:F67)</f>
        <v>0.32745000000000002</v>
      </c>
      <c r="G68" s="13">
        <f>SUM(G64:G67)</f>
        <v>7088</v>
      </c>
      <c r="H68" s="14">
        <f>AVERAGE(H64:H67)</f>
        <v>1.1350000000000001E-2</v>
      </c>
      <c r="I68" s="15">
        <f>AVERAGE(I64:I67)</f>
        <v>3.6499999999999996E-3</v>
      </c>
    </row>
  </sheetData>
  <mergeCells count="3">
    <mergeCell ref="A31:I31"/>
    <mergeCell ref="A42:I42"/>
    <mergeCell ref="A62:I62"/>
  </mergeCells>
  <pageMargins left="0.7" right="0.7" top="0.75" bottom="0.75" header="0.3" footer="0.3"/>
  <ignoredErrors>
    <ignoredError sqref="F30:G30 F61:G61 F68:G68 F41:G41" formula="1"/>
  </ignoredErrors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330-0BA2-4965-9A74-59439FF578EA}">
  <dimension ref="A1:I54"/>
  <sheetViews>
    <sheetView workbookViewId="0">
      <selection activeCell="L21" sqref="L21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45380</v>
      </c>
      <c r="B2" t="s">
        <v>289</v>
      </c>
      <c r="C2" t="s">
        <v>10</v>
      </c>
      <c r="D2" s="1">
        <v>421524</v>
      </c>
      <c r="E2" s="1">
        <v>161173</v>
      </c>
      <c r="F2" s="2">
        <v>0.38235782541444902</v>
      </c>
      <c r="G2" s="1">
        <v>3776</v>
      </c>
      <c r="H2" s="2">
        <v>2.3428241703014802E-2</v>
      </c>
      <c r="I2" s="2">
        <v>8.9579715508488304E-3</v>
      </c>
    </row>
    <row r="3" spans="1:9" x14ac:dyDescent="0.35">
      <c r="A3" s="19">
        <v>45380</v>
      </c>
      <c r="B3" t="s">
        <v>289</v>
      </c>
      <c r="C3" t="s">
        <v>11</v>
      </c>
      <c r="D3" s="1">
        <v>22557</v>
      </c>
      <c r="E3" s="1">
        <v>8185</v>
      </c>
      <c r="F3" s="2">
        <v>0.36285853615285701</v>
      </c>
      <c r="G3" s="1">
        <v>338</v>
      </c>
      <c r="H3" s="2">
        <v>4.1295051924251702E-2</v>
      </c>
      <c r="I3" s="2">
        <v>1.4984262091590201E-2</v>
      </c>
    </row>
    <row r="4" spans="1:9" x14ac:dyDescent="0.35">
      <c r="A4" s="19">
        <v>45380</v>
      </c>
      <c r="B4" t="s">
        <v>290</v>
      </c>
      <c r="C4" t="s">
        <v>10</v>
      </c>
      <c r="D4" s="1">
        <v>4947682</v>
      </c>
      <c r="E4" s="1">
        <v>1724641</v>
      </c>
      <c r="F4" s="2">
        <v>0.34857555517917299</v>
      </c>
      <c r="G4" s="1">
        <v>24812</v>
      </c>
      <c r="H4" s="2">
        <v>1.43867622305164E-2</v>
      </c>
      <c r="I4" s="2">
        <v>5.0148736317329997E-3</v>
      </c>
    </row>
    <row r="5" spans="1:9" x14ac:dyDescent="0.35">
      <c r="A5" s="19">
        <v>45380</v>
      </c>
      <c r="B5" t="s">
        <v>290</v>
      </c>
      <c r="C5" t="s">
        <v>11</v>
      </c>
      <c r="D5" s="1">
        <v>316295</v>
      </c>
      <c r="E5" s="1">
        <v>87808</v>
      </c>
      <c r="F5" s="2">
        <v>0.277614252517428</v>
      </c>
      <c r="G5" s="1">
        <v>1715</v>
      </c>
      <c r="H5" s="2">
        <v>1.953125E-2</v>
      </c>
      <c r="I5" s="2">
        <v>5.4221533694810203E-3</v>
      </c>
    </row>
    <row r="6" spans="1:9" ht="13.4" customHeight="1" x14ac:dyDescent="0.35">
      <c r="A6" s="19">
        <v>45383</v>
      </c>
      <c r="B6" t="s">
        <v>291</v>
      </c>
      <c r="C6" t="s">
        <v>101</v>
      </c>
      <c r="D6" s="1">
        <v>24277</v>
      </c>
      <c r="E6" s="1">
        <v>8175</v>
      </c>
      <c r="F6" s="2">
        <v>0.33673847674753898</v>
      </c>
      <c r="G6" s="1">
        <v>126</v>
      </c>
      <c r="H6" s="2">
        <v>1.5412844036697199E-2</v>
      </c>
      <c r="I6" s="2">
        <v>5.1900976232648202E-3</v>
      </c>
    </row>
    <row r="7" spans="1:9" x14ac:dyDescent="0.35">
      <c r="A7" s="19">
        <v>45383</v>
      </c>
      <c r="B7" t="s">
        <v>291</v>
      </c>
      <c r="C7" t="s">
        <v>102</v>
      </c>
      <c r="D7" s="1">
        <v>8351</v>
      </c>
      <c r="E7" s="1">
        <v>3141</v>
      </c>
      <c r="F7" s="2">
        <v>0.37612262004550401</v>
      </c>
      <c r="G7" s="1">
        <v>72</v>
      </c>
      <c r="H7" s="2">
        <v>2.29226361031519E-2</v>
      </c>
      <c r="I7" s="2">
        <v>8.6217219494671305E-3</v>
      </c>
    </row>
    <row r="8" spans="1:9" x14ac:dyDescent="0.35">
      <c r="A8" s="19">
        <v>45383</v>
      </c>
      <c r="B8" t="s">
        <v>291</v>
      </c>
      <c r="C8" t="s">
        <v>103</v>
      </c>
      <c r="D8" s="1">
        <v>37692</v>
      </c>
      <c r="E8" s="1">
        <v>15136</v>
      </c>
      <c r="F8" s="2">
        <v>0.40157062506632701</v>
      </c>
      <c r="G8" s="1">
        <v>433</v>
      </c>
      <c r="H8" s="2">
        <v>2.8607293868921801E-2</v>
      </c>
      <c r="I8" s="2">
        <v>1.1487848880399E-2</v>
      </c>
    </row>
    <row r="9" spans="1:9" x14ac:dyDescent="0.35">
      <c r="A9" s="19">
        <v>45383</v>
      </c>
      <c r="B9" t="s">
        <v>291</v>
      </c>
      <c r="C9" t="s">
        <v>104</v>
      </c>
      <c r="D9" s="1">
        <v>158095</v>
      </c>
      <c r="E9" s="1">
        <v>60843</v>
      </c>
      <c r="F9" s="2">
        <v>0.38485088079951901</v>
      </c>
      <c r="G9" s="1">
        <v>1327</v>
      </c>
      <c r="H9" s="2">
        <v>2.1810232894499001E-2</v>
      </c>
      <c r="I9" s="2">
        <v>8.3936873398905692E-3</v>
      </c>
    </row>
    <row r="10" spans="1:9" x14ac:dyDescent="0.35">
      <c r="A10" s="19">
        <v>45383</v>
      </c>
      <c r="B10" t="s">
        <v>291</v>
      </c>
      <c r="C10" t="s">
        <v>106</v>
      </c>
      <c r="D10" s="1">
        <v>12046</v>
      </c>
      <c r="E10" s="1">
        <v>4423</v>
      </c>
      <c r="F10" s="2">
        <v>0.367175826000332</v>
      </c>
      <c r="G10" s="1">
        <v>98</v>
      </c>
      <c r="H10" s="2">
        <v>2.2156907076644802E-2</v>
      </c>
      <c r="I10" s="2">
        <v>8.1354806574796597E-3</v>
      </c>
    </row>
    <row r="11" spans="1:9" x14ac:dyDescent="0.35">
      <c r="A11" s="19">
        <v>45383</v>
      </c>
      <c r="B11" t="s">
        <v>292</v>
      </c>
      <c r="C11" t="s">
        <v>10</v>
      </c>
      <c r="D11" s="1">
        <v>87337</v>
      </c>
      <c r="E11" s="1">
        <v>35572</v>
      </c>
      <c r="F11" s="2">
        <v>0.40729587689066499</v>
      </c>
      <c r="G11" s="1">
        <v>3924</v>
      </c>
      <c r="H11" s="2">
        <v>0.110311480940065</v>
      </c>
      <c r="I11" s="2">
        <v>4.4929411360591698E-2</v>
      </c>
    </row>
    <row r="12" spans="1:9" ht="14.5" customHeight="1" x14ac:dyDescent="0.35">
      <c r="A12" s="19">
        <v>45383</v>
      </c>
      <c r="B12" t="s">
        <v>292</v>
      </c>
      <c r="C12" t="s">
        <v>11</v>
      </c>
      <c r="D12" s="1">
        <v>9638</v>
      </c>
      <c r="E12" s="1">
        <v>3765</v>
      </c>
      <c r="F12" s="2">
        <v>0.39064121186968198</v>
      </c>
      <c r="G12" s="1">
        <v>641</v>
      </c>
      <c r="H12" s="2">
        <v>0.17025232403718499</v>
      </c>
      <c r="I12" s="2">
        <v>6.65075741855157E-2</v>
      </c>
    </row>
    <row r="13" spans="1:9" x14ac:dyDescent="0.35">
      <c r="A13" s="19">
        <v>45384</v>
      </c>
      <c r="B13" t="s">
        <v>293</v>
      </c>
      <c r="C13" t="s">
        <v>10</v>
      </c>
      <c r="D13" s="1">
        <v>1377697</v>
      </c>
      <c r="E13" s="1">
        <v>515504</v>
      </c>
      <c r="F13" s="2">
        <v>0.37417806673020299</v>
      </c>
      <c r="G13" s="1">
        <v>6150</v>
      </c>
      <c r="H13" s="2">
        <v>1.19300723175766E-2</v>
      </c>
      <c r="I13" s="2">
        <v>4.4639713957423102E-3</v>
      </c>
    </row>
    <row r="14" spans="1:9" ht="14.15" customHeight="1" x14ac:dyDescent="0.35">
      <c r="A14" s="19">
        <v>45384</v>
      </c>
      <c r="B14" t="s">
        <v>293</v>
      </c>
      <c r="C14" t="s">
        <v>11</v>
      </c>
      <c r="D14" s="1">
        <v>97843</v>
      </c>
      <c r="E14" s="1">
        <v>31706</v>
      </c>
      <c r="F14" s="2">
        <v>0.32404975317600598</v>
      </c>
      <c r="G14" s="1">
        <v>789</v>
      </c>
      <c r="H14" s="2">
        <v>2.488487983347E-2</v>
      </c>
      <c r="I14" s="2">
        <v>8.0639391678505399E-3</v>
      </c>
    </row>
    <row r="15" spans="1:9" x14ac:dyDescent="0.35">
      <c r="A15" s="19">
        <v>45385</v>
      </c>
      <c r="B15" t="s">
        <v>294</v>
      </c>
      <c r="C15" t="s">
        <v>10</v>
      </c>
      <c r="D15" s="1">
        <v>228661</v>
      </c>
      <c r="E15" s="1">
        <v>99181</v>
      </c>
      <c r="F15" s="2">
        <v>0.43374690043339298</v>
      </c>
      <c r="G15" s="1">
        <v>1814</v>
      </c>
      <c r="H15" s="2">
        <v>1.8289793408011599E-2</v>
      </c>
      <c r="I15" s="2">
        <v>7.9331412002921296E-3</v>
      </c>
    </row>
    <row r="16" spans="1:9" ht="14.15" customHeight="1" x14ac:dyDescent="0.35">
      <c r="A16" s="19">
        <v>45385</v>
      </c>
      <c r="B16" t="s">
        <v>294</v>
      </c>
      <c r="C16" t="s">
        <v>11</v>
      </c>
      <c r="D16" s="1">
        <v>13629</v>
      </c>
      <c r="E16" s="1">
        <v>6007</v>
      </c>
      <c r="F16" s="2">
        <v>0.440751339056424</v>
      </c>
      <c r="G16" s="1">
        <v>159</v>
      </c>
      <c r="H16" s="2">
        <v>2.6469119360745801E-2</v>
      </c>
      <c r="I16" s="2">
        <v>1.1666299801893E-2</v>
      </c>
    </row>
    <row r="17" spans="1:9" ht="14.5" customHeight="1" x14ac:dyDescent="0.35">
      <c r="A17" s="19">
        <v>45385</v>
      </c>
      <c r="B17" t="s">
        <v>295</v>
      </c>
      <c r="C17" t="s">
        <v>10</v>
      </c>
      <c r="D17" s="1">
        <v>685325</v>
      </c>
      <c r="E17" s="1">
        <v>254297</v>
      </c>
      <c r="F17" s="2">
        <v>0.37106044577390301</v>
      </c>
      <c r="G17" s="1">
        <v>2634</v>
      </c>
      <c r="H17" s="2">
        <v>1.03579672587565E-2</v>
      </c>
      <c r="I17" s="2">
        <v>3.8434319483456802E-3</v>
      </c>
    </row>
    <row r="18" spans="1:9" x14ac:dyDescent="0.35">
      <c r="A18" s="19">
        <v>45385</v>
      </c>
      <c r="B18" t="s">
        <v>295</v>
      </c>
      <c r="C18" t="s">
        <v>11</v>
      </c>
      <c r="D18" s="1">
        <v>23398</v>
      </c>
      <c r="E18" s="1">
        <v>7521</v>
      </c>
      <c r="F18" s="2">
        <v>0.32143772972048901</v>
      </c>
      <c r="G18" s="1">
        <v>121</v>
      </c>
      <c r="H18" s="2">
        <v>1.6088286132163301E-2</v>
      </c>
      <c r="I18" s="2">
        <v>5.1713821694161898E-3</v>
      </c>
    </row>
    <row r="19" spans="1:9" x14ac:dyDescent="0.35">
      <c r="A19" s="19">
        <v>45386</v>
      </c>
      <c r="B19" t="s">
        <v>296</v>
      </c>
      <c r="C19" t="s">
        <v>234</v>
      </c>
      <c r="D19" s="1">
        <v>888174</v>
      </c>
      <c r="E19" s="1">
        <v>324638</v>
      </c>
      <c r="F19" s="3">
        <v>0.36549999999999999</v>
      </c>
      <c r="G19" s="1">
        <v>2474</v>
      </c>
      <c r="H19" s="3">
        <v>7.6E-3</v>
      </c>
      <c r="I19" s="3">
        <v>2.8E-3</v>
      </c>
    </row>
    <row r="20" spans="1:9" x14ac:dyDescent="0.35">
      <c r="A20" s="19">
        <v>45386</v>
      </c>
      <c r="B20" t="s">
        <v>297</v>
      </c>
      <c r="C20" t="s">
        <v>235</v>
      </c>
      <c r="D20" s="1">
        <v>69806</v>
      </c>
      <c r="E20" s="1">
        <v>24058</v>
      </c>
      <c r="F20" s="3">
        <v>0.34460000000000002</v>
      </c>
      <c r="G20">
        <v>270</v>
      </c>
      <c r="H20" s="3">
        <v>1.12E-2</v>
      </c>
      <c r="I20" s="3">
        <v>3.8999999999999998E-3</v>
      </c>
    </row>
    <row r="21" spans="1:9" x14ac:dyDescent="0.35">
      <c r="A21" s="19">
        <v>45386</v>
      </c>
      <c r="B21" t="s">
        <v>298</v>
      </c>
      <c r="C21" t="s">
        <v>299</v>
      </c>
      <c r="D21" s="1">
        <v>323877</v>
      </c>
      <c r="E21" s="1">
        <v>116989</v>
      </c>
      <c r="F21" s="3">
        <v>0.36120000000000002</v>
      </c>
      <c r="G21" s="1">
        <v>1775</v>
      </c>
      <c r="H21" s="3">
        <v>1.52E-2</v>
      </c>
      <c r="I21" s="3">
        <v>5.4999999999999997E-3</v>
      </c>
    </row>
    <row r="22" spans="1:9" x14ac:dyDescent="0.35">
      <c r="A22" s="19">
        <v>45386</v>
      </c>
      <c r="B22" t="s">
        <v>300</v>
      </c>
      <c r="C22" t="s">
        <v>301</v>
      </c>
      <c r="D22" s="1">
        <v>15639</v>
      </c>
      <c r="E22" s="1">
        <v>5120</v>
      </c>
      <c r="F22" s="3">
        <v>0.32740000000000002</v>
      </c>
      <c r="G22">
        <v>84</v>
      </c>
      <c r="H22" s="3">
        <v>1.6400000000000001E-2</v>
      </c>
      <c r="I22" s="3">
        <v>5.4000000000000003E-3</v>
      </c>
    </row>
    <row r="23" spans="1:9" ht="15" thickBot="1" x14ac:dyDescent="0.4">
      <c r="A23" s="20" t="s">
        <v>35</v>
      </c>
      <c r="D23" s="10">
        <f>SUM(D2:D22)</f>
        <v>9769543</v>
      </c>
      <c r="E23" s="10">
        <f>SUM(E2:E22)</f>
        <v>3497883</v>
      </c>
      <c r="F23" s="27">
        <f>AVERAGE(F2:F22)</f>
        <v>0.36665361531304252</v>
      </c>
      <c r="G23" s="10">
        <f>SUM(G2:G22)</f>
        <v>53532</v>
      </c>
      <c r="H23" s="27">
        <f>AVERAGE(H2:H22)</f>
        <v>3.0882625863127209E-2</v>
      </c>
      <c r="I23" s="27">
        <f>AVERAGE(I2:I22)</f>
        <v>1.173272611065721E-2</v>
      </c>
    </row>
    <row r="24" spans="1:9" ht="15" thickBot="1" x14ac:dyDescent="0.4">
      <c r="A24" s="138" t="s">
        <v>302</v>
      </c>
      <c r="B24" s="138"/>
      <c r="C24" s="138"/>
      <c r="D24" s="138"/>
      <c r="E24" s="138"/>
      <c r="F24" s="138"/>
      <c r="G24" s="138"/>
      <c r="H24" s="138"/>
      <c r="I24" s="138"/>
    </row>
    <row r="25" spans="1:9" x14ac:dyDescent="0.35">
      <c r="A25" s="24" t="s">
        <v>0</v>
      </c>
      <c r="B25" s="25" t="s">
        <v>1</v>
      </c>
      <c r="C25" s="25" t="s">
        <v>2</v>
      </c>
      <c r="D25" s="25" t="s">
        <v>3</v>
      </c>
      <c r="E25" s="25" t="s">
        <v>4</v>
      </c>
      <c r="F25" s="25" t="s">
        <v>5</v>
      </c>
      <c r="G25" s="25" t="s">
        <v>6</v>
      </c>
      <c r="H25" s="25" t="s">
        <v>7</v>
      </c>
      <c r="I25" s="26" t="s">
        <v>8</v>
      </c>
    </row>
    <row r="26" spans="1:9" x14ac:dyDescent="0.35">
      <c r="A26" s="5" t="s">
        <v>36</v>
      </c>
      <c r="B26" s="6"/>
      <c r="C26" s="6"/>
      <c r="D26" s="6"/>
      <c r="E26" s="6"/>
      <c r="F26" s="6"/>
      <c r="G26" s="6"/>
      <c r="H26" s="6"/>
      <c r="I26" s="7"/>
    </row>
    <row r="27" spans="1:9" x14ac:dyDescent="0.35">
      <c r="A27" s="8">
        <v>45380</v>
      </c>
      <c r="B27" t="s">
        <v>290</v>
      </c>
      <c r="C27" t="s">
        <v>10</v>
      </c>
      <c r="D27" s="1">
        <v>4947682</v>
      </c>
      <c r="E27" s="1">
        <v>1724641</v>
      </c>
      <c r="F27" s="2">
        <v>0.34857555517917299</v>
      </c>
      <c r="G27" s="1">
        <v>24812</v>
      </c>
      <c r="H27" s="2">
        <v>1.43867622305164E-2</v>
      </c>
      <c r="I27" s="9">
        <v>5.0148736317329997E-3</v>
      </c>
    </row>
    <row r="28" spans="1:9" x14ac:dyDescent="0.35">
      <c r="A28" s="8">
        <v>45380</v>
      </c>
      <c r="B28" t="s">
        <v>290</v>
      </c>
      <c r="C28" t="s">
        <v>11</v>
      </c>
      <c r="D28" s="1">
        <v>316295</v>
      </c>
      <c r="E28" s="1">
        <v>87808</v>
      </c>
      <c r="F28" s="2">
        <v>0.277614252517428</v>
      </c>
      <c r="G28" s="1">
        <v>1715</v>
      </c>
      <c r="H28" s="2">
        <v>1.953125E-2</v>
      </c>
      <c r="I28" s="9">
        <v>5.4221533694810203E-3</v>
      </c>
    </row>
    <row r="29" spans="1:9" x14ac:dyDescent="0.35">
      <c r="A29" s="8">
        <v>45380</v>
      </c>
      <c r="B29" t="s">
        <v>289</v>
      </c>
      <c r="C29" t="s">
        <v>10</v>
      </c>
      <c r="D29" s="1">
        <v>421524</v>
      </c>
      <c r="E29" s="1">
        <v>161173</v>
      </c>
      <c r="F29" s="2">
        <v>0.38235782541444902</v>
      </c>
      <c r="G29" s="1">
        <v>3776</v>
      </c>
      <c r="H29" s="2">
        <v>2.3428241703014802E-2</v>
      </c>
      <c r="I29" s="9">
        <v>8.9579715508488304E-3</v>
      </c>
    </row>
    <row r="30" spans="1:9" x14ac:dyDescent="0.35">
      <c r="A30" s="8">
        <v>45380</v>
      </c>
      <c r="B30" t="s">
        <v>289</v>
      </c>
      <c r="C30" t="s">
        <v>11</v>
      </c>
      <c r="D30" s="1">
        <v>22557</v>
      </c>
      <c r="E30" s="1">
        <v>8185</v>
      </c>
      <c r="F30" s="2">
        <v>0.36285853615285701</v>
      </c>
      <c r="G30" s="1">
        <v>338</v>
      </c>
      <c r="H30" s="2">
        <v>4.1295051924251702E-2</v>
      </c>
      <c r="I30" s="9">
        <v>1.4984262091590201E-2</v>
      </c>
    </row>
    <row r="31" spans="1:9" x14ac:dyDescent="0.35">
      <c r="A31" s="8">
        <v>45384</v>
      </c>
      <c r="B31" t="s">
        <v>293</v>
      </c>
      <c r="C31" t="s">
        <v>10</v>
      </c>
      <c r="D31" s="1">
        <v>1377697</v>
      </c>
      <c r="E31" s="1">
        <v>515504</v>
      </c>
      <c r="F31" s="2">
        <v>0.37417806673020299</v>
      </c>
      <c r="G31" s="1">
        <v>6150</v>
      </c>
      <c r="H31" s="2">
        <v>1.19300723175766E-2</v>
      </c>
      <c r="I31" s="9">
        <v>4.4639713957423102E-3</v>
      </c>
    </row>
    <row r="32" spans="1:9" ht="14.15" customHeight="1" x14ac:dyDescent="0.35">
      <c r="A32" s="8">
        <v>45384</v>
      </c>
      <c r="B32" t="s">
        <v>293</v>
      </c>
      <c r="C32" t="s">
        <v>11</v>
      </c>
      <c r="D32" s="1">
        <v>97843</v>
      </c>
      <c r="E32" s="1">
        <v>31706</v>
      </c>
      <c r="F32" s="2">
        <v>0.32404975317600598</v>
      </c>
      <c r="G32" s="1">
        <v>789</v>
      </c>
      <c r="H32" s="2">
        <v>2.488487983347E-2</v>
      </c>
      <c r="I32" s="9">
        <v>8.0639391678505399E-3</v>
      </c>
    </row>
    <row r="33" spans="1:9" ht="15" thickBot="1" x14ac:dyDescent="0.4">
      <c r="A33" s="12" t="s">
        <v>35</v>
      </c>
      <c r="B33" s="4"/>
      <c r="C33" s="4"/>
      <c r="D33" s="13">
        <f>SUM(D27:D32)</f>
        <v>7183598</v>
      </c>
      <c r="E33" s="13">
        <f>SUM(E27:E32)</f>
        <v>2529017</v>
      </c>
      <c r="F33" s="14">
        <f>AVERAGE(F27:F32)</f>
        <v>0.34493899819501933</v>
      </c>
      <c r="G33" s="13">
        <f>SUM(G27:G32)</f>
        <v>37580</v>
      </c>
      <c r="H33" s="14">
        <f>AVERAGE(H27:H32)</f>
        <v>2.2576043001471587E-2</v>
      </c>
      <c r="I33" s="15">
        <f>AVERAGE(I27:I32)</f>
        <v>7.8178618678743164E-3</v>
      </c>
    </row>
    <row r="34" spans="1:9" ht="3" customHeight="1" thickBot="1" x14ac:dyDescent="0.4">
      <c r="A34" s="139"/>
      <c r="B34" s="138"/>
      <c r="C34" s="138"/>
      <c r="D34" s="138"/>
      <c r="E34" s="138"/>
      <c r="F34" s="138"/>
      <c r="G34" s="138"/>
      <c r="H34" s="138"/>
      <c r="I34" s="140"/>
    </row>
    <row r="35" spans="1:9" x14ac:dyDescent="0.35">
      <c r="A35" s="16" t="s">
        <v>37</v>
      </c>
      <c r="B35" s="17"/>
      <c r="C35" s="17"/>
      <c r="D35" s="17"/>
      <c r="E35" s="17"/>
      <c r="F35" s="17"/>
      <c r="G35" s="17"/>
      <c r="H35" s="17"/>
      <c r="I35" s="18"/>
    </row>
    <row r="36" spans="1:9" ht="13.4" customHeight="1" x14ac:dyDescent="0.35">
      <c r="A36" s="8">
        <v>45383</v>
      </c>
      <c r="B36" t="s">
        <v>291</v>
      </c>
      <c r="C36" t="s">
        <v>101</v>
      </c>
      <c r="D36" s="1">
        <v>24277</v>
      </c>
      <c r="E36" s="1">
        <v>8175</v>
      </c>
      <c r="F36" s="2">
        <v>0.33673847674753898</v>
      </c>
      <c r="G36" s="1">
        <v>126</v>
      </c>
      <c r="H36" s="2">
        <v>1.5412844036697199E-2</v>
      </c>
      <c r="I36" s="9">
        <v>5.1900976232648202E-3</v>
      </c>
    </row>
    <row r="37" spans="1:9" x14ac:dyDescent="0.35">
      <c r="A37" s="8">
        <v>45383</v>
      </c>
      <c r="B37" t="s">
        <v>291</v>
      </c>
      <c r="C37" t="s">
        <v>102</v>
      </c>
      <c r="D37" s="1">
        <v>8351</v>
      </c>
      <c r="E37" s="1">
        <v>3141</v>
      </c>
      <c r="F37" s="2">
        <v>0.37612262004550401</v>
      </c>
      <c r="G37" s="1">
        <v>72</v>
      </c>
      <c r="H37" s="2">
        <v>2.29226361031519E-2</v>
      </c>
      <c r="I37" s="9">
        <v>8.6217219494671305E-3</v>
      </c>
    </row>
    <row r="38" spans="1:9" x14ac:dyDescent="0.35">
      <c r="A38" s="8">
        <v>45383</v>
      </c>
      <c r="B38" t="s">
        <v>291</v>
      </c>
      <c r="C38" t="s">
        <v>103</v>
      </c>
      <c r="D38" s="1">
        <v>37692</v>
      </c>
      <c r="E38" s="1">
        <v>15136</v>
      </c>
      <c r="F38" s="2">
        <v>0.40157062506632701</v>
      </c>
      <c r="G38" s="1">
        <v>433</v>
      </c>
      <c r="H38" s="2">
        <v>2.8607293868921801E-2</v>
      </c>
      <c r="I38" s="9">
        <v>1.1487848880399E-2</v>
      </c>
    </row>
    <row r="39" spans="1:9" x14ac:dyDescent="0.35">
      <c r="A39" s="8">
        <v>45383</v>
      </c>
      <c r="B39" t="s">
        <v>291</v>
      </c>
      <c r="C39" t="s">
        <v>104</v>
      </c>
      <c r="D39" s="1">
        <v>158095</v>
      </c>
      <c r="E39" s="1">
        <v>60843</v>
      </c>
      <c r="F39" s="2">
        <v>0.38485088079951901</v>
      </c>
      <c r="G39" s="1">
        <v>1327</v>
      </c>
      <c r="H39" s="2">
        <v>2.1810232894499001E-2</v>
      </c>
      <c r="I39" s="9">
        <v>8.3936873398905692E-3</v>
      </c>
    </row>
    <row r="40" spans="1:9" x14ac:dyDescent="0.35">
      <c r="A40" s="8">
        <v>45383</v>
      </c>
      <c r="B40" t="s">
        <v>291</v>
      </c>
      <c r="C40" t="s">
        <v>106</v>
      </c>
      <c r="D40" s="1">
        <v>12046</v>
      </c>
      <c r="E40" s="1">
        <v>4423</v>
      </c>
      <c r="F40" s="2">
        <v>0.367175826000332</v>
      </c>
      <c r="G40" s="1">
        <v>98</v>
      </c>
      <c r="H40" s="2">
        <v>2.2156907076644802E-2</v>
      </c>
      <c r="I40" s="9">
        <v>8.1354806574796597E-3</v>
      </c>
    </row>
    <row r="41" spans="1:9" x14ac:dyDescent="0.35">
      <c r="A41" s="8">
        <v>45383</v>
      </c>
      <c r="B41" t="s">
        <v>292</v>
      </c>
      <c r="C41" t="s">
        <v>10</v>
      </c>
      <c r="D41" s="1">
        <v>87337</v>
      </c>
      <c r="E41" s="1">
        <v>35572</v>
      </c>
      <c r="F41" s="2">
        <v>0.40729587689066499</v>
      </c>
      <c r="G41" s="1">
        <v>3924</v>
      </c>
      <c r="H41" s="2">
        <v>0.110311480940065</v>
      </c>
      <c r="I41" s="9">
        <v>4.4929411360591698E-2</v>
      </c>
    </row>
    <row r="42" spans="1:9" ht="14.5" customHeight="1" x14ac:dyDescent="0.35">
      <c r="A42" s="8">
        <v>45383</v>
      </c>
      <c r="B42" t="s">
        <v>292</v>
      </c>
      <c r="C42" t="s">
        <v>11</v>
      </c>
      <c r="D42" s="1">
        <v>9638</v>
      </c>
      <c r="E42" s="1">
        <v>3765</v>
      </c>
      <c r="F42" s="2">
        <v>0.39064121186968198</v>
      </c>
      <c r="G42" s="1">
        <v>641</v>
      </c>
      <c r="H42" s="2">
        <v>0.17025232403718499</v>
      </c>
      <c r="I42" s="9">
        <v>6.65075741855157E-2</v>
      </c>
    </row>
    <row r="43" spans="1:9" x14ac:dyDescent="0.35">
      <c r="A43" s="8">
        <v>45385</v>
      </c>
      <c r="B43" t="s">
        <v>294</v>
      </c>
      <c r="C43" t="s">
        <v>10</v>
      </c>
      <c r="D43" s="1">
        <v>228661</v>
      </c>
      <c r="E43" s="1">
        <v>99181</v>
      </c>
      <c r="F43" s="2">
        <v>0.43374690043339298</v>
      </c>
      <c r="G43" s="1">
        <v>1814</v>
      </c>
      <c r="H43" s="2">
        <v>1.8289793408011599E-2</v>
      </c>
      <c r="I43" s="9">
        <v>7.9331412002921296E-3</v>
      </c>
    </row>
    <row r="44" spans="1:9" ht="14.15" customHeight="1" x14ac:dyDescent="0.35">
      <c r="A44" s="8">
        <v>45385</v>
      </c>
      <c r="B44" t="s">
        <v>294</v>
      </c>
      <c r="C44" t="s">
        <v>11</v>
      </c>
      <c r="D44" s="1">
        <v>13629</v>
      </c>
      <c r="E44" s="1">
        <v>6007</v>
      </c>
      <c r="F44" s="2">
        <v>0.440751339056424</v>
      </c>
      <c r="G44" s="1">
        <v>159</v>
      </c>
      <c r="H44" s="2">
        <v>2.6469119360745801E-2</v>
      </c>
      <c r="I44" s="9">
        <v>1.1666299801893E-2</v>
      </c>
    </row>
    <row r="45" spans="1:9" ht="14.5" customHeight="1" x14ac:dyDescent="0.35">
      <c r="A45" s="8">
        <v>45385</v>
      </c>
      <c r="B45" t="s">
        <v>295</v>
      </c>
      <c r="C45" t="s">
        <v>10</v>
      </c>
      <c r="D45" s="1">
        <v>685325</v>
      </c>
      <c r="E45" s="1">
        <v>254297</v>
      </c>
      <c r="F45" s="2">
        <v>0.37106044577390301</v>
      </c>
      <c r="G45" s="1">
        <v>2634</v>
      </c>
      <c r="H45" s="2">
        <v>1.03579672587565E-2</v>
      </c>
      <c r="I45" s="9">
        <v>3.8434319483456802E-3</v>
      </c>
    </row>
    <row r="46" spans="1:9" x14ac:dyDescent="0.35">
      <c r="A46" s="8">
        <v>45385</v>
      </c>
      <c r="B46" t="s">
        <v>295</v>
      </c>
      <c r="C46" t="s">
        <v>11</v>
      </c>
      <c r="D46" s="1">
        <v>23398</v>
      </c>
      <c r="E46" s="1">
        <v>7521</v>
      </c>
      <c r="F46" s="2">
        <v>0.32143772972048901</v>
      </c>
      <c r="G46" s="1">
        <v>121</v>
      </c>
      <c r="H46" s="2">
        <v>1.6088286132163301E-2</v>
      </c>
      <c r="I46" s="9">
        <v>5.1713821694161898E-3</v>
      </c>
    </row>
    <row r="47" spans="1:9" ht="15" thickBot="1" x14ac:dyDescent="0.4">
      <c r="A47" s="12" t="s">
        <v>35</v>
      </c>
      <c r="B47" s="4"/>
      <c r="C47" s="4"/>
      <c r="D47" s="13">
        <f>SUM(D36:D46)</f>
        <v>1288449</v>
      </c>
      <c r="E47" s="13">
        <f>SUM(E36:E46)</f>
        <v>498061</v>
      </c>
      <c r="F47" s="14">
        <f>AVERAGE(F36:F46)</f>
        <v>0.38467199385488882</v>
      </c>
      <c r="G47" s="13">
        <f>SUM(G36:G46)</f>
        <v>11349</v>
      </c>
      <c r="H47" s="14">
        <f>AVERAGE(H36:H46)</f>
        <v>4.2061716828803809E-2</v>
      </c>
      <c r="I47" s="15">
        <f>AVERAGE(I36:I46)</f>
        <v>1.6534552465141416E-2</v>
      </c>
    </row>
    <row r="48" spans="1:9" ht="3" customHeight="1" thickBot="1" x14ac:dyDescent="0.4">
      <c r="A48" s="139"/>
      <c r="B48" s="138"/>
      <c r="C48" s="138"/>
      <c r="D48" s="138"/>
      <c r="E48" s="138"/>
      <c r="F48" s="138"/>
      <c r="G48" s="138"/>
      <c r="H48" s="138"/>
      <c r="I48" s="140"/>
    </row>
    <row r="49" spans="1:9" x14ac:dyDescent="0.35">
      <c r="A49" s="16" t="s">
        <v>38</v>
      </c>
      <c r="B49" s="17"/>
      <c r="C49" s="17"/>
      <c r="D49" s="17"/>
      <c r="E49" s="17"/>
      <c r="F49" s="17"/>
      <c r="G49" s="17"/>
      <c r="H49" s="17"/>
      <c r="I49" s="18"/>
    </row>
    <row r="50" spans="1:9" x14ac:dyDescent="0.35">
      <c r="A50" s="8">
        <v>45386</v>
      </c>
      <c r="B50" t="s">
        <v>296</v>
      </c>
      <c r="C50" t="s">
        <v>234</v>
      </c>
      <c r="D50" s="1">
        <v>888174</v>
      </c>
      <c r="E50" s="1">
        <v>324638</v>
      </c>
      <c r="F50" s="3">
        <v>0.36549999999999999</v>
      </c>
      <c r="G50" s="1">
        <v>2474</v>
      </c>
      <c r="H50" s="3">
        <v>7.6E-3</v>
      </c>
      <c r="I50" s="11">
        <v>2.8E-3</v>
      </c>
    </row>
    <row r="51" spans="1:9" x14ac:dyDescent="0.35">
      <c r="A51" s="8">
        <v>45386</v>
      </c>
      <c r="B51" t="s">
        <v>297</v>
      </c>
      <c r="C51" t="s">
        <v>235</v>
      </c>
      <c r="D51" s="1">
        <v>69806</v>
      </c>
      <c r="E51" s="1">
        <v>24058</v>
      </c>
      <c r="F51" s="3">
        <v>0.34460000000000002</v>
      </c>
      <c r="G51">
        <v>270</v>
      </c>
      <c r="H51" s="3">
        <v>1.12E-2</v>
      </c>
      <c r="I51" s="11">
        <v>3.8999999999999998E-3</v>
      </c>
    </row>
    <row r="52" spans="1:9" x14ac:dyDescent="0.35">
      <c r="A52" s="8">
        <v>45386</v>
      </c>
      <c r="B52" t="s">
        <v>298</v>
      </c>
      <c r="C52" t="s">
        <v>299</v>
      </c>
      <c r="D52" s="1">
        <v>323877</v>
      </c>
      <c r="E52" s="1">
        <v>116989</v>
      </c>
      <c r="F52" s="3">
        <v>0.36120000000000002</v>
      </c>
      <c r="G52" s="1">
        <v>1775</v>
      </c>
      <c r="H52" s="3">
        <v>1.52E-2</v>
      </c>
      <c r="I52" s="11">
        <v>5.4999999999999997E-3</v>
      </c>
    </row>
    <row r="53" spans="1:9" x14ac:dyDescent="0.35">
      <c r="A53" s="8">
        <v>45386</v>
      </c>
      <c r="B53" t="s">
        <v>300</v>
      </c>
      <c r="C53" t="s">
        <v>301</v>
      </c>
      <c r="D53" s="1">
        <v>15639</v>
      </c>
      <c r="E53" s="1">
        <v>5120</v>
      </c>
      <c r="F53" s="3">
        <v>0.32740000000000002</v>
      </c>
      <c r="G53">
        <v>84</v>
      </c>
      <c r="H53" s="3">
        <v>1.6400000000000001E-2</v>
      </c>
      <c r="I53" s="11">
        <v>5.4000000000000003E-3</v>
      </c>
    </row>
    <row r="54" spans="1:9" ht="15" thickBot="1" x14ac:dyDescent="0.4">
      <c r="A54" s="12" t="s">
        <v>35</v>
      </c>
      <c r="B54" s="4"/>
      <c r="C54" s="4"/>
      <c r="D54" s="13">
        <f>SUM(D50:D53)</f>
        <v>1297496</v>
      </c>
      <c r="E54" s="13">
        <f>SUM(E50:E53)</f>
        <v>470805</v>
      </c>
      <c r="F54" s="14">
        <f>AVERAGE(F50:F53)</f>
        <v>0.34967499999999996</v>
      </c>
      <c r="G54" s="13">
        <f>SUM(G50:G53)</f>
        <v>4603</v>
      </c>
      <c r="H54" s="14">
        <f>AVERAGE(H50:H53)</f>
        <v>1.26E-2</v>
      </c>
      <c r="I54" s="15">
        <f>AVERAGE(I50:I53)</f>
        <v>4.3999999999999994E-3</v>
      </c>
    </row>
  </sheetData>
  <mergeCells count="3">
    <mergeCell ref="A24:I24"/>
    <mergeCell ref="A34:I34"/>
    <mergeCell ref="A48:I48"/>
  </mergeCells>
  <pageMargins left="0.7" right="0.7" top="0.75" bottom="0.75" header="0.3" footer="0.3"/>
  <ignoredErrors>
    <ignoredError sqref="F23:G23 F33:G33 F54:G54 F47:G47" formula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714F-38CD-4730-BE12-169D357CB01F}">
  <dimension ref="A1:I70"/>
  <sheetViews>
    <sheetView workbookViewId="0">
      <selection activeCell="K28" sqref="K28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45387</v>
      </c>
      <c r="B2" t="s">
        <v>303</v>
      </c>
      <c r="C2" t="s">
        <v>10</v>
      </c>
      <c r="D2" s="1">
        <v>429164</v>
      </c>
      <c r="E2" s="1">
        <v>165313</v>
      </c>
      <c r="F2" s="2">
        <v>0.38519773326746898</v>
      </c>
      <c r="G2" s="1">
        <v>3318</v>
      </c>
      <c r="H2" s="2">
        <v>2.00710167984369E-2</v>
      </c>
      <c r="I2" s="2">
        <v>7.7313101751311899E-3</v>
      </c>
    </row>
    <row r="3" spans="1:9" x14ac:dyDescent="0.35">
      <c r="A3" s="19">
        <v>45387</v>
      </c>
      <c r="B3" t="s">
        <v>304</v>
      </c>
      <c r="C3" t="s">
        <v>10</v>
      </c>
      <c r="D3" s="1">
        <v>4948812</v>
      </c>
      <c r="E3" s="1">
        <v>1712387</v>
      </c>
      <c r="F3" s="2">
        <v>0.34601981243175101</v>
      </c>
      <c r="G3" s="1">
        <v>21571</v>
      </c>
      <c r="H3" s="2">
        <v>1.2597035600013301E-2</v>
      </c>
      <c r="I3" s="2">
        <v>4.3588238955127E-3</v>
      </c>
    </row>
    <row r="4" spans="1:9" x14ac:dyDescent="0.35">
      <c r="A4" s="19">
        <v>45387</v>
      </c>
      <c r="B4" t="s">
        <v>304</v>
      </c>
      <c r="C4" t="s">
        <v>11</v>
      </c>
      <c r="D4" s="1">
        <v>316226</v>
      </c>
      <c r="E4" s="1">
        <v>99671</v>
      </c>
      <c r="F4" s="2">
        <v>0.31518913688311501</v>
      </c>
      <c r="G4" s="1">
        <v>1692</v>
      </c>
      <c r="H4" s="2">
        <v>1.6975850548303899E-2</v>
      </c>
      <c r="I4" s="2">
        <v>5.35060368217667E-3</v>
      </c>
    </row>
    <row r="5" spans="1:9" x14ac:dyDescent="0.35">
      <c r="A5" s="19">
        <v>45387</v>
      </c>
      <c r="B5" t="s">
        <v>305</v>
      </c>
      <c r="C5" t="s">
        <v>10</v>
      </c>
      <c r="D5" s="1">
        <v>1257</v>
      </c>
      <c r="E5" s="1">
        <v>588</v>
      </c>
      <c r="F5" s="2">
        <v>0.46778042959427202</v>
      </c>
      <c r="G5" s="1">
        <v>48</v>
      </c>
      <c r="H5" s="2">
        <v>8.1632653061224497E-2</v>
      </c>
      <c r="I5" s="2">
        <v>3.8186157517899798E-2</v>
      </c>
    </row>
    <row r="6" spans="1:9" ht="13.4" customHeight="1" x14ac:dyDescent="0.35">
      <c r="A6" s="19">
        <v>45387</v>
      </c>
      <c r="B6" t="s">
        <v>305</v>
      </c>
      <c r="C6" t="s">
        <v>11</v>
      </c>
      <c r="D6" s="1">
        <v>569</v>
      </c>
      <c r="E6" s="1">
        <v>225</v>
      </c>
      <c r="F6" s="2">
        <v>0.39543057996485098</v>
      </c>
      <c r="G6" s="1">
        <v>15</v>
      </c>
      <c r="H6" s="2">
        <v>6.6666666666666693E-2</v>
      </c>
      <c r="I6" s="2">
        <v>2.6362038664323399E-2</v>
      </c>
    </row>
    <row r="7" spans="1:9" x14ac:dyDescent="0.35">
      <c r="A7" s="19">
        <v>45387</v>
      </c>
      <c r="B7" t="s">
        <v>306</v>
      </c>
      <c r="C7" t="s">
        <v>307</v>
      </c>
      <c r="D7" s="1">
        <v>259013</v>
      </c>
      <c r="E7" s="1">
        <v>95392</v>
      </c>
      <c r="F7" s="2">
        <v>0.36829039469061398</v>
      </c>
      <c r="G7" s="1">
        <v>1413</v>
      </c>
      <c r="H7" s="2">
        <v>1.48125628983563E-2</v>
      </c>
      <c r="I7" s="2">
        <v>5.4553246362151701E-3</v>
      </c>
    </row>
    <row r="8" spans="1:9" x14ac:dyDescent="0.35">
      <c r="A8" s="19">
        <v>45387</v>
      </c>
      <c r="B8" t="s">
        <v>308</v>
      </c>
      <c r="C8" t="s">
        <v>309</v>
      </c>
      <c r="D8" s="1">
        <v>8438</v>
      </c>
      <c r="E8" s="1">
        <v>3842</v>
      </c>
      <c r="F8" s="2">
        <v>0.45532116615311702</v>
      </c>
      <c r="G8" s="1">
        <v>325</v>
      </c>
      <c r="H8" s="2">
        <v>8.4591358667360797E-2</v>
      </c>
      <c r="I8" s="2">
        <v>3.8516236074899297E-2</v>
      </c>
    </row>
    <row r="9" spans="1:9" x14ac:dyDescent="0.35">
      <c r="A9" s="19">
        <v>45387</v>
      </c>
      <c r="B9" t="s">
        <v>308</v>
      </c>
      <c r="C9" t="s">
        <v>310</v>
      </c>
      <c r="D9" s="1">
        <v>42103</v>
      </c>
      <c r="E9" s="1">
        <v>19410</v>
      </c>
      <c r="F9" s="2">
        <v>0.46101227941001799</v>
      </c>
      <c r="G9" s="1">
        <v>1778</v>
      </c>
      <c r="H9" s="2">
        <v>9.1602266872746002E-2</v>
      </c>
      <c r="I9" s="2">
        <v>4.2229769850129398E-2</v>
      </c>
    </row>
    <row r="10" spans="1:9" x14ac:dyDescent="0.35">
      <c r="A10" s="19">
        <v>45387</v>
      </c>
      <c r="B10" t="s">
        <v>308</v>
      </c>
      <c r="C10" t="s">
        <v>311</v>
      </c>
      <c r="D10" s="1">
        <v>1417</v>
      </c>
      <c r="E10" s="1">
        <v>654</v>
      </c>
      <c r="F10" s="2">
        <v>0.46153846153846201</v>
      </c>
      <c r="G10" s="1">
        <v>54</v>
      </c>
      <c r="H10" s="2">
        <v>8.2568807339449504E-2</v>
      </c>
      <c r="I10" s="2">
        <v>3.8108680310515203E-2</v>
      </c>
    </row>
    <row r="11" spans="1:9" x14ac:dyDescent="0.35">
      <c r="A11" s="19">
        <v>45387</v>
      </c>
      <c r="B11" t="s">
        <v>308</v>
      </c>
      <c r="C11" t="s">
        <v>312</v>
      </c>
      <c r="D11" s="1">
        <v>15768</v>
      </c>
      <c r="E11" s="1">
        <v>7303</v>
      </c>
      <c r="F11" s="2">
        <v>0.463153221714866</v>
      </c>
      <c r="G11" s="1">
        <v>635</v>
      </c>
      <c r="H11" s="2">
        <v>8.6950568259619304E-2</v>
      </c>
      <c r="I11" s="2">
        <v>4.0271435819381002E-2</v>
      </c>
    </row>
    <row r="12" spans="1:9" x14ac:dyDescent="0.35">
      <c r="A12" s="19">
        <v>45388</v>
      </c>
      <c r="B12" t="s">
        <v>313</v>
      </c>
      <c r="C12" t="s">
        <v>10</v>
      </c>
      <c r="D12" s="1">
        <v>60066</v>
      </c>
      <c r="E12" s="1">
        <v>26302</v>
      </c>
      <c r="F12" s="2">
        <v>0.43788499317417501</v>
      </c>
      <c r="G12" s="1">
        <v>1982</v>
      </c>
      <c r="H12" s="2">
        <v>7.5355486274807995E-2</v>
      </c>
      <c r="I12" s="2">
        <v>3.2997036593080897E-2</v>
      </c>
    </row>
    <row r="13" spans="1:9" x14ac:dyDescent="0.35">
      <c r="A13" s="19">
        <v>45388</v>
      </c>
      <c r="B13" t="s">
        <v>313</v>
      </c>
      <c r="C13" t="s">
        <v>11</v>
      </c>
      <c r="D13" s="1">
        <v>5721</v>
      </c>
      <c r="E13" s="1">
        <v>2317</v>
      </c>
      <c r="F13" s="2">
        <v>0.40499912602691801</v>
      </c>
      <c r="G13" s="1">
        <v>262</v>
      </c>
      <c r="H13" s="2">
        <v>0.113077255071213</v>
      </c>
      <c r="I13" s="2">
        <v>4.5796189477364101E-2</v>
      </c>
    </row>
    <row r="14" spans="1:9" x14ac:dyDescent="0.35">
      <c r="A14" s="19">
        <v>45390</v>
      </c>
      <c r="B14" t="s">
        <v>314</v>
      </c>
      <c r="C14" t="s">
        <v>10</v>
      </c>
      <c r="D14" s="1">
        <v>584417</v>
      </c>
      <c r="E14" s="1">
        <v>224913</v>
      </c>
      <c r="F14" s="2">
        <v>0.38485020114062402</v>
      </c>
      <c r="G14" s="1">
        <v>1806</v>
      </c>
      <c r="H14" s="2">
        <v>8.0297715116511691E-3</v>
      </c>
      <c r="I14" s="2">
        <v>3.0902591813722099E-3</v>
      </c>
    </row>
    <row r="15" spans="1:9" x14ac:dyDescent="0.35">
      <c r="A15" s="19">
        <v>45390</v>
      </c>
      <c r="B15" t="s">
        <v>315</v>
      </c>
      <c r="C15" t="s">
        <v>316</v>
      </c>
      <c r="D15" s="1">
        <v>1205</v>
      </c>
      <c r="E15" s="1">
        <v>366</v>
      </c>
      <c r="F15" s="2">
        <v>0.30373443983402498</v>
      </c>
      <c r="G15" s="1">
        <v>36</v>
      </c>
      <c r="H15" s="2">
        <v>9.8360655737704902E-2</v>
      </c>
      <c r="I15" s="2">
        <v>2.9875518672199199E-2</v>
      </c>
    </row>
    <row r="16" spans="1:9" x14ac:dyDescent="0.35">
      <c r="A16" s="19">
        <v>45390</v>
      </c>
      <c r="B16" t="s">
        <v>317</v>
      </c>
      <c r="C16" t="s">
        <v>318</v>
      </c>
      <c r="D16" s="1">
        <v>124</v>
      </c>
      <c r="E16" s="1">
        <v>32</v>
      </c>
      <c r="F16" s="2">
        <v>0.25806451612903197</v>
      </c>
      <c r="G16" s="1">
        <v>8</v>
      </c>
      <c r="H16" s="2">
        <v>0.25</v>
      </c>
      <c r="I16" s="2">
        <v>6.4516129032258104E-2</v>
      </c>
    </row>
    <row r="17" spans="1:9" x14ac:dyDescent="0.35">
      <c r="A17" s="19">
        <v>45391</v>
      </c>
      <c r="B17" t="s">
        <v>319</v>
      </c>
      <c r="C17" t="s">
        <v>10</v>
      </c>
      <c r="D17" s="1">
        <v>1361075</v>
      </c>
      <c r="E17" s="1">
        <v>494098</v>
      </c>
      <c r="F17" s="2">
        <v>0.36302040666384999</v>
      </c>
      <c r="G17" s="1">
        <v>7458</v>
      </c>
      <c r="H17" s="2">
        <v>1.5094171601585099E-2</v>
      </c>
      <c r="I17" s="2">
        <v>5.4794923130613701E-3</v>
      </c>
    </row>
    <row r="18" spans="1:9" x14ac:dyDescent="0.35">
      <c r="A18" s="19">
        <v>45391</v>
      </c>
      <c r="B18" t="s">
        <v>319</v>
      </c>
      <c r="C18" t="s">
        <v>11</v>
      </c>
      <c r="D18" s="1">
        <v>96716</v>
      </c>
      <c r="E18" s="1">
        <v>33255</v>
      </c>
      <c r="F18" s="2">
        <v>0.34384176351379298</v>
      </c>
      <c r="G18" s="1">
        <v>725</v>
      </c>
      <c r="H18" s="2">
        <v>2.18012328973087E-2</v>
      </c>
      <c r="I18" s="2">
        <v>7.4961743661855302E-3</v>
      </c>
    </row>
    <row r="19" spans="1:9" x14ac:dyDescent="0.35">
      <c r="A19" s="19">
        <v>45392</v>
      </c>
      <c r="B19" t="s">
        <v>320</v>
      </c>
      <c r="C19" t="s">
        <v>10</v>
      </c>
      <c r="D19" s="1">
        <v>101852</v>
      </c>
      <c r="E19" s="1">
        <v>40993</v>
      </c>
      <c r="F19" s="2">
        <v>0.40247614185288499</v>
      </c>
      <c r="G19" s="1">
        <v>479</v>
      </c>
      <c r="H19" s="2">
        <v>1.16849218159198E-2</v>
      </c>
      <c r="I19" s="2">
        <v>4.7029022503240004E-3</v>
      </c>
    </row>
    <row r="20" spans="1:9" x14ac:dyDescent="0.35">
      <c r="A20" s="19">
        <v>45392</v>
      </c>
      <c r="B20" t="s">
        <v>321</v>
      </c>
      <c r="C20" t="s">
        <v>229</v>
      </c>
      <c r="D20" s="1">
        <v>694</v>
      </c>
      <c r="E20" s="1">
        <v>140</v>
      </c>
      <c r="F20" s="2">
        <v>0.20172910662824201</v>
      </c>
      <c r="G20" s="1">
        <v>14</v>
      </c>
      <c r="H20" s="2">
        <v>0.1</v>
      </c>
      <c r="I20" s="2">
        <v>2.0172910662824201E-2</v>
      </c>
    </row>
    <row r="21" spans="1:9" x14ac:dyDescent="0.35">
      <c r="A21" s="19">
        <v>45392</v>
      </c>
      <c r="B21" t="s">
        <v>322</v>
      </c>
      <c r="C21" t="s">
        <v>10</v>
      </c>
      <c r="D21" s="1">
        <v>458069</v>
      </c>
      <c r="E21" s="1">
        <v>175113</v>
      </c>
      <c r="F21" s="2">
        <v>0.38228520157443502</v>
      </c>
      <c r="G21" s="1">
        <v>2595</v>
      </c>
      <c r="H21" s="2">
        <v>1.4819002586901E-2</v>
      </c>
      <c r="I21" s="2">
        <v>5.6650853910655396E-3</v>
      </c>
    </row>
    <row r="22" spans="1:9" x14ac:dyDescent="0.35">
      <c r="A22" s="19">
        <v>45392</v>
      </c>
      <c r="B22" t="s">
        <v>322</v>
      </c>
      <c r="C22" t="s">
        <v>11</v>
      </c>
      <c r="D22" s="1">
        <v>28328</v>
      </c>
      <c r="E22" s="1">
        <v>11053</v>
      </c>
      <c r="F22" s="2">
        <v>0.39017932787348197</v>
      </c>
      <c r="G22" s="1">
        <v>259</v>
      </c>
      <c r="H22" s="2">
        <v>2.3432552248258399E-2</v>
      </c>
      <c r="I22" s="2">
        <v>9.1428974865857097E-3</v>
      </c>
    </row>
    <row r="23" spans="1:9" ht="14.5" customHeight="1" x14ac:dyDescent="0.35">
      <c r="A23" s="19">
        <v>45392</v>
      </c>
      <c r="B23" t="s">
        <v>323</v>
      </c>
      <c r="C23" t="s">
        <v>227</v>
      </c>
      <c r="D23" s="1">
        <v>6614</v>
      </c>
      <c r="E23" s="1">
        <v>1652</v>
      </c>
      <c r="F23" s="2">
        <v>0.249773208345933</v>
      </c>
      <c r="G23" s="1">
        <v>242</v>
      </c>
      <c r="H23" s="2">
        <v>0.14648910411622301</v>
      </c>
      <c r="I23" s="2">
        <v>3.65890535228304E-2</v>
      </c>
    </row>
    <row r="24" spans="1:9" x14ac:dyDescent="0.35">
      <c r="A24" s="19">
        <v>45393</v>
      </c>
      <c r="B24" t="s">
        <v>296</v>
      </c>
      <c r="C24" t="s">
        <v>253</v>
      </c>
      <c r="D24" s="1">
        <v>883170</v>
      </c>
      <c r="E24" s="1">
        <v>305125</v>
      </c>
      <c r="F24" s="3">
        <v>0.34549999999999997</v>
      </c>
      <c r="G24" s="1">
        <v>2418</v>
      </c>
      <c r="H24" s="3">
        <v>7.9000000000000008E-3</v>
      </c>
      <c r="I24" s="3">
        <v>2.7000000000000001E-3</v>
      </c>
    </row>
    <row r="25" spans="1:9" ht="14.15" customHeight="1" x14ac:dyDescent="0.35">
      <c r="A25" s="19">
        <v>45393</v>
      </c>
      <c r="B25" t="s">
        <v>297</v>
      </c>
      <c r="C25" t="s">
        <v>255</v>
      </c>
      <c r="D25" s="1">
        <v>69411</v>
      </c>
      <c r="E25" s="1">
        <v>22947</v>
      </c>
      <c r="F25" s="3">
        <v>0.3306</v>
      </c>
      <c r="G25">
        <v>263</v>
      </c>
      <c r="H25" s="3">
        <v>1.15E-2</v>
      </c>
      <c r="I25" s="3">
        <v>3.8E-3</v>
      </c>
    </row>
    <row r="26" spans="1:9" x14ac:dyDescent="0.35">
      <c r="A26" s="19">
        <v>45393</v>
      </c>
      <c r="B26" t="s">
        <v>298</v>
      </c>
      <c r="C26" t="s">
        <v>234</v>
      </c>
      <c r="D26" s="1">
        <v>283622</v>
      </c>
      <c r="E26" s="1">
        <v>90579</v>
      </c>
      <c r="F26" s="3">
        <v>0.31940000000000002</v>
      </c>
      <c r="G26">
        <v>804</v>
      </c>
      <c r="H26" s="3">
        <v>8.8999999999999999E-3</v>
      </c>
      <c r="I26" s="3">
        <v>2.8E-3</v>
      </c>
    </row>
    <row r="27" spans="1:9" ht="14.15" customHeight="1" x14ac:dyDescent="0.35">
      <c r="A27" s="19">
        <v>45393</v>
      </c>
      <c r="B27" t="s">
        <v>300</v>
      </c>
      <c r="C27" t="s">
        <v>235</v>
      </c>
      <c r="D27" s="1">
        <v>14036</v>
      </c>
      <c r="E27" s="1">
        <v>4120</v>
      </c>
      <c r="F27" s="3">
        <v>0.29349999999999998</v>
      </c>
      <c r="G27">
        <v>51</v>
      </c>
      <c r="H27" s="3">
        <v>1.24E-2</v>
      </c>
      <c r="I27" s="3">
        <v>3.5999999999999999E-3</v>
      </c>
    </row>
    <row r="28" spans="1:9" ht="14.5" customHeight="1" x14ac:dyDescent="0.35">
      <c r="A28" s="19">
        <v>45393</v>
      </c>
      <c r="B28" t="s">
        <v>324</v>
      </c>
      <c r="C28" t="s">
        <v>325</v>
      </c>
      <c r="D28" s="1">
        <v>643106</v>
      </c>
      <c r="E28" s="1">
        <v>234503</v>
      </c>
      <c r="F28" s="3">
        <v>0.36459999999999998</v>
      </c>
      <c r="G28" s="1">
        <v>1839</v>
      </c>
      <c r="H28" s="3">
        <v>7.7999999999999996E-3</v>
      </c>
      <c r="I28" s="3">
        <v>2.8999999999999998E-3</v>
      </c>
    </row>
    <row r="29" spans="1:9" x14ac:dyDescent="0.35">
      <c r="A29" s="19">
        <v>45393</v>
      </c>
      <c r="B29" t="s">
        <v>326</v>
      </c>
      <c r="C29" t="s">
        <v>327</v>
      </c>
      <c r="D29" s="1">
        <v>22258</v>
      </c>
      <c r="E29" s="1">
        <v>7260</v>
      </c>
      <c r="F29" s="3">
        <v>0.32619999999999999</v>
      </c>
      <c r="G29">
        <v>75</v>
      </c>
      <c r="H29" s="3">
        <v>1.03E-2</v>
      </c>
      <c r="I29" s="3">
        <v>3.3999999999999998E-3</v>
      </c>
    </row>
    <row r="30" spans="1:9" x14ac:dyDescent="0.35">
      <c r="A30" s="19">
        <v>45393</v>
      </c>
      <c r="B30" t="s">
        <v>328</v>
      </c>
      <c r="C30" t="s">
        <v>10</v>
      </c>
      <c r="D30" s="1">
        <v>745191</v>
      </c>
      <c r="E30" s="1">
        <v>240840</v>
      </c>
      <c r="F30" s="2">
        <v>0.323192309085858</v>
      </c>
      <c r="G30" s="1">
        <v>1782</v>
      </c>
      <c r="H30" s="2">
        <v>7.3991031390134498E-3</v>
      </c>
      <c r="I30" s="2">
        <v>2.3913332286621802E-3</v>
      </c>
    </row>
    <row r="31" spans="1:9" ht="15" thickBot="1" x14ac:dyDescent="0.4">
      <c r="A31" s="20" t="s">
        <v>35</v>
      </c>
      <c r="D31" s="10">
        <f>SUM(D2:D30)</f>
        <v>11388442</v>
      </c>
      <c r="E31" s="10">
        <f>SUM(E2:E30)</f>
        <v>4020393</v>
      </c>
      <c r="F31" s="27">
        <f>AVERAGE(F2:F30)</f>
        <v>0.3636125502583375</v>
      </c>
      <c r="G31" s="10">
        <f>SUM(G2:G30)</f>
        <v>53947</v>
      </c>
      <c r="H31" s="27">
        <f>AVERAGE(H2:H30)</f>
        <v>5.1821104955612554E-2</v>
      </c>
      <c r="I31" s="27">
        <f>AVERAGE(I2:I30)</f>
        <v>1.8402943544965425E-2</v>
      </c>
    </row>
    <row r="32" spans="1:9" ht="15" thickBot="1" x14ac:dyDescent="0.4">
      <c r="A32" s="138" t="s">
        <v>302</v>
      </c>
      <c r="B32" s="138"/>
      <c r="C32" s="138"/>
      <c r="D32" s="138"/>
      <c r="E32" s="138"/>
      <c r="F32" s="138"/>
      <c r="G32" s="138"/>
      <c r="H32" s="138"/>
      <c r="I32" s="138"/>
    </row>
    <row r="33" spans="1:9" x14ac:dyDescent="0.35">
      <c r="A33" s="24" t="s">
        <v>0</v>
      </c>
      <c r="B33" s="25" t="s">
        <v>1</v>
      </c>
      <c r="C33" s="25" t="s">
        <v>2</v>
      </c>
      <c r="D33" s="25" t="s">
        <v>3</v>
      </c>
      <c r="E33" s="25" t="s">
        <v>4</v>
      </c>
      <c r="F33" s="25" t="s">
        <v>5</v>
      </c>
      <c r="G33" s="25" t="s">
        <v>6</v>
      </c>
      <c r="H33" s="25" t="s">
        <v>7</v>
      </c>
      <c r="I33" s="26" t="s">
        <v>8</v>
      </c>
    </row>
    <row r="34" spans="1:9" x14ac:dyDescent="0.35">
      <c r="A34" s="5" t="s">
        <v>36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8">
        <v>45387</v>
      </c>
      <c r="B35" t="s">
        <v>303</v>
      </c>
      <c r="C35" t="s">
        <v>10</v>
      </c>
      <c r="D35" s="1">
        <v>429164</v>
      </c>
      <c r="E35" s="1">
        <v>165313</v>
      </c>
      <c r="F35" s="2">
        <v>0.38519773326746898</v>
      </c>
      <c r="G35" s="1">
        <v>3318</v>
      </c>
      <c r="H35" s="2">
        <v>2.00710167984369E-2</v>
      </c>
      <c r="I35" s="9">
        <v>7.7313101751311899E-3</v>
      </c>
    </row>
    <row r="36" spans="1:9" x14ac:dyDescent="0.35">
      <c r="A36" s="8">
        <v>45387</v>
      </c>
      <c r="B36" t="s">
        <v>304</v>
      </c>
      <c r="C36" t="s">
        <v>10</v>
      </c>
      <c r="D36" s="1">
        <v>4948812</v>
      </c>
      <c r="E36" s="1">
        <v>1712387</v>
      </c>
      <c r="F36" s="2">
        <v>0.34601981243175101</v>
      </c>
      <c r="G36" s="1">
        <v>21571</v>
      </c>
      <c r="H36" s="2">
        <v>1.2597035600013301E-2</v>
      </c>
      <c r="I36" s="9">
        <v>4.3588238955127E-3</v>
      </c>
    </row>
    <row r="37" spans="1:9" x14ac:dyDescent="0.35">
      <c r="A37" s="8">
        <v>45387</v>
      </c>
      <c r="B37" t="s">
        <v>304</v>
      </c>
      <c r="C37" t="s">
        <v>11</v>
      </c>
      <c r="D37" s="1">
        <v>316226</v>
      </c>
      <c r="E37" s="1">
        <v>99671</v>
      </c>
      <c r="F37" s="2">
        <v>0.31518913688311501</v>
      </c>
      <c r="G37" s="1">
        <v>1692</v>
      </c>
      <c r="H37" s="2">
        <v>1.6975850548303899E-2</v>
      </c>
      <c r="I37" s="9">
        <v>5.35060368217667E-3</v>
      </c>
    </row>
    <row r="38" spans="1:9" x14ac:dyDescent="0.35">
      <c r="A38" s="8">
        <v>45391</v>
      </c>
      <c r="B38" t="s">
        <v>319</v>
      </c>
      <c r="C38" t="s">
        <v>10</v>
      </c>
      <c r="D38" s="1">
        <v>1361075</v>
      </c>
      <c r="E38" s="1">
        <v>494098</v>
      </c>
      <c r="F38" s="2">
        <v>0.36302040666384999</v>
      </c>
      <c r="G38" s="1">
        <v>7458</v>
      </c>
      <c r="H38" s="2">
        <v>1.5094171601585099E-2</v>
      </c>
      <c r="I38" s="9">
        <v>5.4794923130613701E-3</v>
      </c>
    </row>
    <row r="39" spans="1:9" x14ac:dyDescent="0.35">
      <c r="A39" s="8">
        <v>45391</v>
      </c>
      <c r="B39" t="s">
        <v>319</v>
      </c>
      <c r="C39" t="s">
        <v>11</v>
      </c>
      <c r="D39" s="1">
        <v>96716</v>
      </c>
      <c r="E39" s="1">
        <v>33255</v>
      </c>
      <c r="F39" s="2">
        <v>0.34384176351379298</v>
      </c>
      <c r="G39" s="1">
        <v>725</v>
      </c>
      <c r="H39" s="2">
        <v>2.18012328973087E-2</v>
      </c>
      <c r="I39" s="9">
        <v>7.4961743661855302E-3</v>
      </c>
    </row>
    <row r="40" spans="1:9" ht="15" thickBot="1" x14ac:dyDescent="0.4">
      <c r="A40" s="12" t="s">
        <v>35</v>
      </c>
      <c r="B40" s="4"/>
      <c r="C40" s="4"/>
      <c r="D40" s="13">
        <f>SUM(D35:D39)</f>
        <v>7151993</v>
      </c>
      <c r="E40" s="13">
        <f>SUM(E35:E39)</f>
        <v>2504724</v>
      </c>
      <c r="F40" s="14">
        <f>AVERAGE(F35:F39)</f>
        <v>0.35065377055199559</v>
      </c>
      <c r="G40" s="13">
        <f>SUM(G35:G39)</f>
        <v>34764</v>
      </c>
      <c r="H40" s="14">
        <f>AVERAGE(H35:H39)</f>
        <v>1.7307861489129581E-2</v>
      </c>
      <c r="I40" s="15">
        <f>AVERAGE(I35:I39)</f>
        <v>6.0832808864134929E-3</v>
      </c>
    </row>
    <row r="41" spans="1:9" ht="3" customHeight="1" thickBot="1" x14ac:dyDescent="0.4">
      <c r="A41" s="139"/>
      <c r="B41" s="138"/>
      <c r="C41" s="138"/>
      <c r="D41" s="138"/>
      <c r="E41" s="138"/>
      <c r="F41" s="138"/>
      <c r="G41" s="138"/>
      <c r="H41" s="138"/>
      <c r="I41" s="140"/>
    </row>
    <row r="42" spans="1:9" x14ac:dyDescent="0.35">
      <c r="A42" s="16" t="s">
        <v>37</v>
      </c>
      <c r="B42" s="17"/>
      <c r="C42" s="17"/>
      <c r="D42" s="17"/>
      <c r="E42" s="17"/>
      <c r="F42" s="17"/>
      <c r="G42" s="17"/>
      <c r="H42" s="17"/>
      <c r="I42" s="18"/>
    </row>
    <row r="43" spans="1:9" x14ac:dyDescent="0.35">
      <c r="A43" s="8">
        <v>45387</v>
      </c>
      <c r="B43" t="s">
        <v>305</v>
      </c>
      <c r="C43" t="s">
        <v>10</v>
      </c>
      <c r="D43" s="1">
        <v>1257</v>
      </c>
      <c r="E43" s="1">
        <v>588</v>
      </c>
      <c r="F43" s="2">
        <v>0.46778042959427202</v>
      </c>
      <c r="G43" s="1">
        <v>48</v>
      </c>
      <c r="H43" s="2">
        <v>8.1632653061224497E-2</v>
      </c>
      <c r="I43" s="9">
        <v>3.8186157517899798E-2</v>
      </c>
    </row>
    <row r="44" spans="1:9" ht="13.4" customHeight="1" x14ac:dyDescent="0.35">
      <c r="A44" s="8">
        <v>45387</v>
      </c>
      <c r="B44" t="s">
        <v>305</v>
      </c>
      <c r="C44" t="s">
        <v>11</v>
      </c>
      <c r="D44" s="1">
        <v>569</v>
      </c>
      <c r="E44" s="1">
        <v>225</v>
      </c>
      <c r="F44" s="2">
        <v>0.39543057996485098</v>
      </c>
      <c r="G44" s="1">
        <v>15</v>
      </c>
      <c r="H44" s="2">
        <v>6.6666666666666693E-2</v>
      </c>
      <c r="I44" s="9">
        <v>2.6362038664323399E-2</v>
      </c>
    </row>
    <row r="45" spans="1:9" x14ac:dyDescent="0.35">
      <c r="A45" s="8">
        <v>45387</v>
      </c>
      <c r="B45" t="s">
        <v>306</v>
      </c>
      <c r="C45" t="s">
        <v>307</v>
      </c>
      <c r="D45" s="1">
        <v>259013</v>
      </c>
      <c r="E45" s="1">
        <v>95392</v>
      </c>
      <c r="F45" s="2">
        <v>0.36829039469061398</v>
      </c>
      <c r="G45" s="1">
        <v>1413</v>
      </c>
      <c r="H45" s="2">
        <v>1.48125628983563E-2</v>
      </c>
      <c r="I45" s="9">
        <v>5.4553246362151701E-3</v>
      </c>
    </row>
    <row r="46" spans="1:9" x14ac:dyDescent="0.35">
      <c r="A46" s="8">
        <v>45387</v>
      </c>
      <c r="B46" t="s">
        <v>308</v>
      </c>
      <c r="C46" t="s">
        <v>309</v>
      </c>
      <c r="D46" s="1">
        <v>8438</v>
      </c>
      <c r="E46" s="1">
        <v>3842</v>
      </c>
      <c r="F46" s="2">
        <v>0.45532116615311702</v>
      </c>
      <c r="G46" s="1">
        <v>325</v>
      </c>
      <c r="H46" s="2">
        <v>8.4591358667360797E-2</v>
      </c>
      <c r="I46" s="9">
        <v>3.8516236074899297E-2</v>
      </c>
    </row>
    <row r="47" spans="1:9" x14ac:dyDescent="0.35">
      <c r="A47" s="8">
        <v>45387</v>
      </c>
      <c r="B47" t="s">
        <v>308</v>
      </c>
      <c r="C47" t="s">
        <v>310</v>
      </c>
      <c r="D47" s="1">
        <v>42103</v>
      </c>
      <c r="E47" s="1">
        <v>19410</v>
      </c>
      <c r="F47" s="2">
        <v>0.46101227941001799</v>
      </c>
      <c r="G47" s="1">
        <v>1778</v>
      </c>
      <c r="H47" s="2">
        <v>9.1602266872746002E-2</v>
      </c>
      <c r="I47" s="9">
        <v>4.2229769850129398E-2</v>
      </c>
    </row>
    <row r="48" spans="1:9" x14ac:dyDescent="0.35">
      <c r="A48" s="8">
        <v>45387</v>
      </c>
      <c r="B48" t="s">
        <v>308</v>
      </c>
      <c r="C48" t="s">
        <v>311</v>
      </c>
      <c r="D48" s="1">
        <v>1417</v>
      </c>
      <c r="E48" s="1">
        <v>654</v>
      </c>
      <c r="F48" s="2">
        <v>0.46153846153846201</v>
      </c>
      <c r="G48" s="1">
        <v>54</v>
      </c>
      <c r="H48" s="2">
        <v>8.2568807339449504E-2</v>
      </c>
      <c r="I48" s="9">
        <v>3.8108680310515203E-2</v>
      </c>
    </row>
    <row r="49" spans="1:9" x14ac:dyDescent="0.35">
      <c r="A49" s="8">
        <v>45387</v>
      </c>
      <c r="B49" t="s">
        <v>308</v>
      </c>
      <c r="C49" t="s">
        <v>312</v>
      </c>
      <c r="D49" s="1">
        <v>15768</v>
      </c>
      <c r="E49" s="1">
        <v>7303</v>
      </c>
      <c r="F49" s="2">
        <v>0.463153221714866</v>
      </c>
      <c r="G49" s="1">
        <v>635</v>
      </c>
      <c r="H49" s="2">
        <v>8.6950568259619304E-2</v>
      </c>
      <c r="I49" s="9">
        <v>4.0271435819381002E-2</v>
      </c>
    </row>
    <row r="50" spans="1:9" x14ac:dyDescent="0.35">
      <c r="A50" s="8">
        <v>45388</v>
      </c>
      <c r="B50" t="s">
        <v>313</v>
      </c>
      <c r="C50" t="s">
        <v>10</v>
      </c>
      <c r="D50" s="1">
        <v>60066</v>
      </c>
      <c r="E50" s="1">
        <v>26302</v>
      </c>
      <c r="F50" s="2">
        <v>0.43788499317417501</v>
      </c>
      <c r="G50" s="1">
        <v>1982</v>
      </c>
      <c r="H50" s="2">
        <v>7.5355486274807995E-2</v>
      </c>
      <c r="I50" s="9">
        <v>3.2997036593080897E-2</v>
      </c>
    </row>
    <row r="51" spans="1:9" x14ac:dyDescent="0.35">
      <c r="A51" s="8">
        <v>45388</v>
      </c>
      <c r="B51" t="s">
        <v>313</v>
      </c>
      <c r="C51" t="s">
        <v>11</v>
      </c>
      <c r="D51" s="1">
        <v>5721</v>
      </c>
      <c r="E51" s="1">
        <v>2317</v>
      </c>
      <c r="F51" s="2">
        <v>0.40499912602691801</v>
      </c>
      <c r="G51" s="1">
        <v>262</v>
      </c>
      <c r="H51" s="2">
        <v>0.113077255071213</v>
      </c>
      <c r="I51" s="9">
        <v>4.5796189477364101E-2</v>
      </c>
    </row>
    <row r="52" spans="1:9" x14ac:dyDescent="0.35">
      <c r="A52" s="8">
        <v>45390</v>
      </c>
      <c r="B52" t="s">
        <v>314</v>
      </c>
      <c r="C52" t="s">
        <v>10</v>
      </c>
      <c r="D52" s="1">
        <v>584417</v>
      </c>
      <c r="E52" s="1">
        <v>224913</v>
      </c>
      <c r="F52" s="2">
        <v>0.38485020114062402</v>
      </c>
      <c r="G52" s="1">
        <v>1806</v>
      </c>
      <c r="H52" s="2">
        <v>8.0297715116511691E-3</v>
      </c>
      <c r="I52" s="9">
        <v>3.0902591813722099E-3</v>
      </c>
    </row>
    <row r="53" spans="1:9" x14ac:dyDescent="0.35">
      <c r="A53" s="8">
        <v>45390</v>
      </c>
      <c r="B53" t="s">
        <v>315</v>
      </c>
      <c r="C53" t="s">
        <v>316</v>
      </c>
      <c r="D53" s="1">
        <v>1205</v>
      </c>
      <c r="E53" s="1">
        <v>366</v>
      </c>
      <c r="F53" s="2">
        <v>0.30373443983402498</v>
      </c>
      <c r="G53" s="1">
        <v>36</v>
      </c>
      <c r="H53" s="2">
        <v>9.8360655737704902E-2</v>
      </c>
      <c r="I53" s="9">
        <v>2.9875518672199199E-2</v>
      </c>
    </row>
    <row r="54" spans="1:9" x14ac:dyDescent="0.35">
      <c r="A54" s="8">
        <v>45390</v>
      </c>
      <c r="B54" t="s">
        <v>317</v>
      </c>
      <c r="C54" t="s">
        <v>318</v>
      </c>
      <c r="D54" s="1">
        <v>124</v>
      </c>
      <c r="E54" s="1">
        <v>32</v>
      </c>
      <c r="F54" s="2">
        <v>0.25806451612903197</v>
      </c>
      <c r="G54" s="1">
        <v>8</v>
      </c>
      <c r="H54" s="2">
        <v>0.25</v>
      </c>
      <c r="I54" s="9">
        <v>6.4516129032258104E-2</v>
      </c>
    </row>
    <row r="55" spans="1:9" x14ac:dyDescent="0.35">
      <c r="A55" s="8">
        <v>45392</v>
      </c>
      <c r="B55" t="s">
        <v>320</v>
      </c>
      <c r="C55" t="s">
        <v>10</v>
      </c>
      <c r="D55" s="1">
        <v>101852</v>
      </c>
      <c r="E55" s="1">
        <v>40993</v>
      </c>
      <c r="F55" s="2">
        <v>0.40247614185288499</v>
      </c>
      <c r="G55" s="1">
        <v>479</v>
      </c>
      <c r="H55" s="2">
        <v>1.16849218159198E-2</v>
      </c>
      <c r="I55" s="9">
        <v>4.7029022503240004E-3</v>
      </c>
    </row>
    <row r="56" spans="1:9" x14ac:dyDescent="0.35">
      <c r="A56" s="8">
        <v>45392</v>
      </c>
      <c r="B56" t="s">
        <v>321</v>
      </c>
      <c r="C56" t="s">
        <v>229</v>
      </c>
      <c r="D56" s="1">
        <v>694</v>
      </c>
      <c r="E56" s="1">
        <v>140</v>
      </c>
      <c r="F56" s="2">
        <v>0.20172910662824201</v>
      </c>
      <c r="G56" s="1">
        <v>14</v>
      </c>
      <c r="H56" s="2">
        <v>0.1</v>
      </c>
      <c r="I56" s="9">
        <v>2.0172910662824201E-2</v>
      </c>
    </row>
    <row r="57" spans="1:9" x14ac:dyDescent="0.35">
      <c r="A57" s="8">
        <v>45392</v>
      </c>
      <c r="B57" t="s">
        <v>322</v>
      </c>
      <c r="C57" t="s">
        <v>10</v>
      </c>
      <c r="D57" s="1">
        <v>458069</v>
      </c>
      <c r="E57" s="1">
        <v>175113</v>
      </c>
      <c r="F57" s="2">
        <v>0.38228520157443502</v>
      </c>
      <c r="G57" s="1">
        <v>2595</v>
      </c>
      <c r="H57" s="2">
        <v>1.4819002586901E-2</v>
      </c>
      <c r="I57" s="9">
        <v>5.6650853910655396E-3</v>
      </c>
    </row>
    <row r="58" spans="1:9" x14ac:dyDescent="0.35">
      <c r="A58" s="8">
        <v>45392</v>
      </c>
      <c r="B58" t="s">
        <v>322</v>
      </c>
      <c r="C58" t="s">
        <v>11</v>
      </c>
      <c r="D58" s="1">
        <v>28328</v>
      </c>
      <c r="E58" s="1">
        <v>11053</v>
      </c>
      <c r="F58" s="2">
        <v>0.39017932787348197</v>
      </c>
      <c r="G58" s="1">
        <v>259</v>
      </c>
      <c r="H58" s="2">
        <v>2.3432552248258399E-2</v>
      </c>
      <c r="I58" s="9">
        <v>9.1428974865857097E-3</v>
      </c>
    </row>
    <row r="59" spans="1:9" ht="14.5" customHeight="1" x14ac:dyDescent="0.35">
      <c r="A59" s="8">
        <v>45392</v>
      </c>
      <c r="B59" t="s">
        <v>323</v>
      </c>
      <c r="C59" t="s">
        <v>227</v>
      </c>
      <c r="D59" s="1">
        <v>6614</v>
      </c>
      <c r="E59" s="1">
        <v>1652</v>
      </c>
      <c r="F59" s="2">
        <v>0.249773208345933</v>
      </c>
      <c r="G59" s="1">
        <v>242</v>
      </c>
      <c r="H59" s="2">
        <v>0.14648910411622301</v>
      </c>
      <c r="I59" s="9">
        <v>3.65890535228304E-2</v>
      </c>
    </row>
    <row r="60" spans="1:9" x14ac:dyDescent="0.35">
      <c r="A60" s="8">
        <v>45393</v>
      </c>
      <c r="B60" t="s">
        <v>328</v>
      </c>
      <c r="C60" t="s">
        <v>10</v>
      </c>
      <c r="D60" s="1">
        <v>745191</v>
      </c>
      <c r="E60" s="1">
        <v>240840</v>
      </c>
      <c r="F60" s="2">
        <v>0.323192309085858</v>
      </c>
      <c r="G60" s="1">
        <v>1782</v>
      </c>
      <c r="H60" s="2">
        <v>7.3991031390134498E-3</v>
      </c>
      <c r="I60" s="9">
        <v>2.3913332286621802E-3</v>
      </c>
    </row>
    <row r="61" spans="1:9" ht="15" thickBot="1" x14ac:dyDescent="0.4">
      <c r="A61" s="12" t="s">
        <v>35</v>
      </c>
      <c r="B61" s="4"/>
      <c r="C61" s="4"/>
      <c r="D61" s="13">
        <f>SUM(D43:D60)</f>
        <v>2320846</v>
      </c>
      <c r="E61" s="13">
        <f>SUM(E43:E60)</f>
        <v>851135</v>
      </c>
      <c r="F61" s="14">
        <f>AVERAGE(F43:F60)</f>
        <v>0.37842750581843382</v>
      </c>
      <c r="G61" s="13">
        <f>SUM(G43:G60)</f>
        <v>13733</v>
      </c>
      <c r="H61" s="14">
        <f>AVERAGE(H43:H60)</f>
        <v>7.5415152014839781E-2</v>
      </c>
      <c r="I61" s="15">
        <f>AVERAGE(I43:I60)</f>
        <v>2.6892719909551655E-2</v>
      </c>
    </row>
    <row r="62" spans="1:9" ht="3" customHeight="1" thickBot="1" x14ac:dyDescent="0.4">
      <c r="A62" s="139"/>
      <c r="B62" s="138"/>
      <c r="C62" s="138"/>
      <c r="D62" s="138"/>
      <c r="E62" s="138"/>
      <c r="F62" s="138"/>
      <c r="G62" s="138"/>
      <c r="H62" s="138"/>
      <c r="I62" s="140"/>
    </row>
    <row r="63" spans="1:9" x14ac:dyDescent="0.35">
      <c r="A63" s="16" t="s">
        <v>38</v>
      </c>
      <c r="B63" s="17"/>
      <c r="C63" s="17"/>
      <c r="D63" s="17"/>
      <c r="E63" s="17"/>
      <c r="F63" s="17"/>
      <c r="G63" s="17"/>
      <c r="H63" s="17"/>
      <c r="I63" s="18"/>
    </row>
    <row r="64" spans="1:9" x14ac:dyDescent="0.35">
      <c r="A64" s="8">
        <v>45393</v>
      </c>
      <c r="B64" t="s">
        <v>296</v>
      </c>
      <c r="C64" t="s">
        <v>253</v>
      </c>
      <c r="D64" s="1">
        <v>883170</v>
      </c>
      <c r="E64" s="1">
        <v>305125</v>
      </c>
      <c r="F64" s="3">
        <v>0.34549999999999997</v>
      </c>
      <c r="G64" s="1">
        <v>2418</v>
      </c>
      <c r="H64" s="3">
        <v>7.9000000000000008E-3</v>
      </c>
      <c r="I64" s="11">
        <v>2.7000000000000001E-3</v>
      </c>
    </row>
    <row r="65" spans="1:9" ht="14.15" customHeight="1" x14ac:dyDescent="0.35">
      <c r="A65" s="8">
        <v>45393</v>
      </c>
      <c r="B65" t="s">
        <v>297</v>
      </c>
      <c r="C65" t="s">
        <v>255</v>
      </c>
      <c r="D65" s="1">
        <v>69411</v>
      </c>
      <c r="E65" s="1">
        <v>22947</v>
      </c>
      <c r="F65" s="3">
        <v>0.3306</v>
      </c>
      <c r="G65">
        <v>263</v>
      </c>
      <c r="H65" s="3">
        <v>1.15E-2</v>
      </c>
      <c r="I65" s="11">
        <v>3.8E-3</v>
      </c>
    </row>
    <row r="66" spans="1:9" x14ac:dyDescent="0.35">
      <c r="A66" s="8">
        <v>45393</v>
      </c>
      <c r="B66" t="s">
        <v>298</v>
      </c>
      <c r="C66" t="s">
        <v>234</v>
      </c>
      <c r="D66" s="1">
        <v>283622</v>
      </c>
      <c r="E66" s="1">
        <v>90579</v>
      </c>
      <c r="F66" s="3">
        <v>0.31940000000000002</v>
      </c>
      <c r="G66">
        <v>804</v>
      </c>
      <c r="H66" s="3">
        <v>8.8999999999999999E-3</v>
      </c>
      <c r="I66" s="11">
        <v>2.8E-3</v>
      </c>
    </row>
    <row r="67" spans="1:9" ht="14.15" customHeight="1" x14ac:dyDescent="0.35">
      <c r="A67" s="8">
        <v>45393</v>
      </c>
      <c r="B67" t="s">
        <v>300</v>
      </c>
      <c r="C67" t="s">
        <v>235</v>
      </c>
      <c r="D67" s="1">
        <v>14036</v>
      </c>
      <c r="E67" s="1">
        <v>4120</v>
      </c>
      <c r="F67" s="3">
        <v>0.29349999999999998</v>
      </c>
      <c r="G67">
        <v>51</v>
      </c>
      <c r="H67" s="3">
        <v>1.24E-2</v>
      </c>
      <c r="I67" s="11">
        <v>3.5999999999999999E-3</v>
      </c>
    </row>
    <row r="68" spans="1:9" ht="14.5" customHeight="1" x14ac:dyDescent="0.35">
      <c r="A68" s="8">
        <v>45393</v>
      </c>
      <c r="B68" t="s">
        <v>324</v>
      </c>
      <c r="C68" t="s">
        <v>325</v>
      </c>
      <c r="D68" s="1">
        <v>643106</v>
      </c>
      <c r="E68" s="1">
        <v>234503</v>
      </c>
      <c r="F68" s="3">
        <v>0.36459999999999998</v>
      </c>
      <c r="G68" s="1">
        <v>1839</v>
      </c>
      <c r="H68" s="3">
        <v>7.7999999999999996E-3</v>
      </c>
      <c r="I68" s="11">
        <v>2.8999999999999998E-3</v>
      </c>
    </row>
    <row r="69" spans="1:9" x14ac:dyDescent="0.35">
      <c r="A69" s="8">
        <v>45393</v>
      </c>
      <c r="B69" t="s">
        <v>326</v>
      </c>
      <c r="C69" t="s">
        <v>327</v>
      </c>
      <c r="D69" s="1">
        <v>22258</v>
      </c>
      <c r="E69" s="1">
        <v>7260</v>
      </c>
      <c r="F69" s="3">
        <v>0.32619999999999999</v>
      </c>
      <c r="G69">
        <v>75</v>
      </c>
      <c r="H69" s="3">
        <v>1.03E-2</v>
      </c>
      <c r="I69" s="11">
        <v>3.3999999999999998E-3</v>
      </c>
    </row>
    <row r="70" spans="1:9" ht="15" thickBot="1" x14ac:dyDescent="0.4">
      <c r="A70" s="12" t="s">
        <v>35</v>
      </c>
      <c r="B70" s="4"/>
      <c r="C70" s="4"/>
      <c r="D70" s="13">
        <f>SUM(D64:D69)</f>
        <v>1915603</v>
      </c>
      <c r="E70" s="13">
        <f>SUM(E64:E69)</f>
        <v>664534</v>
      </c>
      <c r="F70" s="14">
        <f>AVERAGE(F64:F69)</f>
        <v>0.32996666666666669</v>
      </c>
      <c r="G70" s="13">
        <f>SUM(G64:G69)</f>
        <v>5450</v>
      </c>
      <c r="H70" s="14">
        <f>AVERAGE(H64:H69)</f>
        <v>9.8000000000000014E-3</v>
      </c>
      <c r="I70" s="15">
        <f>AVERAGE(I64:I69)</f>
        <v>3.2000000000000002E-3</v>
      </c>
    </row>
  </sheetData>
  <mergeCells count="3">
    <mergeCell ref="A32:I32"/>
    <mergeCell ref="A41:I41"/>
    <mergeCell ref="A62:I62"/>
  </mergeCells>
  <pageMargins left="0.7" right="0.7" top="0.75" bottom="0.75" header="0.3" footer="0.3"/>
  <ignoredErrors>
    <ignoredError sqref="F31:G31 F40:G40 F61 F70" formula="1"/>
  </ignoredErrors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87E0-9B56-49FE-AF73-60C82513E930}">
  <dimension ref="A1:I50"/>
  <sheetViews>
    <sheetView workbookViewId="0">
      <selection activeCell="N20" sqref="N20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45394</v>
      </c>
      <c r="B2" t="s">
        <v>329</v>
      </c>
      <c r="C2" t="s">
        <v>10</v>
      </c>
      <c r="D2" s="1">
        <v>410147</v>
      </c>
      <c r="E2" s="1">
        <v>145828</v>
      </c>
      <c r="F2" s="2">
        <v>0.35555057089287501</v>
      </c>
      <c r="G2" s="1">
        <v>2476</v>
      </c>
      <c r="H2" s="2">
        <v>1.6978906657157702E-2</v>
      </c>
      <c r="I2" s="2">
        <v>6.0368599550892701E-3</v>
      </c>
    </row>
    <row r="3" spans="1:9" x14ac:dyDescent="0.35">
      <c r="A3" s="19">
        <v>45394</v>
      </c>
      <c r="B3" t="s">
        <v>329</v>
      </c>
      <c r="C3" t="s">
        <v>11</v>
      </c>
      <c r="D3" s="1">
        <v>22209</v>
      </c>
      <c r="E3" s="1">
        <v>7706</v>
      </c>
      <c r="F3" s="2">
        <v>0.34697645098833801</v>
      </c>
      <c r="G3" s="1">
        <v>252</v>
      </c>
      <c r="H3" s="2">
        <v>3.2701790812353998E-2</v>
      </c>
      <c r="I3" s="2">
        <v>1.1346751317033599E-2</v>
      </c>
    </row>
    <row r="4" spans="1:9" x14ac:dyDescent="0.35">
      <c r="A4" s="19">
        <v>45394</v>
      </c>
      <c r="B4" t="s">
        <v>330</v>
      </c>
      <c r="C4" t="s">
        <v>10</v>
      </c>
      <c r="D4" s="1">
        <v>4841588</v>
      </c>
      <c r="E4" s="1">
        <v>1612131</v>
      </c>
      <c r="F4" s="2">
        <v>0.332975668313785</v>
      </c>
      <c r="G4" s="1">
        <v>21145</v>
      </c>
      <c r="H4" s="2">
        <v>1.31161797645477E-2</v>
      </c>
      <c r="I4" s="2">
        <v>4.3673687228240003E-3</v>
      </c>
    </row>
    <row r="5" spans="1:9" x14ac:dyDescent="0.35">
      <c r="A5" s="19">
        <v>45394</v>
      </c>
      <c r="B5" t="s">
        <v>330</v>
      </c>
      <c r="C5" t="s">
        <v>11</v>
      </c>
      <c r="D5" s="1">
        <v>309912</v>
      </c>
      <c r="E5" s="1">
        <v>92733</v>
      </c>
      <c r="F5" s="2">
        <v>0.29922365058468198</v>
      </c>
      <c r="G5" s="1">
        <v>1815</v>
      </c>
      <c r="H5" s="2">
        <v>1.9572320533143499E-2</v>
      </c>
      <c r="I5" s="2">
        <v>5.8565012003407397E-3</v>
      </c>
    </row>
    <row r="6" spans="1:9" ht="13.4" customHeight="1" x14ac:dyDescent="0.35">
      <c r="A6" s="19">
        <v>45394</v>
      </c>
      <c r="B6" t="s">
        <v>331</v>
      </c>
      <c r="C6" t="s">
        <v>10</v>
      </c>
      <c r="D6" s="1">
        <v>3068134</v>
      </c>
      <c r="E6" s="1">
        <v>1095361</v>
      </c>
      <c r="F6" s="2">
        <v>0.35701211224803098</v>
      </c>
      <c r="G6" s="1">
        <v>23344</v>
      </c>
      <c r="H6" s="2">
        <v>2.1311695413658099E-2</v>
      </c>
      <c r="I6" s="2">
        <v>7.6085333952167697E-3</v>
      </c>
    </row>
    <row r="7" spans="1:9" x14ac:dyDescent="0.35">
      <c r="A7" s="19">
        <v>45394</v>
      </c>
      <c r="B7" t="s">
        <v>331</v>
      </c>
      <c r="C7" t="s">
        <v>11</v>
      </c>
      <c r="D7" s="1">
        <v>164079</v>
      </c>
      <c r="E7" s="1">
        <v>57886</v>
      </c>
      <c r="F7" s="2">
        <v>0.35279347143753897</v>
      </c>
      <c r="G7" s="1">
        <v>3944</v>
      </c>
      <c r="H7" s="2">
        <v>6.8133918391320894E-2</v>
      </c>
      <c r="I7" s="2">
        <v>2.4037201591916101E-2</v>
      </c>
    </row>
    <row r="8" spans="1:9" x14ac:dyDescent="0.35">
      <c r="A8" s="19">
        <v>45397</v>
      </c>
      <c r="B8" t="s">
        <v>332</v>
      </c>
      <c r="C8" t="s">
        <v>10</v>
      </c>
      <c r="D8" s="1">
        <v>69096</v>
      </c>
      <c r="E8" s="1">
        <v>31572</v>
      </c>
      <c r="F8" s="2">
        <v>0.456929489406044</v>
      </c>
      <c r="G8" s="1">
        <v>1026</v>
      </c>
      <c r="H8" s="2">
        <v>3.2497149372862001E-2</v>
      </c>
      <c r="I8" s="2">
        <v>1.48489058700938E-2</v>
      </c>
    </row>
    <row r="9" spans="1:9" x14ac:dyDescent="0.35">
      <c r="A9" s="19">
        <v>45397</v>
      </c>
      <c r="B9" t="s">
        <v>332</v>
      </c>
      <c r="C9" t="s">
        <v>11</v>
      </c>
      <c r="D9" s="1">
        <v>353</v>
      </c>
      <c r="E9" s="1">
        <v>189</v>
      </c>
      <c r="F9" s="2">
        <v>0.53541076487252104</v>
      </c>
      <c r="G9" s="1">
        <v>19</v>
      </c>
      <c r="H9" s="2">
        <v>0.100529100529101</v>
      </c>
      <c r="I9" s="2">
        <v>5.3824362606232301E-2</v>
      </c>
    </row>
    <row r="10" spans="1:9" x14ac:dyDescent="0.35">
      <c r="A10" s="19">
        <v>45398</v>
      </c>
      <c r="B10" t="s">
        <v>333</v>
      </c>
      <c r="C10" t="s">
        <v>10</v>
      </c>
      <c r="D10" s="1">
        <v>1350706</v>
      </c>
      <c r="E10" s="1">
        <v>485271</v>
      </c>
      <c r="F10" s="2">
        <v>0.35927211399075698</v>
      </c>
      <c r="G10" s="1">
        <v>6485</v>
      </c>
      <c r="H10" s="2">
        <v>1.33636668995262E-2</v>
      </c>
      <c r="I10" s="2">
        <v>4.8011928576611003E-3</v>
      </c>
    </row>
    <row r="11" spans="1:9" x14ac:dyDescent="0.35">
      <c r="A11" s="19">
        <v>45398</v>
      </c>
      <c r="B11" t="s">
        <v>333</v>
      </c>
      <c r="C11" t="s">
        <v>11</v>
      </c>
      <c r="D11" s="1">
        <v>96009</v>
      </c>
      <c r="E11" s="1">
        <v>33619</v>
      </c>
      <c r="F11" s="2">
        <v>0.350165088689602</v>
      </c>
      <c r="G11" s="1">
        <v>706</v>
      </c>
      <c r="H11" s="2">
        <v>2.1000029745084602E-2</v>
      </c>
      <c r="I11" s="2">
        <v>7.3534772781718404E-3</v>
      </c>
    </row>
    <row r="12" spans="1:9" x14ac:dyDescent="0.35">
      <c r="A12" s="19">
        <v>45399</v>
      </c>
      <c r="B12" t="s">
        <v>334</v>
      </c>
      <c r="C12" t="s">
        <v>10</v>
      </c>
      <c r="D12" s="1">
        <v>372755</v>
      </c>
      <c r="E12" s="1">
        <v>128348</v>
      </c>
      <c r="F12" s="2">
        <v>0.344322678434897</v>
      </c>
      <c r="G12" s="1">
        <v>1153</v>
      </c>
      <c r="H12" s="2">
        <v>8.9833889113971402E-3</v>
      </c>
      <c r="I12" s="2">
        <v>3.0931845313946198E-3</v>
      </c>
    </row>
    <row r="13" spans="1:9" x14ac:dyDescent="0.35">
      <c r="A13" s="19">
        <v>45399</v>
      </c>
      <c r="B13" t="s">
        <v>334</v>
      </c>
      <c r="C13" t="s">
        <v>11</v>
      </c>
      <c r="D13" s="1">
        <v>20454</v>
      </c>
      <c r="E13" s="1">
        <v>6435</v>
      </c>
      <c r="F13" s="2">
        <v>0.314608389557055</v>
      </c>
      <c r="G13" s="1">
        <v>71</v>
      </c>
      <c r="H13" s="2">
        <v>1.1033411033411E-2</v>
      </c>
      <c r="I13" s="2">
        <v>3.47120367654249E-3</v>
      </c>
    </row>
    <row r="14" spans="1:9" x14ac:dyDescent="0.35">
      <c r="A14" s="19">
        <v>45400</v>
      </c>
      <c r="B14" t="s">
        <v>335</v>
      </c>
      <c r="C14" t="s">
        <v>253</v>
      </c>
      <c r="D14" s="1">
        <v>281060</v>
      </c>
      <c r="E14" s="1">
        <v>91217</v>
      </c>
      <c r="F14" s="3">
        <v>0.32450000000000001</v>
      </c>
      <c r="G14">
        <v>945</v>
      </c>
      <c r="H14" s="3">
        <v>1.04E-2</v>
      </c>
      <c r="I14" s="3">
        <v>3.3999999999999998E-3</v>
      </c>
    </row>
    <row r="15" spans="1:9" x14ac:dyDescent="0.35">
      <c r="A15" s="19">
        <v>45400</v>
      </c>
      <c r="B15" t="s">
        <v>336</v>
      </c>
      <c r="C15" t="s">
        <v>255</v>
      </c>
      <c r="D15" s="1">
        <v>13912</v>
      </c>
      <c r="E15" s="1">
        <v>4205</v>
      </c>
      <c r="F15" s="3">
        <v>0.30230000000000001</v>
      </c>
      <c r="G15">
        <v>64</v>
      </c>
      <c r="H15" s="3">
        <v>1.52E-2</v>
      </c>
      <c r="I15" s="3">
        <v>4.5999999999999999E-3</v>
      </c>
    </row>
    <row r="16" spans="1:9" x14ac:dyDescent="0.35">
      <c r="A16" s="19">
        <v>45400</v>
      </c>
      <c r="B16" t="s">
        <v>337</v>
      </c>
      <c r="C16" t="s">
        <v>234</v>
      </c>
      <c r="D16" s="1">
        <v>560179</v>
      </c>
      <c r="E16" s="1">
        <v>194522</v>
      </c>
      <c r="F16" s="3">
        <v>0.34720000000000001</v>
      </c>
      <c r="G16" s="1">
        <v>1138</v>
      </c>
      <c r="H16" s="3">
        <v>5.8999999999999999E-3</v>
      </c>
      <c r="I16" s="3">
        <v>2E-3</v>
      </c>
    </row>
    <row r="17" spans="1:9" x14ac:dyDescent="0.35">
      <c r="A17" s="19">
        <v>45400</v>
      </c>
      <c r="B17" t="s">
        <v>338</v>
      </c>
      <c r="C17" t="s">
        <v>235</v>
      </c>
      <c r="D17" s="1">
        <v>19311</v>
      </c>
      <c r="E17" s="1">
        <v>5978</v>
      </c>
      <c r="F17" s="3">
        <v>0.30959999999999999</v>
      </c>
      <c r="G17">
        <v>60</v>
      </c>
      <c r="H17" s="3">
        <v>0.01</v>
      </c>
      <c r="I17" s="3">
        <v>3.0999999999999999E-3</v>
      </c>
    </row>
    <row r="18" spans="1:9" x14ac:dyDescent="0.35">
      <c r="A18" s="19">
        <v>45400</v>
      </c>
      <c r="B18" t="s">
        <v>339</v>
      </c>
      <c r="C18" t="s">
        <v>325</v>
      </c>
      <c r="D18" s="1">
        <v>298950</v>
      </c>
      <c r="E18" s="1">
        <v>107740</v>
      </c>
      <c r="F18" s="3">
        <v>0.3604</v>
      </c>
      <c r="G18" s="1">
        <v>1346</v>
      </c>
      <c r="H18" s="3">
        <v>1.2500000000000001E-2</v>
      </c>
      <c r="I18" s="3">
        <v>4.4999999999999997E-3</v>
      </c>
    </row>
    <row r="19" spans="1:9" x14ac:dyDescent="0.35">
      <c r="A19" s="19">
        <v>45400</v>
      </c>
      <c r="B19" t="s">
        <v>340</v>
      </c>
      <c r="C19" t="s">
        <v>327</v>
      </c>
      <c r="D19" s="1">
        <v>15477</v>
      </c>
      <c r="E19" s="1">
        <v>5713</v>
      </c>
      <c r="F19" s="3">
        <v>0.36909999999999998</v>
      </c>
      <c r="G19">
        <v>116</v>
      </c>
      <c r="H19" s="3">
        <v>2.0299999999999999E-2</v>
      </c>
      <c r="I19" s="3">
        <v>7.4999999999999997E-3</v>
      </c>
    </row>
    <row r="20" spans="1:9" x14ac:dyDescent="0.35">
      <c r="A20" s="19">
        <v>45400</v>
      </c>
      <c r="B20" t="s">
        <v>341</v>
      </c>
      <c r="C20" t="s">
        <v>10</v>
      </c>
      <c r="D20" s="1">
        <v>89421</v>
      </c>
      <c r="E20" s="1">
        <v>34515</v>
      </c>
      <c r="F20" s="2">
        <v>0.38598315831851598</v>
      </c>
      <c r="G20" s="1">
        <v>616</v>
      </c>
      <c r="H20" s="2">
        <v>1.7847312762567E-2</v>
      </c>
      <c r="I20" s="2">
        <v>6.8887621475939697E-3</v>
      </c>
    </row>
    <row r="21" spans="1:9" ht="15" thickBot="1" x14ac:dyDescent="0.4">
      <c r="A21" s="20" t="s">
        <v>35</v>
      </c>
      <c r="D21" s="10">
        <f>SUM(D2:D20)</f>
        <v>12003752</v>
      </c>
      <c r="E21" s="10">
        <f>SUM(E2:E20)</f>
        <v>4140969</v>
      </c>
      <c r="F21" s="27">
        <f>AVERAGE(F2:F20)</f>
        <v>0.35812229514392846</v>
      </c>
      <c r="G21" s="10">
        <f>SUM(G2:G20)</f>
        <v>66721</v>
      </c>
      <c r="H21" s="27">
        <f>AVERAGE(H2:H20)</f>
        <v>2.3756256359270044E-2</v>
      </c>
      <c r="I21" s="27">
        <f>AVERAGE(I2:I20)</f>
        <v>9.4018055342163457E-3</v>
      </c>
    </row>
    <row r="22" spans="1:9" ht="15" thickBot="1" x14ac:dyDescent="0.4">
      <c r="A22" s="138" t="s">
        <v>302</v>
      </c>
      <c r="B22" s="138"/>
      <c r="C22" s="138"/>
      <c r="D22" s="138"/>
      <c r="E22" s="138"/>
      <c r="F22" s="138"/>
      <c r="G22" s="138"/>
      <c r="H22" s="138"/>
      <c r="I22" s="138"/>
    </row>
    <row r="23" spans="1:9" x14ac:dyDescent="0.35">
      <c r="A23" s="24" t="s">
        <v>0</v>
      </c>
      <c r="B23" s="25" t="s">
        <v>1</v>
      </c>
      <c r="C23" s="25" t="s">
        <v>2</v>
      </c>
      <c r="D23" s="25" t="s">
        <v>3</v>
      </c>
      <c r="E23" s="25" t="s">
        <v>4</v>
      </c>
      <c r="F23" s="25" t="s">
        <v>5</v>
      </c>
      <c r="G23" s="25" t="s">
        <v>6</v>
      </c>
      <c r="H23" s="25" t="s">
        <v>7</v>
      </c>
      <c r="I23" s="26" t="s">
        <v>8</v>
      </c>
    </row>
    <row r="24" spans="1:9" x14ac:dyDescent="0.35">
      <c r="A24" s="5" t="s">
        <v>36</v>
      </c>
      <c r="B24" s="6"/>
      <c r="C24" s="6"/>
      <c r="D24" s="6"/>
      <c r="E24" s="6"/>
      <c r="F24" s="6"/>
      <c r="G24" s="6"/>
      <c r="H24" s="6"/>
      <c r="I24" s="7"/>
    </row>
    <row r="25" spans="1:9" x14ac:dyDescent="0.35">
      <c r="A25" s="8">
        <v>45394</v>
      </c>
      <c r="B25" t="s">
        <v>329</v>
      </c>
      <c r="C25" t="s">
        <v>10</v>
      </c>
      <c r="D25" s="1">
        <v>410147</v>
      </c>
      <c r="E25" s="1">
        <v>145828</v>
      </c>
      <c r="F25" s="2">
        <v>0.35555057089287501</v>
      </c>
      <c r="G25" s="1">
        <v>2476</v>
      </c>
      <c r="H25" s="2">
        <v>1.6978906657157702E-2</v>
      </c>
      <c r="I25" s="9">
        <v>6.0368599550892701E-3</v>
      </c>
    </row>
    <row r="26" spans="1:9" x14ac:dyDescent="0.35">
      <c r="A26" s="8">
        <v>45394</v>
      </c>
      <c r="B26" t="s">
        <v>329</v>
      </c>
      <c r="C26" t="s">
        <v>11</v>
      </c>
      <c r="D26" s="1">
        <v>22209</v>
      </c>
      <c r="E26" s="1">
        <v>7706</v>
      </c>
      <c r="F26" s="2">
        <v>0.34697645098833801</v>
      </c>
      <c r="G26" s="1">
        <v>252</v>
      </c>
      <c r="H26" s="2">
        <v>3.2701790812353998E-2</v>
      </c>
      <c r="I26" s="9">
        <v>1.1346751317033599E-2</v>
      </c>
    </row>
    <row r="27" spans="1:9" x14ac:dyDescent="0.35">
      <c r="A27" s="8">
        <v>45394</v>
      </c>
      <c r="B27" t="s">
        <v>330</v>
      </c>
      <c r="C27" t="s">
        <v>10</v>
      </c>
      <c r="D27" s="1">
        <v>4841588</v>
      </c>
      <c r="E27" s="1">
        <v>1612131</v>
      </c>
      <c r="F27" s="2">
        <v>0.332975668313785</v>
      </c>
      <c r="G27" s="1">
        <v>21145</v>
      </c>
      <c r="H27" s="2">
        <v>1.31161797645477E-2</v>
      </c>
      <c r="I27" s="9">
        <v>4.3673687228240003E-3</v>
      </c>
    </row>
    <row r="28" spans="1:9" x14ac:dyDescent="0.35">
      <c r="A28" s="8">
        <v>45394</v>
      </c>
      <c r="B28" t="s">
        <v>330</v>
      </c>
      <c r="C28" t="s">
        <v>11</v>
      </c>
      <c r="D28" s="1">
        <v>309912</v>
      </c>
      <c r="E28" s="1">
        <v>92733</v>
      </c>
      <c r="F28" s="2">
        <v>0.29922365058468198</v>
      </c>
      <c r="G28" s="1">
        <v>1815</v>
      </c>
      <c r="H28" s="2">
        <v>1.9572320533143499E-2</v>
      </c>
      <c r="I28" s="9">
        <v>5.8565012003407397E-3</v>
      </c>
    </row>
    <row r="29" spans="1:9" x14ac:dyDescent="0.35">
      <c r="A29" s="8">
        <v>45398</v>
      </c>
      <c r="B29" t="s">
        <v>333</v>
      </c>
      <c r="C29" t="s">
        <v>10</v>
      </c>
      <c r="D29" s="1">
        <v>1350706</v>
      </c>
      <c r="E29" s="1">
        <v>485271</v>
      </c>
      <c r="F29" s="2">
        <v>0.35927211399075698</v>
      </c>
      <c r="G29" s="1">
        <v>6485</v>
      </c>
      <c r="H29" s="2">
        <v>1.33636668995262E-2</v>
      </c>
      <c r="I29" s="9">
        <v>4.8011928576611003E-3</v>
      </c>
    </row>
    <row r="30" spans="1:9" x14ac:dyDescent="0.35">
      <c r="A30" s="8">
        <v>45398</v>
      </c>
      <c r="B30" t="s">
        <v>333</v>
      </c>
      <c r="C30" t="s">
        <v>11</v>
      </c>
      <c r="D30" s="1">
        <v>96009</v>
      </c>
      <c r="E30" s="1">
        <v>33619</v>
      </c>
      <c r="F30" s="2">
        <v>0.350165088689602</v>
      </c>
      <c r="G30" s="1">
        <v>706</v>
      </c>
      <c r="H30" s="2">
        <v>2.1000029745084602E-2</v>
      </c>
      <c r="I30" s="9">
        <v>7.3534772781718404E-3</v>
      </c>
    </row>
    <row r="31" spans="1:9" ht="15" thickBot="1" x14ac:dyDescent="0.4">
      <c r="A31" s="12" t="s">
        <v>35</v>
      </c>
      <c r="B31" s="4"/>
      <c r="C31" s="4"/>
      <c r="D31" s="13">
        <f>SUM(D25:D30)</f>
        <v>7030571</v>
      </c>
      <c r="E31" s="13">
        <f>SUM(E25:E30)</f>
        <v>2377288</v>
      </c>
      <c r="F31" s="14">
        <f>AVERAGE(F25:F30)</f>
        <v>0.34069392391000647</v>
      </c>
      <c r="G31" s="13">
        <f>SUM(G25:G30)</f>
        <v>32879</v>
      </c>
      <c r="H31" s="14">
        <f>AVERAGE(H25:H30)</f>
        <v>1.9455482401968951E-2</v>
      </c>
      <c r="I31" s="15">
        <f>AVERAGE(I25:I30)</f>
        <v>6.6270252218534262E-3</v>
      </c>
    </row>
    <row r="32" spans="1:9" ht="3" customHeight="1" thickBot="1" x14ac:dyDescent="0.4">
      <c r="A32" s="139"/>
      <c r="B32" s="138"/>
      <c r="C32" s="138"/>
      <c r="D32" s="138"/>
      <c r="E32" s="138"/>
      <c r="F32" s="138"/>
      <c r="G32" s="138"/>
      <c r="H32" s="138"/>
      <c r="I32" s="140"/>
    </row>
    <row r="33" spans="1:9" x14ac:dyDescent="0.35">
      <c r="A33" s="16" t="s">
        <v>37</v>
      </c>
      <c r="B33" s="17"/>
      <c r="C33" s="17"/>
      <c r="D33" s="17"/>
      <c r="E33" s="17"/>
      <c r="F33" s="17"/>
      <c r="G33" s="17"/>
      <c r="H33" s="17"/>
      <c r="I33" s="18"/>
    </row>
    <row r="34" spans="1:9" ht="13.4" customHeight="1" x14ac:dyDescent="0.35">
      <c r="A34" s="8">
        <v>45394</v>
      </c>
      <c r="B34" t="s">
        <v>331</v>
      </c>
      <c r="C34" t="s">
        <v>10</v>
      </c>
      <c r="D34" s="1">
        <v>3068134</v>
      </c>
      <c r="E34" s="1">
        <v>1095361</v>
      </c>
      <c r="F34" s="2">
        <v>0.35701211224803098</v>
      </c>
      <c r="G34" s="1">
        <v>23344</v>
      </c>
      <c r="H34" s="2">
        <v>2.1311695413658099E-2</v>
      </c>
      <c r="I34" s="9">
        <v>7.6085333952167697E-3</v>
      </c>
    </row>
    <row r="35" spans="1:9" x14ac:dyDescent="0.35">
      <c r="A35" s="8">
        <v>45394</v>
      </c>
      <c r="B35" t="s">
        <v>331</v>
      </c>
      <c r="C35" t="s">
        <v>11</v>
      </c>
      <c r="D35" s="1">
        <v>164079</v>
      </c>
      <c r="E35" s="1">
        <v>57886</v>
      </c>
      <c r="F35" s="2">
        <v>0.35279347143753897</v>
      </c>
      <c r="G35" s="1">
        <v>3944</v>
      </c>
      <c r="H35" s="2">
        <v>6.8133918391320894E-2</v>
      </c>
      <c r="I35" s="9">
        <v>2.4037201591916101E-2</v>
      </c>
    </row>
    <row r="36" spans="1:9" x14ac:dyDescent="0.35">
      <c r="A36" s="8">
        <v>45397</v>
      </c>
      <c r="B36" t="s">
        <v>332</v>
      </c>
      <c r="C36" t="s">
        <v>10</v>
      </c>
      <c r="D36" s="1">
        <v>69096</v>
      </c>
      <c r="E36" s="1">
        <v>31572</v>
      </c>
      <c r="F36" s="2">
        <v>0.456929489406044</v>
      </c>
      <c r="G36" s="1">
        <v>1026</v>
      </c>
      <c r="H36" s="2">
        <v>3.2497149372862001E-2</v>
      </c>
      <c r="I36" s="9">
        <v>1.48489058700938E-2</v>
      </c>
    </row>
    <row r="37" spans="1:9" x14ac:dyDescent="0.35">
      <c r="A37" s="8">
        <v>45397</v>
      </c>
      <c r="B37" t="s">
        <v>332</v>
      </c>
      <c r="C37" t="s">
        <v>11</v>
      </c>
      <c r="D37" s="1">
        <v>353</v>
      </c>
      <c r="E37" s="1">
        <v>189</v>
      </c>
      <c r="F37" s="2">
        <v>0.53541076487252104</v>
      </c>
      <c r="G37" s="1">
        <v>19</v>
      </c>
      <c r="H37" s="2">
        <v>0.100529100529101</v>
      </c>
      <c r="I37" s="9">
        <v>5.3824362606232301E-2</v>
      </c>
    </row>
    <row r="38" spans="1:9" x14ac:dyDescent="0.35">
      <c r="A38" s="8">
        <v>45399</v>
      </c>
      <c r="B38" t="s">
        <v>334</v>
      </c>
      <c r="C38" t="s">
        <v>10</v>
      </c>
      <c r="D38" s="1">
        <v>372755</v>
      </c>
      <c r="E38" s="1">
        <v>128348</v>
      </c>
      <c r="F38" s="2">
        <v>0.344322678434897</v>
      </c>
      <c r="G38" s="1">
        <v>1153</v>
      </c>
      <c r="H38" s="2">
        <v>8.9833889113971402E-3</v>
      </c>
      <c r="I38" s="9">
        <v>3.0931845313946198E-3</v>
      </c>
    </row>
    <row r="39" spans="1:9" x14ac:dyDescent="0.35">
      <c r="A39" s="8">
        <v>45399</v>
      </c>
      <c r="B39" t="s">
        <v>334</v>
      </c>
      <c r="C39" t="s">
        <v>11</v>
      </c>
      <c r="D39" s="1">
        <v>20454</v>
      </c>
      <c r="E39" s="1">
        <v>6435</v>
      </c>
      <c r="F39" s="2">
        <v>0.314608389557055</v>
      </c>
      <c r="G39" s="1">
        <v>71</v>
      </c>
      <c r="H39" s="2">
        <v>1.1033411033411E-2</v>
      </c>
      <c r="I39" s="9">
        <v>3.47120367654249E-3</v>
      </c>
    </row>
    <row r="40" spans="1:9" x14ac:dyDescent="0.35">
      <c r="A40" s="8">
        <v>45400</v>
      </c>
      <c r="B40" t="s">
        <v>341</v>
      </c>
      <c r="C40" t="s">
        <v>10</v>
      </c>
      <c r="D40" s="1">
        <v>89421</v>
      </c>
      <c r="E40" s="1">
        <v>34515</v>
      </c>
      <c r="F40" s="2">
        <v>0.38598315831851598</v>
      </c>
      <c r="G40" s="1">
        <v>616</v>
      </c>
      <c r="H40" s="2">
        <v>1.7847312762567E-2</v>
      </c>
      <c r="I40" s="9">
        <v>6.8887621475939697E-3</v>
      </c>
    </row>
    <row r="41" spans="1:9" ht="15" thickBot="1" x14ac:dyDescent="0.4">
      <c r="A41" s="12" t="s">
        <v>35</v>
      </c>
      <c r="B41" s="4"/>
      <c r="C41" s="4"/>
      <c r="D41" s="13">
        <f>SUM(D34:D40)</f>
        <v>3784292</v>
      </c>
      <c r="E41" s="13">
        <f>SUM(E34:E40)</f>
        <v>1354306</v>
      </c>
      <c r="F41" s="14">
        <f>AVERAGE(F34:F40)</f>
        <v>0.39243715203922896</v>
      </c>
      <c r="G41" s="13">
        <f>SUM(G34:G40)</f>
        <v>30173</v>
      </c>
      <c r="H41" s="14">
        <f>AVERAGE(H34:H40)</f>
        <v>3.7190853773473871E-2</v>
      </c>
      <c r="I41" s="15">
        <f>AVERAGE(I34:I40)</f>
        <v>1.6253164831284295E-2</v>
      </c>
    </row>
    <row r="42" spans="1:9" ht="3" customHeight="1" thickBot="1" x14ac:dyDescent="0.4">
      <c r="A42" s="139"/>
      <c r="B42" s="138"/>
      <c r="C42" s="138"/>
      <c r="D42" s="138"/>
      <c r="E42" s="138"/>
      <c r="F42" s="138"/>
      <c r="G42" s="138"/>
      <c r="H42" s="138"/>
      <c r="I42" s="140"/>
    </row>
    <row r="43" spans="1:9" x14ac:dyDescent="0.35">
      <c r="A43" s="16" t="s">
        <v>38</v>
      </c>
      <c r="B43" s="17"/>
      <c r="C43" s="17"/>
      <c r="D43" s="17"/>
      <c r="E43" s="17"/>
      <c r="F43" s="17"/>
      <c r="G43" s="17"/>
      <c r="H43" s="17"/>
      <c r="I43" s="18"/>
    </row>
    <row r="44" spans="1:9" x14ac:dyDescent="0.35">
      <c r="A44" s="8">
        <v>45400</v>
      </c>
      <c r="B44" t="s">
        <v>335</v>
      </c>
      <c r="C44" t="s">
        <v>253</v>
      </c>
      <c r="D44" s="1">
        <v>281060</v>
      </c>
      <c r="E44" s="1">
        <v>91217</v>
      </c>
      <c r="F44" s="3">
        <v>0.32450000000000001</v>
      </c>
      <c r="G44">
        <v>945</v>
      </c>
      <c r="H44" s="3">
        <v>1.04E-2</v>
      </c>
      <c r="I44" s="11">
        <v>3.3999999999999998E-3</v>
      </c>
    </row>
    <row r="45" spans="1:9" x14ac:dyDescent="0.35">
      <c r="A45" s="8">
        <v>45400</v>
      </c>
      <c r="B45" t="s">
        <v>336</v>
      </c>
      <c r="C45" t="s">
        <v>255</v>
      </c>
      <c r="D45" s="1">
        <v>13912</v>
      </c>
      <c r="E45" s="1">
        <v>4205</v>
      </c>
      <c r="F45" s="3">
        <v>0.30230000000000001</v>
      </c>
      <c r="G45">
        <v>64</v>
      </c>
      <c r="H45" s="3">
        <v>1.52E-2</v>
      </c>
      <c r="I45" s="11">
        <v>4.5999999999999999E-3</v>
      </c>
    </row>
    <row r="46" spans="1:9" x14ac:dyDescent="0.35">
      <c r="A46" s="8">
        <v>45400</v>
      </c>
      <c r="B46" t="s">
        <v>337</v>
      </c>
      <c r="C46" t="s">
        <v>234</v>
      </c>
      <c r="D46" s="1">
        <v>560179</v>
      </c>
      <c r="E46" s="1">
        <v>194522</v>
      </c>
      <c r="F46" s="3">
        <v>0.34720000000000001</v>
      </c>
      <c r="G46" s="1">
        <v>1138</v>
      </c>
      <c r="H46" s="3">
        <v>5.8999999999999999E-3</v>
      </c>
      <c r="I46" s="11">
        <v>2E-3</v>
      </c>
    </row>
    <row r="47" spans="1:9" x14ac:dyDescent="0.35">
      <c r="A47" s="8">
        <v>45400</v>
      </c>
      <c r="B47" t="s">
        <v>338</v>
      </c>
      <c r="C47" t="s">
        <v>235</v>
      </c>
      <c r="D47" s="1">
        <v>19311</v>
      </c>
      <c r="E47" s="1">
        <v>5978</v>
      </c>
      <c r="F47" s="3">
        <v>0.30959999999999999</v>
      </c>
      <c r="G47">
        <v>60</v>
      </c>
      <c r="H47" s="3">
        <v>0.01</v>
      </c>
      <c r="I47" s="11">
        <v>3.0999999999999999E-3</v>
      </c>
    </row>
    <row r="48" spans="1:9" x14ac:dyDescent="0.35">
      <c r="A48" s="8">
        <v>45400</v>
      </c>
      <c r="B48" t="s">
        <v>339</v>
      </c>
      <c r="C48" t="s">
        <v>325</v>
      </c>
      <c r="D48" s="1">
        <v>298950</v>
      </c>
      <c r="E48" s="1">
        <v>107740</v>
      </c>
      <c r="F48" s="3">
        <v>0.3604</v>
      </c>
      <c r="G48" s="1">
        <v>1346</v>
      </c>
      <c r="H48" s="3">
        <v>1.2500000000000001E-2</v>
      </c>
      <c r="I48" s="11">
        <v>4.4999999999999997E-3</v>
      </c>
    </row>
    <row r="49" spans="1:9" x14ac:dyDescent="0.35">
      <c r="A49" s="8">
        <v>45400</v>
      </c>
      <c r="B49" t="s">
        <v>340</v>
      </c>
      <c r="C49" t="s">
        <v>327</v>
      </c>
      <c r="D49" s="1">
        <v>15477</v>
      </c>
      <c r="E49" s="1">
        <v>5713</v>
      </c>
      <c r="F49" s="3">
        <v>0.36909999999999998</v>
      </c>
      <c r="G49">
        <v>116</v>
      </c>
      <c r="H49" s="3">
        <v>2.0299999999999999E-2</v>
      </c>
      <c r="I49" s="11">
        <v>7.4999999999999997E-3</v>
      </c>
    </row>
    <row r="50" spans="1:9" ht="15" thickBot="1" x14ac:dyDescent="0.4">
      <c r="A50" s="12" t="s">
        <v>35</v>
      </c>
      <c r="B50" s="4"/>
      <c r="C50" s="4"/>
      <c r="D50" s="13">
        <f>SUM(D44:D49)</f>
        <v>1188889</v>
      </c>
      <c r="E50" s="13">
        <f>SUM(E44:E49)</f>
        <v>409375</v>
      </c>
      <c r="F50" s="14">
        <f>AVERAGE(F44:F49)</f>
        <v>0.33551666666666663</v>
      </c>
      <c r="G50" s="13">
        <f>SUM(G44:G49)</f>
        <v>3669</v>
      </c>
      <c r="H50" s="14">
        <f>AVERAGE(H44:H49)</f>
        <v>1.2383333333333335E-2</v>
      </c>
      <c r="I50" s="15">
        <f>AVERAGE(I44:I49)</f>
        <v>4.1833333333333332E-3</v>
      </c>
    </row>
  </sheetData>
  <mergeCells count="3">
    <mergeCell ref="A22:I22"/>
    <mergeCell ref="A32:I32"/>
    <mergeCell ref="A42:I42"/>
  </mergeCells>
  <pageMargins left="0.7" right="0.7" top="0.75" bottom="0.75" header="0.3" footer="0.3"/>
  <ignoredErrors>
    <ignoredError sqref="F21:G21 F31:G31 F41:G41 F50" formula="1"/>
  </ignoredErrors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1FB1-C6AB-40FD-88B5-1AC07E83662B}">
  <dimension ref="A1:I56"/>
  <sheetViews>
    <sheetView workbookViewId="0">
      <selection activeCell="K17" sqref="K17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45401</v>
      </c>
      <c r="B2" t="s">
        <v>342</v>
      </c>
      <c r="C2" t="s">
        <v>10</v>
      </c>
      <c r="D2" s="1">
        <v>528500</v>
      </c>
      <c r="E2" s="1">
        <v>237176</v>
      </c>
      <c r="F2" s="2">
        <v>0.44877199621570502</v>
      </c>
      <c r="G2" s="1">
        <v>2717</v>
      </c>
      <c r="H2" s="2">
        <v>1.1455627888150599E-2</v>
      </c>
      <c r="I2" s="2">
        <v>5.1409649952696302E-3</v>
      </c>
    </row>
    <row r="3" spans="1:9" x14ac:dyDescent="0.35">
      <c r="A3" s="19">
        <v>45401</v>
      </c>
      <c r="B3" t="s">
        <v>342</v>
      </c>
      <c r="C3" t="s">
        <v>11</v>
      </c>
      <c r="D3" s="1">
        <v>30453</v>
      </c>
      <c r="E3" s="1">
        <v>10109</v>
      </c>
      <c r="F3" s="2">
        <v>0.33195415886776303</v>
      </c>
      <c r="G3" s="1">
        <v>150</v>
      </c>
      <c r="H3" s="2">
        <v>1.48382629340192E-2</v>
      </c>
      <c r="I3" s="2">
        <v>4.9256230913210502E-3</v>
      </c>
    </row>
    <row r="4" spans="1:9" x14ac:dyDescent="0.35">
      <c r="A4" s="19">
        <v>45401</v>
      </c>
      <c r="B4" t="s">
        <v>343</v>
      </c>
      <c r="C4" t="s">
        <v>10</v>
      </c>
      <c r="D4" s="1">
        <v>406090</v>
      </c>
      <c r="E4" s="1">
        <v>146775</v>
      </c>
      <c r="F4" s="2">
        <v>0.361434657341969</v>
      </c>
      <c r="G4" s="1">
        <v>2793</v>
      </c>
      <c r="H4" s="2">
        <v>1.90291262135922E-2</v>
      </c>
      <c r="I4" s="2">
        <v>6.8777857125267797E-3</v>
      </c>
    </row>
    <row r="5" spans="1:9" x14ac:dyDescent="0.35">
      <c r="A5" s="19">
        <v>45401</v>
      </c>
      <c r="B5" t="s">
        <v>344</v>
      </c>
      <c r="C5" t="s">
        <v>10</v>
      </c>
      <c r="D5" s="1">
        <v>4826551</v>
      </c>
      <c r="E5" s="1">
        <v>1607783</v>
      </c>
      <c r="F5" s="2">
        <v>0.33311219543727999</v>
      </c>
      <c r="G5" s="1">
        <v>20379</v>
      </c>
      <c r="H5" s="2">
        <v>1.26752179865069E-2</v>
      </c>
      <c r="I5" s="2">
        <v>4.2222696911314098E-3</v>
      </c>
    </row>
    <row r="6" spans="1:9" x14ac:dyDescent="0.35">
      <c r="A6" s="19">
        <v>45401</v>
      </c>
      <c r="B6" t="s">
        <v>344</v>
      </c>
      <c r="C6" t="s">
        <v>11</v>
      </c>
      <c r="D6" s="1">
        <v>309045</v>
      </c>
      <c r="E6" s="1">
        <v>94268</v>
      </c>
      <c r="F6" s="2">
        <v>0.30503001181057798</v>
      </c>
      <c r="G6" s="1">
        <v>1800</v>
      </c>
      <c r="H6" s="2">
        <v>1.9094496541774499E-2</v>
      </c>
      <c r="I6" s="2">
        <v>5.8243945056545201E-3</v>
      </c>
    </row>
    <row r="7" spans="1:9" x14ac:dyDescent="0.35">
      <c r="A7" s="19">
        <v>45402</v>
      </c>
      <c r="B7" t="s">
        <v>345</v>
      </c>
      <c r="C7" t="s">
        <v>10</v>
      </c>
      <c r="D7" s="1">
        <v>1224567</v>
      </c>
      <c r="E7" s="1">
        <v>379741</v>
      </c>
      <c r="F7" s="2">
        <v>0.31010226471887598</v>
      </c>
      <c r="G7" s="1">
        <v>9700</v>
      </c>
      <c r="H7" s="2">
        <v>2.5543725855253999E-2</v>
      </c>
      <c r="I7" s="2">
        <v>7.9211672370723702E-3</v>
      </c>
    </row>
    <row r="8" spans="1:9" x14ac:dyDescent="0.35">
      <c r="A8" s="19">
        <v>45402</v>
      </c>
      <c r="B8" t="s">
        <v>345</v>
      </c>
      <c r="C8" t="s">
        <v>11</v>
      </c>
      <c r="D8" s="1">
        <v>91878</v>
      </c>
      <c r="E8" s="1">
        <v>24834</v>
      </c>
      <c r="F8" s="2">
        <v>0.27029321491543101</v>
      </c>
      <c r="G8" s="1">
        <v>833</v>
      </c>
      <c r="H8" s="2">
        <v>3.3542723685270198E-2</v>
      </c>
      <c r="I8" s="2">
        <v>9.0663706219116704E-3</v>
      </c>
    </row>
    <row r="9" spans="1:9" x14ac:dyDescent="0.35">
      <c r="A9" s="19">
        <v>45404</v>
      </c>
      <c r="B9" t="s">
        <v>346</v>
      </c>
      <c r="C9" t="s">
        <v>10</v>
      </c>
      <c r="D9" s="1">
        <v>10774</v>
      </c>
      <c r="E9" s="1">
        <v>4682</v>
      </c>
      <c r="F9" s="2">
        <v>0.43456469277891202</v>
      </c>
      <c r="G9" s="1">
        <v>505</v>
      </c>
      <c r="H9" s="2">
        <v>0.107859888936352</v>
      </c>
      <c r="I9" s="2">
        <v>4.6872099498793403E-2</v>
      </c>
    </row>
    <row r="10" spans="1:9" ht="13.4" customHeight="1" x14ac:dyDescent="0.35">
      <c r="A10" s="19">
        <v>45405</v>
      </c>
      <c r="B10" t="s">
        <v>347</v>
      </c>
      <c r="C10" t="s">
        <v>10</v>
      </c>
      <c r="D10" s="1">
        <v>1343896</v>
      </c>
      <c r="E10" s="1">
        <v>491885</v>
      </c>
      <c r="F10" s="2">
        <v>0.36601418562150601</v>
      </c>
      <c r="G10" s="1">
        <v>7174</v>
      </c>
      <c r="H10" s="2">
        <v>1.4584709840714799E-2</v>
      </c>
      <c r="I10" s="2">
        <v>5.3382106948752003E-3</v>
      </c>
    </row>
    <row r="11" spans="1:9" x14ac:dyDescent="0.35">
      <c r="A11" s="19">
        <v>45405</v>
      </c>
      <c r="B11" t="s">
        <v>347</v>
      </c>
      <c r="C11" t="s">
        <v>11</v>
      </c>
      <c r="D11" s="1">
        <v>95555</v>
      </c>
      <c r="E11" s="1">
        <v>33830</v>
      </c>
      <c r="F11" s="2">
        <v>0.354036942075245</v>
      </c>
      <c r="G11" s="1">
        <v>770</v>
      </c>
      <c r="H11" s="2">
        <v>2.2760863139225498E-2</v>
      </c>
      <c r="I11" s="2">
        <v>8.0581863848045599E-3</v>
      </c>
    </row>
    <row r="12" spans="1:9" x14ac:dyDescent="0.35">
      <c r="A12" s="19">
        <v>45406</v>
      </c>
      <c r="B12" t="s">
        <v>348</v>
      </c>
      <c r="C12" t="s">
        <v>10</v>
      </c>
      <c r="D12" s="1">
        <v>140709</v>
      </c>
      <c r="E12" s="1">
        <v>51252</v>
      </c>
      <c r="F12" s="2">
        <v>0.364241093320257</v>
      </c>
      <c r="G12" s="1">
        <v>1323</v>
      </c>
      <c r="H12" s="2">
        <v>2.5813626785296199E-2</v>
      </c>
      <c r="I12" s="2">
        <v>9.4023836428373392E-3</v>
      </c>
    </row>
    <row r="13" spans="1:9" x14ac:dyDescent="0.35">
      <c r="A13" s="19">
        <v>45406</v>
      </c>
      <c r="B13" t="s">
        <v>349</v>
      </c>
      <c r="C13" t="s">
        <v>10</v>
      </c>
      <c r="D13" s="1">
        <v>158461</v>
      </c>
      <c r="E13" s="1">
        <v>53479</v>
      </c>
      <c r="F13" s="2">
        <v>0.33748998176207401</v>
      </c>
      <c r="G13" s="1">
        <v>665</v>
      </c>
      <c r="H13" s="2">
        <v>1.2434787486677E-2</v>
      </c>
      <c r="I13" s="2">
        <v>4.1966162020938896E-3</v>
      </c>
    </row>
    <row r="14" spans="1:9" x14ac:dyDescent="0.35">
      <c r="A14" s="19">
        <v>45406</v>
      </c>
      <c r="B14" t="s">
        <v>349</v>
      </c>
      <c r="C14" t="s">
        <v>11</v>
      </c>
      <c r="D14" s="1">
        <v>10763</v>
      </c>
      <c r="E14" s="1">
        <v>4568</v>
      </c>
      <c r="F14" s="2">
        <v>0.424416984112236</v>
      </c>
      <c r="G14" s="1">
        <v>113</v>
      </c>
      <c r="H14" s="2">
        <v>2.4737302977232901E-2</v>
      </c>
      <c r="I14" s="2">
        <v>1.04989315246678E-2</v>
      </c>
    </row>
    <row r="15" spans="1:9" x14ac:dyDescent="0.35">
      <c r="A15" s="19">
        <v>45406</v>
      </c>
      <c r="B15" t="s">
        <v>350</v>
      </c>
      <c r="C15" t="s">
        <v>10</v>
      </c>
      <c r="D15" s="1">
        <v>321506</v>
      </c>
      <c r="E15" s="1">
        <v>118132</v>
      </c>
      <c r="F15" s="2">
        <v>0.36743326718630398</v>
      </c>
      <c r="G15" s="1">
        <v>1159</v>
      </c>
      <c r="H15" s="2">
        <v>9.8110588155622507E-3</v>
      </c>
      <c r="I15" s="2">
        <v>3.60490939515903E-3</v>
      </c>
    </row>
    <row r="16" spans="1:9" x14ac:dyDescent="0.35">
      <c r="A16" s="19">
        <v>45406</v>
      </c>
      <c r="B16" t="s">
        <v>350</v>
      </c>
      <c r="C16" t="s">
        <v>11</v>
      </c>
      <c r="D16" s="1">
        <v>20851</v>
      </c>
      <c r="E16" s="1">
        <v>7025</v>
      </c>
      <c r="F16" s="2">
        <v>0.33691429667641798</v>
      </c>
      <c r="G16" s="1">
        <v>79</v>
      </c>
      <c r="H16" s="2">
        <v>1.1245551601423501E-2</v>
      </c>
      <c r="I16" s="2">
        <v>3.78878710853196E-3</v>
      </c>
    </row>
    <row r="17" spans="1:9" x14ac:dyDescent="0.35">
      <c r="A17" s="19">
        <v>45406</v>
      </c>
      <c r="B17" t="s">
        <v>351</v>
      </c>
      <c r="C17" t="s">
        <v>10</v>
      </c>
      <c r="D17" s="1">
        <v>118343</v>
      </c>
      <c r="E17" s="1">
        <v>48120</v>
      </c>
      <c r="F17" s="2">
        <v>0.406614670914207</v>
      </c>
      <c r="G17" s="1">
        <v>377</v>
      </c>
      <c r="H17" s="2">
        <v>7.8345802161263502E-3</v>
      </c>
      <c r="I17" s="2">
        <v>3.1856552563311702E-3</v>
      </c>
    </row>
    <row r="18" spans="1:9" x14ac:dyDescent="0.35">
      <c r="A18" s="19">
        <v>45407</v>
      </c>
      <c r="B18" t="s">
        <v>337</v>
      </c>
      <c r="C18" t="s">
        <v>352</v>
      </c>
      <c r="D18" s="1">
        <v>557411</v>
      </c>
      <c r="E18" s="1">
        <v>192364</v>
      </c>
      <c r="F18" s="3">
        <v>0.34510000000000002</v>
      </c>
      <c r="G18" s="1">
        <v>1288</v>
      </c>
      <c r="H18" s="3">
        <v>6.7000000000000002E-3</v>
      </c>
      <c r="I18" s="3">
        <v>2.3E-3</v>
      </c>
    </row>
    <row r="19" spans="1:9" x14ac:dyDescent="0.35">
      <c r="A19" s="19">
        <v>45407</v>
      </c>
      <c r="B19" t="s">
        <v>338</v>
      </c>
      <c r="C19" t="s">
        <v>353</v>
      </c>
      <c r="D19" s="1">
        <v>19249</v>
      </c>
      <c r="E19" s="1">
        <v>5957</v>
      </c>
      <c r="F19" s="3">
        <v>0.3095</v>
      </c>
      <c r="G19">
        <v>73</v>
      </c>
      <c r="H19" s="3">
        <v>1.23E-2</v>
      </c>
      <c r="I19" s="3">
        <v>3.8E-3</v>
      </c>
    </row>
    <row r="20" spans="1:9" x14ac:dyDescent="0.35">
      <c r="A20" s="19">
        <v>45407</v>
      </c>
      <c r="B20" t="s">
        <v>339</v>
      </c>
      <c r="C20" t="s">
        <v>234</v>
      </c>
      <c r="D20" s="1">
        <v>256910</v>
      </c>
      <c r="E20" s="1">
        <v>89059</v>
      </c>
      <c r="F20" s="3">
        <v>0.34670000000000001</v>
      </c>
      <c r="G20">
        <v>954</v>
      </c>
      <c r="H20" s="3">
        <v>1.0699999999999999E-2</v>
      </c>
      <c r="I20" s="3">
        <v>3.7000000000000002E-3</v>
      </c>
    </row>
    <row r="21" spans="1:9" x14ac:dyDescent="0.35">
      <c r="A21" s="19">
        <v>45407</v>
      </c>
      <c r="B21" t="s">
        <v>340</v>
      </c>
      <c r="C21" t="s">
        <v>235</v>
      </c>
      <c r="D21" s="1">
        <v>13894</v>
      </c>
      <c r="E21" s="1">
        <v>4998</v>
      </c>
      <c r="F21" s="3">
        <v>0.35970000000000002</v>
      </c>
      <c r="G21">
        <v>61</v>
      </c>
      <c r="H21" s="3">
        <v>1.2200000000000001E-2</v>
      </c>
      <c r="I21" s="3">
        <v>4.4000000000000003E-3</v>
      </c>
    </row>
    <row r="22" spans="1:9" x14ac:dyDescent="0.35">
      <c r="A22" s="19">
        <v>45407</v>
      </c>
      <c r="B22" t="s">
        <v>354</v>
      </c>
      <c r="C22" t="s">
        <v>355</v>
      </c>
      <c r="D22" s="1">
        <v>822070</v>
      </c>
      <c r="E22" s="1">
        <v>286334</v>
      </c>
      <c r="F22" s="2">
        <v>0.34830853820234298</v>
      </c>
      <c r="G22" s="1">
        <v>7297</v>
      </c>
      <c r="H22" s="2">
        <v>2.5484224716589701E-2</v>
      </c>
      <c r="I22" s="2">
        <v>8.8763730582553796E-3</v>
      </c>
    </row>
    <row r="23" spans="1:9" x14ac:dyDescent="0.35">
      <c r="A23" s="19">
        <v>45407</v>
      </c>
      <c r="B23" t="s">
        <v>354</v>
      </c>
      <c r="C23" t="s">
        <v>356</v>
      </c>
      <c r="D23" s="1">
        <v>45887</v>
      </c>
      <c r="E23" s="1">
        <v>16199</v>
      </c>
      <c r="F23" s="2">
        <v>0.35301937367882003</v>
      </c>
      <c r="G23" s="1">
        <v>945</v>
      </c>
      <c r="H23" s="2">
        <v>5.8336934378665301E-2</v>
      </c>
      <c r="I23" s="2">
        <v>2.05940680366988E-2</v>
      </c>
    </row>
    <row r="24" spans="1:9" ht="15" thickBot="1" x14ac:dyDescent="0.4">
      <c r="A24" s="20" t="s">
        <v>35</v>
      </c>
      <c r="D24" s="10">
        <f>SUM(D2:D23)</f>
        <v>11353363</v>
      </c>
      <c r="E24" s="10">
        <f>SUM(E2:E23)</f>
        <v>3908570</v>
      </c>
      <c r="F24" s="27">
        <f>AVERAGE(F2:F23)</f>
        <v>0.35521602389254209</v>
      </c>
      <c r="G24" s="10">
        <f>SUM(G2:G23)</f>
        <v>61155</v>
      </c>
      <c r="H24" s="27">
        <f>AVERAGE(H2:H23)</f>
        <v>2.2681032272656044E-2</v>
      </c>
      <c r="I24" s="27">
        <f>AVERAGE(I2:I23)</f>
        <v>8.2997634844516315E-3</v>
      </c>
    </row>
    <row r="25" spans="1:9" ht="15" thickBot="1" x14ac:dyDescent="0.4">
      <c r="A25" s="138" t="s">
        <v>302</v>
      </c>
      <c r="B25" s="138"/>
      <c r="C25" s="138"/>
      <c r="D25" s="138"/>
      <c r="E25" s="138"/>
      <c r="F25" s="138"/>
      <c r="G25" s="138"/>
      <c r="H25" s="138"/>
      <c r="I25" s="138"/>
    </row>
    <row r="26" spans="1:9" x14ac:dyDescent="0.35">
      <c r="A26" s="24" t="s">
        <v>0</v>
      </c>
      <c r="B26" s="25" t="s">
        <v>1</v>
      </c>
      <c r="C26" s="25" t="s">
        <v>2</v>
      </c>
      <c r="D26" s="25" t="s">
        <v>3</v>
      </c>
      <c r="E26" s="25" t="s">
        <v>4</v>
      </c>
      <c r="F26" s="25" t="s">
        <v>5</v>
      </c>
      <c r="G26" s="25" t="s">
        <v>6</v>
      </c>
      <c r="H26" s="25" t="s">
        <v>7</v>
      </c>
      <c r="I26" s="26" t="s">
        <v>8</v>
      </c>
    </row>
    <row r="27" spans="1:9" x14ac:dyDescent="0.35">
      <c r="A27" s="5" t="s">
        <v>36</v>
      </c>
      <c r="B27" s="6"/>
      <c r="C27" s="6"/>
      <c r="D27" s="6"/>
      <c r="E27" s="6"/>
      <c r="F27" s="6"/>
      <c r="G27" s="6"/>
      <c r="H27" s="6"/>
      <c r="I27" s="7"/>
    </row>
    <row r="28" spans="1:9" x14ac:dyDescent="0.35">
      <c r="A28" s="8">
        <v>45401</v>
      </c>
      <c r="B28" t="s">
        <v>343</v>
      </c>
      <c r="C28" t="s">
        <v>10</v>
      </c>
      <c r="D28" s="1">
        <v>406090</v>
      </c>
      <c r="E28" s="1">
        <v>146775</v>
      </c>
      <c r="F28" s="2">
        <v>0.361434657341969</v>
      </c>
      <c r="G28" s="1">
        <v>2793</v>
      </c>
      <c r="H28" s="2">
        <v>1.90291262135922E-2</v>
      </c>
      <c r="I28" s="9">
        <v>6.8777857125267797E-3</v>
      </c>
    </row>
    <row r="29" spans="1:9" x14ac:dyDescent="0.35">
      <c r="A29" s="8">
        <v>45401</v>
      </c>
      <c r="B29" t="s">
        <v>344</v>
      </c>
      <c r="C29" t="s">
        <v>10</v>
      </c>
      <c r="D29" s="1">
        <v>4826551</v>
      </c>
      <c r="E29" s="1">
        <v>1607783</v>
      </c>
      <c r="F29" s="2">
        <v>0.33311219543727999</v>
      </c>
      <c r="G29" s="1">
        <v>20379</v>
      </c>
      <c r="H29" s="2">
        <v>1.26752179865069E-2</v>
      </c>
      <c r="I29" s="9">
        <v>4.2222696911314098E-3</v>
      </c>
    </row>
    <row r="30" spans="1:9" x14ac:dyDescent="0.35">
      <c r="A30" s="8">
        <v>45401</v>
      </c>
      <c r="B30" t="s">
        <v>344</v>
      </c>
      <c r="C30" t="s">
        <v>11</v>
      </c>
      <c r="D30" s="1">
        <v>309045</v>
      </c>
      <c r="E30" s="1">
        <v>94268</v>
      </c>
      <c r="F30" s="2">
        <v>0.30503001181057798</v>
      </c>
      <c r="G30" s="1">
        <v>1800</v>
      </c>
      <c r="H30" s="2">
        <v>1.9094496541774499E-2</v>
      </c>
      <c r="I30" s="9">
        <v>5.8243945056545201E-3</v>
      </c>
    </row>
    <row r="31" spans="1:9" ht="13.4" customHeight="1" x14ac:dyDescent="0.35">
      <c r="A31" s="8">
        <v>45405</v>
      </c>
      <c r="B31" t="s">
        <v>347</v>
      </c>
      <c r="C31" t="s">
        <v>10</v>
      </c>
      <c r="D31" s="1">
        <v>1343896</v>
      </c>
      <c r="E31" s="1">
        <v>491885</v>
      </c>
      <c r="F31" s="2">
        <v>0.36601418562150601</v>
      </c>
      <c r="G31" s="1">
        <v>7174</v>
      </c>
      <c r="H31" s="2">
        <v>1.4584709840714799E-2</v>
      </c>
      <c r="I31" s="9">
        <v>5.3382106948752003E-3</v>
      </c>
    </row>
    <row r="32" spans="1:9" x14ac:dyDescent="0.35">
      <c r="A32" s="8">
        <v>45405</v>
      </c>
      <c r="B32" t="s">
        <v>347</v>
      </c>
      <c r="C32" t="s">
        <v>11</v>
      </c>
      <c r="D32" s="1">
        <v>95555</v>
      </c>
      <c r="E32" s="1">
        <v>33830</v>
      </c>
      <c r="F32" s="2">
        <v>0.354036942075245</v>
      </c>
      <c r="G32" s="1">
        <v>770</v>
      </c>
      <c r="H32" s="2">
        <v>2.2760863139225498E-2</v>
      </c>
      <c r="I32" s="9">
        <v>8.0581863848045599E-3</v>
      </c>
    </row>
    <row r="33" spans="1:9" ht="15" thickBot="1" x14ac:dyDescent="0.4">
      <c r="A33" s="12" t="s">
        <v>35</v>
      </c>
      <c r="B33" s="4"/>
      <c r="C33" s="4"/>
      <c r="D33" s="13">
        <f>SUM(D28:D32)</f>
        <v>6981137</v>
      </c>
      <c r="E33" s="13">
        <f>SUM(E28:E32)</f>
        <v>2374541</v>
      </c>
      <c r="F33" s="14">
        <f>AVERAGE(F28:F32)</f>
        <v>0.34392559845731563</v>
      </c>
      <c r="G33" s="13">
        <f>SUM(G28:G32)</f>
        <v>32916</v>
      </c>
      <c r="H33" s="14">
        <f>AVERAGE(H28:H32)</f>
        <v>1.7628882744362782E-2</v>
      </c>
      <c r="I33" s="15">
        <f>AVERAGE(I28:I32)</f>
        <v>6.0641693977984941E-3</v>
      </c>
    </row>
    <row r="34" spans="1:9" ht="3" customHeight="1" thickBot="1" x14ac:dyDescent="0.4">
      <c r="A34" s="139"/>
      <c r="B34" s="138"/>
      <c r="C34" s="138"/>
      <c r="D34" s="138"/>
      <c r="E34" s="138"/>
      <c r="F34" s="138"/>
      <c r="G34" s="138"/>
      <c r="H34" s="138"/>
      <c r="I34" s="140"/>
    </row>
    <row r="35" spans="1:9" x14ac:dyDescent="0.35">
      <c r="A35" s="16" t="s">
        <v>37</v>
      </c>
      <c r="B35" s="17"/>
      <c r="C35" s="17"/>
      <c r="D35" s="17"/>
      <c r="E35" s="17"/>
      <c r="F35" s="17"/>
      <c r="G35" s="17"/>
      <c r="H35" s="17"/>
      <c r="I35" s="18"/>
    </row>
    <row r="36" spans="1:9" x14ac:dyDescent="0.35">
      <c r="A36" s="8">
        <v>45401</v>
      </c>
      <c r="B36" t="s">
        <v>342</v>
      </c>
      <c r="C36" t="s">
        <v>10</v>
      </c>
      <c r="D36" s="1">
        <v>528500</v>
      </c>
      <c r="E36" s="1">
        <v>237176</v>
      </c>
      <c r="F36" s="2">
        <v>0.44877199621570502</v>
      </c>
      <c r="G36" s="1">
        <v>2717</v>
      </c>
      <c r="H36" s="2">
        <v>1.1455627888150599E-2</v>
      </c>
      <c r="I36" s="9">
        <v>5.1409649952696302E-3</v>
      </c>
    </row>
    <row r="37" spans="1:9" x14ac:dyDescent="0.35">
      <c r="A37" s="8">
        <v>45401</v>
      </c>
      <c r="B37" t="s">
        <v>342</v>
      </c>
      <c r="C37" t="s">
        <v>11</v>
      </c>
      <c r="D37" s="1">
        <v>30453</v>
      </c>
      <c r="E37" s="1">
        <v>10109</v>
      </c>
      <c r="F37" s="2">
        <v>0.33195415886776303</v>
      </c>
      <c r="G37" s="1">
        <v>150</v>
      </c>
      <c r="H37" s="2">
        <v>1.48382629340192E-2</v>
      </c>
      <c r="I37" s="9">
        <v>4.9256230913210502E-3</v>
      </c>
    </row>
    <row r="38" spans="1:9" x14ac:dyDescent="0.35">
      <c r="A38" s="8">
        <v>45402</v>
      </c>
      <c r="B38" t="s">
        <v>345</v>
      </c>
      <c r="C38" t="s">
        <v>10</v>
      </c>
      <c r="D38" s="1">
        <v>1224567</v>
      </c>
      <c r="E38" s="1">
        <v>379741</v>
      </c>
      <c r="F38" s="2">
        <v>0.31010226471887598</v>
      </c>
      <c r="G38" s="1">
        <v>9700</v>
      </c>
      <c r="H38" s="2">
        <v>2.5543725855253999E-2</v>
      </c>
      <c r="I38" s="9">
        <v>7.9211672370723702E-3</v>
      </c>
    </row>
    <row r="39" spans="1:9" x14ac:dyDescent="0.35">
      <c r="A39" s="8">
        <v>45402</v>
      </c>
      <c r="B39" t="s">
        <v>345</v>
      </c>
      <c r="C39" t="s">
        <v>11</v>
      </c>
      <c r="D39" s="1">
        <v>91878</v>
      </c>
      <c r="E39" s="1">
        <v>24834</v>
      </c>
      <c r="F39" s="2">
        <v>0.27029321491543101</v>
      </c>
      <c r="G39" s="1">
        <v>833</v>
      </c>
      <c r="H39" s="2">
        <v>3.3542723685270198E-2</v>
      </c>
      <c r="I39" s="9">
        <v>9.0663706219116704E-3</v>
      </c>
    </row>
    <row r="40" spans="1:9" x14ac:dyDescent="0.35">
      <c r="A40" s="8">
        <v>45404</v>
      </c>
      <c r="B40" t="s">
        <v>346</v>
      </c>
      <c r="C40" t="s">
        <v>10</v>
      </c>
      <c r="D40" s="1">
        <v>10774</v>
      </c>
      <c r="E40" s="1">
        <v>4682</v>
      </c>
      <c r="F40" s="2">
        <v>0.43456469277891202</v>
      </c>
      <c r="G40" s="1">
        <v>505</v>
      </c>
      <c r="H40" s="2">
        <v>0.107859888936352</v>
      </c>
      <c r="I40" s="9">
        <v>4.6872099498793403E-2</v>
      </c>
    </row>
    <row r="41" spans="1:9" x14ac:dyDescent="0.35">
      <c r="A41" s="8">
        <v>45406</v>
      </c>
      <c r="B41" t="s">
        <v>348</v>
      </c>
      <c r="C41" t="s">
        <v>10</v>
      </c>
      <c r="D41" s="1">
        <v>140709</v>
      </c>
      <c r="E41" s="1">
        <v>51252</v>
      </c>
      <c r="F41" s="2">
        <v>0.364241093320257</v>
      </c>
      <c r="G41" s="1">
        <v>1323</v>
      </c>
      <c r="H41" s="2">
        <v>2.5813626785296199E-2</v>
      </c>
      <c r="I41" s="9">
        <v>9.4023836428373392E-3</v>
      </c>
    </row>
    <row r="42" spans="1:9" x14ac:dyDescent="0.35">
      <c r="A42" s="8">
        <v>45406</v>
      </c>
      <c r="B42" t="s">
        <v>349</v>
      </c>
      <c r="C42" t="s">
        <v>10</v>
      </c>
      <c r="D42" s="1">
        <v>158461</v>
      </c>
      <c r="E42" s="1">
        <v>53479</v>
      </c>
      <c r="F42" s="2">
        <v>0.33748998176207401</v>
      </c>
      <c r="G42" s="1">
        <v>665</v>
      </c>
      <c r="H42" s="2">
        <v>1.2434787486677E-2</v>
      </c>
      <c r="I42" s="9">
        <v>4.1966162020938896E-3</v>
      </c>
    </row>
    <row r="43" spans="1:9" x14ac:dyDescent="0.35">
      <c r="A43" s="8">
        <v>45406</v>
      </c>
      <c r="B43" t="s">
        <v>349</v>
      </c>
      <c r="C43" t="s">
        <v>11</v>
      </c>
      <c r="D43" s="1">
        <v>10763</v>
      </c>
      <c r="E43" s="1">
        <v>4568</v>
      </c>
      <c r="F43" s="2">
        <v>0.424416984112236</v>
      </c>
      <c r="G43" s="1">
        <v>113</v>
      </c>
      <c r="H43" s="2">
        <v>2.4737302977232901E-2</v>
      </c>
      <c r="I43" s="9">
        <v>1.04989315246678E-2</v>
      </c>
    </row>
    <row r="44" spans="1:9" x14ac:dyDescent="0.35">
      <c r="A44" s="8">
        <v>45406</v>
      </c>
      <c r="B44" t="s">
        <v>350</v>
      </c>
      <c r="C44" t="s">
        <v>10</v>
      </c>
      <c r="D44" s="1">
        <v>321506</v>
      </c>
      <c r="E44" s="1">
        <v>118132</v>
      </c>
      <c r="F44" s="2">
        <v>0.36743326718630398</v>
      </c>
      <c r="G44" s="1">
        <v>1159</v>
      </c>
      <c r="H44" s="2">
        <v>9.8110588155622507E-3</v>
      </c>
      <c r="I44" s="9">
        <v>3.60490939515903E-3</v>
      </c>
    </row>
    <row r="45" spans="1:9" x14ac:dyDescent="0.35">
      <c r="A45" s="8">
        <v>45406</v>
      </c>
      <c r="B45" t="s">
        <v>350</v>
      </c>
      <c r="C45" t="s">
        <v>11</v>
      </c>
      <c r="D45" s="1">
        <v>20851</v>
      </c>
      <c r="E45" s="1">
        <v>7025</v>
      </c>
      <c r="F45" s="2">
        <v>0.33691429667641798</v>
      </c>
      <c r="G45" s="1">
        <v>79</v>
      </c>
      <c r="H45" s="2">
        <v>1.1245551601423501E-2</v>
      </c>
      <c r="I45" s="9">
        <v>3.78878710853196E-3</v>
      </c>
    </row>
    <row r="46" spans="1:9" x14ac:dyDescent="0.35">
      <c r="A46" s="8">
        <v>45406</v>
      </c>
      <c r="B46" t="s">
        <v>351</v>
      </c>
      <c r="C46" t="s">
        <v>10</v>
      </c>
      <c r="D46" s="1">
        <v>118343</v>
      </c>
      <c r="E46" s="1">
        <v>48120</v>
      </c>
      <c r="F46" s="2">
        <v>0.406614670914207</v>
      </c>
      <c r="G46" s="1">
        <v>377</v>
      </c>
      <c r="H46" s="2">
        <v>7.8345802161263502E-3</v>
      </c>
      <c r="I46" s="9">
        <v>3.1856552563311702E-3</v>
      </c>
    </row>
    <row r="47" spans="1:9" x14ac:dyDescent="0.35">
      <c r="A47" s="8">
        <v>45407</v>
      </c>
      <c r="B47" t="s">
        <v>354</v>
      </c>
      <c r="C47" t="s">
        <v>355</v>
      </c>
      <c r="D47" s="1">
        <v>822070</v>
      </c>
      <c r="E47" s="1">
        <v>286334</v>
      </c>
      <c r="F47" s="2">
        <v>0.34830853820234298</v>
      </c>
      <c r="G47" s="1">
        <v>7297</v>
      </c>
      <c r="H47" s="2">
        <v>2.5484224716589701E-2</v>
      </c>
      <c r="I47" s="9">
        <v>8.8763730582553796E-3</v>
      </c>
    </row>
    <row r="48" spans="1:9" x14ac:dyDescent="0.35">
      <c r="A48" s="8">
        <v>45407</v>
      </c>
      <c r="B48" t="s">
        <v>354</v>
      </c>
      <c r="C48" t="s">
        <v>356</v>
      </c>
      <c r="D48" s="1">
        <v>45887</v>
      </c>
      <c r="E48" s="1">
        <v>16199</v>
      </c>
      <c r="F48" s="2">
        <v>0.35301937367882003</v>
      </c>
      <c r="G48" s="1">
        <v>945</v>
      </c>
      <c r="H48" s="2">
        <v>5.8336934378665301E-2</v>
      </c>
      <c r="I48" s="9">
        <v>2.05940680366988E-2</v>
      </c>
    </row>
    <row r="49" spans="1:9" ht="15" thickBot="1" x14ac:dyDescent="0.4">
      <c r="A49" s="12" t="s">
        <v>35</v>
      </c>
      <c r="B49" s="4"/>
      <c r="C49" s="4"/>
      <c r="D49" s="13">
        <f>SUM(D36:D48)</f>
        <v>3524762</v>
      </c>
      <c r="E49" s="13">
        <f>SUM(E36:E48)</f>
        <v>1241651</v>
      </c>
      <c r="F49" s="14">
        <f>AVERAGE(F36:F48)</f>
        <v>0.36416342564225734</v>
      </c>
      <c r="G49" s="13">
        <f>SUM(G36:G48)</f>
        <v>25863</v>
      </c>
      <c r="H49" s="14">
        <f>AVERAGE(H36:H48)</f>
        <v>2.8379868944355326E-2</v>
      </c>
      <c r="I49" s="15">
        <f>AVERAGE(I36:I48)</f>
        <v>1.0621073051457191E-2</v>
      </c>
    </row>
    <row r="50" spans="1:9" ht="3" customHeight="1" thickBot="1" x14ac:dyDescent="0.4">
      <c r="A50" s="139"/>
      <c r="B50" s="138"/>
      <c r="C50" s="138"/>
      <c r="D50" s="138"/>
      <c r="E50" s="138"/>
      <c r="F50" s="138"/>
      <c r="G50" s="138"/>
      <c r="H50" s="138"/>
      <c r="I50" s="140"/>
    </row>
    <row r="51" spans="1:9" x14ac:dyDescent="0.35">
      <c r="A51" s="16" t="s">
        <v>38</v>
      </c>
      <c r="B51" s="17"/>
      <c r="C51" s="17"/>
      <c r="D51" s="17"/>
      <c r="E51" s="17"/>
      <c r="F51" s="17"/>
      <c r="G51" s="17"/>
      <c r="H51" s="17"/>
      <c r="I51" s="18"/>
    </row>
    <row r="52" spans="1:9" x14ac:dyDescent="0.35">
      <c r="A52" s="8">
        <v>45407</v>
      </c>
      <c r="B52" t="s">
        <v>337</v>
      </c>
      <c r="C52" t="s">
        <v>352</v>
      </c>
      <c r="D52" s="1">
        <v>557411</v>
      </c>
      <c r="E52" s="1">
        <v>192364</v>
      </c>
      <c r="F52" s="3">
        <v>0.34510000000000002</v>
      </c>
      <c r="G52" s="1">
        <v>1288</v>
      </c>
      <c r="H52" s="3">
        <v>6.7000000000000002E-3</v>
      </c>
      <c r="I52" s="11">
        <v>2.3E-3</v>
      </c>
    </row>
    <row r="53" spans="1:9" x14ac:dyDescent="0.35">
      <c r="A53" s="8">
        <v>45407</v>
      </c>
      <c r="B53" t="s">
        <v>338</v>
      </c>
      <c r="C53" t="s">
        <v>353</v>
      </c>
      <c r="D53" s="1">
        <v>19249</v>
      </c>
      <c r="E53" s="1">
        <v>5957</v>
      </c>
      <c r="F53" s="3">
        <v>0.3095</v>
      </c>
      <c r="G53">
        <v>73</v>
      </c>
      <c r="H53" s="3">
        <v>1.23E-2</v>
      </c>
      <c r="I53" s="11">
        <v>3.8E-3</v>
      </c>
    </row>
    <row r="54" spans="1:9" x14ac:dyDescent="0.35">
      <c r="A54" s="8">
        <v>45407</v>
      </c>
      <c r="B54" t="s">
        <v>339</v>
      </c>
      <c r="C54" t="s">
        <v>234</v>
      </c>
      <c r="D54" s="1">
        <v>256910</v>
      </c>
      <c r="E54" s="1">
        <v>89059</v>
      </c>
      <c r="F54" s="3">
        <v>0.34670000000000001</v>
      </c>
      <c r="G54">
        <v>954</v>
      </c>
      <c r="H54" s="3">
        <v>1.0699999999999999E-2</v>
      </c>
      <c r="I54" s="11">
        <v>3.7000000000000002E-3</v>
      </c>
    </row>
    <row r="55" spans="1:9" x14ac:dyDescent="0.35">
      <c r="A55" s="8">
        <v>45407</v>
      </c>
      <c r="B55" t="s">
        <v>340</v>
      </c>
      <c r="C55" t="s">
        <v>235</v>
      </c>
      <c r="D55" s="1">
        <v>13894</v>
      </c>
      <c r="E55" s="1">
        <v>4998</v>
      </c>
      <c r="F55" s="3">
        <v>0.35970000000000002</v>
      </c>
      <c r="G55">
        <v>61</v>
      </c>
      <c r="H55" s="3">
        <v>1.2200000000000001E-2</v>
      </c>
      <c r="I55" s="11">
        <v>4.4000000000000003E-3</v>
      </c>
    </row>
    <row r="56" spans="1:9" ht="15" thickBot="1" x14ac:dyDescent="0.4">
      <c r="A56" s="12" t="s">
        <v>35</v>
      </c>
      <c r="B56" s="4"/>
      <c r="C56" s="4"/>
      <c r="D56" s="13">
        <f>SUM(D52:D55)</f>
        <v>847464</v>
      </c>
      <c r="E56" s="13">
        <f>SUM(E52:E55)</f>
        <v>292378</v>
      </c>
      <c r="F56" s="14">
        <f>AVERAGE(F52:F55)</f>
        <v>0.34025000000000005</v>
      </c>
      <c r="G56" s="13">
        <f>SUM(G52:G55)</f>
        <v>2376</v>
      </c>
      <c r="H56" s="14">
        <f>AVERAGE(H52:H55)</f>
        <v>1.0475E-2</v>
      </c>
      <c r="I56" s="15">
        <f>AVERAGE(I52:I55)</f>
        <v>3.5500000000000002E-3</v>
      </c>
    </row>
  </sheetData>
  <mergeCells count="3">
    <mergeCell ref="A25:I25"/>
    <mergeCell ref="A34:I34"/>
    <mergeCell ref="A50:I50"/>
  </mergeCells>
  <pageMargins left="0.7" right="0.7" top="0.75" bottom="0.75" header="0.3" footer="0.3"/>
  <ignoredErrors>
    <ignoredError sqref="F24:G24 F33:G33 F49:G49 F56:G56" formula="1"/>
  </ignoredErrors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D507-EE38-4D10-8D60-0C57CD15DC29}">
  <dimension ref="A1:I68"/>
  <sheetViews>
    <sheetView workbookViewId="0">
      <selection activeCell="C15" sqref="C15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45408</v>
      </c>
      <c r="B2" t="s">
        <v>357</v>
      </c>
      <c r="C2" t="s">
        <v>10</v>
      </c>
      <c r="D2" s="1">
        <v>408405</v>
      </c>
      <c r="E2" s="1">
        <v>149551</v>
      </c>
      <c r="F2" s="2">
        <v>0.366183078072012</v>
      </c>
      <c r="G2" s="1">
        <v>2860</v>
      </c>
      <c r="H2" s="2">
        <v>1.9123910906647199E-2</v>
      </c>
      <c r="I2" s="2">
        <v>7.0028525605709997E-3</v>
      </c>
    </row>
    <row r="3" spans="1:9" x14ac:dyDescent="0.35">
      <c r="A3" s="19">
        <v>45408</v>
      </c>
      <c r="B3" t="s">
        <v>357</v>
      </c>
      <c r="C3" t="s">
        <v>11</v>
      </c>
      <c r="D3" s="1">
        <v>22164</v>
      </c>
      <c r="E3" s="1">
        <v>7870</v>
      </c>
      <c r="F3" s="2">
        <v>0.35508031041328297</v>
      </c>
      <c r="G3" s="1">
        <v>344</v>
      </c>
      <c r="H3" s="2">
        <v>4.3710292249047003E-2</v>
      </c>
      <c r="I3" s="2">
        <v>1.5520664140046899E-2</v>
      </c>
    </row>
    <row r="4" spans="1:9" x14ac:dyDescent="0.35">
      <c r="A4" s="19">
        <v>45408</v>
      </c>
      <c r="B4" t="s">
        <v>358</v>
      </c>
      <c r="C4" t="s">
        <v>10</v>
      </c>
      <c r="D4" s="1">
        <v>4809415</v>
      </c>
      <c r="E4" s="1">
        <v>1580260</v>
      </c>
      <c r="F4" s="2">
        <v>0.32857634452423001</v>
      </c>
      <c r="G4" s="1">
        <v>18174</v>
      </c>
      <c r="H4" s="2">
        <v>1.15006391353322E-2</v>
      </c>
      <c r="I4" s="2">
        <v>3.7788379667797402E-3</v>
      </c>
    </row>
    <row r="5" spans="1:9" x14ac:dyDescent="0.35">
      <c r="A5" s="19">
        <v>45408</v>
      </c>
      <c r="B5" t="s">
        <v>358</v>
      </c>
      <c r="C5" t="s">
        <v>11</v>
      </c>
      <c r="D5" s="1">
        <v>307812</v>
      </c>
      <c r="E5" s="1">
        <v>90677</v>
      </c>
      <c r="F5" s="2">
        <v>0.29458565617974602</v>
      </c>
      <c r="G5" s="1">
        <v>1469</v>
      </c>
      <c r="H5" s="2">
        <v>1.6200359517849101E-2</v>
      </c>
      <c r="I5" s="2">
        <v>4.7723935389133599E-3</v>
      </c>
    </row>
    <row r="6" spans="1:9" x14ac:dyDescent="0.35">
      <c r="A6" s="19">
        <v>45408</v>
      </c>
      <c r="B6" t="s">
        <v>359</v>
      </c>
      <c r="C6" t="s">
        <v>10</v>
      </c>
      <c r="D6" s="1">
        <v>38891</v>
      </c>
      <c r="E6" s="1">
        <v>14807</v>
      </c>
      <c r="F6" s="2">
        <v>0.38073076033015402</v>
      </c>
      <c r="G6" s="1">
        <v>1367</v>
      </c>
      <c r="H6" s="2">
        <v>9.2321199432700701E-2</v>
      </c>
      <c r="I6" s="2">
        <v>3.51495204546039E-2</v>
      </c>
    </row>
    <row r="7" spans="1:9" x14ac:dyDescent="0.35">
      <c r="A7" s="19">
        <v>45411</v>
      </c>
      <c r="B7" t="s">
        <v>360</v>
      </c>
      <c r="C7" t="s">
        <v>10</v>
      </c>
      <c r="D7" s="1">
        <v>223967</v>
      </c>
      <c r="E7" s="1">
        <v>97799</v>
      </c>
      <c r="F7" s="2">
        <v>0.43666700897900101</v>
      </c>
      <c r="G7" s="1">
        <v>2335</v>
      </c>
      <c r="H7" s="2">
        <v>2.38754997494862E-2</v>
      </c>
      <c r="I7" s="2">
        <v>1.0425643063487E-2</v>
      </c>
    </row>
    <row r="8" spans="1:9" x14ac:dyDescent="0.35">
      <c r="A8" s="19">
        <v>45411</v>
      </c>
      <c r="B8" t="s">
        <v>360</v>
      </c>
      <c r="C8" t="s">
        <v>11</v>
      </c>
      <c r="D8" s="1">
        <v>13385</v>
      </c>
      <c r="E8" s="1">
        <v>6206</v>
      </c>
      <c r="F8" s="2">
        <v>0.46365334329473301</v>
      </c>
      <c r="G8" s="1">
        <v>262</v>
      </c>
      <c r="H8" s="2">
        <v>4.2217209152433099E-2</v>
      </c>
      <c r="I8" s="2">
        <v>1.95741501680986E-2</v>
      </c>
    </row>
    <row r="9" spans="1:9" x14ac:dyDescent="0.35">
      <c r="A9" s="19">
        <v>45412</v>
      </c>
      <c r="B9" t="s">
        <v>361</v>
      </c>
      <c r="C9" t="s">
        <v>10</v>
      </c>
      <c r="D9" s="1">
        <v>1348001</v>
      </c>
      <c r="E9" s="1">
        <v>481226</v>
      </c>
      <c r="F9" s="2">
        <v>0.35699231677127802</v>
      </c>
      <c r="G9" s="1">
        <v>6926</v>
      </c>
      <c r="H9" s="2">
        <v>1.43924060628478E-2</v>
      </c>
      <c r="I9" s="2">
        <v>5.1379783842890299E-3</v>
      </c>
    </row>
    <row r="10" spans="1:9" x14ac:dyDescent="0.35">
      <c r="A10" s="19">
        <v>45412</v>
      </c>
      <c r="B10" t="s">
        <v>361</v>
      </c>
      <c r="C10" t="s">
        <v>11</v>
      </c>
      <c r="D10" s="1">
        <v>95449</v>
      </c>
      <c r="E10" s="1">
        <v>32937</v>
      </c>
      <c r="F10" s="2">
        <v>0.34507433288981498</v>
      </c>
      <c r="G10" s="1">
        <v>689</v>
      </c>
      <c r="H10" s="2">
        <v>2.0918723623888E-2</v>
      </c>
      <c r="I10" s="2">
        <v>7.21851459941959E-3</v>
      </c>
    </row>
    <row r="11" spans="1:9" x14ac:dyDescent="0.35">
      <c r="A11" s="19">
        <v>45413</v>
      </c>
      <c r="B11" t="s">
        <v>362</v>
      </c>
      <c r="C11" t="s">
        <v>101</v>
      </c>
      <c r="D11" s="1">
        <v>23962</v>
      </c>
      <c r="E11" s="1">
        <v>7660</v>
      </c>
      <c r="F11" s="2">
        <v>0.31967281529087699</v>
      </c>
      <c r="G11" s="1">
        <v>133</v>
      </c>
      <c r="H11" s="2">
        <v>1.7362924281984299E-2</v>
      </c>
      <c r="I11" s="2">
        <v>5.5504548869042703E-3</v>
      </c>
    </row>
    <row r="12" spans="1:9" x14ac:dyDescent="0.35">
      <c r="A12" s="19">
        <v>45413</v>
      </c>
      <c r="B12" t="s">
        <v>362</v>
      </c>
      <c r="C12" t="s">
        <v>102</v>
      </c>
      <c r="D12" s="1">
        <v>8307</v>
      </c>
      <c r="E12" s="1">
        <v>2888</v>
      </c>
      <c r="F12" s="2">
        <v>0.34765860117972802</v>
      </c>
      <c r="G12" s="1">
        <v>60</v>
      </c>
      <c r="H12" s="2">
        <v>2.0775623268698099E-2</v>
      </c>
      <c r="I12" s="2">
        <v>7.2228241242325696E-3</v>
      </c>
    </row>
    <row r="13" spans="1:9" x14ac:dyDescent="0.35">
      <c r="A13" s="19">
        <v>45413</v>
      </c>
      <c r="B13" t="s">
        <v>362</v>
      </c>
      <c r="C13" t="s">
        <v>103</v>
      </c>
      <c r="D13" s="1">
        <v>37385</v>
      </c>
      <c r="E13" s="1">
        <v>14075</v>
      </c>
      <c r="F13" s="2">
        <v>0.37648789621506001</v>
      </c>
      <c r="G13" s="1">
        <v>267</v>
      </c>
      <c r="H13" s="2">
        <v>1.89698046181172E-2</v>
      </c>
      <c r="I13" s="2">
        <v>7.1419018322856796E-3</v>
      </c>
    </row>
    <row r="14" spans="1:9" x14ac:dyDescent="0.35">
      <c r="A14" s="19">
        <v>45413</v>
      </c>
      <c r="B14" t="s">
        <v>362</v>
      </c>
      <c r="C14" t="s">
        <v>104</v>
      </c>
      <c r="D14" s="1">
        <v>156286</v>
      </c>
      <c r="E14" s="1">
        <v>56766</v>
      </c>
      <c r="F14" s="2">
        <v>0.36321871440820003</v>
      </c>
      <c r="G14" s="1">
        <v>1025</v>
      </c>
      <c r="H14" s="2">
        <v>1.8056583165979599E-2</v>
      </c>
      <c r="I14" s="2">
        <v>6.5584889241518804E-3</v>
      </c>
    </row>
    <row r="15" spans="1:9" x14ac:dyDescent="0.35">
      <c r="A15" s="19">
        <v>45413</v>
      </c>
      <c r="B15" t="s">
        <v>362</v>
      </c>
      <c r="C15" t="s">
        <v>106</v>
      </c>
      <c r="D15" s="1">
        <v>11831</v>
      </c>
      <c r="E15" s="1">
        <v>4089</v>
      </c>
      <c r="F15" s="2">
        <v>0.34561744569351699</v>
      </c>
      <c r="G15" s="1">
        <v>70</v>
      </c>
      <c r="H15" s="2">
        <v>1.7119100024455901E-2</v>
      </c>
      <c r="I15" s="2">
        <v>5.9166596230242601E-3</v>
      </c>
    </row>
    <row r="16" spans="1:9" x14ac:dyDescent="0.35">
      <c r="A16" s="19">
        <v>45413</v>
      </c>
      <c r="B16" t="s">
        <v>363</v>
      </c>
      <c r="C16" t="s">
        <v>10</v>
      </c>
      <c r="D16" s="1">
        <v>41654</v>
      </c>
      <c r="E16" s="1">
        <v>17511</v>
      </c>
      <c r="F16" s="2">
        <v>0.42039179910692898</v>
      </c>
      <c r="G16" s="1">
        <v>330</v>
      </c>
      <c r="H16" s="2">
        <v>1.88452972417338E-2</v>
      </c>
      <c r="I16" s="2">
        <v>7.9224084121572898E-3</v>
      </c>
    </row>
    <row r="17" spans="1:9" x14ac:dyDescent="0.35">
      <c r="A17" s="19">
        <v>45413</v>
      </c>
      <c r="B17" t="s">
        <v>364</v>
      </c>
      <c r="C17" t="s">
        <v>10</v>
      </c>
      <c r="D17" s="1">
        <v>261914</v>
      </c>
      <c r="E17" s="1">
        <v>89808</v>
      </c>
      <c r="F17" s="2">
        <v>0.34289117802026597</v>
      </c>
      <c r="G17" s="1">
        <v>862</v>
      </c>
      <c r="H17" s="2">
        <v>9.5982540530910408E-3</v>
      </c>
      <c r="I17" s="2">
        <v>3.2911566392021798E-3</v>
      </c>
    </row>
    <row r="18" spans="1:9" x14ac:dyDescent="0.35">
      <c r="A18" s="19">
        <v>45413</v>
      </c>
      <c r="B18" t="s">
        <v>364</v>
      </c>
      <c r="C18" t="s">
        <v>11</v>
      </c>
      <c r="D18" s="1">
        <v>17422</v>
      </c>
      <c r="E18" s="1">
        <v>5403</v>
      </c>
      <c r="F18" s="2">
        <v>0.31012512914705498</v>
      </c>
      <c r="G18" s="1">
        <v>81</v>
      </c>
      <c r="H18" s="2">
        <v>1.49916712937257E-2</v>
      </c>
      <c r="I18" s="2">
        <v>4.6492939960968904E-3</v>
      </c>
    </row>
    <row r="19" spans="1:9" x14ac:dyDescent="0.35">
      <c r="A19" s="19">
        <v>45413</v>
      </c>
      <c r="B19" t="s">
        <v>365</v>
      </c>
      <c r="C19" t="s">
        <v>10</v>
      </c>
      <c r="D19" s="1">
        <v>288461</v>
      </c>
      <c r="E19" s="1">
        <v>109525</v>
      </c>
      <c r="F19" s="2">
        <v>0.37968737541643399</v>
      </c>
      <c r="G19" s="1">
        <v>1432</v>
      </c>
      <c r="H19" s="2">
        <v>1.30746404930381E-2</v>
      </c>
      <c r="I19" s="2">
        <v>4.9642759333150804E-3</v>
      </c>
    </row>
    <row r="20" spans="1:9" ht="13.4" customHeight="1" x14ac:dyDescent="0.35">
      <c r="A20" s="19">
        <v>45413</v>
      </c>
      <c r="B20" t="s">
        <v>366</v>
      </c>
      <c r="C20" t="s">
        <v>10</v>
      </c>
      <c r="D20" s="1">
        <v>87269</v>
      </c>
      <c r="E20" s="1">
        <v>33344</v>
      </c>
      <c r="F20" s="2">
        <v>0.38208298479414199</v>
      </c>
      <c r="G20" s="1">
        <v>3153</v>
      </c>
      <c r="H20" s="2">
        <v>9.4559740882917506E-2</v>
      </c>
      <c r="I20" s="2">
        <v>3.61296680379058E-2</v>
      </c>
    </row>
    <row r="21" spans="1:9" x14ac:dyDescent="0.35">
      <c r="A21" s="19">
        <v>45413</v>
      </c>
      <c r="B21" t="s">
        <v>366</v>
      </c>
      <c r="C21" t="s">
        <v>11</v>
      </c>
      <c r="D21" s="1">
        <v>9640</v>
      </c>
      <c r="E21" s="1">
        <v>3632</v>
      </c>
      <c r="F21" s="2">
        <v>0.37676348547717797</v>
      </c>
      <c r="G21" s="1">
        <v>543</v>
      </c>
      <c r="H21" s="2">
        <v>0.14950440528634401</v>
      </c>
      <c r="I21" s="2">
        <v>5.6327800829875499E-2</v>
      </c>
    </row>
    <row r="22" spans="1:9" x14ac:dyDescent="0.35">
      <c r="A22" s="19">
        <v>45414</v>
      </c>
      <c r="B22" t="s">
        <v>367</v>
      </c>
      <c r="C22" t="s">
        <v>325</v>
      </c>
      <c r="D22" s="1">
        <v>109934</v>
      </c>
      <c r="E22" s="1">
        <v>39841</v>
      </c>
      <c r="F22" s="3">
        <v>0.3624</v>
      </c>
      <c r="G22">
        <v>307</v>
      </c>
      <c r="H22" s="3">
        <v>7.7000000000000002E-3</v>
      </c>
      <c r="I22" s="3">
        <v>2.8E-3</v>
      </c>
    </row>
    <row r="23" spans="1:9" x14ac:dyDescent="0.35">
      <c r="A23" s="19">
        <v>45414</v>
      </c>
      <c r="B23" t="s">
        <v>368</v>
      </c>
      <c r="C23" t="s">
        <v>327</v>
      </c>
      <c r="D23" s="1">
        <v>6436</v>
      </c>
      <c r="E23" s="1">
        <v>2381</v>
      </c>
      <c r="F23" s="3">
        <v>0.37</v>
      </c>
      <c r="G23">
        <v>31</v>
      </c>
      <c r="H23" s="3">
        <v>1.2999999999999999E-2</v>
      </c>
      <c r="I23" s="3">
        <v>4.7999999999999996E-3</v>
      </c>
    </row>
    <row r="24" spans="1:9" x14ac:dyDescent="0.35">
      <c r="A24" s="19">
        <v>45414</v>
      </c>
      <c r="B24" t="s">
        <v>339</v>
      </c>
      <c r="C24" t="s">
        <v>253</v>
      </c>
      <c r="D24" s="1">
        <v>254373</v>
      </c>
      <c r="E24" s="1">
        <v>88634</v>
      </c>
      <c r="F24" s="3">
        <v>0.34839999999999999</v>
      </c>
      <c r="G24" s="1">
        <v>1062</v>
      </c>
      <c r="H24" s="3">
        <v>1.2E-2</v>
      </c>
      <c r="I24" s="3">
        <v>4.1999999999999997E-3</v>
      </c>
    </row>
    <row r="25" spans="1:9" x14ac:dyDescent="0.35">
      <c r="A25" s="19">
        <v>45414</v>
      </c>
      <c r="B25" t="s">
        <v>340</v>
      </c>
      <c r="C25" t="s">
        <v>255</v>
      </c>
      <c r="D25" s="1">
        <v>13809</v>
      </c>
      <c r="E25" s="1">
        <v>5105</v>
      </c>
      <c r="F25" s="3">
        <v>0.36969999999999997</v>
      </c>
      <c r="G25">
        <v>85</v>
      </c>
      <c r="H25" s="3">
        <v>1.67E-2</v>
      </c>
      <c r="I25" s="3">
        <v>6.1999999999999998E-3</v>
      </c>
    </row>
    <row r="26" spans="1:9" x14ac:dyDescent="0.35">
      <c r="A26" s="19">
        <v>45414</v>
      </c>
      <c r="B26" t="s">
        <v>369</v>
      </c>
      <c r="C26" t="s">
        <v>10</v>
      </c>
      <c r="D26" s="1">
        <v>6402430</v>
      </c>
      <c r="E26" s="1">
        <v>2119497</v>
      </c>
      <c r="F26" s="2">
        <v>0.33104571233109897</v>
      </c>
      <c r="G26" s="1">
        <v>17552</v>
      </c>
      <c r="H26" s="2">
        <v>8.2812101173061307E-3</v>
      </c>
      <c r="I26" s="2">
        <v>2.74145910224712E-3</v>
      </c>
    </row>
    <row r="27" spans="1:9" x14ac:dyDescent="0.35">
      <c r="A27" s="19">
        <v>45414</v>
      </c>
      <c r="B27" t="s">
        <v>369</v>
      </c>
      <c r="C27" t="s">
        <v>11</v>
      </c>
      <c r="D27" s="1">
        <v>415848</v>
      </c>
      <c r="E27" s="1">
        <v>127945</v>
      </c>
      <c r="F27" s="2">
        <v>0.30767251495738801</v>
      </c>
      <c r="G27" s="1">
        <v>1864</v>
      </c>
      <c r="H27" s="2">
        <v>1.45687600140685E-2</v>
      </c>
      <c r="I27" s="2">
        <v>4.4824070333390996E-3</v>
      </c>
    </row>
    <row r="28" spans="1:9" x14ac:dyDescent="0.35">
      <c r="A28" s="19">
        <v>45414</v>
      </c>
      <c r="B28" t="s">
        <v>370</v>
      </c>
      <c r="C28" t="s">
        <v>371</v>
      </c>
      <c r="D28" s="1">
        <v>474541</v>
      </c>
      <c r="E28" s="1">
        <v>150689</v>
      </c>
      <c r="F28" s="2">
        <v>0.31754685053557002</v>
      </c>
      <c r="G28" s="1">
        <v>1788</v>
      </c>
      <c r="H28" s="2">
        <v>1.18654978133772E-2</v>
      </c>
      <c r="I28" s="2">
        <v>3.76785146067463E-3</v>
      </c>
    </row>
    <row r="29" spans="1:9" x14ac:dyDescent="0.35">
      <c r="A29" s="19">
        <v>45414</v>
      </c>
      <c r="B29" t="s">
        <v>370</v>
      </c>
      <c r="C29" t="s">
        <v>372</v>
      </c>
      <c r="D29" s="1">
        <v>30482</v>
      </c>
      <c r="E29" s="1">
        <v>8674</v>
      </c>
      <c r="F29" s="2">
        <v>0.28456138048684498</v>
      </c>
      <c r="G29" s="1">
        <v>135</v>
      </c>
      <c r="H29" s="2">
        <v>1.55637537468296E-2</v>
      </c>
      <c r="I29" s="2">
        <v>4.4288432517551298E-3</v>
      </c>
    </row>
    <row r="30" spans="1:9" ht="15" thickBot="1" x14ac:dyDescent="0.4">
      <c r="A30" s="20" t="s">
        <v>35</v>
      </c>
      <c r="D30" s="10">
        <f>SUM(D2:D29)</f>
        <v>15919473</v>
      </c>
      <c r="E30" s="10">
        <f>SUM(E2:E29)</f>
        <v>5348800</v>
      </c>
      <c r="F30" s="27">
        <f>AVERAGE(F2:F29)</f>
        <v>0.35655239408980494</v>
      </c>
      <c r="G30" s="10">
        <f>SUM(G2:G29)</f>
        <v>65206</v>
      </c>
      <c r="H30" s="27">
        <f>AVERAGE(H2:H29)</f>
        <v>2.7742768076139211E-2</v>
      </c>
      <c r="I30" s="27">
        <f>AVERAGE(I2:I29)</f>
        <v>1.0274144605834876E-2</v>
      </c>
    </row>
    <row r="31" spans="1:9" ht="15" thickBot="1" x14ac:dyDescent="0.4">
      <c r="A31" s="138" t="s">
        <v>302</v>
      </c>
      <c r="B31" s="138"/>
      <c r="C31" s="138"/>
      <c r="D31" s="138"/>
      <c r="E31" s="138"/>
      <c r="F31" s="138"/>
      <c r="G31" s="138"/>
      <c r="H31" s="138"/>
      <c r="I31" s="138"/>
    </row>
    <row r="32" spans="1:9" x14ac:dyDescent="0.35">
      <c r="A32" s="24" t="s">
        <v>0</v>
      </c>
      <c r="B32" s="25" t="s">
        <v>1</v>
      </c>
      <c r="C32" s="25" t="s">
        <v>2</v>
      </c>
      <c r="D32" s="25" t="s">
        <v>3</v>
      </c>
      <c r="E32" s="25" t="s">
        <v>4</v>
      </c>
      <c r="F32" s="25" t="s">
        <v>5</v>
      </c>
      <c r="G32" s="25" t="s">
        <v>6</v>
      </c>
      <c r="H32" s="25" t="s">
        <v>7</v>
      </c>
      <c r="I32" s="26" t="s">
        <v>8</v>
      </c>
    </row>
    <row r="33" spans="1:9" x14ac:dyDescent="0.35">
      <c r="A33" s="5" t="s">
        <v>36</v>
      </c>
      <c r="B33" s="6"/>
      <c r="C33" s="6"/>
      <c r="D33" s="6"/>
      <c r="E33" s="6"/>
      <c r="F33" s="6"/>
      <c r="G33" s="6"/>
      <c r="H33" s="6"/>
      <c r="I33" s="7"/>
    </row>
    <row r="34" spans="1:9" x14ac:dyDescent="0.35">
      <c r="A34" s="8">
        <v>45408</v>
      </c>
      <c r="B34" t="s">
        <v>357</v>
      </c>
      <c r="C34" t="s">
        <v>10</v>
      </c>
      <c r="D34" s="1">
        <v>408405</v>
      </c>
      <c r="E34" s="1">
        <v>149551</v>
      </c>
      <c r="F34" s="2">
        <v>0.366183078072012</v>
      </c>
      <c r="G34" s="1">
        <v>2860</v>
      </c>
      <c r="H34" s="2">
        <v>1.9123910906647199E-2</v>
      </c>
      <c r="I34" s="9">
        <v>7.0028525605709997E-3</v>
      </c>
    </row>
    <row r="35" spans="1:9" x14ac:dyDescent="0.35">
      <c r="A35" s="8">
        <v>45408</v>
      </c>
      <c r="B35" t="s">
        <v>357</v>
      </c>
      <c r="C35" t="s">
        <v>11</v>
      </c>
      <c r="D35" s="1">
        <v>22164</v>
      </c>
      <c r="E35" s="1">
        <v>7870</v>
      </c>
      <c r="F35" s="2">
        <v>0.35508031041328297</v>
      </c>
      <c r="G35" s="1">
        <v>344</v>
      </c>
      <c r="H35" s="2">
        <v>4.3710292249047003E-2</v>
      </c>
      <c r="I35" s="9">
        <v>1.5520664140046899E-2</v>
      </c>
    </row>
    <row r="36" spans="1:9" x14ac:dyDescent="0.35">
      <c r="A36" s="8">
        <v>45408</v>
      </c>
      <c r="B36" t="s">
        <v>358</v>
      </c>
      <c r="C36" t="s">
        <v>10</v>
      </c>
      <c r="D36" s="1">
        <v>4809415</v>
      </c>
      <c r="E36" s="1">
        <v>1580260</v>
      </c>
      <c r="F36" s="2">
        <v>0.32857634452423001</v>
      </c>
      <c r="G36" s="1">
        <v>18174</v>
      </c>
      <c r="H36" s="2">
        <v>1.15006391353322E-2</v>
      </c>
      <c r="I36" s="9">
        <v>3.7788379667797402E-3</v>
      </c>
    </row>
    <row r="37" spans="1:9" x14ac:dyDescent="0.35">
      <c r="A37" s="8">
        <v>45408</v>
      </c>
      <c r="B37" t="s">
        <v>358</v>
      </c>
      <c r="C37" t="s">
        <v>11</v>
      </c>
      <c r="D37" s="1">
        <v>307812</v>
      </c>
      <c r="E37" s="1">
        <v>90677</v>
      </c>
      <c r="F37" s="2">
        <v>0.29458565617974602</v>
      </c>
      <c r="G37" s="1">
        <v>1469</v>
      </c>
      <c r="H37" s="2">
        <v>1.6200359517849101E-2</v>
      </c>
      <c r="I37" s="9">
        <v>4.7723935389133599E-3</v>
      </c>
    </row>
    <row r="38" spans="1:9" x14ac:dyDescent="0.35">
      <c r="A38" s="8">
        <v>45412</v>
      </c>
      <c r="B38" t="s">
        <v>361</v>
      </c>
      <c r="C38" t="s">
        <v>10</v>
      </c>
      <c r="D38" s="1">
        <v>1348001</v>
      </c>
      <c r="E38" s="1">
        <v>481226</v>
      </c>
      <c r="F38" s="2">
        <v>0.35699231677127802</v>
      </c>
      <c r="G38" s="1">
        <v>6926</v>
      </c>
      <c r="H38" s="2">
        <v>1.43924060628478E-2</v>
      </c>
      <c r="I38" s="9">
        <v>5.1379783842890299E-3</v>
      </c>
    </row>
    <row r="39" spans="1:9" x14ac:dyDescent="0.35">
      <c r="A39" s="8">
        <v>45412</v>
      </c>
      <c r="B39" t="s">
        <v>361</v>
      </c>
      <c r="C39" t="s">
        <v>11</v>
      </c>
      <c r="D39" s="1">
        <v>95449</v>
      </c>
      <c r="E39" s="1">
        <v>32937</v>
      </c>
      <c r="F39" s="2">
        <v>0.34507433288981498</v>
      </c>
      <c r="G39" s="1">
        <v>689</v>
      </c>
      <c r="H39" s="2">
        <v>2.0918723623888E-2</v>
      </c>
      <c r="I39" s="9">
        <v>7.21851459941959E-3</v>
      </c>
    </row>
    <row r="40" spans="1:9" x14ac:dyDescent="0.35">
      <c r="A40" s="8">
        <v>45415</v>
      </c>
      <c r="B40" t="s">
        <v>370</v>
      </c>
      <c r="C40" t="s">
        <v>371</v>
      </c>
      <c r="D40" s="1">
        <v>474541</v>
      </c>
      <c r="E40" s="1">
        <v>150689</v>
      </c>
      <c r="F40" s="2">
        <v>0.31754685053557002</v>
      </c>
      <c r="G40" s="1">
        <v>1788</v>
      </c>
      <c r="H40" s="2">
        <v>1.18654978133772E-2</v>
      </c>
      <c r="I40" s="9">
        <v>3.76785146067463E-3</v>
      </c>
    </row>
    <row r="41" spans="1:9" x14ac:dyDescent="0.35">
      <c r="A41" s="8">
        <v>45415</v>
      </c>
      <c r="B41" t="s">
        <v>370</v>
      </c>
      <c r="C41" t="s">
        <v>372</v>
      </c>
      <c r="D41" s="1">
        <v>30482</v>
      </c>
      <c r="E41" s="1">
        <v>8674</v>
      </c>
      <c r="F41" s="2">
        <v>0.28456138048684498</v>
      </c>
      <c r="G41" s="1">
        <v>135</v>
      </c>
      <c r="H41" s="2">
        <v>1.55637537468296E-2</v>
      </c>
      <c r="I41" s="9">
        <v>4.4288432517551298E-3</v>
      </c>
    </row>
    <row r="42" spans="1:9" ht="15" thickBot="1" x14ac:dyDescent="0.4">
      <c r="A42" s="12" t="s">
        <v>35</v>
      </c>
      <c r="B42" s="4"/>
      <c r="C42" s="4"/>
      <c r="D42" s="13">
        <f>SUM(D34:D41)</f>
        <v>7496269</v>
      </c>
      <c r="E42" s="13">
        <f>SUM(E34:E41)</f>
        <v>2501884</v>
      </c>
      <c r="F42" s="14">
        <f>AVERAGE(F34:F41)</f>
        <v>0.33107503373409741</v>
      </c>
      <c r="G42" s="13">
        <f>SUM(G34:G41)</f>
        <v>32385</v>
      </c>
      <c r="H42" s="14">
        <f>AVERAGE(H34:H41)</f>
        <v>1.9159447881977265E-2</v>
      </c>
      <c r="I42" s="15">
        <f>AVERAGE(I34:I41)</f>
        <v>6.4534919878061732E-3</v>
      </c>
    </row>
    <row r="43" spans="1:9" ht="3" customHeight="1" thickBot="1" x14ac:dyDescent="0.4">
      <c r="A43" s="139"/>
      <c r="B43" s="138"/>
      <c r="C43" s="138"/>
      <c r="D43" s="138"/>
      <c r="E43" s="138"/>
      <c r="F43" s="138"/>
      <c r="G43" s="138"/>
      <c r="H43" s="138"/>
      <c r="I43" s="140"/>
    </row>
    <row r="44" spans="1:9" x14ac:dyDescent="0.35">
      <c r="A44" s="16" t="s">
        <v>37</v>
      </c>
      <c r="B44" s="17"/>
      <c r="C44" s="17"/>
      <c r="D44" s="17"/>
      <c r="E44" s="17"/>
      <c r="F44" s="17"/>
      <c r="G44" s="17"/>
      <c r="H44" s="17"/>
      <c r="I44" s="18"/>
    </row>
    <row r="45" spans="1:9" x14ac:dyDescent="0.35">
      <c r="A45" s="8">
        <v>45408</v>
      </c>
      <c r="B45" t="s">
        <v>359</v>
      </c>
      <c r="C45" t="s">
        <v>10</v>
      </c>
      <c r="D45" s="1">
        <v>38891</v>
      </c>
      <c r="E45" s="1">
        <v>14807</v>
      </c>
      <c r="F45" s="2">
        <v>0.38073076033015402</v>
      </c>
      <c r="G45" s="1">
        <v>1367</v>
      </c>
      <c r="H45" s="2">
        <v>9.2321199432700701E-2</v>
      </c>
      <c r="I45" s="9">
        <v>3.51495204546039E-2</v>
      </c>
    </row>
    <row r="46" spans="1:9" x14ac:dyDescent="0.35">
      <c r="A46" s="8">
        <v>45411</v>
      </c>
      <c r="B46" t="s">
        <v>360</v>
      </c>
      <c r="C46" t="s">
        <v>10</v>
      </c>
      <c r="D46" s="1">
        <v>223967</v>
      </c>
      <c r="E46" s="1">
        <v>97799</v>
      </c>
      <c r="F46" s="2">
        <v>0.43666700897900101</v>
      </c>
      <c r="G46" s="1">
        <v>2335</v>
      </c>
      <c r="H46" s="2">
        <v>2.38754997494862E-2</v>
      </c>
      <c r="I46" s="9">
        <v>1.0425643063487E-2</v>
      </c>
    </row>
    <row r="47" spans="1:9" x14ac:dyDescent="0.35">
      <c r="A47" s="8">
        <v>45411</v>
      </c>
      <c r="B47" t="s">
        <v>360</v>
      </c>
      <c r="C47" t="s">
        <v>11</v>
      </c>
      <c r="D47" s="1">
        <v>13385</v>
      </c>
      <c r="E47" s="1">
        <v>6206</v>
      </c>
      <c r="F47" s="2">
        <v>0.46365334329473301</v>
      </c>
      <c r="G47" s="1">
        <v>262</v>
      </c>
      <c r="H47" s="2">
        <v>4.2217209152433099E-2</v>
      </c>
      <c r="I47" s="9">
        <v>1.95741501680986E-2</v>
      </c>
    </row>
    <row r="48" spans="1:9" x14ac:dyDescent="0.35">
      <c r="A48" s="8">
        <v>45413</v>
      </c>
      <c r="B48" t="s">
        <v>362</v>
      </c>
      <c r="C48" t="s">
        <v>101</v>
      </c>
      <c r="D48" s="1">
        <v>23962</v>
      </c>
      <c r="E48" s="1">
        <v>7660</v>
      </c>
      <c r="F48" s="2">
        <v>0.31967281529087699</v>
      </c>
      <c r="G48" s="1">
        <v>133</v>
      </c>
      <c r="H48" s="2">
        <v>1.7362924281984299E-2</v>
      </c>
      <c r="I48" s="9">
        <v>5.5504548869042703E-3</v>
      </c>
    </row>
    <row r="49" spans="1:9" x14ac:dyDescent="0.35">
      <c r="A49" s="8">
        <v>45413</v>
      </c>
      <c r="B49" t="s">
        <v>362</v>
      </c>
      <c r="C49" t="s">
        <v>102</v>
      </c>
      <c r="D49" s="1">
        <v>8307</v>
      </c>
      <c r="E49" s="1">
        <v>2888</v>
      </c>
      <c r="F49" s="2">
        <v>0.34765860117972802</v>
      </c>
      <c r="G49" s="1">
        <v>60</v>
      </c>
      <c r="H49" s="2">
        <v>2.0775623268698099E-2</v>
      </c>
      <c r="I49" s="9">
        <v>7.2228241242325696E-3</v>
      </c>
    </row>
    <row r="50" spans="1:9" x14ac:dyDescent="0.35">
      <c r="A50" s="8">
        <v>45413</v>
      </c>
      <c r="B50" t="s">
        <v>362</v>
      </c>
      <c r="C50" t="s">
        <v>103</v>
      </c>
      <c r="D50" s="1">
        <v>37385</v>
      </c>
      <c r="E50" s="1">
        <v>14075</v>
      </c>
      <c r="F50" s="2">
        <v>0.37648789621506001</v>
      </c>
      <c r="G50" s="1">
        <v>267</v>
      </c>
      <c r="H50" s="2">
        <v>1.89698046181172E-2</v>
      </c>
      <c r="I50" s="9">
        <v>7.1419018322856796E-3</v>
      </c>
    </row>
    <row r="51" spans="1:9" x14ac:dyDescent="0.35">
      <c r="A51" s="8">
        <v>45413</v>
      </c>
      <c r="B51" t="s">
        <v>362</v>
      </c>
      <c r="C51" t="s">
        <v>104</v>
      </c>
      <c r="D51" s="1">
        <v>156286</v>
      </c>
      <c r="E51" s="1">
        <v>56766</v>
      </c>
      <c r="F51" s="2">
        <v>0.36321871440820003</v>
      </c>
      <c r="G51" s="1">
        <v>1025</v>
      </c>
      <c r="H51" s="2">
        <v>1.8056583165979599E-2</v>
      </c>
      <c r="I51" s="9">
        <v>6.5584889241518804E-3</v>
      </c>
    </row>
    <row r="52" spans="1:9" x14ac:dyDescent="0.35">
      <c r="A52" s="8">
        <v>45413</v>
      </c>
      <c r="B52" t="s">
        <v>362</v>
      </c>
      <c r="C52" t="s">
        <v>106</v>
      </c>
      <c r="D52" s="1">
        <v>11831</v>
      </c>
      <c r="E52" s="1">
        <v>4089</v>
      </c>
      <c r="F52" s="2">
        <v>0.34561744569351699</v>
      </c>
      <c r="G52" s="1">
        <v>70</v>
      </c>
      <c r="H52" s="2">
        <v>1.7119100024455901E-2</v>
      </c>
      <c r="I52" s="9">
        <v>5.9166596230242601E-3</v>
      </c>
    </row>
    <row r="53" spans="1:9" x14ac:dyDescent="0.35">
      <c r="A53" s="8">
        <v>45413</v>
      </c>
      <c r="B53" t="s">
        <v>363</v>
      </c>
      <c r="C53" t="s">
        <v>10</v>
      </c>
      <c r="D53" s="1">
        <v>41654</v>
      </c>
      <c r="E53" s="1">
        <v>17511</v>
      </c>
      <c r="F53" s="2">
        <v>0.42039179910692898</v>
      </c>
      <c r="G53" s="1">
        <v>330</v>
      </c>
      <c r="H53" s="2">
        <v>1.88452972417338E-2</v>
      </c>
      <c r="I53" s="9">
        <v>7.9224084121572898E-3</v>
      </c>
    </row>
    <row r="54" spans="1:9" x14ac:dyDescent="0.35">
      <c r="A54" s="8">
        <v>45413</v>
      </c>
      <c r="B54" t="s">
        <v>364</v>
      </c>
      <c r="C54" t="s">
        <v>10</v>
      </c>
      <c r="D54" s="1">
        <v>261914</v>
      </c>
      <c r="E54" s="1">
        <v>89808</v>
      </c>
      <c r="F54" s="2">
        <v>0.34289117802026597</v>
      </c>
      <c r="G54" s="1">
        <v>862</v>
      </c>
      <c r="H54" s="2">
        <v>9.5982540530910408E-3</v>
      </c>
      <c r="I54" s="9">
        <v>3.2911566392021798E-3</v>
      </c>
    </row>
    <row r="55" spans="1:9" x14ac:dyDescent="0.35">
      <c r="A55" s="8">
        <v>45413</v>
      </c>
      <c r="B55" t="s">
        <v>364</v>
      </c>
      <c r="C55" t="s">
        <v>11</v>
      </c>
      <c r="D55" s="1">
        <v>17422</v>
      </c>
      <c r="E55" s="1">
        <v>5403</v>
      </c>
      <c r="F55" s="2">
        <v>0.31012512914705498</v>
      </c>
      <c r="G55" s="1">
        <v>81</v>
      </c>
      <c r="H55" s="2">
        <v>1.49916712937257E-2</v>
      </c>
      <c r="I55" s="9">
        <v>4.6492939960968904E-3</v>
      </c>
    </row>
    <row r="56" spans="1:9" x14ac:dyDescent="0.35">
      <c r="A56" s="8">
        <v>45413</v>
      </c>
      <c r="B56" t="s">
        <v>365</v>
      </c>
      <c r="C56" t="s">
        <v>10</v>
      </c>
      <c r="D56" s="1">
        <v>288461</v>
      </c>
      <c r="E56" s="1">
        <v>109525</v>
      </c>
      <c r="F56" s="2">
        <v>0.37968737541643399</v>
      </c>
      <c r="G56" s="1">
        <v>1432</v>
      </c>
      <c r="H56" s="2">
        <v>1.30746404930381E-2</v>
      </c>
      <c r="I56" s="9">
        <v>4.9642759333150804E-3</v>
      </c>
    </row>
    <row r="57" spans="1:9" ht="13.4" customHeight="1" x14ac:dyDescent="0.35">
      <c r="A57" s="8">
        <v>45413</v>
      </c>
      <c r="B57" t="s">
        <v>366</v>
      </c>
      <c r="C57" t="s">
        <v>10</v>
      </c>
      <c r="D57" s="1">
        <v>87269</v>
      </c>
      <c r="E57" s="1">
        <v>33344</v>
      </c>
      <c r="F57" s="2">
        <v>0.38208298479414199</v>
      </c>
      <c r="G57" s="1">
        <v>3153</v>
      </c>
      <c r="H57" s="2">
        <v>9.4559740882917506E-2</v>
      </c>
      <c r="I57" s="9">
        <v>3.61296680379058E-2</v>
      </c>
    </row>
    <row r="58" spans="1:9" x14ac:dyDescent="0.35">
      <c r="A58" s="8">
        <v>45413</v>
      </c>
      <c r="B58" t="s">
        <v>366</v>
      </c>
      <c r="C58" t="s">
        <v>11</v>
      </c>
      <c r="D58" s="1">
        <v>9640</v>
      </c>
      <c r="E58" s="1">
        <v>3632</v>
      </c>
      <c r="F58" s="2">
        <v>0.37676348547717797</v>
      </c>
      <c r="G58" s="1">
        <v>543</v>
      </c>
      <c r="H58" s="2">
        <v>0.14950440528634401</v>
      </c>
      <c r="I58" s="9">
        <v>5.6327800829875499E-2</v>
      </c>
    </row>
    <row r="59" spans="1:9" x14ac:dyDescent="0.35">
      <c r="A59" s="8">
        <v>45414</v>
      </c>
      <c r="B59" t="s">
        <v>369</v>
      </c>
      <c r="C59" t="s">
        <v>10</v>
      </c>
      <c r="D59" s="1">
        <v>6402430</v>
      </c>
      <c r="E59" s="1">
        <v>2119497</v>
      </c>
      <c r="F59" s="2">
        <v>0.33104571233109897</v>
      </c>
      <c r="G59" s="1">
        <v>17552</v>
      </c>
      <c r="H59" s="2">
        <v>8.2812101173061307E-3</v>
      </c>
      <c r="I59" s="9">
        <v>2.74145910224712E-3</v>
      </c>
    </row>
    <row r="60" spans="1:9" x14ac:dyDescent="0.35">
      <c r="A60" s="8">
        <v>45414</v>
      </c>
      <c r="B60" t="s">
        <v>369</v>
      </c>
      <c r="C60" t="s">
        <v>11</v>
      </c>
      <c r="D60" s="1">
        <v>415848</v>
      </c>
      <c r="E60" s="1">
        <v>127945</v>
      </c>
      <c r="F60" s="2">
        <v>0.30767251495738801</v>
      </c>
      <c r="G60" s="1">
        <v>1864</v>
      </c>
      <c r="H60" s="2">
        <v>1.45687600140685E-2</v>
      </c>
      <c r="I60" s="9">
        <v>4.4824070333390996E-3</v>
      </c>
    </row>
    <row r="61" spans="1:9" ht="15" thickBot="1" x14ac:dyDescent="0.4">
      <c r="A61" s="12" t="s">
        <v>35</v>
      </c>
      <c r="B61" s="4"/>
      <c r="C61" s="4"/>
      <c r="D61" s="13">
        <f>SUM(D45:D60)</f>
        <v>8038652</v>
      </c>
      <c r="E61" s="13">
        <f>SUM(E45:E60)</f>
        <v>2710955</v>
      </c>
      <c r="F61" s="14">
        <f>AVERAGE(F45:F60)</f>
        <v>0.36777292279010998</v>
      </c>
      <c r="G61" s="13">
        <f>SUM(G45:G60)</f>
        <v>31336</v>
      </c>
      <c r="H61" s="14">
        <f>AVERAGE(H45:H60)</f>
        <v>3.5882620192254987E-2</v>
      </c>
      <c r="I61" s="15">
        <f>AVERAGE(I45:I60)</f>
        <v>1.3628007066307946E-2</v>
      </c>
    </row>
    <row r="62" spans="1:9" ht="3" customHeight="1" thickBot="1" x14ac:dyDescent="0.4">
      <c r="A62" s="139"/>
      <c r="B62" s="138"/>
      <c r="C62" s="138"/>
      <c r="D62" s="138"/>
      <c r="E62" s="138"/>
      <c r="F62" s="138"/>
      <c r="G62" s="138"/>
      <c r="H62" s="138"/>
      <c r="I62" s="140"/>
    </row>
    <row r="63" spans="1:9" x14ac:dyDescent="0.35">
      <c r="A63" s="16" t="s">
        <v>38</v>
      </c>
      <c r="B63" s="17"/>
      <c r="C63" s="17"/>
      <c r="D63" s="17"/>
      <c r="E63" s="17"/>
      <c r="F63" s="17"/>
      <c r="G63" s="17"/>
      <c r="H63" s="17"/>
      <c r="I63" s="18"/>
    </row>
    <row r="64" spans="1:9" x14ac:dyDescent="0.35">
      <c r="A64" s="8">
        <v>45414</v>
      </c>
      <c r="B64" t="s">
        <v>367</v>
      </c>
      <c r="C64" t="s">
        <v>325</v>
      </c>
      <c r="D64" s="1">
        <v>109934</v>
      </c>
      <c r="E64" s="1">
        <v>39841</v>
      </c>
      <c r="F64" s="3">
        <v>0.3624</v>
      </c>
      <c r="G64">
        <v>307</v>
      </c>
      <c r="H64" s="3">
        <v>7.7000000000000002E-3</v>
      </c>
      <c r="I64" s="11">
        <v>2.8E-3</v>
      </c>
    </row>
    <row r="65" spans="1:9" x14ac:dyDescent="0.35">
      <c r="A65" s="8">
        <v>45414</v>
      </c>
      <c r="B65" t="s">
        <v>368</v>
      </c>
      <c r="C65" t="s">
        <v>327</v>
      </c>
      <c r="D65" s="1">
        <v>6436</v>
      </c>
      <c r="E65" s="1">
        <v>2381</v>
      </c>
      <c r="F65" s="3">
        <v>0.37</v>
      </c>
      <c r="G65">
        <v>31</v>
      </c>
      <c r="H65" s="3">
        <v>1.2999999999999999E-2</v>
      </c>
      <c r="I65" s="11">
        <v>4.7999999999999996E-3</v>
      </c>
    </row>
    <row r="66" spans="1:9" x14ac:dyDescent="0.35">
      <c r="A66" s="8">
        <v>45414</v>
      </c>
      <c r="B66" t="s">
        <v>339</v>
      </c>
      <c r="C66" t="s">
        <v>253</v>
      </c>
      <c r="D66" s="1">
        <v>254373</v>
      </c>
      <c r="E66" s="1">
        <v>88634</v>
      </c>
      <c r="F66" s="3">
        <v>0.34839999999999999</v>
      </c>
      <c r="G66" s="1">
        <v>1062</v>
      </c>
      <c r="H66" s="3">
        <v>1.2E-2</v>
      </c>
      <c r="I66" s="11">
        <v>4.1999999999999997E-3</v>
      </c>
    </row>
    <row r="67" spans="1:9" x14ac:dyDescent="0.35">
      <c r="A67" s="8">
        <v>45414</v>
      </c>
      <c r="B67" t="s">
        <v>340</v>
      </c>
      <c r="C67" t="s">
        <v>255</v>
      </c>
      <c r="D67" s="1">
        <v>13809</v>
      </c>
      <c r="E67" s="1">
        <v>5105</v>
      </c>
      <c r="F67" s="3">
        <v>0.36969999999999997</v>
      </c>
      <c r="G67">
        <v>85</v>
      </c>
      <c r="H67" s="3">
        <v>1.67E-2</v>
      </c>
      <c r="I67" s="11">
        <v>6.1999999999999998E-3</v>
      </c>
    </row>
    <row r="68" spans="1:9" ht="15" thickBot="1" x14ac:dyDescent="0.4">
      <c r="A68" s="12" t="s">
        <v>35</v>
      </c>
      <c r="B68" s="4"/>
      <c r="C68" s="4"/>
      <c r="D68" s="13">
        <f>SUM(D64:D67)</f>
        <v>384552</v>
      </c>
      <c r="E68" s="13">
        <f>SUM(E64:E67)</f>
        <v>135961</v>
      </c>
      <c r="F68" s="14">
        <f>AVERAGE(F64:F67)</f>
        <v>0.36262499999999998</v>
      </c>
      <c r="G68" s="13">
        <f>SUM(G64:G67)</f>
        <v>1485</v>
      </c>
      <c r="H68" s="14">
        <f>AVERAGE(H64:H67)</f>
        <v>1.235E-2</v>
      </c>
      <c r="I68" s="15">
        <f>AVERAGE(I64:I67)</f>
        <v>4.4999999999999997E-3</v>
      </c>
    </row>
  </sheetData>
  <mergeCells count="3">
    <mergeCell ref="A31:I31"/>
    <mergeCell ref="A43:I43"/>
    <mergeCell ref="A62:I62"/>
  </mergeCells>
  <pageMargins left="0.7" right="0.7" top="0.75" bottom="0.75" header="0.3" footer="0.3"/>
  <ignoredErrors>
    <ignoredError sqref="F30:G30 F42:G42 F61:G61 F68" formula="1"/>
  </ignoredErrors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F611-A5E5-4C4A-8729-D3514E5880E3}">
  <dimension ref="A1:I62"/>
  <sheetViews>
    <sheetView topLeftCell="B1" workbookViewId="0">
      <selection activeCell="E27" sqref="E27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45415</v>
      </c>
      <c r="B2" t="s">
        <v>373</v>
      </c>
      <c r="C2" t="s">
        <v>10</v>
      </c>
      <c r="D2" s="1">
        <v>404139</v>
      </c>
      <c r="E2" s="1">
        <v>144273</v>
      </c>
      <c r="F2" s="2">
        <v>0.35698856086643499</v>
      </c>
      <c r="G2" s="1">
        <v>2590</v>
      </c>
      <c r="H2" s="2">
        <v>1.7952076965197902E-2</v>
      </c>
      <c r="I2" s="2">
        <v>6.4086861203694803E-3</v>
      </c>
    </row>
    <row r="3" spans="1:9" x14ac:dyDescent="0.35">
      <c r="A3" s="19">
        <v>45415</v>
      </c>
      <c r="B3" t="s">
        <v>370</v>
      </c>
      <c r="C3" t="s">
        <v>10</v>
      </c>
      <c r="D3" s="1">
        <v>4288058</v>
      </c>
      <c r="E3" s="1">
        <v>1188531</v>
      </c>
      <c r="F3" s="2">
        <v>0.27717232369524902</v>
      </c>
      <c r="G3" s="1">
        <v>16378</v>
      </c>
      <c r="H3" s="2">
        <v>1.3780036027667799E-2</v>
      </c>
      <c r="I3" s="2">
        <v>3.8194446063929202E-3</v>
      </c>
    </row>
    <row r="4" spans="1:9" x14ac:dyDescent="0.35">
      <c r="A4" s="19">
        <v>45415</v>
      </c>
      <c r="B4" t="s">
        <v>370</v>
      </c>
      <c r="C4" t="s">
        <v>11</v>
      </c>
      <c r="D4" s="1">
        <v>274631</v>
      </c>
      <c r="E4" s="1">
        <v>70308</v>
      </c>
      <c r="F4" s="2">
        <v>0.25600897203884498</v>
      </c>
      <c r="G4" s="1">
        <v>1268</v>
      </c>
      <c r="H4" s="2">
        <v>1.80349320134266E-2</v>
      </c>
      <c r="I4" s="2">
        <v>4.6171044055478101E-3</v>
      </c>
    </row>
    <row r="5" spans="1:9" x14ac:dyDescent="0.35">
      <c r="A5" s="19">
        <v>45416</v>
      </c>
      <c r="B5" t="s">
        <v>374</v>
      </c>
      <c r="C5" t="s">
        <v>10</v>
      </c>
      <c r="D5" s="1">
        <v>60395</v>
      </c>
      <c r="E5" s="1">
        <v>25446</v>
      </c>
      <c r="F5" s="2">
        <v>0.42132626873085499</v>
      </c>
      <c r="G5" s="1">
        <v>1571</v>
      </c>
      <c r="H5" s="2">
        <v>6.1738583667374003E-2</v>
      </c>
      <c r="I5" s="2">
        <v>2.60120870933024E-2</v>
      </c>
    </row>
    <row r="6" spans="1:9" x14ac:dyDescent="0.35">
      <c r="A6" s="19">
        <v>45416</v>
      </c>
      <c r="B6" t="s">
        <v>374</v>
      </c>
      <c r="C6" t="s">
        <v>11</v>
      </c>
      <c r="D6" s="1">
        <v>6419</v>
      </c>
      <c r="E6" s="1">
        <v>3068</v>
      </c>
      <c r="F6" s="2">
        <v>0.47795606792335299</v>
      </c>
      <c r="G6" s="1">
        <v>247</v>
      </c>
      <c r="H6" s="2">
        <v>8.0508474576271194E-2</v>
      </c>
      <c r="I6" s="2">
        <v>3.8479513942981797E-2</v>
      </c>
    </row>
    <row r="7" spans="1:9" x14ac:dyDescent="0.35">
      <c r="A7" s="19">
        <v>45417</v>
      </c>
      <c r="B7" t="s">
        <v>375</v>
      </c>
      <c r="C7" t="s">
        <v>10</v>
      </c>
      <c r="D7" s="1">
        <v>249996</v>
      </c>
      <c r="E7" s="1">
        <v>87306</v>
      </c>
      <c r="F7" s="2">
        <v>0.34922958767340301</v>
      </c>
      <c r="G7" s="1">
        <v>1301</v>
      </c>
      <c r="H7" s="2">
        <v>1.49016104276911E-2</v>
      </c>
      <c r="I7" s="2">
        <v>5.2040832653322501E-3</v>
      </c>
    </row>
    <row r="8" spans="1:9" x14ac:dyDescent="0.35">
      <c r="A8" s="19">
        <v>45419</v>
      </c>
      <c r="B8" t="s">
        <v>376</v>
      </c>
      <c r="C8" t="s">
        <v>10</v>
      </c>
      <c r="D8" s="1">
        <v>1342182</v>
      </c>
      <c r="E8" s="1">
        <v>469103</v>
      </c>
      <c r="F8" s="2">
        <v>0.34950774187107297</v>
      </c>
      <c r="G8" s="1">
        <v>5726</v>
      </c>
      <c r="H8" s="2">
        <v>1.22062745281953E-2</v>
      </c>
      <c r="I8" s="2">
        <v>4.2661874470079301E-3</v>
      </c>
    </row>
    <row r="9" spans="1:9" x14ac:dyDescent="0.35">
      <c r="A9" s="19">
        <v>45419</v>
      </c>
      <c r="B9" t="s">
        <v>376</v>
      </c>
      <c r="C9" t="s">
        <v>11</v>
      </c>
      <c r="D9" s="1">
        <v>95129</v>
      </c>
      <c r="E9" s="1">
        <v>31570</v>
      </c>
      <c r="F9" s="2">
        <v>0.33186515153107898</v>
      </c>
      <c r="G9" s="1">
        <v>482</v>
      </c>
      <c r="H9" s="2">
        <v>1.5267659170098201E-2</v>
      </c>
      <c r="I9" s="2">
        <v>5.0668040240095004E-3</v>
      </c>
    </row>
    <row r="10" spans="1:9" x14ac:dyDescent="0.35">
      <c r="A10" s="19">
        <v>45420</v>
      </c>
      <c r="B10" t="s">
        <v>377</v>
      </c>
      <c r="C10" t="s">
        <v>10</v>
      </c>
      <c r="D10" s="1">
        <v>6174353</v>
      </c>
      <c r="E10" s="1">
        <v>2013964</v>
      </c>
      <c r="F10" s="2">
        <v>0.326182192692902</v>
      </c>
      <c r="G10" s="1">
        <v>18778</v>
      </c>
      <c r="H10" s="2">
        <v>9.3239005265238102E-3</v>
      </c>
      <c r="I10" s="2">
        <v>3.0412903181920399E-3</v>
      </c>
    </row>
    <row r="11" spans="1:9" x14ac:dyDescent="0.35">
      <c r="A11" s="19">
        <v>45420</v>
      </c>
      <c r="B11" t="s">
        <v>377</v>
      </c>
      <c r="C11" t="s">
        <v>11</v>
      </c>
      <c r="D11" s="1">
        <v>394948</v>
      </c>
      <c r="E11" s="1">
        <v>117886</v>
      </c>
      <c r="F11" s="2">
        <v>0.29848486383017497</v>
      </c>
      <c r="G11" s="1">
        <v>1315</v>
      </c>
      <c r="H11" s="2">
        <v>1.11548445107986E-2</v>
      </c>
      <c r="I11" s="2">
        <v>3.3295522448524898E-3</v>
      </c>
    </row>
    <row r="12" spans="1:9" x14ac:dyDescent="0.35">
      <c r="A12" s="19">
        <v>45420</v>
      </c>
      <c r="B12" t="s">
        <v>378</v>
      </c>
      <c r="C12" t="s">
        <v>74</v>
      </c>
      <c r="D12" s="1">
        <v>7975</v>
      </c>
      <c r="E12" s="1">
        <v>2860</v>
      </c>
      <c r="F12" s="2">
        <v>0.35862068965517202</v>
      </c>
      <c r="G12" s="1">
        <v>45</v>
      </c>
      <c r="H12" s="2">
        <v>1.5734265734265701E-2</v>
      </c>
      <c r="I12" s="2">
        <v>5.6426332288401198E-3</v>
      </c>
    </row>
    <row r="13" spans="1:9" x14ac:dyDescent="0.35">
      <c r="A13" s="19">
        <v>45420</v>
      </c>
      <c r="B13" t="s">
        <v>378</v>
      </c>
      <c r="C13" t="s">
        <v>72</v>
      </c>
      <c r="D13" s="1">
        <v>153529</v>
      </c>
      <c r="E13" s="1">
        <v>54771</v>
      </c>
      <c r="F13" s="2">
        <v>0.35674693380403699</v>
      </c>
      <c r="G13" s="1">
        <v>817</v>
      </c>
      <c r="H13" s="2">
        <v>1.4916652973288799E-2</v>
      </c>
      <c r="I13" s="2">
        <v>5.3214702108396496E-3</v>
      </c>
    </row>
    <row r="14" spans="1:9" x14ac:dyDescent="0.35">
      <c r="A14" s="19">
        <v>45420</v>
      </c>
      <c r="B14" t="s">
        <v>378</v>
      </c>
      <c r="C14" t="s">
        <v>75</v>
      </c>
      <c r="D14" s="1">
        <v>696</v>
      </c>
      <c r="E14" s="1">
        <v>279</v>
      </c>
      <c r="F14" s="2">
        <v>0.40086206896551702</v>
      </c>
      <c r="G14" s="1">
        <v>0</v>
      </c>
      <c r="H14" s="2">
        <v>0</v>
      </c>
      <c r="I14" s="2">
        <v>0</v>
      </c>
    </row>
    <row r="15" spans="1:9" x14ac:dyDescent="0.35">
      <c r="A15" s="19">
        <v>45420</v>
      </c>
      <c r="B15" t="s">
        <v>378</v>
      </c>
      <c r="C15" t="s">
        <v>73</v>
      </c>
      <c r="D15" s="1">
        <v>12795</v>
      </c>
      <c r="E15" s="1">
        <v>4852</v>
      </c>
      <c r="F15" s="2">
        <v>0.37921062915201198</v>
      </c>
      <c r="G15" s="1">
        <v>100</v>
      </c>
      <c r="H15" s="2">
        <v>2.06100577081616E-2</v>
      </c>
      <c r="I15" s="2">
        <v>7.81555295037124E-3</v>
      </c>
    </row>
    <row r="16" spans="1:9" x14ac:dyDescent="0.35">
      <c r="A16" s="19">
        <v>45421</v>
      </c>
      <c r="B16" t="s">
        <v>379</v>
      </c>
      <c r="C16" t="s">
        <v>325</v>
      </c>
      <c r="D16" s="1">
        <v>862852</v>
      </c>
      <c r="E16" s="1">
        <v>279942</v>
      </c>
      <c r="F16" s="3">
        <v>0.32440000000000002</v>
      </c>
      <c r="G16" s="1">
        <v>2538</v>
      </c>
      <c r="H16" s="3">
        <v>9.1000000000000004E-3</v>
      </c>
      <c r="I16" s="3">
        <v>2.8999999999999998E-3</v>
      </c>
    </row>
    <row r="17" spans="1:9" x14ac:dyDescent="0.35">
      <c r="A17" s="19">
        <v>45421</v>
      </c>
      <c r="B17" t="s">
        <v>380</v>
      </c>
      <c r="C17" t="s">
        <v>327</v>
      </c>
      <c r="D17" s="1">
        <v>54835</v>
      </c>
      <c r="E17" s="1">
        <v>16522</v>
      </c>
      <c r="F17" s="3">
        <v>0.30130000000000001</v>
      </c>
      <c r="G17">
        <v>141</v>
      </c>
      <c r="H17" s="3">
        <v>8.5000000000000006E-3</v>
      </c>
      <c r="I17" s="3">
        <v>2.5999999999999999E-3</v>
      </c>
    </row>
    <row r="18" spans="1:9" x14ac:dyDescent="0.35">
      <c r="A18" s="19">
        <v>45421</v>
      </c>
      <c r="B18" t="s">
        <v>367</v>
      </c>
      <c r="C18" t="s">
        <v>253</v>
      </c>
      <c r="D18" s="1">
        <v>89416</v>
      </c>
      <c r="E18" s="1">
        <v>29879</v>
      </c>
      <c r="F18" s="3">
        <v>0.3342</v>
      </c>
      <c r="G18">
        <v>203</v>
      </c>
      <c r="H18" s="3">
        <v>6.7999999999999996E-3</v>
      </c>
      <c r="I18" s="3">
        <v>2.3E-3</v>
      </c>
    </row>
    <row r="19" spans="1:9" x14ac:dyDescent="0.35">
      <c r="A19" s="19">
        <v>45421</v>
      </c>
      <c r="B19" t="s">
        <v>368</v>
      </c>
      <c r="C19" t="s">
        <v>255</v>
      </c>
      <c r="D19" s="1">
        <v>5527</v>
      </c>
      <c r="E19" s="1">
        <v>1828</v>
      </c>
      <c r="F19" s="3">
        <v>0.33069999999999999</v>
      </c>
      <c r="G19">
        <v>18</v>
      </c>
      <c r="H19" s="3">
        <v>9.7999999999999997E-3</v>
      </c>
      <c r="I19" s="3">
        <v>3.3E-3</v>
      </c>
    </row>
    <row r="20" spans="1:9" ht="13.4" customHeight="1" x14ac:dyDescent="0.35">
      <c r="A20" s="19">
        <v>45421</v>
      </c>
      <c r="B20" t="s">
        <v>381</v>
      </c>
      <c r="C20" t="s">
        <v>74</v>
      </c>
      <c r="D20" s="1">
        <v>11002</v>
      </c>
      <c r="E20" s="1">
        <v>3646</v>
      </c>
      <c r="F20" s="2">
        <v>0.331394291946919</v>
      </c>
      <c r="G20" s="1">
        <v>52</v>
      </c>
      <c r="H20" s="2">
        <v>1.42622051563357E-2</v>
      </c>
      <c r="I20" s="2">
        <v>4.7264133793855703E-3</v>
      </c>
    </row>
    <row r="21" spans="1:9" x14ac:dyDescent="0.35">
      <c r="A21" s="19">
        <v>45421</v>
      </c>
      <c r="B21" t="s">
        <v>381</v>
      </c>
      <c r="C21" t="s">
        <v>72</v>
      </c>
      <c r="D21" s="1">
        <v>207893</v>
      </c>
      <c r="E21" s="1">
        <v>69622</v>
      </c>
      <c r="F21" s="2">
        <v>0.33489343075524403</v>
      </c>
      <c r="G21" s="1">
        <v>853</v>
      </c>
      <c r="H21" s="2">
        <v>1.22518744075149E-2</v>
      </c>
      <c r="I21" s="2">
        <v>4.1030722535150303E-3</v>
      </c>
    </row>
    <row r="22" spans="1:9" x14ac:dyDescent="0.35">
      <c r="A22" s="19">
        <v>45421</v>
      </c>
      <c r="B22" t="s">
        <v>381</v>
      </c>
      <c r="C22" t="s">
        <v>75</v>
      </c>
      <c r="D22" s="1">
        <v>1084</v>
      </c>
      <c r="E22" s="1">
        <v>360</v>
      </c>
      <c r="F22" s="2">
        <v>0.33210332103321</v>
      </c>
      <c r="G22" s="1">
        <v>2</v>
      </c>
      <c r="H22" s="2">
        <v>5.5555555555555601E-3</v>
      </c>
      <c r="I22" s="2">
        <v>1.8450184501845001E-3</v>
      </c>
    </row>
    <row r="23" spans="1:9" x14ac:dyDescent="0.35">
      <c r="A23" s="19">
        <v>45421</v>
      </c>
      <c r="B23" t="s">
        <v>381</v>
      </c>
      <c r="C23" t="s">
        <v>73</v>
      </c>
      <c r="D23" s="1">
        <v>20543</v>
      </c>
      <c r="E23" s="1">
        <v>6943</v>
      </c>
      <c r="F23" s="2">
        <v>0.33797400574404901</v>
      </c>
      <c r="G23" s="1">
        <v>103</v>
      </c>
      <c r="H23" s="2">
        <v>1.4835085697825099E-2</v>
      </c>
      <c r="I23" s="2">
        <v>5.0138733388502199E-3</v>
      </c>
    </row>
    <row r="24" spans="1:9" x14ac:dyDescent="0.35">
      <c r="A24" s="19">
        <v>45421</v>
      </c>
      <c r="B24" t="s">
        <v>382</v>
      </c>
      <c r="C24" t="s">
        <v>383</v>
      </c>
      <c r="D24" s="1">
        <v>2614251</v>
      </c>
      <c r="E24" s="1">
        <v>862606</v>
      </c>
      <c r="F24" s="2">
        <v>0.32996296071035303</v>
      </c>
      <c r="G24" s="1">
        <v>3623</v>
      </c>
      <c r="H24" s="2">
        <v>4.2000635284243299E-3</v>
      </c>
      <c r="I24" s="2">
        <v>1.3858653970104599E-3</v>
      </c>
    </row>
    <row r="25" spans="1:9" x14ac:dyDescent="0.35">
      <c r="A25" s="19">
        <v>45421</v>
      </c>
      <c r="B25" t="s">
        <v>384</v>
      </c>
      <c r="C25" t="s">
        <v>385</v>
      </c>
      <c r="D25" s="1">
        <v>24488</v>
      </c>
      <c r="E25" s="1">
        <v>8930</v>
      </c>
      <c r="F25" s="2">
        <v>0.36466840901666098</v>
      </c>
      <c r="G25" s="1">
        <v>901</v>
      </c>
      <c r="H25" s="2">
        <v>0.10089585666293401</v>
      </c>
      <c r="I25" s="2">
        <v>3.6793531525645198E-2</v>
      </c>
    </row>
    <row r="26" spans="1:9" x14ac:dyDescent="0.35">
      <c r="A26" s="19">
        <v>45421</v>
      </c>
      <c r="B26" t="s">
        <v>384</v>
      </c>
      <c r="C26" t="s">
        <v>386</v>
      </c>
      <c r="D26" s="1">
        <v>7535</v>
      </c>
      <c r="E26" s="1">
        <v>2971</v>
      </c>
      <c r="F26" s="2">
        <v>0.394293297942933</v>
      </c>
      <c r="G26" s="1">
        <v>474</v>
      </c>
      <c r="H26" s="2">
        <v>0.15954224166947201</v>
      </c>
      <c r="I26" s="2">
        <v>6.2906436629064394E-2</v>
      </c>
    </row>
    <row r="27" spans="1:9" ht="15" thickBot="1" x14ac:dyDescent="0.4">
      <c r="A27" s="20" t="s">
        <v>35</v>
      </c>
      <c r="D27" s="10">
        <f>SUM(D2:D26)</f>
        <v>17364671</v>
      </c>
      <c r="E27" s="10">
        <f>SUM(E2:E26)</f>
        <v>5497466</v>
      </c>
      <c r="F27" s="27">
        <f>AVERAGE(F2:F26)</f>
        <v>0.34624207078317903</v>
      </c>
      <c r="G27" s="10">
        <f>SUM(G2:G26)</f>
        <v>59526</v>
      </c>
      <c r="H27" s="27">
        <f>AVERAGE(H2:H26)</f>
        <v>2.6074890060280888E-2</v>
      </c>
      <c r="I27" s="27">
        <f>AVERAGE(I2:I26)</f>
        <v>9.8759448332678013E-3</v>
      </c>
    </row>
    <row r="28" spans="1:9" ht="15" thickBot="1" x14ac:dyDescent="0.4">
      <c r="A28" s="138" t="s">
        <v>302</v>
      </c>
      <c r="B28" s="138"/>
      <c r="C28" s="138"/>
      <c r="D28" s="138"/>
      <c r="E28" s="138"/>
      <c r="F28" s="138"/>
      <c r="G28" s="138"/>
      <c r="H28" s="138"/>
      <c r="I28" s="138"/>
    </row>
    <row r="29" spans="1:9" x14ac:dyDescent="0.35">
      <c r="A29" s="24" t="s">
        <v>0</v>
      </c>
      <c r="B29" s="25" t="s">
        <v>1</v>
      </c>
      <c r="C29" s="25" t="s">
        <v>2</v>
      </c>
      <c r="D29" s="25" t="s">
        <v>3</v>
      </c>
      <c r="E29" s="25" t="s">
        <v>4</v>
      </c>
      <c r="F29" s="25" t="s">
        <v>5</v>
      </c>
      <c r="G29" s="25" t="s">
        <v>6</v>
      </c>
      <c r="H29" s="25" t="s">
        <v>7</v>
      </c>
      <c r="I29" s="26" t="s">
        <v>8</v>
      </c>
    </row>
    <row r="30" spans="1:9" x14ac:dyDescent="0.35">
      <c r="A30" s="5" t="s">
        <v>36</v>
      </c>
      <c r="B30" s="6"/>
      <c r="C30" s="6"/>
      <c r="D30" s="6"/>
      <c r="E30" s="6"/>
      <c r="F30" s="6"/>
      <c r="G30" s="6"/>
      <c r="H30" s="6"/>
      <c r="I30" s="7"/>
    </row>
    <row r="31" spans="1:9" x14ac:dyDescent="0.35">
      <c r="A31" s="8">
        <v>45415</v>
      </c>
      <c r="B31" t="s">
        <v>373</v>
      </c>
      <c r="C31" t="s">
        <v>10</v>
      </c>
      <c r="D31" s="1">
        <v>404139</v>
      </c>
      <c r="E31" s="1">
        <v>144273</v>
      </c>
      <c r="F31" s="2">
        <v>0.35698856086643499</v>
      </c>
      <c r="G31" s="1">
        <v>2590</v>
      </c>
      <c r="H31" s="2">
        <v>1.7952076965197902E-2</v>
      </c>
      <c r="I31" s="9">
        <v>6.4086861203694803E-3</v>
      </c>
    </row>
    <row r="32" spans="1:9" x14ac:dyDescent="0.35">
      <c r="A32" s="8">
        <v>45415</v>
      </c>
      <c r="B32" t="s">
        <v>370</v>
      </c>
      <c r="C32" t="s">
        <v>10</v>
      </c>
      <c r="D32" s="1">
        <v>4288058</v>
      </c>
      <c r="E32" s="1">
        <v>1188531</v>
      </c>
      <c r="F32" s="2">
        <v>0.27717232369524902</v>
      </c>
      <c r="G32" s="1">
        <v>16378</v>
      </c>
      <c r="H32" s="2">
        <v>1.3780036027667799E-2</v>
      </c>
      <c r="I32" s="9">
        <v>3.8194446063929202E-3</v>
      </c>
    </row>
    <row r="33" spans="1:9" x14ac:dyDescent="0.35">
      <c r="A33" s="8">
        <v>45415</v>
      </c>
      <c r="B33" t="s">
        <v>370</v>
      </c>
      <c r="C33" t="s">
        <v>11</v>
      </c>
      <c r="D33" s="1">
        <v>274631</v>
      </c>
      <c r="E33" s="1">
        <v>70308</v>
      </c>
      <c r="F33" s="2">
        <v>0.25600897203884498</v>
      </c>
      <c r="G33" s="1">
        <v>1268</v>
      </c>
      <c r="H33" s="2">
        <v>1.80349320134266E-2</v>
      </c>
      <c r="I33" s="9">
        <v>4.6171044055478101E-3</v>
      </c>
    </row>
    <row r="34" spans="1:9" x14ac:dyDescent="0.35">
      <c r="A34" s="8">
        <v>45419</v>
      </c>
      <c r="B34" t="s">
        <v>376</v>
      </c>
      <c r="C34" t="s">
        <v>10</v>
      </c>
      <c r="D34" s="1">
        <v>1342182</v>
      </c>
      <c r="E34" s="1">
        <v>469103</v>
      </c>
      <c r="F34" s="2">
        <v>0.34950774187107297</v>
      </c>
      <c r="G34" s="1">
        <v>5726</v>
      </c>
      <c r="H34" s="2">
        <v>1.22062745281953E-2</v>
      </c>
      <c r="I34" s="9">
        <v>4.2661874470079301E-3</v>
      </c>
    </row>
    <row r="35" spans="1:9" x14ac:dyDescent="0.35">
      <c r="A35" s="8">
        <v>45419</v>
      </c>
      <c r="B35" t="s">
        <v>376</v>
      </c>
      <c r="C35" t="s">
        <v>11</v>
      </c>
      <c r="D35" s="1">
        <v>95129</v>
      </c>
      <c r="E35" s="1">
        <v>31570</v>
      </c>
      <c r="F35" s="2">
        <v>0.33186515153107898</v>
      </c>
      <c r="G35" s="1">
        <v>482</v>
      </c>
      <c r="H35" s="2">
        <v>1.5267659170098201E-2</v>
      </c>
      <c r="I35" s="9">
        <v>5.0668040240095004E-3</v>
      </c>
    </row>
    <row r="36" spans="1:9" ht="15" thickBot="1" x14ac:dyDescent="0.4">
      <c r="A36" s="12" t="s">
        <v>35</v>
      </c>
      <c r="B36" s="4"/>
      <c r="C36" s="4"/>
      <c r="D36" s="13">
        <f>SUM(D31:D35)</f>
        <v>6404139</v>
      </c>
      <c r="E36" s="13">
        <f>SUM(E31:E35)</f>
        <v>1903785</v>
      </c>
      <c r="F36" s="14">
        <f>AVERAGE(F31:F35)</f>
        <v>0.31430855000053615</v>
      </c>
      <c r="G36" s="13">
        <f>SUM(G31:G35)</f>
        <v>26444</v>
      </c>
      <c r="H36" s="14">
        <f>AVERAGE(H31:H35)</f>
        <v>1.5448195740917159E-2</v>
      </c>
      <c r="I36" s="15">
        <f>AVERAGE(I31:I35)</f>
        <v>4.8356453206655275E-3</v>
      </c>
    </row>
    <row r="37" spans="1:9" ht="3" customHeight="1" thickBot="1" x14ac:dyDescent="0.4">
      <c r="A37" s="139"/>
      <c r="B37" s="138"/>
      <c r="C37" s="138"/>
      <c r="D37" s="138"/>
      <c r="E37" s="138"/>
      <c r="F37" s="138"/>
      <c r="G37" s="138"/>
      <c r="H37" s="138"/>
      <c r="I37" s="140"/>
    </row>
    <row r="38" spans="1:9" x14ac:dyDescent="0.35">
      <c r="A38" s="16" t="s">
        <v>37</v>
      </c>
      <c r="B38" s="17"/>
      <c r="C38" s="17"/>
      <c r="D38" s="17"/>
      <c r="E38" s="17"/>
      <c r="F38" s="17"/>
      <c r="G38" s="17"/>
      <c r="H38" s="17"/>
      <c r="I38" s="18"/>
    </row>
    <row r="39" spans="1:9" x14ac:dyDescent="0.35">
      <c r="A39" s="8">
        <v>45416</v>
      </c>
      <c r="B39" t="s">
        <v>374</v>
      </c>
      <c r="C39" t="s">
        <v>10</v>
      </c>
      <c r="D39" s="1">
        <v>60395</v>
      </c>
      <c r="E39" s="1">
        <v>25446</v>
      </c>
      <c r="F39" s="2">
        <v>0.42132626873085499</v>
      </c>
      <c r="G39" s="1">
        <v>1571</v>
      </c>
      <c r="H39" s="2">
        <v>6.1738583667374003E-2</v>
      </c>
      <c r="I39" s="9">
        <v>2.60120870933024E-2</v>
      </c>
    </row>
    <row r="40" spans="1:9" x14ac:dyDescent="0.35">
      <c r="A40" s="8">
        <v>45416</v>
      </c>
      <c r="B40" t="s">
        <v>374</v>
      </c>
      <c r="C40" t="s">
        <v>11</v>
      </c>
      <c r="D40" s="1">
        <v>6419</v>
      </c>
      <c r="E40" s="1">
        <v>3068</v>
      </c>
      <c r="F40" s="2">
        <v>0.47795606792335299</v>
      </c>
      <c r="G40" s="1">
        <v>247</v>
      </c>
      <c r="H40" s="2">
        <v>8.0508474576271194E-2</v>
      </c>
      <c r="I40" s="9">
        <v>3.8479513942981797E-2</v>
      </c>
    </row>
    <row r="41" spans="1:9" x14ac:dyDescent="0.35">
      <c r="A41" s="8">
        <v>45417</v>
      </c>
      <c r="B41" t="s">
        <v>375</v>
      </c>
      <c r="C41" t="s">
        <v>10</v>
      </c>
      <c r="D41" s="1">
        <v>249996</v>
      </c>
      <c r="E41" s="1">
        <v>87306</v>
      </c>
      <c r="F41" s="2">
        <v>0.34922958767340301</v>
      </c>
      <c r="G41" s="1">
        <v>1301</v>
      </c>
      <c r="H41" s="2">
        <v>1.49016104276911E-2</v>
      </c>
      <c r="I41" s="9">
        <v>5.2040832653322501E-3</v>
      </c>
    </row>
    <row r="42" spans="1:9" x14ac:dyDescent="0.35">
      <c r="A42" s="8">
        <v>45420</v>
      </c>
      <c r="B42" t="s">
        <v>377</v>
      </c>
      <c r="C42" t="s">
        <v>10</v>
      </c>
      <c r="D42" s="1">
        <v>6174353</v>
      </c>
      <c r="E42" s="1">
        <v>2013964</v>
      </c>
      <c r="F42" s="2">
        <v>0.326182192692902</v>
      </c>
      <c r="G42" s="1">
        <v>18778</v>
      </c>
      <c r="H42" s="2">
        <v>9.3239005265238102E-3</v>
      </c>
      <c r="I42" s="9">
        <v>3.0412903181920399E-3</v>
      </c>
    </row>
    <row r="43" spans="1:9" x14ac:dyDescent="0.35">
      <c r="A43" s="8">
        <v>45420</v>
      </c>
      <c r="B43" t="s">
        <v>377</v>
      </c>
      <c r="C43" t="s">
        <v>11</v>
      </c>
      <c r="D43" s="1">
        <v>394948</v>
      </c>
      <c r="E43" s="1">
        <v>117886</v>
      </c>
      <c r="F43" s="2">
        <v>0.29848486383017497</v>
      </c>
      <c r="G43" s="1">
        <v>1315</v>
      </c>
      <c r="H43" s="2">
        <v>1.11548445107986E-2</v>
      </c>
      <c r="I43" s="9">
        <v>3.3295522448524898E-3</v>
      </c>
    </row>
    <row r="44" spans="1:9" x14ac:dyDescent="0.35">
      <c r="A44" s="8">
        <v>45420</v>
      </c>
      <c r="B44" t="s">
        <v>378</v>
      </c>
      <c r="C44" t="s">
        <v>74</v>
      </c>
      <c r="D44" s="1">
        <v>7975</v>
      </c>
      <c r="E44" s="1">
        <v>2860</v>
      </c>
      <c r="F44" s="2">
        <v>0.35862068965517202</v>
      </c>
      <c r="G44" s="1">
        <v>45</v>
      </c>
      <c r="H44" s="2">
        <v>1.5734265734265701E-2</v>
      </c>
      <c r="I44" s="9">
        <v>5.6426332288401198E-3</v>
      </c>
    </row>
    <row r="45" spans="1:9" x14ac:dyDescent="0.35">
      <c r="A45" s="8">
        <v>45420</v>
      </c>
      <c r="B45" t="s">
        <v>378</v>
      </c>
      <c r="C45" t="s">
        <v>72</v>
      </c>
      <c r="D45" s="1">
        <v>153529</v>
      </c>
      <c r="E45" s="1">
        <v>54771</v>
      </c>
      <c r="F45" s="2">
        <v>0.35674693380403699</v>
      </c>
      <c r="G45" s="1">
        <v>817</v>
      </c>
      <c r="H45" s="2">
        <v>1.4916652973288799E-2</v>
      </c>
      <c r="I45" s="9">
        <v>5.3214702108396496E-3</v>
      </c>
    </row>
    <row r="46" spans="1:9" x14ac:dyDescent="0.35">
      <c r="A46" s="8">
        <v>45420</v>
      </c>
      <c r="B46" t="s">
        <v>378</v>
      </c>
      <c r="C46" t="s">
        <v>75</v>
      </c>
      <c r="D46" s="1">
        <v>696</v>
      </c>
      <c r="E46" s="1">
        <v>279</v>
      </c>
      <c r="F46" s="2">
        <v>0.40086206896551702</v>
      </c>
      <c r="G46" s="1">
        <v>0</v>
      </c>
      <c r="H46" s="2">
        <v>0</v>
      </c>
      <c r="I46" s="9">
        <v>0</v>
      </c>
    </row>
    <row r="47" spans="1:9" x14ac:dyDescent="0.35">
      <c r="A47" s="8">
        <v>45420</v>
      </c>
      <c r="B47" t="s">
        <v>378</v>
      </c>
      <c r="C47" t="s">
        <v>73</v>
      </c>
      <c r="D47" s="1">
        <v>12795</v>
      </c>
      <c r="E47" s="1">
        <v>4852</v>
      </c>
      <c r="F47" s="2">
        <v>0.37921062915201198</v>
      </c>
      <c r="G47" s="1">
        <v>100</v>
      </c>
      <c r="H47" s="2">
        <v>2.06100577081616E-2</v>
      </c>
      <c r="I47" s="9">
        <v>7.81555295037124E-3</v>
      </c>
    </row>
    <row r="48" spans="1:9" ht="13.4" customHeight="1" x14ac:dyDescent="0.35">
      <c r="A48" s="8">
        <v>45421</v>
      </c>
      <c r="B48" t="s">
        <v>381</v>
      </c>
      <c r="C48" t="s">
        <v>74</v>
      </c>
      <c r="D48" s="1">
        <v>11002</v>
      </c>
      <c r="E48" s="1">
        <v>3646</v>
      </c>
      <c r="F48" s="2">
        <v>0.331394291946919</v>
      </c>
      <c r="G48" s="1">
        <v>52</v>
      </c>
      <c r="H48" s="2">
        <v>1.42622051563357E-2</v>
      </c>
      <c r="I48" s="9">
        <v>4.7264133793855703E-3</v>
      </c>
    </row>
    <row r="49" spans="1:9" x14ac:dyDescent="0.35">
      <c r="A49" s="8">
        <v>45421</v>
      </c>
      <c r="B49" t="s">
        <v>381</v>
      </c>
      <c r="C49" t="s">
        <v>72</v>
      </c>
      <c r="D49" s="1">
        <v>207893</v>
      </c>
      <c r="E49" s="1">
        <v>69622</v>
      </c>
      <c r="F49" s="2">
        <v>0.33489343075524403</v>
      </c>
      <c r="G49" s="1">
        <v>853</v>
      </c>
      <c r="H49" s="2">
        <v>1.22518744075149E-2</v>
      </c>
      <c r="I49" s="9">
        <v>4.1030722535150303E-3</v>
      </c>
    </row>
    <row r="50" spans="1:9" x14ac:dyDescent="0.35">
      <c r="A50" s="8">
        <v>45421</v>
      </c>
      <c r="B50" t="s">
        <v>381</v>
      </c>
      <c r="C50" t="s">
        <v>75</v>
      </c>
      <c r="D50" s="1">
        <v>1084</v>
      </c>
      <c r="E50" s="1">
        <v>360</v>
      </c>
      <c r="F50" s="2">
        <v>0.33210332103321</v>
      </c>
      <c r="G50" s="1">
        <v>2</v>
      </c>
      <c r="H50" s="2">
        <v>5.5555555555555601E-3</v>
      </c>
      <c r="I50" s="9">
        <v>1.8450184501845001E-3</v>
      </c>
    </row>
    <row r="51" spans="1:9" x14ac:dyDescent="0.35">
      <c r="A51" s="8">
        <v>45421</v>
      </c>
      <c r="B51" t="s">
        <v>381</v>
      </c>
      <c r="C51" t="s">
        <v>73</v>
      </c>
      <c r="D51" s="1">
        <v>20543</v>
      </c>
      <c r="E51" s="1">
        <v>6943</v>
      </c>
      <c r="F51" s="2">
        <v>0.33797400574404901</v>
      </c>
      <c r="G51" s="1">
        <v>103</v>
      </c>
      <c r="H51" s="2">
        <v>1.4835085697825099E-2</v>
      </c>
      <c r="I51" s="9">
        <v>5.0138733388502199E-3</v>
      </c>
    </row>
    <row r="52" spans="1:9" x14ac:dyDescent="0.35">
      <c r="A52" s="8">
        <v>45421</v>
      </c>
      <c r="B52" t="s">
        <v>382</v>
      </c>
      <c r="C52" t="s">
        <v>383</v>
      </c>
      <c r="D52" s="1">
        <v>2614251</v>
      </c>
      <c r="E52" s="1">
        <v>862606</v>
      </c>
      <c r="F52" s="2">
        <v>0.32996296071035303</v>
      </c>
      <c r="G52" s="1">
        <v>3623</v>
      </c>
      <c r="H52" s="2">
        <v>4.2000635284243299E-3</v>
      </c>
      <c r="I52" s="9">
        <v>1.3858653970104599E-3</v>
      </c>
    </row>
    <row r="53" spans="1:9" x14ac:dyDescent="0.35">
      <c r="A53" s="8">
        <v>45421</v>
      </c>
      <c r="B53" t="s">
        <v>384</v>
      </c>
      <c r="C53" t="s">
        <v>385</v>
      </c>
      <c r="D53" s="1">
        <v>24488</v>
      </c>
      <c r="E53" s="1">
        <v>8930</v>
      </c>
      <c r="F53" s="2">
        <v>0.36466840901666098</v>
      </c>
      <c r="G53" s="1">
        <v>901</v>
      </c>
      <c r="H53" s="2">
        <v>0.10089585666293401</v>
      </c>
      <c r="I53" s="9">
        <v>3.6793531525645198E-2</v>
      </c>
    </row>
    <row r="54" spans="1:9" x14ac:dyDescent="0.35">
      <c r="A54" s="8">
        <v>45421</v>
      </c>
      <c r="B54" t="s">
        <v>384</v>
      </c>
      <c r="C54" t="s">
        <v>386</v>
      </c>
      <c r="D54" s="1">
        <v>7535</v>
      </c>
      <c r="E54" s="1">
        <v>2971</v>
      </c>
      <c r="F54" s="2">
        <v>0.394293297942933</v>
      </c>
      <c r="G54" s="1">
        <v>474</v>
      </c>
      <c r="H54" s="2">
        <v>0.15954224166947201</v>
      </c>
      <c r="I54" s="9">
        <v>6.2906436629064394E-2</v>
      </c>
    </row>
    <row r="55" spans="1:9" ht="15" thickBot="1" x14ac:dyDescent="0.4">
      <c r="A55" s="12" t="s">
        <v>35</v>
      </c>
      <c r="B55" s="4"/>
      <c r="C55" s="4"/>
      <c r="D55" s="13">
        <f>SUM(D39:D54)</f>
        <v>9947902</v>
      </c>
      <c r="E55" s="13">
        <f>SUM(E39:E54)</f>
        <v>3265510</v>
      </c>
      <c r="F55" s="14">
        <f>AVERAGE(F39:F54)</f>
        <v>0.36211931372354972</v>
      </c>
      <c r="G55" s="13">
        <f>SUM(G39:G54)</f>
        <v>30182</v>
      </c>
      <c r="H55" s="14">
        <f>AVERAGE(H39:H54)</f>
        <v>3.3776954550152276E-2</v>
      </c>
      <c r="I55" s="15">
        <f>AVERAGE(I39:I54)</f>
        <v>1.3226274639272961E-2</v>
      </c>
    </row>
    <row r="56" spans="1:9" ht="3" customHeight="1" thickBot="1" x14ac:dyDescent="0.4">
      <c r="A56" s="139"/>
      <c r="B56" s="138"/>
      <c r="C56" s="138"/>
      <c r="D56" s="138"/>
      <c r="E56" s="138"/>
      <c r="F56" s="138"/>
      <c r="G56" s="138"/>
      <c r="H56" s="138"/>
      <c r="I56" s="140"/>
    </row>
    <row r="57" spans="1:9" x14ac:dyDescent="0.35">
      <c r="A57" s="16" t="s">
        <v>38</v>
      </c>
      <c r="B57" s="17"/>
      <c r="C57" s="17"/>
      <c r="D57" s="17"/>
      <c r="E57" s="17"/>
      <c r="F57" s="17"/>
      <c r="G57" s="17"/>
      <c r="H57" s="17"/>
      <c r="I57" s="18"/>
    </row>
    <row r="58" spans="1:9" x14ac:dyDescent="0.35">
      <c r="A58" s="8">
        <v>45421</v>
      </c>
      <c r="B58" t="s">
        <v>379</v>
      </c>
      <c r="C58" t="s">
        <v>325</v>
      </c>
      <c r="D58" s="1">
        <v>862852</v>
      </c>
      <c r="E58" s="1">
        <v>279942</v>
      </c>
      <c r="F58" s="3">
        <v>0.32440000000000002</v>
      </c>
      <c r="G58" s="1">
        <v>2538</v>
      </c>
      <c r="H58" s="3">
        <v>9.1000000000000004E-3</v>
      </c>
      <c r="I58" s="11">
        <v>2.8999999999999998E-3</v>
      </c>
    </row>
    <row r="59" spans="1:9" x14ac:dyDescent="0.35">
      <c r="A59" s="8">
        <v>45421</v>
      </c>
      <c r="B59" t="s">
        <v>380</v>
      </c>
      <c r="C59" t="s">
        <v>327</v>
      </c>
      <c r="D59" s="1">
        <v>54835</v>
      </c>
      <c r="E59" s="1">
        <v>16522</v>
      </c>
      <c r="F59" s="3">
        <v>0.30130000000000001</v>
      </c>
      <c r="G59">
        <v>141</v>
      </c>
      <c r="H59" s="3">
        <v>8.5000000000000006E-3</v>
      </c>
      <c r="I59" s="11">
        <v>2.5999999999999999E-3</v>
      </c>
    </row>
    <row r="60" spans="1:9" x14ac:dyDescent="0.35">
      <c r="A60" s="8">
        <v>45421</v>
      </c>
      <c r="B60" t="s">
        <v>367</v>
      </c>
      <c r="C60" t="s">
        <v>253</v>
      </c>
      <c r="D60" s="1">
        <v>89416</v>
      </c>
      <c r="E60" s="1">
        <v>29879</v>
      </c>
      <c r="F60" s="3">
        <v>0.3342</v>
      </c>
      <c r="G60">
        <v>203</v>
      </c>
      <c r="H60" s="3">
        <v>6.7999999999999996E-3</v>
      </c>
      <c r="I60" s="11">
        <v>2.3E-3</v>
      </c>
    </row>
    <row r="61" spans="1:9" x14ac:dyDescent="0.35">
      <c r="A61" s="8">
        <v>45421</v>
      </c>
      <c r="B61" t="s">
        <v>368</v>
      </c>
      <c r="C61" t="s">
        <v>255</v>
      </c>
      <c r="D61" s="1">
        <v>5527</v>
      </c>
      <c r="E61" s="1">
        <v>1828</v>
      </c>
      <c r="F61" s="3">
        <v>0.33069999999999999</v>
      </c>
      <c r="G61">
        <v>18</v>
      </c>
      <c r="H61" s="3">
        <v>9.7999999999999997E-3</v>
      </c>
      <c r="I61" s="11">
        <v>3.3E-3</v>
      </c>
    </row>
    <row r="62" spans="1:9" ht="15" thickBot="1" x14ac:dyDescent="0.4">
      <c r="A62" s="12" t="s">
        <v>35</v>
      </c>
      <c r="B62" s="4"/>
      <c r="C62" s="4"/>
      <c r="D62" s="13">
        <f>SUM(D58:D61)</f>
        <v>1012630</v>
      </c>
      <c r="E62" s="13">
        <f>SUM(E58:E61)</f>
        <v>328171</v>
      </c>
      <c r="F62" s="14">
        <f>AVERAGE(F58:F61)</f>
        <v>0.32264999999999999</v>
      </c>
      <c r="G62" s="13">
        <f>SUM(G58:G61)</f>
        <v>2900</v>
      </c>
      <c r="H62" s="14">
        <f>AVERAGE(H58:H61)</f>
        <v>8.5500000000000003E-3</v>
      </c>
      <c r="I62" s="15">
        <f>AVERAGE(I58:I61)</f>
        <v>2.7749999999999997E-3</v>
      </c>
    </row>
  </sheetData>
  <mergeCells count="3">
    <mergeCell ref="A28:I28"/>
    <mergeCell ref="A37:I37"/>
    <mergeCell ref="A56:I56"/>
  </mergeCells>
  <pageMargins left="0.7" right="0.7" top="0.75" bottom="0.75" header="0.3" footer="0.3"/>
  <ignoredErrors>
    <ignoredError sqref="F27:G27 F36:G36 F55:G55 F62:G62" formula="1"/>
  </ignoredErrors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5AC7-AAE4-47AB-B440-35B1C9C60644}">
  <dimension ref="A1:I70"/>
  <sheetViews>
    <sheetView workbookViewId="0">
      <selection activeCell="K19" sqref="K19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45422</v>
      </c>
      <c r="B2" t="s">
        <v>387</v>
      </c>
      <c r="C2" t="s">
        <v>10</v>
      </c>
      <c r="D2" s="1">
        <v>401556</v>
      </c>
      <c r="E2" s="1">
        <v>142411</v>
      </c>
      <c r="F2" s="2">
        <v>0.35464791959278402</v>
      </c>
      <c r="G2" s="1">
        <v>2561</v>
      </c>
      <c r="H2" s="2">
        <v>1.7983161413093099E-2</v>
      </c>
      <c r="I2" s="2">
        <v>6.3776907828547004E-3</v>
      </c>
    </row>
    <row r="3" spans="1:9" x14ac:dyDescent="0.35">
      <c r="A3" s="19">
        <v>45422</v>
      </c>
      <c r="B3" t="s">
        <v>387</v>
      </c>
      <c r="C3" t="s">
        <v>11</v>
      </c>
      <c r="D3" s="1">
        <v>21904</v>
      </c>
      <c r="E3" s="1">
        <v>7246</v>
      </c>
      <c r="F3" s="2">
        <v>0.33080715850986098</v>
      </c>
      <c r="G3" s="1">
        <v>269</v>
      </c>
      <c r="H3" s="2">
        <v>3.7123930444383099E-2</v>
      </c>
      <c r="I3" s="2">
        <v>1.22808619430241E-2</v>
      </c>
    </row>
    <row r="4" spans="1:9" x14ac:dyDescent="0.35">
      <c r="A4" s="19">
        <v>45422</v>
      </c>
      <c r="B4" t="s">
        <v>388</v>
      </c>
      <c r="C4" t="s">
        <v>10</v>
      </c>
      <c r="D4" s="1">
        <v>4731466</v>
      </c>
      <c r="E4" s="1">
        <v>1529811</v>
      </c>
      <c r="F4" s="2">
        <v>0.32332706184510301</v>
      </c>
      <c r="G4" s="1">
        <v>16371</v>
      </c>
      <c r="H4" s="2">
        <v>1.07013219280029E-2</v>
      </c>
      <c r="I4" s="2">
        <v>3.4600269768397399E-3</v>
      </c>
    </row>
    <row r="5" spans="1:9" x14ac:dyDescent="0.35">
      <c r="A5" s="19">
        <v>45422</v>
      </c>
      <c r="B5" t="s">
        <v>388</v>
      </c>
      <c r="C5" t="s">
        <v>11</v>
      </c>
      <c r="D5" s="1">
        <v>303341</v>
      </c>
      <c r="E5" s="1">
        <v>87140</v>
      </c>
      <c r="F5" s="2">
        <v>0.28726746466847503</v>
      </c>
      <c r="G5" s="1">
        <v>1185</v>
      </c>
      <c r="H5" s="2">
        <v>1.3598806518246499E-2</v>
      </c>
      <c r="I5" s="2">
        <v>3.9064946710138104E-3</v>
      </c>
    </row>
    <row r="6" spans="1:9" x14ac:dyDescent="0.35">
      <c r="A6" s="19">
        <v>45423</v>
      </c>
      <c r="B6" t="s">
        <v>389</v>
      </c>
      <c r="C6" t="s">
        <v>383</v>
      </c>
      <c r="D6" s="1">
        <v>2607597</v>
      </c>
      <c r="E6" s="1">
        <v>971909</v>
      </c>
      <c r="F6" s="2">
        <v>0.37272208857427003</v>
      </c>
      <c r="G6" s="1">
        <v>4857</v>
      </c>
      <c r="H6" s="2">
        <v>4.9973814420897402E-3</v>
      </c>
      <c r="I6" s="2">
        <v>1.86263444849799E-3</v>
      </c>
    </row>
    <row r="7" spans="1:9" x14ac:dyDescent="0.35">
      <c r="A7" s="19">
        <v>45426</v>
      </c>
      <c r="B7" t="s">
        <v>390</v>
      </c>
      <c r="C7" t="s">
        <v>10</v>
      </c>
      <c r="D7" s="1">
        <v>1333369</v>
      </c>
      <c r="E7" s="1">
        <v>471038</v>
      </c>
      <c r="F7" s="2">
        <v>0.35326905005291098</v>
      </c>
      <c r="G7" s="1">
        <v>5490</v>
      </c>
      <c r="H7" s="2">
        <v>1.1655110628017299E-2</v>
      </c>
      <c r="I7" s="2">
        <v>4.1173898598212497E-3</v>
      </c>
    </row>
    <row r="8" spans="1:9" x14ac:dyDescent="0.35">
      <c r="A8" s="19">
        <v>45426</v>
      </c>
      <c r="B8" t="s">
        <v>390</v>
      </c>
      <c r="C8" t="s">
        <v>11</v>
      </c>
      <c r="D8" s="1">
        <v>94720</v>
      </c>
      <c r="E8" s="1">
        <v>33002</v>
      </c>
      <c r="F8" s="2">
        <v>0.34841638513513501</v>
      </c>
      <c r="G8" s="1">
        <v>677</v>
      </c>
      <c r="H8" s="2">
        <v>2.0513908247985001E-2</v>
      </c>
      <c r="I8" s="2">
        <v>7.1473817567567601E-3</v>
      </c>
    </row>
    <row r="9" spans="1:9" x14ac:dyDescent="0.35">
      <c r="A9" s="19">
        <v>45427</v>
      </c>
      <c r="B9" t="s">
        <v>391</v>
      </c>
      <c r="C9" t="s">
        <v>392</v>
      </c>
      <c r="D9" s="1">
        <v>778746</v>
      </c>
      <c r="E9" s="1">
        <v>298837</v>
      </c>
      <c r="F9" s="2">
        <v>0.38374129690553799</v>
      </c>
      <c r="G9" s="1">
        <v>3913</v>
      </c>
      <c r="H9" s="2">
        <v>1.3094094774074199E-2</v>
      </c>
      <c r="I9" s="2">
        <v>5.0247449104072403E-3</v>
      </c>
    </row>
    <row r="10" spans="1:9" x14ac:dyDescent="0.35">
      <c r="A10" s="19">
        <v>45427</v>
      </c>
      <c r="B10" t="s">
        <v>391</v>
      </c>
      <c r="C10" t="s">
        <v>393</v>
      </c>
      <c r="D10" s="1">
        <v>4375555</v>
      </c>
      <c r="E10" s="1">
        <v>1403286</v>
      </c>
      <c r="F10" s="2">
        <v>0.32071040130909101</v>
      </c>
      <c r="G10" s="1">
        <v>11278</v>
      </c>
      <c r="H10" s="2">
        <v>8.0368506491192808E-3</v>
      </c>
      <c r="I10" s="2">
        <v>2.5775015969402701E-3</v>
      </c>
    </row>
    <row r="11" spans="1:9" x14ac:dyDescent="0.35">
      <c r="A11" s="19">
        <v>45427</v>
      </c>
      <c r="B11" t="s">
        <v>391</v>
      </c>
      <c r="C11" t="s">
        <v>394</v>
      </c>
      <c r="D11" s="1">
        <v>1127850</v>
      </c>
      <c r="E11" s="1">
        <v>399103</v>
      </c>
      <c r="F11" s="2">
        <v>0.353861772398812</v>
      </c>
      <c r="G11" s="1">
        <v>3895</v>
      </c>
      <c r="H11" s="2">
        <v>9.7593854218083996E-3</v>
      </c>
      <c r="I11" s="2">
        <v>3.4534734228842501E-3</v>
      </c>
    </row>
    <row r="12" spans="1:9" x14ac:dyDescent="0.35">
      <c r="A12" s="19">
        <v>45427</v>
      </c>
      <c r="B12" t="s">
        <v>391</v>
      </c>
      <c r="C12" t="s">
        <v>395</v>
      </c>
      <c r="D12" s="1">
        <v>69844</v>
      </c>
      <c r="E12" s="1">
        <v>27990</v>
      </c>
      <c r="F12" s="2">
        <v>0.40075024339957599</v>
      </c>
      <c r="G12" s="1">
        <v>653</v>
      </c>
      <c r="H12" s="2">
        <v>2.3329760628795999E-2</v>
      </c>
      <c r="I12" s="2">
        <v>9.3494072504438502E-3</v>
      </c>
    </row>
    <row r="13" spans="1:9" x14ac:dyDescent="0.35">
      <c r="A13" s="19">
        <v>45427</v>
      </c>
      <c r="B13" t="s">
        <v>391</v>
      </c>
      <c r="C13" t="s">
        <v>396</v>
      </c>
      <c r="D13" s="1">
        <v>8647</v>
      </c>
      <c r="E13" s="1">
        <v>4075</v>
      </c>
      <c r="F13" s="2">
        <v>0.471261709263328</v>
      </c>
      <c r="G13" s="1">
        <v>135</v>
      </c>
      <c r="H13" s="2">
        <v>3.3128834355828203E-2</v>
      </c>
      <c r="I13" s="2">
        <v>1.56123511044293E-2</v>
      </c>
    </row>
    <row r="14" spans="1:9" x14ac:dyDescent="0.35">
      <c r="A14" s="19">
        <v>45427</v>
      </c>
      <c r="B14" t="s">
        <v>397</v>
      </c>
      <c r="C14" t="s">
        <v>10</v>
      </c>
      <c r="D14" s="1">
        <v>555610</v>
      </c>
      <c r="E14" s="1">
        <v>229718</v>
      </c>
      <c r="F14" s="2">
        <v>0.413451881715592</v>
      </c>
      <c r="G14" s="1">
        <v>3055</v>
      </c>
      <c r="H14" s="2">
        <v>1.32989143210371E-2</v>
      </c>
      <c r="I14" s="2">
        <v>5.4984611508072196E-3</v>
      </c>
    </row>
    <row r="15" spans="1:9" x14ac:dyDescent="0.35">
      <c r="A15" s="19">
        <v>45427</v>
      </c>
      <c r="B15" t="s">
        <v>397</v>
      </c>
      <c r="C15" t="s">
        <v>11</v>
      </c>
      <c r="D15" s="1">
        <v>35073</v>
      </c>
      <c r="E15" s="1">
        <v>13705</v>
      </c>
      <c r="F15" s="2">
        <v>0.39075642231916302</v>
      </c>
      <c r="G15" s="1">
        <v>203</v>
      </c>
      <c r="H15" s="2">
        <v>1.4812112367749E-2</v>
      </c>
      <c r="I15" s="2">
        <v>5.7879280358110203E-3</v>
      </c>
    </row>
    <row r="16" spans="1:9" x14ac:dyDescent="0.35">
      <c r="A16" s="19">
        <v>45427</v>
      </c>
      <c r="B16" t="s">
        <v>398</v>
      </c>
      <c r="C16" t="s">
        <v>10</v>
      </c>
      <c r="D16" s="1">
        <v>474395</v>
      </c>
      <c r="E16" s="1">
        <v>162153</v>
      </c>
      <c r="F16" s="2">
        <v>0.34181009496305798</v>
      </c>
      <c r="G16" s="1">
        <v>1123</v>
      </c>
      <c r="H16" s="2">
        <v>6.9255579606914497E-3</v>
      </c>
      <c r="I16" s="2">
        <v>2.3672256242161099E-3</v>
      </c>
    </row>
    <row r="17" spans="1:9" x14ac:dyDescent="0.35">
      <c r="A17" s="19">
        <v>45428</v>
      </c>
      <c r="B17" t="s">
        <v>379</v>
      </c>
      <c r="C17" t="s">
        <v>234</v>
      </c>
      <c r="D17" s="1">
        <v>746135</v>
      </c>
      <c r="E17" s="1">
        <v>250371</v>
      </c>
      <c r="F17" s="3">
        <v>0.33560000000000001</v>
      </c>
      <c r="G17" s="1">
        <v>2047</v>
      </c>
      <c r="H17" s="3">
        <v>8.2000000000000007E-3</v>
      </c>
      <c r="I17" s="3">
        <v>2.7000000000000001E-3</v>
      </c>
    </row>
    <row r="18" spans="1:9" x14ac:dyDescent="0.35">
      <c r="A18" s="19">
        <v>45428</v>
      </c>
      <c r="B18" t="s">
        <v>380</v>
      </c>
      <c r="C18" t="s">
        <v>235</v>
      </c>
      <c r="D18" s="1">
        <v>48865</v>
      </c>
      <c r="E18" s="1">
        <v>14967</v>
      </c>
      <c r="F18" s="3">
        <v>0.30630000000000002</v>
      </c>
      <c r="G18">
        <v>135</v>
      </c>
      <c r="H18" s="3">
        <v>8.9999999999999993E-3</v>
      </c>
      <c r="I18" s="3">
        <v>2.8E-3</v>
      </c>
    </row>
    <row r="19" spans="1:9" x14ac:dyDescent="0.35">
      <c r="A19" s="19">
        <v>45428</v>
      </c>
      <c r="B19" t="s">
        <v>399</v>
      </c>
      <c r="C19" t="s">
        <v>400</v>
      </c>
      <c r="D19" s="1">
        <v>1312455</v>
      </c>
      <c r="E19" s="1">
        <v>452177</v>
      </c>
      <c r="F19" s="3">
        <v>0.34449999999999997</v>
      </c>
      <c r="G19" s="1">
        <v>3504</v>
      </c>
      <c r="H19" s="3">
        <v>7.7000000000000002E-3</v>
      </c>
      <c r="I19" s="3">
        <v>2.7000000000000001E-3</v>
      </c>
    </row>
    <row r="20" spans="1:9" x14ac:dyDescent="0.35">
      <c r="A20" s="19">
        <v>45428</v>
      </c>
      <c r="B20" t="s">
        <v>401</v>
      </c>
      <c r="C20" t="s">
        <v>402</v>
      </c>
      <c r="D20" s="1">
        <v>118756</v>
      </c>
      <c r="E20" s="1">
        <v>38772</v>
      </c>
      <c r="F20" s="3">
        <v>0.32650000000000001</v>
      </c>
      <c r="G20">
        <v>419</v>
      </c>
      <c r="H20" s="3">
        <v>1.0800000000000001E-2</v>
      </c>
      <c r="I20" s="3">
        <v>3.5000000000000001E-3</v>
      </c>
    </row>
    <row r="21" spans="1:9" x14ac:dyDescent="0.35">
      <c r="A21" s="19">
        <v>45428</v>
      </c>
      <c r="B21" t="s">
        <v>367</v>
      </c>
      <c r="C21" t="s">
        <v>403</v>
      </c>
      <c r="D21" s="1">
        <v>88520</v>
      </c>
      <c r="E21" s="1">
        <v>31109</v>
      </c>
      <c r="F21" s="3">
        <v>0.35139999999999999</v>
      </c>
      <c r="G21">
        <v>285</v>
      </c>
      <c r="H21" s="3">
        <v>9.1999999999999998E-3</v>
      </c>
      <c r="I21" s="3">
        <v>3.2000000000000002E-3</v>
      </c>
    </row>
    <row r="22" spans="1:9" x14ac:dyDescent="0.35">
      <c r="A22" s="19">
        <v>45428</v>
      </c>
      <c r="B22" t="s">
        <v>368</v>
      </c>
      <c r="C22" t="s">
        <v>404</v>
      </c>
      <c r="D22" s="1">
        <v>5462</v>
      </c>
      <c r="E22" s="1">
        <v>1896</v>
      </c>
      <c r="F22" s="3">
        <v>0.34710000000000002</v>
      </c>
      <c r="G22">
        <v>15</v>
      </c>
      <c r="H22" s="3">
        <v>7.9000000000000008E-3</v>
      </c>
      <c r="I22" s="3">
        <v>2.7000000000000001E-3</v>
      </c>
    </row>
    <row r="23" spans="1:9" x14ac:dyDescent="0.35">
      <c r="A23" s="19">
        <v>45428</v>
      </c>
      <c r="B23" t="s">
        <v>405</v>
      </c>
      <c r="C23" t="s">
        <v>84</v>
      </c>
      <c r="D23" s="1">
        <v>9129</v>
      </c>
      <c r="E23" s="1">
        <v>2757</v>
      </c>
      <c r="F23" s="2">
        <v>0.30200460072297097</v>
      </c>
      <c r="G23" s="1">
        <v>26</v>
      </c>
      <c r="H23" s="2">
        <v>9.4305404425099708E-3</v>
      </c>
      <c r="I23" s="2">
        <v>2.8480666009420498E-3</v>
      </c>
    </row>
    <row r="24" spans="1:9" ht="13.4" customHeight="1" x14ac:dyDescent="0.35">
      <c r="A24" s="19">
        <v>45428</v>
      </c>
      <c r="B24" t="s">
        <v>405</v>
      </c>
      <c r="C24" t="s">
        <v>72</v>
      </c>
      <c r="D24" s="1">
        <v>170817</v>
      </c>
      <c r="E24" s="1">
        <v>52712</v>
      </c>
      <c r="F24" s="2">
        <v>0.30858755276114203</v>
      </c>
      <c r="G24" s="1">
        <v>380</v>
      </c>
      <c r="H24" s="2">
        <v>7.2089846714220697E-3</v>
      </c>
      <c r="I24" s="2">
        <v>2.2246029376467198E-3</v>
      </c>
    </row>
    <row r="25" spans="1:9" x14ac:dyDescent="0.35">
      <c r="A25" s="19">
        <v>45428</v>
      </c>
      <c r="B25" t="s">
        <v>405</v>
      </c>
      <c r="C25" t="s">
        <v>85</v>
      </c>
      <c r="D25" s="1">
        <v>403</v>
      </c>
      <c r="E25" s="1">
        <v>99</v>
      </c>
      <c r="F25" s="2">
        <v>0.245657568238213</v>
      </c>
      <c r="G25" s="1">
        <v>0</v>
      </c>
      <c r="H25" s="2">
        <v>0</v>
      </c>
      <c r="I25" s="2">
        <v>0</v>
      </c>
    </row>
    <row r="26" spans="1:9" x14ac:dyDescent="0.35">
      <c r="A26" s="19">
        <v>45428</v>
      </c>
      <c r="B26" t="s">
        <v>405</v>
      </c>
      <c r="C26" t="s">
        <v>73</v>
      </c>
      <c r="D26" s="1">
        <v>7184</v>
      </c>
      <c r="E26" s="1">
        <v>1922</v>
      </c>
      <c r="F26" s="2">
        <v>0.267538975501114</v>
      </c>
      <c r="G26" s="1">
        <v>23</v>
      </c>
      <c r="H26" s="2">
        <v>1.19667013527575E-2</v>
      </c>
      <c r="I26" s="2">
        <v>3.2015590200445399E-3</v>
      </c>
    </row>
    <row r="27" spans="1:9" x14ac:dyDescent="0.35">
      <c r="A27" s="19">
        <v>45428</v>
      </c>
      <c r="B27" t="s">
        <v>406</v>
      </c>
      <c r="C27" t="s">
        <v>84</v>
      </c>
      <c r="D27" s="1">
        <v>17509</v>
      </c>
      <c r="E27" s="1">
        <v>5916</v>
      </c>
      <c r="F27" s="2">
        <v>0.33788337426466403</v>
      </c>
      <c r="G27" s="1">
        <v>103</v>
      </c>
      <c r="H27" s="2">
        <v>1.7410412440838401E-2</v>
      </c>
      <c r="I27" s="2">
        <v>5.8826889028499602E-3</v>
      </c>
    </row>
    <row r="28" spans="1:9" x14ac:dyDescent="0.35">
      <c r="A28" s="19">
        <v>45428</v>
      </c>
      <c r="B28" t="s">
        <v>406</v>
      </c>
      <c r="C28" t="s">
        <v>72</v>
      </c>
      <c r="D28" s="1">
        <v>331027</v>
      </c>
      <c r="E28" s="1">
        <v>111184</v>
      </c>
      <c r="F28" s="2">
        <v>0.33587592552873302</v>
      </c>
      <c r="G28" s="1">
        <v>1592</v>
      </c>
      <c r="H28" s="2">
        <v>1.43186069938121E-2</v>
      </c>
      <c r="I28" s="2">
        <v>4.8092753763288197E-3</v>
      </c>
    </row>
    <row r="29" spans="1:9" x14ac:dyDescent="0.35">
      <c r="A29" s="19">
        <v>45428</v>
      </c>
      <c r="B29" t="s">
        <v>406</v>
      </c>
      <c r="C29" t="s">
        <v>85</v>
      </c>
      <c r="D29" s="1">
        <v>1142</v>
      </c>
      <c r="E29" s="1">
        <v>374</v>
      </c>
      <c r="F29" s="2">
        <v>0.32749562171628699</v>
      </c>
      <c r="G29" s="1">
        <v>5</v>
      </c>
      <c r="H29" s="2">
        <v>1.33689839572193E-2</v>
      </c>
      <c r="I29" s="2">
        <v>4.3782837127845902E-3</v>
      </c>
    </row>
    <row r="30" spans="1:9" x14ac:dyDescent="0.35">
      <c r="A30" s="19">
        <v>45428</v>
      </c>
      <c r="B30" t="s">
        <v>406</v>
      </c>
      <c r="C30" t="s">
        <v>73</v>
      </c>
      <c r="D30" s="1">
        <v>22366</v>
      </c>
      <c r="E30" s="1">
        <v>7333</v>
      </c>
      <c r="F30" s="2">
        <v>0.32786372172046901</v>
      </c>
      <c r="G30" s="1">
        <v>122</v>
      </c>
      <c r="H30" s="2">
        <v>1.6637119869085001E-2</v>
      </c>
      <c r="I30" s="2">
        <v>5.4547080389877496E-3</v>
      </c>
    </row>
    <row r="31" spans="1:9" ht="15" thickBot="1" x14ac:dyDescent="0.4">
      <c r="A31" s="20" t="s">
        <v>35</v>
      </c>
      <c r="D31" s="10">
        <f>SUM(D2:D30)</f>
        <v>19799443</v>
      </c>
      <c r="E31" s="10">
        <f>SUM(E2:E30)</f>
        <v>6753013</v>
      </c>
      <c r="F31" s="27">
        <f>AVERAGE(F2:F30)</f>
        <v>0.3417623548657342</v>
      </c>
      <c r="G31" s="10">
        <f>SUM(G2:G30)</f>
        <v>64321</v>
      </c>
      <c r="H31" s="27">
        <f>AVERAGE(H2:H30)</f>
        <v>1.3175878649260881E-2</v>
      </c>
      <c r="I31" s="27">
        <f>AVERAGE(I2:I30)</f>
        <v>4.6628537284252427E-3</v>
      </c>
    </row>
    <row r="32" spans="1:9" ht="15" thickBot="1" x14ac:dyDescent="0.4">
      <c r="A32" s="138" t="s">
        <v>302</v>
      </c>
      <c r="B32" s="138"/>
      <c r="C32" s="138"/>
      <c r="D32" s="138"/>
      <c r="E32" s="138"/>
      <c r="F32" s="138"/>
      <c r="G32" s="138"/>
      <c r="H32" s="138"/>
      <c r="I32" s="138"/>
    </row>
    <row r="33" spans="1:9" x14ac:dyDescent="0.35">
      <c r="A33" s="24" t="s">
        <v>0</v>
      </c>
      <c r="B33" s="25" t="s">
        <v>1</v>
      </c>
      <c r="C33" s="25" t="s">
        <v>2</v>
      </c>
      <c r="D33" s="25" t="s">
        <v>3</v>
      </c>
      <c r="E33" s="25" t="s">
        <v>4</v>
      </c>
      <c r="F33" s="25" t="s">
        <v>5</v>
      </c>
      <c r="G33" s="25" t="s">
        <v>6</v>
      </c>
      <c r="H33" s="25" t="s">
        <v>7</v>
      </c>
      <c r="I33" s="26" t="s">
        <v>8</v>
      </c>
    </row>
    <row r="34" spans="1:9" x14ac:dyDescent="0.35">
      <c r="A34" s="5" t="s">
        <v>36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8">
        <v>45422</v>
      </c>
      <c r="B35" t="s">
        <v>387</v>
      </c>
      <c r="C35" t="s">
        <v>10</v>
      </c>
      <c r="D35" s="1">
        <v>401556</v>
      </c>
      <c r="E35" s="1">
        <v>142411</v>
      </c>
      <c r="F35" s="2">
        <v>0.35464791959278402</v>
      </c>
      <c r="G35" s="1">
        <v>2561</v>
      </c>
      <c r="H35" s="2">
        <v>1.7983161413093099E-2</v>
      </c>
      <c r="I35" s="9">
        <v>6.3776907828547004E-3</v>
      </c>
    </row>
    <row r="36" spans="1:9" x14ac:dyDescent="0.35">
      <c r="A36" s="8">
        <v>45422</v>
      </c>
      <c r="B36" t="s">
        <v>387</v>
      </c>
      <c r="C36" t="s">
        <v>11</v>
      </c>
      <c r="D36" s="1">
        <v>21904</v>
      </c>
      <c r="E36" s="1">
        <v>7246</v>
      </c>
      <c r="F36" s="2">
        <v>0.33080715850986098</v>
      </c>
      <c r="G36" s="1">
        <v>269</v>
      </c>
      <c r="H36" s="2">
        <v>3.7123930444383099E-2</v>
      </c>
      <c r="I36" s="9">
        <v>1.22808619430241E-2</v>
      </c>
    </row>
    <row r="37" spans="1:9" x14ac:dyDescent="0.35">
      <c r="A37" s="8">
        <v>45422</v>
      </c>
      <c r="B37" t="s">
        <v>388</v>
      </c>
      <c r="C37" t="s">
        <v>10</v>
      </c>
      <c r="D37" s="1">
        <v>4731466</v>
      </c>
      <c r="E37" s="1">
        <v>1529811</v>
      </c>
      <c r="F37" s="2">
        <v>0.32332706184510301</v>
      </c>
      <c r="G37" s="1">
        <v>16371</v>
      </c>
      <c r="H37" s="2">
        <v>1.07013219280029E-2</v>
      </c>
      <c r="I37" s="9">
        <v>3.4600269768397399E-3</v>
      </c>
    </row>
    <row r="38" spans="1:9" x14ac:dyDescent="0.35">
      <c r="A38" s="8">
        <v>45422</v>
      </c>
      <c r="B38" t="s">
        <v>388</v>
      </c>
      <c r="C38" t="s">
        <v>11</v>
      </c>
      <c r="D38" s="1">
        <v>303341</v>
      </c>
      <c r="E38" s="1">
        <v>87140</v>
      </c>
      <c r="F38" s="2">
        <v>0.28726746466847503</v>
      </c>
      <c r="G38" s="1">
        <v>1185</v>
      </c>
      <c r="H38" s="2">
        <v>1.3598806518246499E-2</v>
      </c>
      <c r="I38" s="9">
        <v>3.9064946710138104E-3</v>
      </c>
    </row>
    <row r="39" spans="1:9" x14ac:dyDescent="0.35">
      <c r="A39" s="8">
        <v>45426</v>
      </c>
      <c r="B39" t="s">
        <v>390</v>
      </c>
      <c r="C39" t="s">
        <v>10</v>
      </c>
      <c r="D39" s="1">
        <v>1333369</v>
      </c>
      <c r="E39" s="1">
        <v>471038</v>
      </c>
      <c r="F39" s="2">
        <v>0.35326905005291098</v>
      </c>
      <c r="G39" s="1">
        <v>5490</v>
      </c>
      <c r="H39" s="2">
        <v>1.1655110628017299E-2</v>
      </c>
      <c r="I39" s="9">
        <v>4.1173898598212497E-3</v>
      </c>
    </row>
    <row r="40" spans="1:9" x14ac:dyDescent="0.35">
      <c r="A40" s="8">
        <v>45426</v>
      </c>
      <c r="B40" t="s">
        <v>390</v>
      </c>
      <c r="C40" t="s">
        <v>11</v>
      </c>
      <c r="D40" s="1">
        <v>94720</v>
      </c>
      <c r="E40" s="1">
        <v>33002</v>
      </c>
      <c r="F40" s="2">
        <v>0.34841638513513501</v>
      </c>
      <c r="G40" s="1">
        <v>677</v>
      </c>
      <c r="H40" s="2">
        <v>2.0513908247985001E-2</v>
      </c>
      <c r="I40" s="9">
        <v>7.1473817567567601E-3</v>
      </c>
    </row>
    <row r="41" spans="1:9" ht="15" thickBot="1" x14ac:dyDescent="0.4">
      <c r="A41" s="12" t="s">
        <v>35</v>
      </c>
      <c r="B41" s="4"/>
      <c r="C41" s="4"/>
      <c r="D41" s="13">
        <f>SUM(D35:D40)</f>
        <v>6886356</v>
      </c>
      <c r="E41" s="13">
        <f>SUM(E35:E40)</f>
        <v>2270648</v>
      </c>
      <c r="F41" s="14">
        <f>AVERAGE(F35:F40)</f>
        <v>0.33295583996737815</v>
      </c>
      <c r="G41" s="13">
        <f>SUM(G35:G40)</f>
        <v>26553</v>
      </c>
      <c r="H41" s="14">
        <f>AVERAGE(H35:H40)</f>
        <v>1.8596039863287984E-2</v>
      </c>
      <c r="I41" s="15">
        <f>AVERAGE(I35:I40)</f>
        <v>6.2149743317183939E-3</v>
      </c>
    </row>
    <row r="42" spans="1:9" ht="3" customHeight="1" thickBot="1" x14ac:dyDescent="0.4">
      <c r="A42" s="139"/>
      <c r="B42" s="138"/>
      <c r="C42" s="138"/>
      <c r="D42" s="138"/>
      <c r="E42" s="138"/>
      <c r="F42" s="138"/>
      <c r="G42" s="138"/>
      <c r="H42" s="138"/>
      <c r="I42" s="140"/>
    </row>
    <row r="43" spans="1:9" x14ac:dyDescent="0.35">
      <c r="A43" s="16" t="s">
        <v>37</v>
      </c>
      <c r="B43" s="17"/>
      <c r="C43" s="17"/>
      <c r="D43" s="17"/>
      <c r="E43" s="17"/>
      <c r="F43" s="17"/>
      <c r="G43" s="17"/>
      <c r="H43" s="17"/>
      <c r="I43" s="18"/>
    </row>
    <row r="44" spans="1:9" x14ac:dyDescent="0.35">
      <c r="A44" s="8">
        <v>45423</v>
      </c>
      <c r="B44" t="s">
        <v>389</v>
      </c>
      <c r="C44" t="s">
        <v>383</v>
      </c>
      <c r="D44" s="1">
        <v>2607597</v>
      </c>
      <c r="E44" s="1">
        <v>971909</v>
      </c>
      <c r="F44" s="2">
        <v>0.37272208857427003</v>
      </c>
      <c r="G44" s="1">
        <v>4857</v>
      </c>
      <c r="H44" s="2">
        <v>4.9973814420897402E-3</v>
      </c>
      <c r="I44" s="9">
        <v>1.86263444849799E-3</v>
      </c>
    </row>
    <row r="45" spans="1:9" x14ac:dyDescent="0.35">
      <c r="A45" s="8">
        <v>45427</v>
      </c>
      <c r="B45" t="s">
        <v>391</v>
      </c>
      <c r="C45" t="s">
        <v>392</v>
      </c>
      <c r="D45" s="1">
        <v>778746</v>
      </c>
      <c r="E45" s="1">
        <v>298837</v>
      </c>
      <c r="F45" s="2">
        <v>0.38374129690553799</v>
      </c>
      <c r="G45" s="1">
        <v>3913</v>
      </c>
      <c r="H45" s="2">
        <v>1.3094094774074199E-2</v>
      </c>
      <c r="I45" s="9">
        <v>5.0247449104072403E-3</v>
      </c>
    </row>
    <row r="46" spans="1:9" x14ac:dyDescent="0.35">
      <c r="A46" s="8">
        <v>45427</v>
      </c>
      <c r="B46" t="s">
        <v>391</v>
      </c>
      <c r="C46" t="s">
        <v>393</v>
      </c>
      <c r="D46" s="1">
        <v>4375555</v>
      </c>
      <c r="E46" s="1">
        <v>1403286</v>
      </c>
      <c r="F46" s="2">
        <v>0.32071040130909101</v>
      </c>
      <c r="G46" s="1">
        <v>11278</v>
      </c>
      <c r="H46" s="2">
        <v>8.0368506491192808E-3</v>
      </c>
      <c r="I46" s="9">
        <v>2.5775015969402701E-3</v>
      </c>
    </row>
    <row r="47" spans="1:9" x14ac:dyDescent="0.35">
      <c r="A47" s="8">
        <v>45427</v>
      </c>
      <c r="B47" t="s">
        <v>391</v>
      </c>
      <c r="C47" t="s">
        <v>394</v>
      </c>
      <c r="D47" s="1">
        <v>1127850</v>
      </c>
      <c r="E47" s="1">
        <v>399103</v>
      </c>
      <c r="F47" s="2">
        <v>0.353861772398812</v>
      </c>
      <c r="G47" s="1">
        <v>3895</v>
      </c>
      <c r="H47" s="2">
        <v>9.7593854218083996E-3</v>
      </c>
      <c r="I47" s="9">
        <v>3.4534734228842501E-3</v>
      </c>
    </row>
    <row r="48" spans="1:9" x14ac:dyDescent="0.35">
      <c r="A48" s="8">
        <v>45427</v>
      </c>
      <c r="B48" t="s">
        <v>391</v>
      </c>
      <c r="C48" t="s">
        <v>395</v>
      </c>
      <c r="D48" s="1">
        <v>69844</v>
      </c>
      <c r="E48" s="1">
        <v>27990</v>
      </c>
      <c r="F48" s="2">
        <v>0.40075024339957599</v>
      </c>
      <c r="G48" s="1">
        <v>653</v>
      </c>
      <c r="H48" s="2">
        <v>2.3329760628795999E-2</v>
      </c>
      <c r="I48" s="9">
        <v>9.3494072504438502E-3</v>
      </c>
    </row>
    <row r="49" spans="1:9" x14ac:dyDescent="0.35">
      <c r="A49" s="8">
        <v>45427</v>
      </c>
      <c r="B49" t="s">
        <v>391</v>
      </c>
      <c r="C49" t="s">
        <v>396</v>
      </c>
      <c r="D49" s="1">
        <v>8647</v>
      </c>
      <c r="E49" s="1">
        <v>4075</v>
      </c>
      <c r="F49" s="2">
        <v>0.471261709263328</v>
      </c>
      <c r="G49" s="1">
        <v>135</v>
      </c>
      <c r="H49" s="2">
        <v>3.3128834355828203E-2</v>
      </c>
      <c r="I49" s="9">
        <v>1.56123511044293E-2</v>
      </c>
    </row>
    <row r="50" spans="1:9" x14ac:dyDescent="0.35">
      <c r="A50" s="8">
        <v>45427</v>
      </c>
      <c r="B50" t="s">
        <v>397</v>
      </c>
      <c r="C50" t="s">
        <v>10</v>
      </c>
      <c r="D50" s="1">
        <v>555610</v>
      </c>
      <c r="E50" s="1">
        <v>229718</v>
      </c>
      <c r="F50" s="2">
        <v>0.413451881715592</v>
      </c>
      <c r="G50" s="1">
        <v>3055</v>
      </c>
      <c r="H50" s="2">
        <v>1.32989143210371E-2</v>
      </c>
      <c r="I50" s="9">
        <v>5.4984611508072196E-3</v>
      </c>
    </row>
    <row r="51" spans="1:9" x14ac:dyDescent="0.35">
      <c r="A51" s="8">
        <v>45427</v>
      </c>
      <c r="B51" t="s">
        <v>397</v>
      </c>
      <c r="C51" t="s">
        <v>11</v>
      </c>
      <c r="D51" s="1">
        <v>35073</v>
      </c>
      <c r="E51" s="1">
        <v>13705</v>
      </c>
      <c r="F51" s="2">
        <v>0.39075642231916302</v>
      </c>
      <c r="G51" s="1">
        <v>203</v>
      </c>
      <c r="H51" s="2">
        <v>1.4812112367749E-2</v>
      </c>
      <c r="I51" s="9">
        <v>5.7879280358110203E-3</v>
      </c>
    </row>
    <row r="52" spans="1:9" x14ac:dyDescent="0.35">
      <c r="A52" s="8">
        <v>45427</v>
      </c>
      <c r="B52" t="s">
        <v>398</v>
      </c>
      <c r="C52" t="s">
        <v>10</v>
      </c>
      <c r="D52" s="1">
        <v>474395</v>
      </c>
      <c r="E52" s="1">
        <v>162153</v>
      </c>
      <c r="F52" s="2">
        <v>0.34181009496305798</v>
      </c>
      <c r="G52" s="1">
        <v>1123</v>
      </c>
      <c r="H52" s="2">
        <v>6.9255579606914497E-3</v>
      </c>
      <c r="I52" s="9">
        <v>2.3672256242161099E-3</v>
      </c>
    </row>
    <row r="53" spans="1:9" x14ac:dyDescent="0.35">
      <c r="A53" s="8">
        <v>45428</v>
      </c>
      <c r="B53" t="s">
        <v>405</v>
      </c>
      <c r="C53" t="s">
        <v>84</v>
      </c>
      <c r="D53" s="1">
        <v>9129</v>
      </c>
      <c r="E53" s="1">
        <v>2757</v>
      </c>
      <c r="F53" s="2">
        <v>0.30200460072297097</v>
      </c>
      <c r="G53" s="1">
        <v>26</v>
      </c>
      <c r="H53" s="2">
        <v>9.4305404425099708E-3</v>
      </c>
      <c r="I53" s="9">
        <v>2.8480666009420498E-3</v>
      </c>
    </row>
    <row r="54" spans="1:9" ht="13.4" customHeight="1" x14ac:dyDescent="0.35">
      <c r="A54" s="8">
        <v>45428</v>
      </c>
      <c r="B54" t="s">
        <v>405</v>
      </c>
      <c r="C54" t="s">
        <v>72</v>
      </c>
      <c r="D54" s="1">
        <v>170817</v>
      </c>
      <c r="E54" s="1">
        <v>52712</v>
      </c>
      <c r="F54" s="2">
        <v>0.30858755276114203</v>
      </c>
      <c r="G54" s="1">
        <v>380</v>
      </c>
      <c r="H54" s="2">
        <v>7.2089846714220697E-3</v>
      </c>
      <c r="I54" s="9">
        <v>2.2246029376467198E-3</v>
      </c>
    </row>
    <row r="55" spans="1:9" x14ac:dyDescent="0.35">
      <c r="A55" s="8">
        <v>45428</v>
      </c>
      <c r="B55" t="s">
        <v>405</v>
      </c>
      <c r="C55" t="s">
        <v>85</v>
      </c>
      <c r="D55" s="1">
        <v>403</v>
      </c>
      <c r="E55" s="1">
        <v>99</v>
      </c>
      <c r="F55" s="2">
        <v>0.245657568238213</v>
      </c>
      <c r="G55" s="1">
        <v>0</v>
      </c>
      <c r="H55" s="2">
        <v>0</v>
      </c>
      <c r="I55" s="9">
        <v>0</v>
      </c>
    </row>
    <row r="56" spans="1:9" x14ac:dyDescent="0.35">
      <c r="A56" s="8">
        <v>45428</v>
      </c>
      <c r="B56" t="s">
        <v>405</v>
      </c>
      <c r="C56" t="s">
        <v>73</v>
      </c>
      <c r="D56" s="1">
        <v>7184</v>
      </c>
      <c r="E56" s="1">
        <v>1922</v>
      </c>
      <c r="F56" s="2">
        <v>0.267538975501114</v>
      </c>
      <c r="G56" s="1">
        <v>23</v>
      </c>
      <c r="H56" s="2">
        <v>1.19667013527575E-2</v>
      </c>
      <c r="I56" s="9">
        <v>3.2015590200445399E-3</v>
      </c>
    </row>
    <row r="57" spans="1:9" x14ac:dyDescent="0.35">
      <c r="A57" s="8">
        <v>45428</v>
      </c>
      <c r="B57" t="s">
        <v>406</v>
      </c>
      <c r="C57" t="s">
        <v>84</v>
      </c>
      <c r="D57" s="1">
        <v>17509</v>
      </c>
      <c r="E57" s="1">
        <v>5916</v>
      </c>
      <c r="F57" s="2">
        <v>0.33788337426466403</v>
      </c>
      <c r="G57" s="1">
        <v>103</v>
      </c>
      <c r="H57" s="2">
        <v>1.7410412440838401E-2</v>
      </c>
      <c r="I57" s="9">
        <v>5.8826889028499602E-3</v>
      </c>
    </row>
    <row r="58" spans="1:9" x14ac:dyDescent="0.35">
      <c r="A58" s="8">
        <v>45428</v>
      </c>
      <c r="B58" t="s">
        <v>406</v>
      </c>
      <c r="C58" t="s">
        <v>72</v>
      </c>
      <c r="D58" s="1">
        <v>331027</v>
      </c>
      <c r="E58" s="1">
        <v>111184</v>
      </c>
      <c r="F58" s="2">
        <v>0.33587592552873302</v>
      </c>
      <c r="G58" s="1">
        <v>1592</v>
      </c>
      <c r="H58" s="2">
        <v>1.43186069938121E-2</v>
      </c>
      <c r="I58" s="9">
        <v>4.8092753763288197E-3</v>
      </c>
    </row>
    <row r="59" spans="1:9" x14ac:dyDescent="0.35">
      <c r="A59" s="8">
        <v>45428</v>
      </c>
      <c r="B59" t="s">
        <v>406</v>
      </c>
      <c r="C59" t="s">
        <v>85</v>
      </c>
      <c r="D59" s="1">
        <v>1142</v>
      </c>
      <c r="E59" s="1">
        <v>374</v>
      </c>
      <c r="F59" s="2">
        <v>0.32749562171628699</v>
      </c>
      <c r="G59" s="1">
        <v>5</v>
      </c>
      <c r="H59" s="2">
        <v>1.33689839572193E-2</v>
      </c>
      <c r="I59" s="9">
        <v>4.3782837127845902E-3</v>
      </c>
    </row>
    <row r="60" spans="1:9" x14ac:dyDescent="0.35">
      <c r="A60" s="8">
        <v>45428</v>
      </c>
      <c r="B60" t="s">
        <v>406</v>
      </c>
      <c r="C60" t="s">
        <v>73</v>
      </c>
      <c r="D60" s="1">
        <v>22366</v>
      </c>
      <c r="E60" s="1">
        <v>7333</v>
      </c>
      <c r="F60" s="2">
        <v>0.32786372172046901</v>
      </c>
      <c r="G60" s="1">
        <v>122</v>
      </c>
      <c r="H60" s="2">
        <v>1.6637119869085001E-2</v>
      </c>
      <c r="I60" s="9">
        <v>5.4547080389877496E-3</v>
      </c>
    </row>
    <row r="61" spans="1:9" ht="15" thickBot="1" x14ac:dyDescent="0.4">
      <c r="A61" s="12" t="s">
        <v>35</v>
      </c>
      <c r="B61" s="4"/>
      <c r="C61" s="4"/>
      <c r="D61" s="13">
        <f>SUM(D44:D60)</f>
        <v>10592894</v>
      </c>
      <c r="E61" s="13">
        <f>SUM(E44:E60)</f>
        <v>3693073</v>
      </c>
      <c r="F61" s="14">
        <f>AVERAGE(F44:F60)</f>
        <v>0.34717489713541305</v>
      </c>
      <c r="G61" s="13">
        <f>SUM(G44:G60)</f>
        <v>31363</v>
      </c>
      <c r="H61" s="14">
        <f>AVERAGE(H44:H60)</f>
        <v>1.280730833228457E-2</v>
      </c>
      <c r="I61" s="15">
        <f>AVERAGE(I44:I60)</f>
        <v>4.7254654196483342E-3</v>
      </c>
    </row>
    <row r="62" spans="1:9" ht="3" customHeight="1" thickBot="1" x14ac:dyDescent="0.4">
      <c r="A62" s="139"/>
      <c r="B62" s="138"/>
      <c r="C62" s="138"/>
      <c r="D62" s="138"/>
      <c r="E62" s="138"/>
      <c r="F62" s="138"/>
      <c r="G62" s="138"/>
      <c r="H62" s="138"/>
      <c r="I62" s="140"/>
    </row>
    <row r="63" spans="1:9" x14ac:dyDescent="0.35">
      <c r="A63" s="16" t="s">
        <v>38</v>
      </c>
      <c r="B63" s="17"/>
      <c r="C63" s="17"/>
      <c r="D63" s="17"/>
      <c r="E63" s="17"/>
      <c r="F63" s="17"/>
      <c r="G63" s="17"/>
      <c r="H63" s="17"/>
      <c r="I63" s="18"/>
    </row>
    <row r="64" spans="1:9" x14ac:dyDescent="0.35">
      <c r="A64" s="8">
        <v>45428</v>
      </c>
      <c r="B64" t="s">
        <v>379</v>
      </c>
      <c r="C64" t="s">
        <v>234</v>
      </c>
      <c r="D64" s="1">
        <v>746135</v>
      </c>
      <c r="E64" s="1">
        <v>250371</v>
      </c>
      <c r="F64" s="3">
        <v>0.33560000000000001</v>
      </c>
      <c r="G64" s="1">
        <v>2047</v>
      </c>
      <c r="H64" s="3">
        <v>8.2000000000000007E-3</v>
      </c>
      <c r="I64" s="11">
        <v>2.7000000000000001E-3</v>
      </c>
    </row>
    <row r="65" spans="1:9" x14ac:dyDescent="0.35">
      <c r="A65" s="8">
        <v>45428</v>
      </c>
      <c r="B65" t="s">
        <v>380</v>
      </c>
      <c r="C65" t="s">
        <v>235</v>
      </c>
      <c r="D65" s="1">
        <v>48865</v>
      </c>
      <c r="E65" s="1">
        <v>14967</v>
      </c>
      <c r="F65" s="3">
        <v>0.30630000000000002</v>
      </c>
      <c r="G65">
        <v>135</v>
      </c>
      <c r="H65" s="3">
        <v>8.9999999999999993E-3</v>
      </c>
      <c r="I65" s="11">
        <v>2.8E-3</v>
      </c>
    </row>
    <row r="66" spans="1:9" x14ac:dyDescent="0.35">
      <c r="A66" s="8">
        <v>45428</v>
      </c>
      <c r="B66" t="s">
        <v>399</v>
      </c>
      <c r="C66" t="s">
        <v>400</v>
      </c>
      <c r="D66" s="1">
        <v>1312455</v>
      </c>
      <c r="E66" s="1">
        <v>452177</v>
      </c>
      <c r="F66" s="3">
        <v>0.34449999999999997</v>
      </c>
      <c r="G66" s="1">
        <v>3504</v>
      </c>
      <c r="H66" s="3">
        <v>7.7000000000000002E-3</v>
      </c>
      <c r="I66" s="11">
        <v>2.7000000000000001E-3</v>
      </c>
    </row>
    <row r="67" spans="1:9" x14ac:dyDescent="0.35">
      <c r="A67" s="8">
        <v>45428</v>
      </c>
      <c r="B67" t="s">
        <v>401</v>
      </c>
      <c r="C67" t="s">
        <v>402</v>
      </c>
      <c r="D67" s="1">
        <v>118756</v>
      </c>
      <c r="E67" s="1">
        <v>38772</v>
      </c>
      <c r="F67" s="3">
        <v>0.32650000000000001</v>
      </c>
      <c r="G67">
        <v>419</v>
      </c>
      <c r="H67" s="3">
        <v>1.0800000000000001E-2</v>
      </c>
      <c r="I67" s="11">
        <v>3.5000000000000001E-3</v>
      </c>
    </row>
    <row r="68" spans="1:9" x14ac:dyDescent="0.35">
      <c r="A68" s="8">
        <v>45428</v>
      </c>
      <c r="B68" t="s">
        <v>367</v>
      </c>
      <c r="C68" t="s">
        <v>403</v>
      </c>
      <c r="D68" s="1">
        <v>88520</v>
      </c>
      <c r="E68" s="1">
        <v>31109</v>
      </c>
      <c r="F68" s="3">
        <v>0.35139999999999999</v>
      </c>
      <c r="G68">
        <v>285</v>
      </c>
      <c r="H68" s="3">
        <v>9.1999999999999998E-3</v>
      </c>
      <c r="I68" s="11">
        <v>3.2000000000000002E-3</v>
      </c>
    </row>
    <row r="69" spans="1:9" x14ac:dyDescent="0.35">
      <c r="A69" s="8">
        <v>45428</v>
      </c>
      <c r="B69" t="s">
        <v>368</v>
      </c>
      <c r="C69" t="s">
        <v>404</v>
      </c>
      <c r="D69" s="1">
        <v>5462</v>
      </c>
      <c r="E69" s="1">
        <v>1896</v>
      </c>
      <c r="F69" s="3">
        <v>0.34710000000000002</v>
      </c>
      <c r="G69">
        <v>15</v>
      </c>
      <c r="H69" s="3">
        <v>7.9000000000000008E-3</v>
      </c>
      <c r="I69" s="11">
        <v>2.7000000000000001E-3</v>
      </c>
    </row>
    <row r="70" spans="1:9" ht="15" thickBot="1" x14ac:dyDescent="0.4">
      <c r="A70" s="12" t="s">
        <v>35</v>
      </c>
      <c r="B70" s="4"/>
      <c r="C70" s="4"/>
      <c r="D70" s="13">
        <f>SUM(D64:D69)</f>
        <v>2320193</v>
      </c>
      <c r="E70" s="13">
        <f>SUM(E64:E69)</f>
        <v>789292</v>
      </c>
      <c r="F70" s="14">
        <f>AVERAGE(F64:F69)</f>
        <v>0.33523333333333333</v>
      </c>
      <c r="G70" s="13">
        <f>SUM(G64:G69)</f>
        <v>6405</v>
      </c>
      <c r="H70" s="14">
        <f>AVERAGE(H64:H69)</f>
        <v>8.8000000000000005E-3</v>
      </c>
      <c r="I70" s="15">
        <f>AVERAGE(I64:I69)</f>
        <v>2.9333333333333329E-3</v>
      </c>
    </row>
  </sheetData>
  <mergeCells count="3">
    <mergeCell ref="A32:I32"/>
    <mergeCell ref="A42:I42"/>
    <mergeCell ref="A62:I62"/>
  </mergeCells>
  <pageMargins left="0.7" right="0.7" top="0.75" bottom="0.75" header="0.3" footer="0.3"/>
  <ignoredErrors>
    <ignoredError sqref="F31:G31 F41:G41 F61 F70" formula="1"/>
  </ignoredErrors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933C-B0A1-4461-B171-A197CEACEFC5}">
  <dimension ref="A1:I70"/>
  <sheetViews>
    <sheetView workbookViewId="0">
      <selection activeCell="J19" sqref="J19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45429</v>
      </c>
      <c r="B2" t="s">
        <v>407</v>
      </c>
      <c r="C2" t="s">
        <v>10</v>
      </c>
      <c r="D2" s="1">
        <v>666203</v>
      </c>
      <c r="E2" s="1">
        <v>246394</v>
      </c>
      <c r="F2" s="2">
        <v>0.36984822944357798</v>
      </c>
      <c r="G2" s="1">
        <v>2033</v>
      </c>
      <c r="H2" s="2">
        <v>8.2510126058264396E-3</v>
      </c>
      <c r="I2" s="2">
        <v>3.0516224033815499E-3</v>
      </c>
    </row>
    <row r="3" spans="1:9" x14ac:dyDescent="0.35">
      <c r="A3" s="19">
        <v>45429</v>
      </c>
      <c r="B3" t="s">
        <v>407</v>
      </c>
      <c r="C3" t="s">
        <v>11</v>
      </c>
      <c r="D3" s="1">
        <v>42563</v>
      </c>
      <c r="E3" s="1">
        <v>14451</v>
      </c>
      <c r="F3" s="2">
        <v>0.339520240584545</v>
      </c>
      <c r="G3" s="1">
        <v>144</v>
      </c>
      <c r="H3" s="2">
        <v>9.9647083246834096E-3</v>
      </c>
      <c r="I3" s="2">
        <v>3.3832201677513299E-3</v>
      </c>
    </row>
    <row r="4" spans="1:9" x14ac:dyDescent="0.35">
      <c r="A4" s="19">
        <v>45429</v>
      </c>
      <c r="B4" t="s">
        <v>408</v>
      </c>
      <c r="C4" t="s">
        <v>10</v>
      </c>
      <c r="D4" s="1">
        <v>666214</v>
      </c>
      <c r="E4" s="1">
        <v>324989</v>
      </c>
      <c r="F4" s="2">
        <v>0.487814726199089</v>
      </c>
      <c r="G4" s="1">
        <v>3171</v>
      </c>
      <c r="H4" s="2">
        <v>9.7572533224201397E-3</v>
      </c>
      <c r="I4" s="2">
        <v>4.7597318579315397E-3</v>
      </c>
    </row>
    <row r="5" spans="1:9" x14ac:dyDescent="0.35">
      <c r="A5" s="19">
        <v>45429</v>
      </c>
      <c r="B5" t="s">
        <v>408</v>
      </c>
      <c r="C5" t="s">
        <v>11</v>
      </c>
      <c r="D5" s="1">
        <v>42562</v>
      </c>
      <c r="E5" s="1">
        <v>16874</v>
      </c>
      <c r="F5" s="2">
        <v>0.396456933414783</v>
      </c>
      <c r="G5" s="1">
        <v>170</v>
      </c>
      <c r="H5" s="2">
        <v>1.00746710916202E-2</v>
      </c>
      <c r="I5" s="2">
        <v>3.9941732061463302E-3</v>
      </c>
    </row>
    <row r="6" spans="1:9" x14ac:dyDescent="0.35">
      <c r="A6" s="19">
        <v>45429</v>
      </c>
      <c r="B6" t="s">
        <v>409</v>
      </c>
      <c r="C6" t="s">
        <v>10</v>
      </c>
      <c r="D6" s="1">
        <v>399194</v>
      </c>
      <c r="E6" s="1">
        <v>139343</v>
      </c>
      <c r="F6" s="2">
        <v>0.349060857628121</v>
      </c>
      <c r="G6" s="1">
        <v>2436</v>
      </c>
      <c r="H6" s="2">
        <v>1.7482040719663E-2</v>
      </c>
      <c r="I6" s="2">
        <v>6.1022961266952898E-3</v>
      </c>
    </row>
    <row r="7" spans="1:9" x14ac:dyDescent="0.35">
      <c r="A7" s="19">
        <v>45429</v>
      </c>
      <c r="B7" t="s">
        <v>410</v>
      </c>
      <c r="C7" t="s">
        <v>10</v>
      </c>
      <c r="D7" s="1">
        <v>4710656</v>
      </c>
      <c r="E7" s="1">
        <v>1554151</v>
      </c>
      <c r="F7" s="2">
        <v>0.32992241420303198</v>
      </c>
      <c r="G7" s="1">
        <v>20569</v>
      </c>
      <c r="H7" s="2">
        <v>1.32348787215657E-2</v>
      </c>
      <c r="I7" s="2">
        <v>4.36648313950329E-3</v>
      </c>
    </row>
    <row r="8" spans="1:9" x14ac:dyDescent="0.35">
      <c r="A8" s="19">
        <v>45429</v>
      </c>
      <c r="B8" t="s">
        <v>410</v>
      </c>
      <c r="C8" t="s">
        <v>11</v>
      </c>
      <c r="D8" s="1">
        <v>302585</v>
      </c>
      <c r="E8" s="1">
        <v>87164</v>
      </c>
      <c r="F8" s="2">
        <v>0.288064510798619</v>
      </c>
      <c r="G8" s="1">
        <v>1271</v>
      </c>
      <c r="H8" s="2">
        <v>1.4581708044605599E-2</v>
      </c>
      <c r="I8" s="2">
        <v>4.2004725944775802E-3</v>
      </c>
    </row>
    <row r="9" spans="1:9" x14ac:dyDescent="0.35">
      <c r="A9" s="19">
        <v>45429</v>
      </c>
      <c r="B9" t="s">
        <v>411</v>
      </c>
      <c r="C9" t="s">
        <v>10</v>
      </c>
      <c r="D9" s="1">
        <v>148327</v>
      </c>
      <c r="E9" s="1">
        <v>56643</v>
      </c>
      <c r="F9" s="2">
        <v>0.38187922630404397</v>
      </c>
      <c r="G9" s="1">
        <v>1012</v>
      </c>
      <c r="H9" s="2">
        <v>1.7866285330932302E-2</v>
      </c>
      <c r="I9" s="2">
        <v>6.8227632191037403E-3</v>
      </c>
    </row>
    <row r="10" spans="1:9" x14ac:dyDescent="0.35">
      <c r="A10" s="19">
        <v>45429</v>
      </c>
      <c r="B10" t="s">
        <v>411</v>
      </c>
      <c r="C10" t="s">
        <v>11</v>
      </c>
      <c r="D10" s="1">
        <v>6814</v>
      </c>
      <c r="E10" s="1">
        <v>2556</v>
      </c>
      <c r="F10" s="2">
        <v>0.37511006750807202</v>
      </c>
      <c r="G10" s="1">
        <v>69</v>
      </c>
      <c r="H10" s="2">
        <v>2.6995305164319201E-2</v>
      </c>
      <c r="I10" s="2">
        <v>1.01262107425888E-2</v>
      </c>
    </row>
    <row r="11" spans="1:9" x14ac:dyDescent="0.35">
      <c r="A11" s="19">
        <v>45429</v>
      </c>
      <c r="B11" t="s">
        <v>411</v>
      </c>
      <c r="C11" t="s">
        <v>412</v>
      </c>
      <c r="D11" s="1">
        <v>146085</v>
      </c>
      <c r="E11" s="1">
        <v>55751</v>
      </c>
      <c r="F11" s="2">
        <v>0.38163398021699702</v>
      </c>
      <c r="G11" s="1">
        <v>946</v>
      </c>
      <c r="H11" s="2">
        <v>1.6968305501246599E-2</v>
      </c>
      <c r="I11" s="2">
        <v>6.4756819659787098E-3</v>
      </c>
    </row>
    <row r="12" spans="1:9" x14ac:dyDescent="0.35">
      <c r="A12" s="19">
        <v>45429</v>
      </c>
      <c r="B12" t="s">
        <v>411</v>
      </c>
      <c r="C12" t="s">
        <v>413</v>
      </c>
      <c r="D12" s="1">
        <v>6741</v>
      </c>
      <c r="E12" s="1">
        <v>2428</v>
      </c>
      <c r="F12" s="2">
        <v>0.36018394896899603</v>
      </c>
      <c r="G12" s="1">
        <v>33</v>
      </c>
      <c r="H12" s="2">
        <v>1.35914332784185E-2</v>
      </c>
      <c r="I12" s="2">
        <v>4.89541611036938E-3</v>
      </c>
    </row>
    <row r="13" spans="1:9" x14ac:dyDescent="0.35">
      <c r="A13" s="19">
        <v>45429</v>
      </c>
      <c r="B13" t="s">
        <v>414</v>
      </c>
      <c r="C13" t="s">
        <v>415</v>
      </c>
      <c r="D13" s="1">
        <v>190</v>
      </c>
      <c r="E13" s="1">
        <v>120</v>
      </c>
      <c r="F13" s="2">
        <v>0.63157894736842102</v>
      </c>
      <c r="G13" s="1">
        <v>34</v>
      </c>
      <c r="H13" s="2">
        <v>0.28333333333333299</v>
      </c>
      <c r="I13" s="2">
        <v>0.17894736842105299</v>
      </c>
    </row>
    <row r="14" spans="1:9" x14ac:dyDescent="0.35">
      <c r="A14" s="19">
        <v>45430</v>
      </c>
      <c r="B14" t="s">
        <v>416</v>
      </c>
      <c r="C14" t="s">
        <v>10</v>
      </c>
      <c r="D14" s="1">
        <v>1208780</v>
      </c>
      <c r="E14" s="1">
        <v>363709</v>
      </c>
      <c r="F14" s="2">
        <v>0.30088932642830002</v>
      </c>
      <c r="G14" s="1">
        <v>7055</v>
      </c>
      <c r="H14" s="2">
        <v>1.9397375374268999E-2</v>
      </c>
      <c r="I14" s="2">
        <v>5.8364632108406801E-3</v>
      </c>
    </row>
    <row r="15" spans="1:9" x14ac:dyDescent="0.35">
      <c r="A15" s="19">
        <v>45430</v>
      </c>
      <c r="B15" t="s">
        <v>416</v>
      </c>
      <c r="C15" t="s">
        <v>11</v>
      </c>
      <c r="D15" s="1">
        <v>91002</v>
      </c>
      <c r="E15" s="1">
        <v>23307</v>
      </c>
      <c r="F15" s="2">
        <v>0.256115250214281</v>
      </c>
      <c r="G15" s="1">
        <v>583</v>
      </c>
      <c r="H15" s="2">
        <v>2.5013944308576799E-2</v>
      </c>
      <c r="I15" s="2">
        <v>6.4064526054372403E-3</v>
      </c>
    </row>
    <row r="16" spans="1:9" x14ac:dyDescent="0.35">
      <c r="A16" s="19">
        <v>45431</v>
      </c>
      <c r="B16" t="s">
        <v>417</v>
      </c>
      <c r="C16" t="s">
        <v>72</v>
      </c>
      <c r="D16" s="1">
        <v>350131</v>
      </c>
      <c r="E16" s="1">
        <v>119201</v>
      </c>
      <c r="F16" s="2">
        <v>0.34044686131762097</v>
      </c>
      <c r="G16" s="1">
        <v>1431</v>
      </c>
      <c r="H16" s="2">
        <v>1.20049328445231E-2</v>
      </c>
      <c r="I16" s="2">
        <v>4.08704170724672E-3</v>
      </c>
    </row>
    <row r="17" spans="1:9" x14ac:dyDescent="0.35">
      <c r="A17" s="19">
        <v>45431</v>
      </c>
      <c r="B17" t="s">
        <v>417</v>
      </c>
      <c r="C17" t="s">
        <v>73</v>
      </c>
      <c r="D17" s="1">
        <v>23522</v>
      </c>
      <c r="E17" s="1">
        <v>7485</v>
      </c>
      <c r="F17" s="2">
        <v>0.31821273701215902</v>
      </c>
      <c r="G17" s="1">
        <v>113</v>
      </c>
      <c r="H17" s="2">
        <v>1.5096860387441499E-2</v>
      </c>
      <c r="I17" s="2">
        <v>4.8040132641782203E-3</v>
      </c>
    </row>
    <row r="18" spans="1:9" x14ac:dyDescent="0.35">
      <c r="A18" s="19">
        <v>45433</v>
      </c>
      <c r="B18" t="s">
        <v>418</v>
      </c>
      <c r="C18" t="s">
        <v>10</v>
      </c>
      <c r="D18" s="1">
        <v>1327956</v>
      </c>
      <c r="E18" s="1">
        <v>479757</v>
      </c>
      <c r="F18" s="2">
        <v>0.36127477115205597</v>
      </c>
      <c r="G18" s="1">
        <v>6862</v>
      </c>
      <c r="H18" s="2">
        <v>1.43030742646798E-2</v>
      </c>
      <c r="I18" s="2">
        <v>5.16733988174307E-3</v>
      </c>
    </row>
    <row r="19" spans="1:9" x14ac:dyDescent="0.35">
      <c r="A19" s="19">
        <v>45433</v>
      </c>
      <c r="B19" t="s">
        <v>418</v>
      </c>
      <c r="C19" t="s">
        <v>11</v>
      </c>
      <c r="D19" s="1">
        <v>94349</v>
      </c>
      <c r="E19" s="1">
        <v>31989</v>
      </c>
      <c r="F19" s="2">
        <v>0.33904969845997301</v>
      </c>
      <c r="G19" s="1">
        <v>560</v>
      </c>
      <c r="H19" s="2">
        <v>1.7506017693582201E-2</v>
      </c>
      <c r="I19" s="2">
        <v>5.93541002024399E-3</v>
      </c>
    </row>
    <row r="20" spans="1:9" x14ac:dyDescent="0.35">
      <c r="A20" s="19">
        <v>45434</v>
      </c>
      <c r="B20" t="s">
        <v>419</v>
      </c>
      <c r="C20" t="s">
        <v>10</v>
      </c>
      <c r="D20" s="1">
        <v>12</v>
      </c>
      <c r="E20" s="1">
        <v>7</v>
      </c>
      <c r="F20" s="2">
        <v>0.58333333333333304</v>
      </c>
      <c r="G20" s="1">
        <v>0</v>
      </c>
      <c r="H20" s="2">
        <v>0</v>
      </c>
      <c r="I20" s="2">
        <v>0</v>
      </c>
    </row>
    <row r="21" spans="1:9" x14ac:dyDescent="0.35">
      <c r="A21" s="19">
        <v>45434</v>
      </c>
      <c r="B21" t="s">
        <v>420</v>
      </c>
      <c r="C21" t="s">
        <v>10</v>
      </c>
      <c r="D21" s="1">
        <v>265287</v>
      </c>
      <c r="E21" s="1">
        <v>102263</v>
      </c>
      <c r="F21" s="2">
        <v>0.38548063041159197</v>
      </c>
      <c r="G21" s="1">
        <v>2002</v>
      </c>
      <c r="H21" s="2">
        <v>1.9576973098774701E-2</v>
      </c>
      <c r="I21" s="2">
        <v>7.5465439316664603E-3</v>
      </c>
    </row>
    <row r="22" spans="1:9" x14ac:dyDescent="0.35">
      <c r="A22" s="19">
        <v>45434</v>
      </c>
      <c r="B22" t="s">
        <v>420</v>
      </c>
      <c r="C22" t="s">
        <v>11</v>
      </c>
      <c r="D22" s="1">
        <v>4039</v>
      </c>
      <c r="E22" s="1">
        <v>1439</v>
      </c>
      <c r="F22" s="2">
        <v>0.35627630601634103</v>
      </c>
      <c r="G22" s="1">
        <v>24</v>
      </c>
      <c r="H22" s="2">
        <v>1.6678248783877699E-2</v>
      </c>
      <c r="I22" s="2">
        <v>5.9420648675414696E-3</v>
      </c>
    </row>
    <row r="23" spans="1:9" x14ac:dyDescent="0.35">
      <c r="A23" s="19">
        <v>45434</v>
      </c>
      <c r="B23" t="s">
        <v>421</v>
      </c>
      <c r="C23" t="s">
        <v>10</v>
      </c>
      <c r="D23" s="1">
        <v>698189</v>
      </c>
      <c r="E23" s="1">
        <v>268041</v>
      </c>
      <c r="F23" s="2">
        <v>0.38390894156166899</v>
      </c>
      <c r="G23" s="1">
        <v>3305</v>
      </c>
      <c r="H23" s="2">
        <v>1.2330203215179801E-2</v>
      </c>
      <c r="I23" s="2">
        <v>4.7336752655799501E-3</v>
      </c>
    </row>
    <row r="24" spans="1:9" x14ac:dyDescent="0.35">
      <c r="A24" s="19">
        <v>45434</v>
      </c>
      <c r="B24" t="s">
        <v>421</v>
      </c>
      <c r="C24" t="s">
        <v>11</v>
      </c>
      <c r="D24" s="1">
        <v>34089</v>
      </c>
      <c r="E24" s="1">
        <v>12091</v>
      </c>
      <c r="F24" s="2">
        <v>0.354689195928305</v>
      </c>
      <c r="G24" s="1">
        <v>161</v>
      </c>
      <c r="H24" s="2">
        <v>1.33156893557191E-2</v>
      </c>
      <c r="I24" s="2">
        <v>4.7229311508111098E-3</v>
      </c>
    </row>
    <row r="25" spans="1:9" x14ac:dyDescent="0.35">
      <c r="A25" s="19">
        <v>45435</v>
      </c>
      <c r="B25" t="s">
        <v>422</v>
      </c>
      <c r="C25" t="s">
        <v>423</v>
      </c>
      <c r="D25" s="1">
        <v>332091</v>
      </c>
      <c r="E25" s="1">
        <v>109940</v>
      </c>
      <c r="F25" s="3">
        <v>0.33110000000000001</v>
      </c>
      <c r="G25">
        <v>970</v>
      </c>
      <c r="H25" s="3">
        <v>8.8000000000000005E-3</v>
      </c>
      <c r="I25" s="3">
        <v>2.8999999999999998E-3</v>
      </c>
    </row>
    <row r="26" spans="1:9" x14ac:dyDescent="0.35">
      <c r="A26" s="19">
        <v>45435</v>
      </c>
      <c r="B26" t="s">
        <v>424</v>
      </c>
      <c r="C26" t="s">
        <v>425</v>
      </c>
      <c r="D26" s="1">
        <v>21348</v>
      </c>
      <c r="E26" s="1">
        <v>6206</v>
      </c>
      <c r="F26" s="3">
        <v>0.29070000000000001</v>
      </c>
      <c r="G26">
        <v>59</v>
      </c>
      <c r="H26" s="3">
        <v>9.4999999999999998E-3</v>
      </c>
      <c r="I26" s="3">
        <v>2.8E-3</v>
      </c>
    </row>
    <row r="27" spans="1:9" x14ac:dyDescent="0.35">
      <c r="A27" s="19">
        <v>45435</v>
      </c>
      <c r="B27" t="s">
        <v>379</v>
      </c>
      <c r="C27" t="s">
        <v>253</v>
      </c>
      <c r="D27" s="1">
        <v>738823</v>
      </c>
      <c r="E27" s="1">
        <v>251732</v>
      </c>
      <c r="F27" s="3">
        <v>0.3407</v>
      </c>
      <c r="G27" s="1">
        <v>2299</v>
      </c>
      <c r="H27" s="3">
        <v>9.1000000000000004E-3</v>
      </c>
      <c r="I27" s="3">
        <v>3.0999999999999999E-3</v>
      </c>
    </row>
    <row r="28" spans="1:9" ht="13.4" customHeight="1" x14ac:dyDescent="0.35">
      <c r="A28" s="19">
        <v>45435</v>
      </c>
      <c r="B28" t="s">
        <v>380</v>
      </c>
      <c r="C28" t="s">
        <v>255</v>
      </c>
      <c r="D28" s="1">
        <v>48488</v>
      </c>
      <c r="E28" s="1">
        <v>15119</v>
      </c>
      <c r="F28" s="3">
        <v>0.31180000000000002</v>
      </c>
      <c r="G28">
        <v>141</v>
      </c>
      <c r="H28" s="3">
        <v>9.2999999999999992E-3</v>
      </c>
      <c r="I28" s="3">
        <v>2.8999999999999998E-3</v>
      </c>
    </row>
    <row r="29" spans="1:9" x14ac:dyDescent="0.35">
      <c r="A29" s="19">
        <v>45435</v>
      </c>
      <c r="B29" t="s">
        <v>399</v>
      </c>
      <c r="C29" t="s">
        <v>234</v>
      </c>
      <c r="D29" s="1">
        <v>1159119</v>
      </c>
      <c r="E29" s="1">
        <v>390205</v>
      </c>
      <c r="F29" s="3">
        <v>0.33660000000000001</v>
      </c>
      <c r="G29" s="1">
        <v>3076</v>
      </c>
      <c r="H29" s="3">
        <v>7.9000000000000008E-3</v>
      </c>
      <c r="I29" s="3">
        <v>2.7000000000000001E-3</v>
      </c>
    </row>
    <row r="30" spans="1:9" x14ac:dyDescent="0.35">
      <c r="A30" s="19">
        <v>45435</v>
      </c>
      <c r="B30" t="s">
        <v>401</v>
      </c>
      <c r="C30" t="s">
        <v>235</v>
      </c>
      <c r="D30" s="1">
        <v>110272</v>
      </c>
      <c r="E30" s="1">
        <v>35123</v>
      </c>
      <c r="F30" s="3">
        <v>0.31850000000000001</v>
      </c>
      <c r="G30">
        <v>324</v>
      </c>
      <c r="H30" s="3">
        <v>9.1999999999999998E-3</v>
      </c>
      <c r="I30" s="3">
        <v>2.8999999999999998E-3</v>
      </c>
    </row>
    <row r="31" spans="1:9" ht="15" thickBot="1" x14ac:dyDescent="0.4">
      <c r="A31" s="20" t="s">
        <v>35</v>
      </c>
      <c r="D31" s="10">
        <f>SUM(D2:D30)</f>
        <v>13645631</v>
      </c>
      <c r="E31" s="10">
        <f>SUM(E2:E30)</f>
        <v>4718478</v>
      </c>
      <c r="F31" s="27">
        <f>AVERAGE(F2:F30)</f>
        <v>0.36552245291289398</v>
      </c>
      <c r="G31" s="10">
        <f>SUM(G2:G30)</f>
        <v>60853</v>
      </c>
      <c r="H31" s="27">
        <f>AVERAGE(H2:H30)</f>
        <v>2.2797388095353709E-2</v>
      </c>
      <c r="I31" s="27">
        <f>AVERAGE(I2:I30)</f>
        <v>1.0676116408974812E-2</v>
      </c>
    </row>
    <row r="32" spans="1:9" ht="15" thickBot="1" x14ac:dyDescent="0.4">
      <c r="A32" s="138" t="s">
        <v>302</v>
      </c>
      <c r="B32" s="138"/>
      <c r="C32" s="138"/>
      <c r="D32" s="138"/>
      <c r="E32" s="138"/>
      <c r="F32" s="138"/>
      <c r="G32" s="138"/>
      <c r="H32" s="138"/>
      <c r="I32" s="138"/>
    </row>
    <row r="33" spans="1:9" x14ac:dyDescent="0.35">
      <c r="A33" s="24" t="s">
        <v>0</v>
      </c>
      <c r="B33" s="25" t="s">
        <v>1</v>
      </c>
      <c r="C33" s="25" t="s">
        <v>2</v>
      </c>
      <c r="D33" s="25" t="s">
        <v>3</v>
      </c>
      <c r="E33" s="25" t="s">
        <v>4</v>
      </c>
      <c r="F33" s="25" t="s">
        <v>5</v>
      </c>
      <c r="G33" s="25" t="s">
        <v>6</v>
      </c>
      <c r="H33" s="25" t="s">
        <v>7</v>
      </c>
      <c r="I33" s="26" t="s">
        <v>8</v>
      </c>
    </row>
    <row r="34" spans="1:9" x14ac:dyDescent="0.35">
      <c r="A34" s="5" t="s">
        <v>36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8">
        <v>45429</v>
      </c>
      <c r="B35" t="s">
        <v>409</v>
      </c>
      <c r="C35" t="s">
        <v>10</v>
      </c>
      <c r="D35" s="1">
        <v>399194</v>
      </c>
      <c r="E35" s="1">
        <v>139343</v>
      </c>
      <c r="F35" s="2">
        <v>0.349060857628121</v>
      </c>
      <c r="G35" s="1">
        <v>2436</v>
      </c>
      <c r="H35" s="2">
        <v>1.7482040719663E-2</v>
      </c>
      <c r="I35" s="9">
        <v>6.1022961266952898E-3</v>
      </c>
    </row>
    <row r="36" spans="1:9" x14ac:dyDescent="0.35">
      <c r="A36" s="8">
        <v>45429</v>
      </c>
      <c r="B36" t="s">
        <v>410</v>
      </c>
      <c r="C36" t="s">
        <v>10</v>
      </c>
      <c r="D36" s="1">
        <v>4710656</v>
      </c>
      <c r="E36" s="1">
        <v>1554151</v>
      </c>
      <c r="F36" s="2">
        <v>0.32992241420303198</v>
      </c>
      <c r="G36" s="1">
        <v>20569</v>
      </c>
      <c r="H36" s="2">
        <v>1.32348787215657E-2</v>
      </c>
      <c r="I36" s="9">
        <v>4.36648313950329E-3</v>
      </c>
    </row>
    <row r="37" spans="1:9" x14ac:dyDescent="0.35">
      <c r="A37" s="8">
        <v>45429</v>
      </c>
      <c r="B37" t="s">
        <v>410</v>
      </c>
      <c r="C37" t="s">
        <v>11</v>
      </c>
      <c r="D37" s="1">
        <v>302585</v>
      </c>
      <c r="E37" s="1">
        <v>87164</v>
      </c>
      <c r="F37" s="2">
        <v>0.288064510798619</v>
      </c>
      <c r="G37" s="1">
        <v>1271</v>
      </c>
      <c r="H37" s="2">
        <v>1.4581708044605599E-2</v>
      </c>
      <c r="I37" s="9">
        <v>4.2004725944775802E-3</v>
      </c>
    </row>
    <row r="38" spans="1:9" x14ac:dyDescent="0.35">
      <c r="A38" s="8">
        <v>45433</v>
      </c>
      <c r="B38" t="s">
        <v>418</v>
      </c>
      <c r="C38" t="s">
        <v>10</v>
      </c>
      <c r="D38" s="1">
        <v>1327956</v>
      </c>
      <c r="E38" s="1">
        <v>479757</v>
      </c>
      <c r="F38" s="2">
        <v>0.36127477115205597</v>
      </c>
      <c r="G38" s="1">
        <v>6862</v>
      </c>
      <c r="H38" s="2">
        <v>1.43030742646798E-2</v>
      </c>
      <c r="I38" s="9">
        <v>5.16733988174307E-3</v>
      </c>
    </row>
    <row r="39" spans="1:9" x14ac:dyDescent="0.35">
      <c r="A39" s="8">
        <v>45433</v>
      </c>
      <c r="B39" t="s">
        <v>418</v>
      </c>
      <c r="C39" t="s">
        <v>11</v>
      </c>
      <c r="D39" s="1">
        <v>94349</v>
      </c>
      <c r="E39" s="1">
        <v>31989</v>
      </c>
      <c r="F39" s="2">
        <v>0.33904969845997301</v>
      </c>
      <c r="G39" s="1">
        <v>560</v>
      </c>
      <c r="H39" s="2">
        <v>1.7506017693582201E-2</v>
      </c>
      <c r="I39" s="9">
        <v>5.93541002024399E-3</v>
      </c>
    </row>
    <row r="40" spans="1:9" ht="15" thickBot="1" x14ac:dyDescent="0.4">
      <c r="A40" s="12" t="s">
        <v>35</v>
      </c>
      <c r="B40" s="4"/>
      <c r="C40" s="4"/>
      <c r="D40" s="13">
        <f>SUM(D35:D39)</f>
        <v>6834740</v>
      </c>
      <c r="E40" s="13">
        <f>SUM(E35:E39)</f>
        <v>2292404</v>
      </c>
      <c r="F40" s="14">
        <f>AVERAGE(F35:F39)</f>
        <v>0.33347445044836022</v>
      </c>
      <c r="G40" s="13">
        <f>SUM(G35:G39)</f>
        <v>31698</v>
      </c>
      <c r="H40" s="14">
        <f>AVERAGE(H35:H39)</f>
        <v>1.5421543888819259E-2</v>
      </c>
      <c r="I40" s="15">
        <f>AVERAGE(I35:I39)</f>
        <v>5.1544003525326437E-3</v>
      </c>
    </row>
    <row r="41" spans="1:9" ht="3" customHeight="1" thickBot="1" x14ac:dyDescent="0.4">
      <c r="A41" s="139"/>
      <c r="B41" s="138"/>
      <c r="C41" s="138"/>
      <c r="D41" s="138"/>
      <c r="E41" s="138"/>
      <c r="F41" s="138"/>
      <c r="G41" s="138"/>
      <c r="H41" s="138"/>
      <c r="I41" s="140"/>
    </row>
    <row r="42" spans="1:9" x14ac:dyDescent="0.35">
      <c r="A42" s="16" t="s">
        <v>37</v>
      </c>
      <c r="B42" s="17"/>
      <c r="C42" s="17"/>
      <c r="D42" s="17"/>
      <c r="E42" s="17"/>
      <c r="F42" s="17"/>
      <c r="G42" s="17"/>
      <c r="H42" s="17"/>
      <c r="I42" s="18"/>
    </row>
    <row r="43" spans="1:9" x14ac:dyDescent="0.35">
      <c r="A43" s="8">
        <v>45429</v>
      </c>
      <c r="B43" t="s">
        <v>407</v>
      </c>
      <c r="C43" t="s">
        <v>10</v>
      </c>
      <c r="D43" s="1">
        <v>666203</v>
      </c>
      <c r="E43" s="1">
        <v>246394</v>
      </c>
      <c r="F43" s="2">
        <v>0.36984822944357798</v>
      </c>
      <c r="G43" s="1">
        <v>2033</v>
      </c>
      <c r="H43" s="2">
        <v>8.2510126058264396E-3</v>
      </c>
      <c r="I43" s="9">
        <v>3.0516224033815499E-3</v>
      </c>
    </row>
    <row r="44" spans="1:9" x14ac:dyDescent="0.35">
      <c r="A44" s="8">
        <v>45429</v>
      </c>
      <c r="B44" t="s">
        <v>407</v>
      </c>
      <c r="C44" t="s">
        <v>11</v>
      </c>
      <c r="D44" s="1">
        <v>42563</v>
      </c>
      <c r="E44" s="1">
        <v>14451</v>
      </c>
      <c r="F44" s="2">
        <v>0.339520240584545</v>
      </c>
      <c r="G44" s="1">
        <v>144</v>
      </c>
      <c r="H44" s="2">
        <v>9.9647083246834096E-3</v>
      </c>
      <c r="I44" s="9">
        <v>3.3832201677513299E-3</v>
      </c>
    </row>
    <row r="45" spans="1:9" x14ac:dyDescent="0.35">
      <c r="A45" s="8">
        <v>45429</v>
      </c>
      <c r="B45" t="s">
        <v>408</v>
      </c>
      <c r="C45" t="s">
        <v>10</v>
      </c>
      <c r="D45" s="1">
        <v>666214</v>
      </c>
      <c r="E45" s="1">
        <v>324989</v>
      </c>
      <c r="F45" s="2">
        <v>0.487814726199089</v>
      </c>
      <c r="G45" s="1">
        <v>3171</v>
      </c>
      <c r="H45" s="2">
        <v>9.7572533224201397E-3</v>
      </c>
      <c r="I45" s="9">
        <v>4.7597318579315397E-3</v>
      </c>
    </row>
    <row r="46" spans="1:9" x14ac:dyDescent="0.35">
      <c r="A46" s="8">
        <v>45429</v>
      </c>
      <c r="B46" t="s">
        <v>408</v>
      </c>
      <c r="C46" t="s">
        <v>11</v>
      </c>
      <c r="D46" s="1">
        <v>42562</v>
      </c>
      <c r="E46" s="1">
        <v>16874</v>
      </c>
      <c r="F46" s="2">
        <v>0.396456933414783</v>
      </c>
      <c r="G46" s="1">
        <v>170</v>
      </c>
      <c r="H46" s="2">
        <v>1.00746710916202E-2</v>
      </c>
      <c r="I46" s="9">
        <v>3.9941732061463302E-3</v>
      </c>
    </row>
    <row r="47" spans="1:9" x14ac:dyDescent="0.35">
      <c r="A47" s="8">
        <v>45429</v>
      </c>
      <c r="B47" t="s">
        <v>411</v>
      </c>
      <c r="C47" t="s">
        <v>10</v>
      </c>
      <c r="D47" s="1">
        <v>148327</v>
      </c>
      <c r="E47" s="1">
        <v>56643</v>
      </c>
      <c r="F47" s="2">
        <v>0.38187922630404397</v>
      </c>
      <c r="G47" s="1">
        <v>1012</v>
      </c>
      <c r="H47" s="2">
        <v>1.7866285330932302E-2</v>
      </c>
      <c r="I47" s="9">
        <v>6.8227632191037403E-3</v>
      </c>
    </row>
    <row r="48" spans="1:9" x14ac:dyDescent="0.35">
      <c r="A48" s="8">
        <v>45429</v>
      </c>
      <c r="B48" t="s">
        <v>411</v>
      </c>
      <c r="C48" t="s">
        <v>11</v>
      </c>
      <c r="D48" s="1">
        <v>6814</v>
      </c>
      <c r="E48" s="1">
        <v>2556</v>
      </c>
      <c r="F48" s="2">
        <v>0.37511006750807202</v>
      </c>
      <c r="G48" s="1">
        <v>69</v>
      </c>
      <c r="H48" s="2">
        <v>2.6995305164319201E-2</v>
      </c>
      <c r="I48" s="9">
        <v>1.01262107425888E-2</v>
      </c>
    </row>
    <row r="49" spans="1:9" x14ac:dyDescent="0.35">
      <c r="A49" s="8">
        <v>45429</v>
      </c>
      <c r="B49" t="s">
        <v>411</v>
      </c>
      <c r="C49" t="s">
        <v>412</v>
      </c>
      <c r="D49" s="1">
        <v>146085</v>
      </c>
      <c r="E49" s="1">
        <v>55751</v>
      </c>
      <c r="F49" s="2">
        <v>0.38163398021699702</v>
      </c>
      <c r="G49" s="1">
        <v>946</v>
      </c>
      <c r="H49" s="2">
        <v>1.6968305501246599E-2</v>
      </c>
      <c r="I49" s="9">
        <v>6.4756819659787098E-3</v>
      </c>
    </row>
    <row r="50" spans="1:9" x14ac:dyDescent="0.35">
      <c r="A50" s="8">
        <v>45429</v>
      </c>
      <c r="B50" t="s">
        <v>411</v>
      </c>
      <c r="C50" t="s">
        <v>413</v>
      </c>
      <c r="D50" s="1">
        <v>6741</v>
      </c>
      <c r="E50" s="1">
        <v>2428</v>
      </c>
      <c r="F50" s="2">
        <v>0.36018394896899603</v>
      </c>
      <c r="G50" s="1">
        <v>33</v>
      </c>
      <c r="H50" s="2">
        <v>1.35914332784185E-2</v>
      </c>
      <c r="I50" s="9">
        <v>4.89541611036938E-3</v>
      </c>
    </row>
    <row r="51" spans="1:9" x14ac:dyDescent="0.35">
      <c r="A51" s="8">
        <v>45429</v>
      </c>
      <c r="B51" t="s">
        <v>414</v>
      </c>
      <c r="C51" t="s">
        <v>415</v>
      </c>
      <c r="D51" s="1">
        <v>190</v>
      </c>
      <c r="E51" s="1">
        <v>120</v>
      </c>
      <c r="F51" s="2">
        <v>0.63157894736842102</v>
      </c>
      <c r="G51" s="1">
        <v>34</v>
      </c>
      <c r="H51" s="2">
        <v>0.28333333333333299</v>
      </c>
      <c r="I51" s="9">
        <v>0.17894736842105299</v>
      </c>
    </row>
    <row r="52" spans="1:9" x14ac:dyDescent="0.35">
      <c r="A52" s="8">
        <v>45430</v>
      </c>
      <c r="B52" t="s">
        <v>416</v>
      </c>
      <c r="C52" t="s">
        <v>10</v>
      </c>
      <c r="D52" s="1">
        <v>1208780</v>
      </c>
      <c r="E52" s="1">
        <v>363709</v>
      </c>
      <c r="F52" s="2">
        <v>0.30088932642830002</v>
      </c>
      <c r="G52" s="1">
        <v>7055</v>
      </c>
      <c r="H52" s="2">
        <v>1.9397375374268999E-2</v>
      </c>
      <c r="I52" s="9">
        <v>5.8364632108406801E-3</v>
      </c>
    </row>
    <row r="53" spans="1:9" x14ac:dyDescent="0.35">
      <c r="A53" s="8">
        <v>45430</v>
      </c>
      <c r="B53" t="s">
        <v>416</v>
      </c>
      <c r="C53" t="s">
        <v>11</v>
      </c>
      <c r="D53" s="1">
        <v>91002</v>
      </c>
      <c r="E53" s="1">
        <v>23307</v>
      </c>
      <c r="F53" s="2">
        <v>0.256115250214281</v>
      </c>
      <c r="G53" s="1">
        <v>583</v>
      </c>
      <c r="H53" s="2">
        <v>2.5013944308576799E-2</v>
      </c>
      <c r="I53" s="9">
        <v>6.4064526054372403E-3</v>
      </c>
    </row>
    <row r="54" spans="1:9" x14ac:dyDescent="0.35">
      <c r="A54" s="8">
        <v>45431</v>
      </c>
      <c r="B54" t="s">
        <v>417</v>
      </c>
      <c r="C54" t="s">
        <v>72</v>
      </c>
      <c r="D54" s="1">
        <v>350131</v>
      </c>
      <c r="E54" s="1">
        <v>119201</v>
      </c>
      <c r="F54" s="2">
        <v>0.34044686131762097</v>
      </c>
      <c r="G54" s="1">
        <v>1431</v>
      </c>
      <c r="H54" s="2">
        <v>1.20049328445231E-2</v>
      </c>
      <c r="I54" s="9">
        <v>4.08704170724672E-3</v>
      </c>
    </row>
    <row r="55" spans="1:9" x14ac:dyDescent="0.35">
      <c r="A55" s="8">
        <v>45431</v>
      </c>
      <c r="B55" t="s">
        <v>417</v>
      </c>
      <c r="C55" t="s">
        <v>73</v>
      </c>
      <c r="D55" s="1">
        <v>23522</v>
      </c>
      <c r="E55" s="1">
        <v>7485</v>
      </c>
      <c r="F55" s="2">
        <v>0.31821273701215902</v>
      </c>
      <c r="G55" s="1">
        <v>113</v>
      </c>
      <c r="H55" s="2">
        <v>1.5096860387441499E-2</v>
      </c>
      <c r="I55" s="9">
        <v>4.8040132641782203E-3</v>
      </c>
    </row>
    <row r="56" spans="1:9" x14ac:dyDescent="0.35">
      <c r="A56" s="8">
        <v>45434</v>
      </c>
      <c r="B56" t="s">
        <v>419</v>
      </c>
      <c r="C56" t="s">
        <v>10</v>
      </c>
      <c r="D56" s="1">
        <v>12</v>
      </c>
      <c r="E56" s="1">
        <v>7</v>
      </c>
      <c r="F56" s="2">
        <v>0.58333333333333304</v>
      </c>
      <c r="G56" s="1">
        <v>0</v>
      </c>
      <c r="H56" s="2">
        <v>0</v>
      </c>
      <c r="I56" s="9">
        <v>0</v>
      </c>
    </row>
    <row r="57" spans="1:9" x14ac:dyDescent="0.35">
      <c r="A57" s="8">
        <v>45434</v>
      </c>
      <c r="B57" t="s">
        <v>420</v>
      </c>
      <c r="C57" t="s">
        <v>10</v>
      </c>
      <c r="D57" s="1">
        <v>265287</v>
      </c>
      <c r="E57" s="1">
        <v>102263</v>
      </c>
      <c r="F57" s="2">
        <v>0.38548063041159197</v>
      </c>
      <c r="G57" s="1">
        <v>2002</v>
      </c>
      <c r="H57" s="2">
        <v>1.9576973098774701E-2</v>
      </c>
      <c r="I57" s="9">
        <v>7.5465439316664603E-3</v>
      </c>
    </row>
    <row r="58" spans="1:9" x14ac:dyDescent="0.35">
      <c r="A58" s="8">
        <v>45434</v>
      </c>
      <c r="B58" t="s">
        <v>420</v>
      </c>
      <c r="C58" t="s">
        <v>11</v>
      </c>
      <c r="D58" s="1">
        <v>4039</v>
      </c>
      <c r="E58" s="1">
        <v>1439</v>
      </c>
      <c r="F58" s="2">
        <v>0.35627630601634103</v>
      </c>
      <c r="G58" s="1">
        <v>24</v>
      </c>
      <c r="H58" s="2">
        <v>1.6678248783877699E-2</v>
      </c>
      <c r="I58" s="9">
        <v>5.9420648675414696E-3</v>
      </c>
    </row>
    <row r="59" spans="1:9" x14ac:dyDescent="0.35">
      <c r="A59" s="8">
        <v>45434</v>
      </c>
      <c r="B59" t="s">
        <v>421</v>
      </c>
      <c r="C59" t="s">
        <v>10</v>
      </c>
      <c r="D59" s="1">
        <v>698189</v>
      </c>
      <c r="E59" s="1">
        <v>268041</v>
      </c>
      <c r="F59" s="2">
        <v>0.38390894156166899</v>
      </c>
      <c r="G59" s="1">
        <v>3305</v>
      </c>
      <c r="H59" s="2">
        <v>1.2330203215179801E-2</v>
      </c>
      <c r="I59" s="9">
        <v>4.7336752655799501E-3</v>
      </c>
    </row>
    <row r="60" spans="1:9" x14ac:dyDescent="0.35">
      <c r="A60" s="8">
        <v>45434</v>
      </c>
      <c r="B60" t="s">
        <v>421</v>
      </c>
      <c r="C60" t="s">
        <v>11</v>
      </c>
      <c r="D60" s="1">
        <v>34089</v>
      </c>
      <c r="E60" s="1">
        <v>12091</v>
      </c>
      <c r="F60" s="2">
        <v>0.354689195928305</v>
      </c>
      <c r="G60" s="1">
        <v>161</v>
      </c>
      <c r="H60" s="2">
        <v>1.33156893557191E-2</v>
      </c>
      <c r="I60" s="9">
        <v>4.7229311508111098E-3</v>
      </c>
    </row>
    <row r="61" spans="1:9" ht="15" thickBot="1" x14ac:dyDescent="0.4">
      <c r="A61" s="12" t="s">
        <v>35</v>
      </c>
      <c r="B61" s="4"/>
      <c r="C61" s="4"/>
      <c r="D61" s="13">
        <f>SUM(D43:D60)</f>
        <v>4400750</v>
      </c>
      <c r="E61" s="13">
        <f>SUM(E43:E60)</f>
        <v>1617749</v>
      </c>
      <c r="F61" s="14">
        <f>AVERAGE(F43:F60)</f>
        <v>0.38907660456845139</v>
      </c>
      <c r="G61" s="13">
        <f>SUM(G43:G60)</f>
        <v>22286</v>
      </c>
      <c r="H61" s="14">
        <f>AVERAGE(H43:H60)</f>
        <v>2.9456474184508974E-2</v>
      </c>
      <c r="I61" s="15">
        <f>AVERAGE(I43:I60)</f>
        <v>1.4807520783200348E-2</v>
      </c>
    </row>
    <row r="62" spans="1:9" ht="3" customHeight="1" thickBot="1" x14ac:dyDescent="0.4">
      <c r="A62" s="139"/>
      <c r="B62" s="138"/>
      <c r="C62" s="138"/>
      <c r="D62" s="138"/>
      <c r="E62" s="138"/>
      <c r="F62" s="138"/>
      <c r="G62" s="138"/>
      <c r="H62" s="138"/>
      <c r="I62" s="140"/>
    </row>
    <row r="63" spans="1:9" x14ac:dyDescent="0.35">
      <c r="A63" s="16" t="s">
        <v>38</v>
      </c>
      <c r="B63" s="17"/>
      <c r="C63" s="17"/>
      <c r="D63" s="17"/>
      <c r="E63" s="17"/>
      <c r="F63" s="17"/>
      <c r="G63" s="17"/>
      <c r="H63" s="17"/>
      <c r="I63" s="18"/>
    </row>
    <row r="64" spans="1:9" x14ac:dyDescent="0.35">
      <c r="A64" s="8">
        <v>45435</v>
      </c>
      <c r="B64" t="s">
        <v>422</v>
      </c>
      <c r="C64" t="s">
        <v>423</v>
      </c>
      <c r="D64" s="1">
        <v>332091</v>
      </c>
      <c r="E64" s="1">
        <v>109940</v>
      </c>
      <c r="F64" s="3">
        <v>0.33110000000000001</v>
      </c>
      <c r="G64">
        <v>970</v>
      </c>
      <c r="H64" s="3">
        <v>8.8000000000000005E-3</v>
      </c>
      <c r="I64" s="11">
        <v>2.8999999999999998E-3</v>
      </c>
    </row>
    <row r="65" spans="1:9" x14ac:dyDescent="0.35">
      <c r="A65" s="8">
        <v>45435</v>
      </c>
      <c r="B65" t="s">
        <v>424</v>
      </c>
      <c r="C65" t="s">
        <v>425</v>
      </c>
      <c r="D65" s="1">
        <v>21348</v>
      </c>
      <c r="E65" s="1">
        <v>6206</v>
      </c>
      <c r="F65" s="3">
        <v>0.29070000000000001</v>
      </c>
      <c r="G65">
        <v>59</v>
      </c>
      <c r="H65" s="3">
        <v>9.4999999999999998E-3</v>
      </c>
      <c r="I65" s="11">
        <v>2.8E-3</v>
      </c>
    </row>
    <row r="66" spans="1:9" x14ac:dyDescent="0.35">
      <c r="A66" s="8">
        <v>45435</v>
      </c>
      <c r="B66" t="s">
        <v>379</v>
      </c>
      <c r="C66" t="s">
        <v>253</v>
      </c>
      <c r="D66" s="1">
        <v>738823</v>
      </c>
      <c r="E66" s="1">
        <v>251732</v>
      </c>
      <c r="F66" s="3">
        <v>0.3407</v>
      </c>
      <c r="G66" s="1">
        <v>2299</v>
      </c>
      <c r="H66" s="3">
        <v>9.1000000000000004E-3</v>
      </c>
      <c r="I66" s="11">
        <v>3.0999999999999999E-3</v>
      </c>
    </row>
    <row r="67" spans="1:9" ht="13.4" customHeight="1" x14ac:dyDescent="0.35">
      <c r="A67" s="8">
        <v>45435</v>
      </c>
      <c r="B67" t="s">
        <v>380</v>
      </c>
      <c r="C67" t="s">
        <v>255</v>
      </c>
      <c r="D67" s="1">
        <v>48488</v>
      </c>
      <c r="E67" s="1">
        <v>15119</v>
      </c>
      <c r="F67" s="3">
        <v>0.31180000000000002</v>
      </c>
      <c r="G67">
        <v>141</v>
      </c>
      <c r="H67" s="3">
        <v>9.2999999999999992E-3</v>
      </c>
      <c r="I67" s="11">
        <v>2.8999999999999998E-3</v>
      </c>
    </row>
    <row r="68" spans="1:9" x14ac:dyDescent="0.35">
      <c r="A68" s="8">
        <v>45435</v>
      </c>
      <c r="B68" t="s">
        <v>399</v>
      </c>
      <c r="C68" t="s">
        <v>234</v>
      </c>
      <c r="D68" s="1">
        <v>1159119</v>
      </c>
      <c r="E68" s="1">
        <v>390205</v>
      </c>
      <c r="F68" s="3">
        <v>0.33660000000000001</v>
      </c>
      <c r="G68" s="1">
        <v>3076</v>
      </c>
      <c r="H68" s="3">
        <v>7.9000000000000008E-3</v>
      </c>
      <c r="I68" s="11">
        <v>2.7000000000000001E-3</v>
      </c>
    </row>
    <row r="69" spans="1:9" x14ac:dyDescent="0.35">
      <c r="A69" s="8">
        <v>45435</v>
      </c>
      <c r="B69" t="s">
        <v>401</v>
      </c>
      <c r="C69" t="s">
        <v>235</v>
      </c>
      <c r="D69" s="1">
        <v>110272</v>
      </c>
      <c r="E69" s="1">
        <v>35123</v>
      </c>
      <c r="F69" s="3">
        <v>0.31850000000000001</v>
      </c>
      <c r="G69">
        <v>324</v>
      </c>
      <c r="H69" s="3">
        <v>9.1999999999999998E-3</v>
      </c>
      <c r="I69" s="11">
        <v>2.8999999999999998E-3</v>
      </c>
    </row>
    <row r="70" spans="1:9" ht="15" thickBot="1" x14ac:dyDescent="0.4">
      <c r="A70" s="12" t="s">
        <v>35</v>
      </c>
      <c r="B70" s="4"/>
      <c r="C70" s="4"/>
      <c r="D70" s="13">
        <f>SUM(D64:D69)</f>
        <v>2410141</v>
      </c>
      <c r="E70" s="13">
        <f>SUM(E64:E69)</f>
        <v>808325</v>
      </c>
      <c r="F70" s="14">
        <f>AVERAGE(F64:F69)</f>
        <v>0.32156666666666667</v>
      </c>
      <c r="G70" s="13">
        <f>SUM(G64:G69)</f>
        <v>6869</v>
      </c>
      <c r="H70" s="14">
        <f>AVERAGE(H64:H69)</f>
        <v>8.9666666666666662E-3</v>
      </c>
      <c r="I70" s="15">
        <f>AVERAGE(I64:I69)</f>
        <v>2.8833333333333332E-3</v>
      </c>
    </row>
  </sheetData>
  <mergeCells count="3">
    <mergeCell ref="A32:I32"/>
    <mergeCell ref="A41:I41"/>
    <mergeCell ref="A62:I62"/>
  </mergeCells>
  <pageMargins left="0.7" right="0.7" top="0.75" bottom="0.75" header="0.3" footer="0.3"/>
  <ignoredErrors>
    <ignoredError sqref="F31:G31 F40:G40 F61 F70" formula="1"/>
  </ignoredErrors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70A3-0E05-4485-92CB-A0DE83A4A581}">
  <dimension ref="A1:M88"/>
  <sheetViews>
    <sheetView zoomScale="90" zoomScaleNormal="90" workbookViewId="0">
      <selection activeCell="M22" sqref="M22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45436</v>
      </c>
      <c r="B2" t="s">
        <v>426</v>
      </c>
      <c r="C2" t="s">
        <v>10</v>
      </c>
      <c r="D2" s="1">
        <v>412129</v>
      </c>
      <c r="E2" s="1">
        <v>146031</v>
      </c>
      <c r="F2" s="2">
        <v>0.35433323061468602</v>
      </c>
      <c r="G2" s="1">
        <v>3379</v>
      </c>
      <c r="H2" s="2">
        <v>2.3138922557539202E-2</v>
      </c>
      <c r="I2" s="2">
        <v>8.1988891827558807E-3</v>
      </c>
    </row>
    <row r="3" spans="1:9" x14ac:dyDescent="0.35">
      <c r="A3" s="19">
        <v>45436</v>
      </c>
      <c r="B3" t="s">
        <v>426</v>
      </c>
      <c r="C3" t="s">
        <v>11</v>
      </c>
      <c r="D3" s="1">
        <v>22302</v>
      </c>
      <c r="E3" s="1">
        <v>7331</v>
      </c>
      <c r="F3" s="2">
        <v>0.32871491346067599</v>
      </c>
      <c r="G3" s="1">
        <v>223</v>
      </c>
      <c r="H3" s="2">
        <v>3.0418769608511802E-2</v>
      </c>
      <c r="I3" s="2">
        <v>9.9991032194421993E-3</v>
      </c>
    </row>
    <row r="4" spans="1:9" x14ac:dyDescent="0.35">
      <c r="A4" s="19">
        <v>45436</v>
      </c>
      <c r="B4" t="s">
        <v>427</v>
      </c>
      <c r="C4" t="s">
        <v>428</v>
      </c>
      <c r="D4" s="1">
        <v>418719</v>
      </c>
      <c r="E4" s="1">
        <v>137699</v>
      </c>
      <c r="F4" s="2">
        <v>0.328857778128052</v>
      </c>
      <c r="G4" s="1">
        <v>1678</v>
      </c>
      <c r="H4" s="2">
        <v>1.2185999898328999E-2</v>
      </c>
      <c r="I4" s="2">
        <v>4.0074608508331401E-3</v>
      </c>
    </row>
    <row r="5" spans="1:9" x14ac:dyDescent="0.35">
      <c r="A5" s="19">
        <v>45436</v>
      </c>
      <c r="B5" t="s">
        <v>427</v>
      </c>
      <c r="C5" t="s">
        <v>429</v>
      </c>
      <c r="D5" s="1">
        <v>419543</v>
      </c>
      <c r="E5" s="1">
        <v>138429</v>
      </c>
      <c r="F5" s="2">
        <v>0.32995187620816002</v>
      </c>
      <c r="G5" s="1">
        <v>2016</v>
      </c>
      <c r="H5" s="2">
        <v>1.4563422404264999E-2</v>
      </c>
      <c r="I5" s="2">
        <v>4.8052285462991898E-3</v>
      </c>
    </row>
    <row r="6" spans="1:9" x14ac:dyDescent="0.35">
      <c r="A6" s="19">
        <v>45436</v>
      </c>
      <c r="B6" t="s">
        <v>427</v>
      </c>
      <c r="C6" t="s">
        <v>430</v>
      </c>
      <c r="D6" s="1">
        <v>4061708</v>
      </c>
      <c r="E6" s="1">
        <v>1313974</v>
      </c>
      <c r="F6" s="2">
        <v>0.32350282196553798</v>
      </c>
      <c r="G6" s="1">
        <v>15802</v>
      </c>
      <c r="H6" s="2">
        <v>1.20261131498797E-2</v>
      </c>
      <c r="I6" s="2">
        <v>3.8904815412629402E-3</v>
      </c>
    </row>
    <row r="7" spans="1:9" x14ac:dyDescent="0.35">
      <c r="A7" s="19">
        <v>45436</v>
      </c>
      <c r="B7" t="s">
        <v>427</v>
      </c>
      <c r="C7" t="s">
        <v>431</v>
      </c>
      <c r="D7" s="1">
        <v>31094</v>
      </c>
      <c r="E7" s="1">
        <v>8987</v>
      </c>
      <c r="F7" s="2">
        <v>0.28902682189489898</v>
      </c>
      <c r="G7" s="1">
        <v>198</v>
      </c>
      <c r="H7" s="2">
        <v>2.203182374541E-2</v>
      </c>
      <c r="I7" s="2">
        <v>6.36778799768444E-3</v>
      </c>
    </row>
    <row r="8" spans="1:9" x14ac:dyDescent="0.35">
      <c r="A8" s="19">
        <v>45436</v>
      </c>
      <c r="B8" t="s">
        <v>427</v>
      </c>
      <c r="C8" t="s">
        <v>432</v>
      </c>
      <c r="D8" s="1">
        <v>30660</v>
      </c>
      <c r="E8" s="1">
        <v>8704</v>
      </c>
      <c r="F8" s="2">
        <v>0.28388780169602101</v>
      </c>
      <c r="G8" s="1">
        <v>217</v>
      </c>
      <c r="H8" s="2">
        <v>2.49310661764706E-2</v>
      </c>
      <c r="I8" s="2">
        <v>7.0776255707762602E-3</v>
      </c>
    </row>
    <row r="9" spans="1:9" x14ac:dyDescent="0.35">
      <c r="A9" s="19">
        <v>45436</v>
      </c>
      <c r="B9" t="s">
        <v>427</v>
      </c>
      <c r="C9" t="s">
        <v>433</v>
      </c>
      <c r="D9" s="1">
        <v>249928</v>
      </c>
      <c r="E9" s="1">
        <v>73807</v>
      </c>
      <c r="F9" s="2">
        <v>0.295313050158446</v>
      </c>
      <c r="G9" s="1">
        <v>1170</v>
      </c>
      <c r="H9" s="2">
        <v>1.5852154944652901E-2</v>
      </c>
      <c r="I9" s="2">
        <v>4.6813482282897501E-3</v>
      </c>
    </row>
    <row r="10" spans="1:9" x14ac:dyDescent="0.35">
      <c r="A10" s="19">
        <v>45440</v>
      </c>
      <c r="B10" t="s">
        <v>434</v>
      </c>
      <c r="C10" t="s">
        <v>10</v>
      </c>
      <c r="D10" s="1">
        <v>1373553</v>
      </c>
      <c r="E10" s="1">
        <v>482182</v>
      </c>
      <c r="F10" s="2">
        <v>0.35104724753977501</v>
      </c>
      <c r="G10" s="1">
        <v>8515</v>
      </c>
      <c r="H10" s="2">
        <v>1.7659307066626301E-2</v>
      </c>
      <c r="I10" s="2">
        <v>6.1992511391988497E-3</v>
      </c>
    </row>
    <row r="11" spans="1:9" x14ac:dyDescent="0.35">
      <c r="A11" s="19">
        <v>45440</v>
      </c>
      <c r="B11" t="s">
        <v>434</v>
      </c>
      <c r="C11" t="s">
        <v>11</v>
      </c>
      <c r="D11" s="1">
        <v>96829</v>
      </c>
      <c r="E11" s="1">
        <v>31389</v>
      </c>
      <c r="F11" s="2">
        <v>0.32416941205630501</v>
      </c>
      <c r="G11" s="1">
        <v>544</v>
      </c>
      <c r="H11" s="2">
        <v>1.7330912102966001E-2</v>
      </c>
      <c r="I11" s="2">
        <v>5.6181515868179996E-3</v>
      </c>
    </row>
    <row r="12" spans="1:9" x14ac:dyDescent="0.35">
      <c r="A12" s="19">
        <v>45441</v>
      </c>
      <c r="B12" t="s">
        <v>435</v>
      </c>
      <c r="C12" t="s">
        <v>10</v>
      </c>
      <c r="D12" s="1">
        <v>125469</v>
      </c>
      <c r="E12" s="1">
        <v>46308</v>
      </c>
      <c r="F12" s="2">
        <v>0.36907921478612199</v>
      </c>
      <c r="G12" s="1">
        <v>843</v>
      </c>
      <c r="H12" s="2">
        <v>1.8204197978750999E-2</v>
      </c>
      <c r="I12" s="2">
        <v>6.7187910958085304E-3</v>
      </c>
    </row>
    <row r="13" spans="1:9" x14ac:dyDescent="0.35">
      <c r="A13" s="19">
        <v>45441</v>
      </c>
      <c r="B13" t="s">
        <v>435</v>
      </c>
      <c r="C13" t="s">
        <v>11</v>
      </c>
      <c r="D13" s="1">
        <v>3316</v>
      </c>
      <c r="E13" s="1">
        <v>1171</v>
      </c>
      <c r="F13" s="2">
        <v>0.35313630880579</v>
      </c>
      <c r="G13" s="1">
        <v>20</v>
      </c>
      <c r="H13" s="2">
        <v>1.7079419299743801E-2</v>
      </c>
      <c r="I13" s="2">
        <v>6.0313630880579E-3</v>
      </c>
    </row>
    <row r="14" spans="1:9" x14ac:dyDescent="0.35">
      <c r="A14" s="19">
        <v>45441</v>
      </c>
      <c r="B14" t="s">
        <v>436</v>
      </c>
      <c r="C14" t="s">
        <v>437</v>
      </c>
      <c r="D14" s="1">
        <v>9559</v>
      </c>
      <c r="E14" s="1">
        <v>5350</v>
      </c>
      <c r="F14" s="2">
        <v>0.55968197510199802</v>
      </c>
      <c r="G14" s="1">
        <v>606</v>
      </c>
      <c r="H14" s="2">
        <v>0.113271028037383</v>
      </c>
      <c r="I14" s="2">
        <v>6.3395752693796395E-2</v>
      </c>
    </row>
    <row r="15" spans="1:9" x14ac:dyDescent="0.35">
      <c r="A15" s="19">
        <v>45441</v>
      </c>
      <c r="B15" t="s">
        <v>436</v>
      </c>
      <c r="C15" t="s">
        <v>438</v>
      </c>
      <c r="D15" s="1">
        <v>3197</v>
      </c>
      <c r="E15" s="1">
        <v>1769</v>
      </c>
      <c r="F15" s="2">
        <v>0.55333124804504197</v>
      </c>
      <c r="G15" s="1">
        <v>220</v>
      </c>
      <c r="H15" s="2">
        <v>0.124364047484454</v>
      </c>
      <c r="I15" s="2">
        <v>6.8814513606506103E-2</v>
      </c>
    </row>
    <row r="16" spans="1:9" x14ac:dyDescent="0.35">
      <c r="A16" s="19">
        <v>45441</v>
      </c>
      <c r="B16" t="s">
        <v>436</v>
      </c>
      <c r="C16" t="s">
        <v>439</v>
      </c>
      <c r="D16" s="1">
        <v>23380</v>
      </c>
      <c r="E16" s="1">
        <v>13349</v>
      </c>
      <c r="F16" s="2">
        <v>0.57095808383233504</v>
      </c>
      <c r="G16" s="1">
        <v>20</v>
      </c>
      <c r="H16" s="2">
        <v>1.4982395685070001E-3</v>
      </c>
      <c r="I16" s="2">
        <v>8.5543199315654401E-4</v>
      </c>
    </row>
    <row r="17" spans="1:9" x14ac:dyDescent="0.35">
      <c r="A17" s="19">
        <v>45441</v>
      </c>
      <c r="B17" t="s">
        <v>436</v>
      </c>
      <c r="C17" t="s">
        <v>440</v>
      </c>
      <c r="D17" s="1">
        <v>3024</v>
      </c>
      <c r="E17" s="1">
        <v>1736</v>
      </c>
      <c r="F17" s="2">
        <v>0.57407407407407396</v>
      </c>
      <c r="G17" s="1">
        <v>220</v>
      </c>
      <c r="H17" s="2">
        <v>0.12672811059907799</v>
      </c>
      <c r="I17" s="2">
        <v>7.2751322751322706E-2</v>
      </c>
    </row>
    <row r="18" spans="1:9" x14ac:dyDescent="0.35">
      <c r="A18" s="19">
        <v>45441</v>
      </c>
      <c r="B18" t="s">
        <v>436</v>
      </c>
      <c r="C18" t="s">
        <v>441</v>
      </c>
      <c r="D18" s="1">
        <v>1072</v>
      </c>
      <c r="E18" s="1">
        <v>609</v>
      </c>
      <c r="F18" s="2">
        <v>0.56809701492537301</v>
      </c>
      <c r="G18" s="1">
        <v>87</v>
      </c>
      <c r="H18" s="2">
        <v>0.14285714285714299</v>
      </c>
      <c r="I18" s="2">
        <v>8.1156716417910404E-2</v>
      </c>
    </row>
    <row r="19" spans="1:9" x14ac:dyDescent="0.35">
      <c r="A19" s="19">
        <v>45441</v>
      </c>
      <c r="B19" t="s">
        <v>436</v>
      </c>
      <c r="C19" t="s">
        <v>442</v>
      </c>
      <c r="D19" s="1">
        <v>5042</v>
      </c>
      <c r="E19" s="1">
        <v>2990</v>
      </c>
      <c r="F19" s="2">
        <v>0.59301864339547805</v>
      </c>
      <c r="G19" s="1">
        <v>400</v>
      </c>
      <c r="H19" s="2">
        <v>0.13377926421404701</v>
      </c>
      <c r="I19" s="2">
        <v>7.9333597778659296E-2</v>
      </c>
    </row>
    <row r="20" spans="1:9" x14ac:dyDescent="0.35">
      <c r="A20" s="19">
        <v>45441</v>
      </c>
      <c r="B20" t="s">
        <v>436</v>
      </c>
      <c r="C20" t="s">
        <v>443</v>
      </c>
      <c r="D20" s="1">
        <v>12319</v>
      </c>
      <c r="E20" s="1">
        <v>6976</v>
      </c>
      <c r="F20" s="2">
        <v>0.56627973049760505</v>
      </c>
      <c r="G20" s="1">
        <v>726</v>
      </c>
      <c r="H20" s="2">
        <v>0.10407110091743101</v>
      </c>
      <c r="I20" s="2">
        <v>5.8933354980111999E-2</v>
      </c>
    </row>
    <row r="21" spans="1:9" x14ac:dyDescent="0.35">
      <c r="A21" s="19">
        <v>45441</v>
      </c>
      <c r="B21" t="s">
        <v>436</v>
      </c>
      <c r="C21" t="s">
        <v>444</v>
      </c>
      <c r="D21" s="1">
        <v>1060</v>
      </c>
      <c r="E21" s="1">
        <v>579</v>
      </c>
      <c r="F21" s="2">
        <v>0.54622641509434</v>
      </c>
      <c r="G21" s="1">
        <v>59</v>
      </c>
      <c r="H21" s="2">
        <v>0.101899827288428</v>
      </c>
      <c r="I21" s="2">
        <v>5.5660377358490602E-2</v>
      </c>
    </row>
    <row r="22" spans="1:9" x14ac:dyDescent="0.35">
      <c r="A22" s="19">
        <v>45441</v>
      </c>
      <c r="B22" t="s">
        <v>436</v>
      </c>
      <c r="C22" t="s">
        <v>445</v>
      </c>
      <c r="D22" s="1">
        <v>2255</v>
      </c>
      <c r="E22" s="1">
        <v>1272</v>
      </c>
      <c r="F22" s="2">
        <v>0.56407982261640799</v>
      </c>
      <c r="G22" s="1">
        <v>176</v>
      </c>
      <c r="H22" s="2">
        <v>0.138364779874214</v>
      </c>
      <c r="I22" s="2">
        <v>7.8048780487804906E-2</v>
      </c>
    </row>
    <row r="23" spans="1:9" x14ac:dyDescent="0.35">
      <c r="A23" s="19">
        <v>45442</v>
      </c>
      <c r="B23" t="s">
        <v>446</v>
      </c>
      <c r="C23" t="s">
        <v>447</v>
      </c>
      <c r="D23" s="1">
        <v>398273</v>
      </c>
      <c r="E23" s="1">
        <v>134565</v>
      </c>
      <c r="F23" s="3">
        <v>0.33789999999999998</v>
      </c>
      <c r="G23" s="1">
        <v>1076</v>
      </c>
      <c r="H23" s="3">
        <v>8.0000000000000002E-3</v>
      </c>
      <c r="I23" s="3">
        <v>2.7000000000000001E-3</v>
      </c>
    </row>
    <row r="24" spans="1:9" x14ac:dyDescent="0.35">
      <c r="A24" s="19">
        <v>45442</v>
      </c>
      <c r="B24" t="s">
        <v>448</v>
      </c>
      <c r="C24" t="s">
        <v>449</v>
      </c>
      <c r="D24" s="1">
        <v>32945</v>
      </c>
      <c r="E24" s="1">
        <v>11672</v>
      </c>
      <c r="F24" s="3">
        <v>0.3543</v>
      </c>
      <c r="G24">
        <v>94</v>
      </c>
      <c r="H24" s="3">
        <v>8.0999999999999996E-3</v>
      </c>
      <c r="I24" s="3">
        <v>2.8999999999999998E-3</v>
      </c>
    </row>
    <row r="25" spans="1:9" x14ac:dyDescent="0.35">
      <c r="A25" s="19">
        <v>45442</v>
      </c>
      <c r="B25" t="s">
        <v>422</v>
      </c>
      <c r="C25" t="s">
        <v>234</v>
      </c>
      <c r="D25" s="1">
        <v>281349</v>
      </c>
      <c r="E25" s="1">
        <v>89404</v>
      </c>
      <c r="F25" s="3">
        <v>0.31780000000000003</v>
      </c>
      <c r="G25">
        <v>767</v>
      </c>
      <c r="H25" s="3">
        <v>8.6E-3</v>
      </c>
      <c r="I25" s="3">
        <v>2.7000000000000001E-3</v>
      </c>
    </row>
    <row r="26" spans="1:9" x14ac:dyDescent="0.35">
      <c r="A26" s="19">
        <v>45442</v>
      </c>
      <c r="B26" t="s">
        <v>424</v>
      </c>
      <c r="C26" t="s">
        <v>235</v>
      </c>
      <c r="D26" s="1">
        <v>18806</v>
      </c>
      <c r="E26" s="1">
        <v>5250</v>
      </c>
      <c r="F26" s="3">
        <v>0.2792</v>
      </c>
      <c r="G26">
        <v>46</v>
      </c>
      <c r="H26" s="3">
        <v>8.8000000000000005E-3</v>
      </c>
      <c r="I26" s="3">
        <v>2.3999999999999998E-3</v>
      </c>
    </row>
    <row r="27" spans="1:9" x14ac:dyDescent="0.35">
      <c r="A27" s="19">
        <v>45442</v>
      </c>
      <c r="B27" t="s">
        <v>450</v>
      </c>
      <c r="C27" t="s">
        <v>451</v>
      </c>
      <c r="D27" s="1">
        <v>523151</v>
      </c>
      <c r="E27" s="1">
        <v>176116</v>
      </c>
      <c r="F27" s="3">
        <v>0.33660000000000001</v>
      </c>
      <c r="G27" s="1">
        <v>1764</v>
      </c>
      <c r="H27" s="3">
        <v>0.01</v>
      </c>
      <c r="I27" s="3">
        <v>3.3999999999999998E-3</v>
      </c>
    </row>
    <row r="28" spans="1:9" x14ac:dyDescent="0.35">
      <c r="A28" s="19">
        <v>45442</v>
      </c>
      <c r="B28" t="s">
        <v>452</v>
      </c>
      <c r="C28" t="s">
        <v>453</v>
      </c>
      <c r="D28" s="1">
        <v>37816</v>
      </c>
      <c r="E28" s="1">
        <v>11248</v>
      </c>
      <c r="F28" s="3">
        <v>0.2974</v>
      </c>
      <c r="G28">
        <v>149</v>
      </c>
      <c r="H28" s="3">
        <v>1.32E-2</v>
      </c>
      <c r="I28" s="3">
        <v>3.8999999999999998E-3</v>
      </c>
    </row>
    <row r="29" spans="1:9" x14ac:dyDescent="0.35">
      <c r="A29" s="19">
        <v>45442</v>
      </c>
      <c r="B29" t="s">
        <v>454</v>
      </c>
      <c r="C29" t="s">
        <v>455</v>
      </c>
      <c r="D29" s="1">
        <v>1151819</v>
      </c>
      <c r="E29" s="1">
        <v>385759</v>
      </c>
      <c r="F29" s="3">
        <v>0.33489999999999998</v>
      </c>
      <c r="G29" s="1">
        <v>3285</v>
      </c>
      <c r="H29" s="3">
        <v>8.5000000000000006E-3</v>
      </c>
      <c r="I29" s="3">
        <v>2.8999999999999998E-3</v>
      </c>
    </row>
    <row r="30" spans="1:9" x14ac:dyDescent="0.35">
      <c r="A30" s="19">
        <v>45442</v>
      </c>
      <c r="B30" t="s">
        <v>401</v>
      </c>
      <c r="C30" t="s">
        <v>456</v>
      </c>
      <c r="D30" s="1">
        <v>109760</v>
      </c>
      <c r="E30" s="1">
        <v>34718</v>
      </c>
      <c r="F30" s="3">
        <v>0.31630000000000003</v>
      </c>
      <c r="G30">
        <v>349</v>
      </c>
      <c r="H30" s="3">
        <v>1.01E-2</v>
      </c>
      <c r="I30" s="3">
        <v>3.2000000000000002E-3</v>
      </c>
    </row>
    <row r="31" spans="1:9" x14ac:dyDescent="0.35">
      <c r="A31" s="19">
        <v>45442</v>
      </c>
      <c r="B31" t="s">
        <v>457</v>
      </c>
      <c r="C31" t="s">
        <v>74</v>
      </c>
      <c r="D31" s="1">
        <v>115318</v>
      </c>
      <c r="E31" s="1">
        <v>28590</v>
      </c>
      <c r="F31" s="2">
        <v>0.24792313428953</v>
      </c>
      <c r="G31" s="1">
        <v>213</v>
      </c>
      <c r="H31" s="2">
        <v>7.4501573976915002E-3</v>
      </c>
      <c r="I31" s="2">
        <v>1.847066372986E-3</v>
      </c>
    </row>
    <row r="32" spans="1:9" x14ac:dyDescent="0.35">
      <c r="A32" s="19">
        <v>45442</v>
      </c>
      <c r="B32" t="s">
        <v>457</v>
      </c>
      <c r="C32" t="s">
        <v>458</v>
      </c>
      <c r="D32" s="1">
        <v>498446</v>
      </c>
      <c r="E32" s="1">
        <v>164503</v>
      </c>
      <c r="F32" s="2">
        <v>0.330031738643705</v>
      </c>
      <c r="G32" s="1">
        <v>1542</v>
      </c>
      <c r="H32" s="2">
        <v>9.3736892336309992E-3</v>
      </c>
      <c r="I32" s="2">
        <v>3.0936149552810099E-3</v>
      </c>
    </row>
    <row r="33" spans="1:9" x14ac:dyDescent="0.35">
      <c r="A33" s="19">
        <v>45442</v>
      </c>
      <c r="B33" t="s">
        <v>457</v>
      </c>
      <c r="C33" t="s">
        <v>75</v>
      </c>
      <c r="D33" s="1">
        <v>6411</v>
      </c>
      <c r="E33" s="1">
        <v>1551</v>
      </c>
      <c r="F33" s="2">
        <v>0.24192793635938201</v>
      </c>
      <c r="G33" s="1">
        <v>10</v>
      </c>
      <c r="H33" s="2">
        <v>6.4474532559638904E-3</v>
      </c>
      <c r="I33" s="2">
        <v>1.5598190609889301E-3</v>
      </c>
    </row>
    <row r="34" spans="1:9" x14ac:dyDescent="0.35">
      <c r="A34" s="19">
        <v>45442</v>
      </c>
      <c r="B34" t="s">
        <v>457</v>
      </c>
      <c r="C34" t="s">
        <v>459</v>
      </c>
      <c r="D34" s="1">
        <v>24658</v>
      </c>
      <c r="E34" s="1">
        <v>7307</v>
      </c>
      <c r="F34" s="2">
        <v>0.29633384702733401</v>
      </c>
      <c r="G34" s="1">
        <v>94</v>
      </c>
      <c r="H34" s="2">
        <v>1.2864376625154E-2</v>
      </c>
      <c r="I34" s="2">
        <v>3.81215021494038E-3</v>
      </c>
    </row>
    <row r="35" spans="1:9" x14ac:dyDescent="0.35">
      <c r="A35" s="19">
        <v>45442</v>
      </c>
      <c r="B35" t="s">
        <v>460</v>
      </c>
      <c r="C35" t="s">
        <v>10</v>
      </c>
      <c r="D35" s="1">
        <v>287277</v>
      </c>
      <c r="E35" s="1">
        <v>99081</v>
      </c>
      <c r="F35" s="2">
        <v>0.34489708539145097</v>
      </c>
      <c r="G35" s="1">
        <v>957</v>
      </c>
      <c r="H35" s="2">
        <v>9.6587640415417703E-3</v>
      </c>
      <c r="I35" s="2">
        <v>3.3312795664115101E-3</v>
      </c>
    </row>
    <row r="36" spans="1:9" ht="15" thickBot="1" x14ac:dyDescent="0.4">
      <c r="A36" s="20" t="s">
        <v>35</v>
      </c>
      <c r="D36" s="10">
        <f>SUM(D2:D35)</f>
        <v>10792187</v>
      </c>
      <c r="E36" s="10">
        <f>SUM(E2:E35)</f>
        <v>3580406</v>
      </c>
      <c r="F36" s="27">
        <f>AVERAGE(F2:F35)</f>
        <v>0.38418474195907426</v>
      </c>
      <c r="G36" s="10">
        <f>SUM(G2:G35)</f>
        <v>47465</v>
      </c>
      <c r="H36" s="27">
        <f>AVERAGE(H2:H35)</f>
        <v>3.92161791272886E-2</v>
      </c>
      <c r="I36" s="27">
        <f>AVERAGE(I2:I35)</f>
        <v>1.9714390008399824E-2</v>
      </c>
    </row>
    <row r="37" spans="1:9" ht="15" thickBot="1" x14ac:dyDescent="0.4">
      <c r="A37" s="138" t="s">
        <v>302</v>
      </c>
      <c r="B37" s="138"/>
      <c r="C37" s="138"/>
      <c r="D37" s="138"/>
      <c r="E37" s="138"/>
      <c r="F37" s="138"/>
      <c r="G37" s="138"/>
      <c r="H37" s="138"/>
      <c r="I37" s="138"/>
    </row>
    <row r="38" spans="1:9" x14ac:dyDescent="0.35">
      <c r="A38" s="24" t="s">
        <v>0</v>
      </c>
      <c r="B38" s="25" t="s">
        <v>1</v>
      </c>
      <c r="C38" s="25" t="s">
        <v>2</v>
      </c>
      <c r="D38" s="25" t="s">
        <v>3</v>
      </c>
      <c r="E38" s="25" t="s">
        <v>4</v>
      </c>
      <c r="F38" s="25" t="s">
        <v>5</v>
      </c>
      <c r="G38" s="25" t="s">
        <v>6</v>
      </c>
      <c r="H38" s="25" t="s">
        <v>7</v>
      </c>
      <c r="I38" s="26" t="s">
        <v>8</v>
      </c>
    </row>
    <row r="39" spans="1:9" x14ac:dyDescent="0.35">
      <c r="A39" s="5" t="s">
        <v>36</v>
      </c>
      <c r="B39" s="6"/>
      <c r="C39" s="6"/>
      <c r="D39" s="6"/>
      <c r="E39" s="6"/>
      <c r="F39" s="6"/>
      <c r="G39" s="6"/>
      <c r="H39" s="6"/>
      <c r="I39" s="7"/>
    </row>
    <row r="40" spans="1:9" x14ac:dyDescent="0.35">
      <c r="A40" s="8">
        <v>45436</v>
      </c>
      <c r="B40" t="s">
        <v>426</v>
      </c>
      <c r="C40" t="s">
        <v>10</v>
      </c>
      <c r="D40" s="1">
        <v>412129</v>
      </c>
      <c r="E40" s="1">
        <v>146031</v>
      </c>
      <c r="F40" s="2">
        <v>0.35433323061468602</v>
      </c>
      <c r="G40" s="1">
        <v>3379</v>
      </c>
      <c r="H40" s="2">
        <v>2.3138922557539202E-2</v>
      </c>
      <c r="I40" s="9">
        <v>8.1988891827558807E-3</v>
      </c>
    </row>
    <row r="41" spans="1:9" x14ac:dyDescent="0.35">
      <c r="A41" s="8">
        <v>45436</v>
      </c>
      <c r="B41" t="s">
        <v>426</v>
      </c>
      <c r="C41" t="s">
        <v>11</v>
      </c>
      <c r="D41" s="1">
        <v>22302</v>
      </c>
      <c r="E41" s="1">
        <v>7331</v>
      </c>
      <c r="F41" s="2">
        <v>0.32871491346067599</v>
      </c>
      <c r="G41" s="1">
        <v>223</v>
      </c>
      <c r="H41" s="2">
        <v>3.0418769608511802E-2</v>
      </c>
      <c r="I41" s="9">
        <v>9.9991032194421993E-3</v>
      </c>
    </row>
    <row r="42" spans="1:9" x14ac:dyDescent="0.35">
      <c r="A42" s="8">
        <v>45436</v>
      </c>
      <c r="B42" t="s">
        <v>427</v>
      </c>
      <c r="C42" t="s">
        <v>428</v>
      </c>
      <c r="D42" s="1">
        <v>418719</v>
      </c>
      <c r="E42" s="1">
        <v>137699</v>
      </c>
      <c r="F42" s="2">
        <v>0.328857778128052</v>
      </c>
      <c r="G42" s="1">
        <v>1678</v>
      </c>
      <c r="H42" s="2">
        <v>1.2185999898328999E-2</v>
      </c>
      <c r="I42" s="9">
        <v>4.0074608508331401E-3</v>
      </c>
    </row>
    <row r="43" spans="1:9" x14ac:dyDescent="0.35">
      <c r="A43" s="8">
        <v>45436</v>
      </c>
      <c r="B43" t="s">
        <v>427</v>
      </c>
      <c r="C43" t="s">
        <v>429</v>
      </c>
      <c r="D43" s="1">
        <v>419543</v>
      </c>
      <c r="E43" s="1">
        <v>138429</v>
      </c>
      <c r="F43" s="2">
        <v>0.32995187620816002</v>
      </c>
      <c r="G43" s="1">
        <v>2016</v>
      </c>
      <c r="H43" s="2">
        <v>1.4563422404264999E-2</v>
      </c>
      <c r="I43" s="9">
        <v>4.8052285462991898E-3</v>
      </c>
    </row>
    <row r="44" spans="1:9" x14ac:dyDescent="0.35">
      <c r="A44" s="8">
        <v>45436</v>
      </c>
      <c r="B44" t="s">
        <v>427</v>
      </c>
      <c r="C44" t="s">
        <v>430</v>
      </c>
      <c r="D44" s="1">
        <v>4061708</v>
      </c>
      <c r="E44" s="1">
        <v>1313974</v>
      </c>
      <c r="F44" s="2">
        <v>0.32350282196553798</v>
      </c>
      <c r="G44" s="1">
        <v>15802</v>
      </c>
      <c r="H44" s="2">
        <v>1.20261131498797E-2</v>
      </c>
      <c r="I44" s="9">
        <v>3.8904815412629402E-3</v>
      </c>
    </row>
    <row r="45" spans="1:9" x14ac:dyDescent="0.35">
      <c r="A45" s="8">
        <v>45436</v>
      </c>
      <c r="B45" t="s">
        <v>427</v>
      </c>
      <c r="C45" t="s">
        <v>431</v>
      </c>
      <c r="D45" s="1">
        <v>31094</v>
      </c>
      <c r="E45" s="1">
        <v>8987</v>
      </c>
      <c r="F45" s="2">
        <v>0.28902682189489898</v>
      </c>
      <c r="G45" s="1">
        <v>198</v>
      </c>
      <c r="H45" s="2">
        <v>2.203182374541E-2</v>
      </c>
      <c r="I45" s="9">
        <v>6.36778799768444E-3</v>
      </c>
    </row>
    <row r="46" spans="1:9" x14ac:dyDescent="0.35">
      <c r="A46" s="8">
        <v>45436</v>
      </c>
      <c r="B46" t="s">
        <v>427</v>
      </c>
      <c r="C46" t="s">
        <v>432</v>
      </c>
      <c r="D46" s="1">
        <v>30660</v>
      </c>
      <c r="E46" s="1">
        <v>8704</v>
      </c>
      <c r="F46" s="2">
        <v>0.28388780169602101</v>
      </c>
      <c r="G46" s="1">
        <v>217</v>
      </c>
      <c r="H46" s="2">
        <v>2.49310661764706E-2</v>
      </c>
      <c r="I46" s="9">
        <v>7.0776255707762602E-3</v>
      </c>
    </row>
    <row r="47" spans="1:9" x14ac:dyDescent="0.35">
      <c r="A47" s="8">
        <v>45436</v>
      </c>
      <c r="B47" t="s">
        <v>427</v>
      </c>
      <c r="C47" t="s">
        <v>433</v>
      </c>
      <c r="D47" s="1">
        <v>249928</v>
      </c>
      <c r="E47" s="1">
        <v>73807</v>
      </c>
      <c r="F47" s="2">
        <v>0.295313050158446</v>
      </c>
      <c r="G47" s="1">
        <v>1170</v>
      </c>
      <c r="H47" s="2">
        <v>1.5852154944652901E-2</v>
      </c>
      <c r="I47" s="9">
        <v>4.6813482282897501E-3</v>
      </c>
    </row>
    <row r="48" spans="1:9" x14ac:dyDescent="0.35">
      <c r="A48" s="8">
        <v>45440</v>
      </c>
      <c r="B48" t="s">
        <v>434</v>
      </c>
      <c r="C48" t="s">
        <v>10</v>
      </c>
      <c r="D48" s="1">
        <v>1373553</v>
      </c>
      <c r="E48" s="1">
        <v>482182</v>
      </c>
      <c r="F48" s="2">
        <v>0.35104724753977501</v>
      </c>
      <c r="G48" s="1">
        <v>8515</v>
      </c>
      <c r="H48" s="2">
        <v>1.7659307066626301E-2</v>
      </c>
      <c r="I48" s="9">
        <v>6.1992511391988497E-3</v>
      </c>
    </row>
    <row r="49" spans="1:9" x14ac:dyDescent="0.35">
      <c r="A49" s="8">
        <v>45440</v>
      </c>
      <c r="B49" t="s">
        <v>434</v>
      </c>
      <c r="C49" t="s">
        <v>11</v>
      </c>
      <c r="D49" s="1">
        <v>96829</v>
      </c>
      <c r="E49" s="1">
        <v>31389</v>
      </c>
      <c r="F49" s="2">
        <v>0.32416941205630501</v>
      </c>
      <c r="G49" s="1">
        <v>544</v>
      </c>
      <c r="H49" s="2">
        <v>1.7330912102966001E-2</v>
      </c>
      <c r="I49" s="9">
        <v>5.6181515868179996E-3</v>
      </c>
    </row>
    <row r="50" spans="1:9" ht="15" thickBot="1" x14ac:dyDescent="0.4">
      <c r="A50" s="12" t="s">
        <v>35</v>
      </c>
      <c r="B50" s="4"/>
      <c r="C50" s="4"/>
      <c r="D50" s="13">
        <f>SUM(D40:D49)</f>
        <v>7116465</v>
      </c>
      <c r="E50" s="13">
        <f>SUM(E40:E49)</f>
        <v>2348533</v>
      </c>
      <c r="F50" s="14">
        <f>AVERAGE(F40:F49)</f>
        <v>0.32088049537225577</v>
      </c>
      <c r="G50" s="13">
        <f>SUM(G40:G49)</f>
        <v>33742</v>
      </c>
      <c r="H50" s="14">
        <f>AVERAGE(H40:H49)</f>
        <v>1.9013849165465051E-2</v>
      </c>
      <c r="I50" s="15">
        <f>AVERAGE(I40:I49)</f>
        <v>6.084532786336065E-3</v>
      </c>
    </row>
    <row r="51" spans="1:9" ht="3" customHeight="1" thickBot="1" x14ac:dyDescent="0.4">
      <c r="A51" s="139"/>
      <c r="B51" s="138"/>
      <c r="C51" s="138"/>
      <c r="D51" s="138"/>
      <c r="E51" s="138"/>
      <c r="F51" s="138"/>
      <c r="G51" s="138"/>
      <c r="H51" s="138"/>
      <c r="I51" s="140"/>
    </row>
    <row r="52" spans="1:9" x14ac:dyDescent="0.35">
      <c r="A52" s="16" t="s">
        <v>37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35">
      <c r="A53" s="8">
        <v>45441</v>
      </c>
      <c r="B53" t="s">
        <v>435</v>
      </c>
      <c r="C53" t="s">
        <v>10</v>
      </c>
      <c r="D53" s="1">
        <v>125469</v>
      </c>
      <c r="E53" s="1">
        <v>46308</v>
      </c>
      <c r="F53" s="2">
        <v>0.36907921478612199</v>
      </c>
      <c r="G53" s="1">
        <v>843</v>
      </c>
      <c r="H53" s="2">
        <v>1.8204197978750999E-2</v>
      </c>
      <c r="I53" s="9">
        <v>6.7187910958085304E-3</v>
      </c>
    </row>
    <row r="54" spans="1:9" x14ac:dyDescent="0.35">
      <c r="A54" s="8">
        <v>45441</v>
      </c>
      <c r="B54" t="s">
        <v>435</v>
      </c>
      <c r="C54" t="s">
        <v>11</v>
      </c>
      <c r="D54" s="1">
        <v>3316</v>
      </c>
      <c r="E54" s="1">
        <v>1171</v>
      </c>
      <c r="F54" s="2">
        <v>0.35313630880579</v>
      </c>
      <c r="G54" s="1">
        <v>20</v>
      </c>
      <c r="H54" s="2">
        <v>1.7079419299743801E-2</v>
      </c>
      <c r="I54" s="9">
        <v>6.0313630880579E-3</v>
      </c>
    </row>
    <row r="55" spans="1:9" x14ac:dyDescent="0.35">
      <c r="A55" s="8">
        <v>45441</v>
      </c>
      <c r="B55" t="s">
        <v>436</v>
      </c>
      <c r="C55" t="s">
        <v>437</v>
      </c>
      <c r="D55" s="1">
        <v>9559</v>
      </c>
      <c r="E55" s="1">
        <v>5350</v>
      </c>
      <c r="F55" s="2">
        <v>0.55968197510199802</v>
      </c>
      <c r="G55" s="1">
        <v>606</v>
      </c>
      <c r="H55" s="2">
        <v>0.113271028037383</v>
      </c>
      <c r="I55" s="9">
        <v>6.3395752693796395E-2</v>
      </c>
    </row>
    <row r="56" spans="1:9" x14ac:dyDescent="0.35">
      <c r="A56" s="8">
        <v>45441</v>
      </c>
      <c r="B56" t="s">
        <v>436</v>
      </c>
      <c r="C56" t="s">
        <v>438</v>
      </c>
      <c r="D56" s="1">
        <v>3197</v>
      </c>
      <c r="E56" s="1">
        <v>1769</v>
      </c>
      <c r="F56" s="2">
        <v>0.55333124804504197</v>
      </c>
      <c r="G56" s="1">
        <v>220</v>
      </c>
      <c r="H56" s="2">
        <v>0.124364047484454</v>
      </c>
      <c r="I56" s="9">
        <v>6.8814513606506103E-2</v>
      </c>
    </row>
    <row r="57" spans="1:9" x14ac:dyDescent="0.35">
      <c r="A57" s="8">
        <v>45441</v>
      </c>
      <c r="B57" t="s">
        <v>436</v>
      </c>
      <c r="C57" t="s">
        <v>439</v>
      </c>
      <c r="D57" s="1">
        <v>23380</v>
      </c>
      <c r="E57" s="1">
        <v>13349</v>
      </c>
      <c r="F57" s="2">
        <v>0.57095808383233504</v>
      </c>
      <c r="G57" s="1">
        <v>20</v>
      </c>
      <c r="H57" s="2">
        <v>1.4982395685070001E-3</v>
      </c>
      <c r="I57" s="9">
        <v>8.5543199315654401E-4</v>
      </c>
    </row>
    <row r="58" spans="1:9" x14ac:dyDescent="0.35">
      <c r="A58" s="8">
        <v>45441</v>
      </c>
      <c r="B58" t="s">
        <v>436</v>
      </c>
      <c r="C58" t="s">
        <v>440</v>
      </c>
      <c r="D58" s="1">
        <v>3024</v>
      </c>
      <c r="E58" s="1">
        <v>1736</v>
      </c>
      <c r="F58" s="2">
        <v>0.57407407407407396</v>
      </c>
      <c r="G58" s="1">
        <v>220</v>
      </c>
      <c r="H58" s="2">
        <v>0.12672811059907799</v>
      </c>
      <c r="I58" s="9">
        <v>7.2751322751322706E-2</v>
      </c>
    </row>
    <row r="59" spans="1:9" x14ac:dyDescent="0.35">
      <c r="A59" s="8">
        <v>45441</v>
      </c>
      <c r="B59" t="s">
        <v>436</v>
      </c>
      <c r="C59" t="s">
        <v>441</v>
      </c>
      <c r="D59" s="1">
        <v>1072</v>
      </c>
      <c r="E59" s="1">
        <v>609</v>
      </c>
      <c r="F59" s="2">
        <v>0.56809701492537301</v>
      </c>
      <c r="G59" s="1">
        <v>87</v>
      </c>
      <c r="H59" s="2">
        <v>0.14285714285714299</v>
      </c>
      <c r="I59" s="9">
        <v>8.1156716417910404E-2</v>
      </c>
    </row>
    <row r="60" spans="1:9" x14ac:dyDescent="0.35">
      <c r="A60" s="8">
        <v>45441</v>
      </c>
      <c r="B60" t="s">
        <v>436</v>
      </c>
      <c r="C60" t="s">
        <v>442</v>
      </c>
      <c r="D60" s="1">
        <v>5042</v>
      </c>
      <c r="E60" s="1">
        <v>2990</v>
      </c>
      <c r="F60" s="2">
        <v>0.59301864339547805</v>
      </c>
      <c r="G60" s="1">
        <v>400</v>
      </c>
      <c r="H60" s="2">
        <v>0.13377926421404701</v>
      </c>
      <c r="I60" s="9">
        <v>7.9333597778659296E-2</v>
      </c>
    </row>
    <row r="61" spans="1:9" x14ac:dyDescent="0.35">
      <c r="A61" s="8">
        <v>45441</v>
      </c>
      <c r="B61" t="s">
        <v>436</v>
      </c>
      <c r="C61" t="s">
        <v>443</v>
      </c>
      <c r="D61" s="1">
        <v>12319</v>
      </c>
      <c r="E61" s="1">
        <v>6976</v>
      </c>
      <c r="F61" s="2">
        <v>0.56627973049760505</v>
      </c>
      <c r="G61" s="1">
        <v>726</v>
      </c>
      <c r="H61" s="2">
        <v>0.10407110091743101</v>
      </c>
      <c r="I61" s="9">
        <v>5.8933354980111999E-2</v>
      </c>
    </row>
    <row r="62" spans="1:9" x14ac:dyDescent="0.35">
      <c r="A62" s="8">
        <v>45441</v>
      </c>
      <c r="B62" t="s">
        <v>436</v>
      </c>
      <c r="C62" t="s">
        <v>444</v>
      </c>
      <c r="D62" s="1">
        <v>1060</v>
      </c>
      <c r="E62" s="1">
        <v>579</v>
      </c>
      <c r="F62" s="2">
        <v>0.54622641509434</v>
      </c>
      <c r="G62" s="1">
        <v>59</v>
      </c>
      <c r="H62" s="2">
        <v>0.101899827288428</v>
      </c>
      <c r="I62" s="9">
        <v>5.5660377358490602E-2</v>
      </c>
    </row>
    <row r="63" spans="1:9" x14ac:dyDescent="0.35">
      <c r="A63" s="8">
        <v>45441</v>
      </c>
      <c r="B63" t="s">
        <v>436</v>
      </c>
      <c r="C63" t="s">
        <v>445</v>
      </c>
      <c r="D63" s="1">
        <v>2255</v>
      </c>
      <c r="E63" s="1">
        <v>1272</v>
      </c>
      <c r="F63" s="2">
        <v>0.56407982261640799</v>
      </c>
      <c r="G63" s="1">
        <v>176</v>
      </c>
      <c r="H63" s="2">
        <v>0.138364779874214</v>
      </c>
      <c r="I63" s="9">
        <v>7.8048780487804906E-2</v>
      </c>
    </row>
    <row r="64" spans="1:9" x14ac:dyDescent="0.35">
      <c r="A64" s="8">
        <v>45442</v>
      </c>
      <c r="B64" t="s">
        <v>457</v>
      </c>
      <c r="C64" t="s">
        <v>74</v>
      </c>
      <c r="D64" s="1">
        <v>115318</v>
      </c>
      <c r="E64" s="1">
        <v>28590</v>
      </c>
      <c r="F64" s="2">
        <v>0.24792313428953</v>
      </c>
      <c r="G64" s="1">
        <v>213</v>
      </c>
      <c r="H64" s="2">
        <v>7.4501573976915002E-3</v>
      </c>
      <c r="I64" s="9">
        <v>1.847066372986E-3</v>
      </c>
    </row>
    <row r="65" spans="1:9" x14ac:dyDescent="0.35">
      <c r="A65" s="8">
        <v>45442</v>
      </c>
      <c r="B65" t="s">
        <v>457</v>
      </c>
      <c r="C65" t="s">
        <v>458</v>
      </c>
      <c r="D65" s="1">
        <v>498446</v>
      </c>
      <c r="E65" s="1">
        <v>164503</v>
      </c>
      <c r="F65" s="2">
        <v>0.330031738643705</v>
      </c>
      <c r="G65" s="1">
        <v>1542</v>
      </c>
      <c r="H65" s="2">
        <v>9.3736892336309992E-3</v>
      </c>
      <c r="I65" s="9">
        <v>3.0936149552810099E-3</v>
      </c>
    </row>
    <row r="66" spans="1:9" x14ac:dyDescent="0.35">
      <c r="A66" s="8">
        <v>45442</v>
      </c>
      <c r="B66" t="s">
        <v>457</v>
      </c>
      <c r="C66" t="s">
        <v>75</v>
      </c>
      <c r="D66" s="1">
        <v>6411</v>
      </c>
      <c r="E66" s="1">
        <v>1551</v>
      </c>
      <c r="F66" s="2">
        <v>0.24192793635938201</v>
      </c>
      <c r="G66" s="1">
        <v>10</v>
      </c>
      <c r="H66" s="2">
        <v>6.4474532559638904E-3</v>
      </c>
      <c r="I66" s="9">
        <v>1.5598190609889301E-3</v>
      </c>
    </row>
    <row r="67" spans="1:9" x14ac:dyDescent="0.35">
      <c r="A67" s="8">
        <v>45442</v>
      </c>
      <c r="B67" t="s">
        <v>457</v>
      </c>
      <c r="C67" t="s">
        <v>459</v>
      </c>
      <c r="D67" s="1">
        <v>24658</v>
      </c>
      <c r="E67" s="1">
        <v>7307</v>
      </c>
      <c r="F67" s="2">
        <v>0.29633384702733401</v>
      </c>
      <c r="G67" s="1">
        <v>94</v>
      </c>
      <c r="H67" s="2">
        <v>1.2864376625154E-2</v>
      </c>
      <c r="I67" s="9">
        <v>3.81215021494038E-3</v>
      </c>
    </row>
    <row r="68" spans="1:9" x14ac:dyDescent="0.35">
      <c r="A68" s="8">
        <v>45442</v>
      </c>
      <c r="B68" t="s">
        <v>460</v>
      </c>
      <c r="C68" t="s">
        <v>10</v>
      </c>
      <c r="D68" s="1">
        <v>287277</v>
      </c>
      <c r="E68" s="1">
        <v>99081</v>
      </c>
      <c r="F68" s="2">
        <v>0.34489708539145097</v>
      </c>
      <c r="G68" s="1">
        <v>957</v>
      </c>
      <c r="H68" s="2">
        <v>9.6587640415417703E-3</v>
      </c>
      <c r="I68" s="9">
        <v>3.3312795664115101E-3</v>
      </c>
    </row>
    <row r="69" spans="1:9" ht="15" thickBot="1" x14ac:dyDescent="0.4">
      <c r="A69" s="12" t="s">
        <v>35</v>
      </c>
      <c r="B69" s="4"/>
      <c r="C69" s="4"/>
      <c r="D69" s="13">
        <f>SUM(D53:D68)</f>
        <v>1121803</v>
      </c>
      <c r="E69" s="13">
        <f>SUM(E53:E68)</f>
        <v>383141</v>
      </c>
      <c r="F69" s="14">
        <f>AVERAGE(F53:F68)</f>
        <v>0.45494226705537294</v>
      </c>
      <c r="G69" s="13">
        <f>SUM(G53:G68)</f>
        <v>6193</v>
      </c>
      <c r="H69" s="14">
        <f>AVERAGE(H53:H68)</f>
        <v>6.6744474917072624E-2</v>
      </c>
      <c r="I69" s="15">
        <f>AVERAGE(I53:I68)</f>
        <v>3.6583995776389586E-2</v>
      </c>
    </row>
    <row r="70" spans="1:9" ht="3" customHeight="1" thickBot="1" x14ac:dyDescent="0.4">
      <c r="A70" s="139"/>
      <c r="B70" s="138"/>
      <c r="C70" s="138"/>
      <c r="D70" s="138"/>
      <c r="E70" s="138"/>
      <c r="F70" s="138"/>
      <c r="G70" s="138"/>
      <c r="H70" s="138"/>
      <c r="I70" s="140"/>
    </row>
    <row r="71" spans="1:9" x14ac:dyDescent="0.35">
      <c r="A71" s="16" t="s">
        <v>38</v>
      </c>
      <c r="B71" s="17"/>
      <c r="C71" s="17"/>
      <c r="D71" s="17"/>
      <c r="E71" s="17"/>
      <c r="F71" s="17"/>
      <c r="G71" s="17"/>
      <c r="H71" s="17"/>
      <c r="I71" s="18"/>
    </row>
    <row r="72" spans="1:9" x14ac:dyDescent="0.35">
      <c r="A72" s="8">
        <v>45442</v>
      </c>
      <c r="B72" t="s">
        <v>446</v>
      </c>
      <c r="C72" t="s">
        <v>447</v>
      </c>
      <c r="D72" s="1">
        <v>398273</v>
      </c>
      <c r="E72" s="1">
        <v>134565</v>
      </c>
      <c r="F72" s="3">
        <v>0.33789999999999998</v>
      </c>
      <c r="G72" s="1">
        <v>1076</v>
      </c>
      <c r="H72" s="3">
        <v>8.0000000000000002E-3</v>
      </c>
      <c r="I72" s="11">
        <v>2.7000000000000001E-3</v>
      </c>
    </row>
    <row r="73" spans="1:9" x14ac:dyDescent="0.35">
      <c r="A73" s="8">
        <v>45442</v>
      </c>
      <c r="B73" t="s">
        <v>448</v>
      </c>
      <c r="C73" t="s">
        <v>449</v>
      </c>
      <c r="D73" s="1">
        <v>32945</v>
      </c>
      <c r="E73" s="1">
        <v>11672</v>
      </c>
      <c r="F73" s="3">
        <v>0.3543</v>
      </c>
      <c r="G73">
        <v>94</v>
      </c>
      <c r="H73" s="3">
        <v>8.0999999999999996E-3</v>
      </c>
      <c r="I73" s="11">
        <v>2.8999999999999998E-3</v>
      </c>
    </row>
    <row r="74" spans="1:9" x14ac:dyDescent="0.35">
      <c r="A74" s="8">
        <v>45442</v>
      </c>
      <c r="B74" t="s">
        <v>422</v>
      </c>
      <c r="C74" t="s">
        <v>234</v>
      </c>
      <c r="D74" s="1">
        <v>281349</v>
      </c>
      <c r="E74" s="1">
        <v>89404</v>
      </c>
      <c r="F74" s="3">
        <v>0.31780000000000003</v>
      </c>
      <c r="G74">
        <v>767</v>
      </c>
      <c r="H74" s="3">
        <v>8.6E-3</v>
      </c>
      <c r="I74" s="11">
        <v>2.7000000000000001E-3</v>
      </c>
    </row>
    <row r="75" spans="1:9" x14ac:dyDescent="0.35">
      <c r="A75" s="8">
        <v>45442</v>
      </c>
      <c r="B75" t="s">
        <v>424</v>
      </c>
      <c r="C75" t="s">
        <v>235</v>
      </c>
      <c r="D75" s="1">
        <v>18806</v>
      </c>
      <c r="E75" s="1">
        <v>5250</v>
      </c>
      <c r="F75" s="3">
        <v>0.2792</v>
      </c>
      <c r="G75">
        <v>46</v>
      </c>
      <c r="H75" s="3">
        <v>8.8000000000000005E-3</v>
      </c>
      <c r="I75" s="11">
        <v>2.3999999999999998E-3</v>
      </c>
    </row>
    <row r="76" spans="1:9" x14ac:dyDescent="0.35">
      <c r="A76" s="8">
        <v>45442</v>
      </c>
      <c r="B76" t="s">
        <v>450</v>
      </c>
      <c r="C76" t="s">
        <v>451</v>
      </c>
      <c r="D76" s="1">
        <v>523151</v>
      </c>
      <c r="E76" s="1">
        <v>176116</v>
      </c>
      <c r="F76" s="3">
        <v>0.33660000000000001</v>
      </c>
      <c r="G76" s="1">
        <v>1764</v>
      </c>
      <c r="H76" s="3">
        <v>0.01</v>
      </c>
      <c r="I76" s="11">
        <v>3.3999999999999998E-3</v>
      </c>
    </row>
    <row r="77" spans="1:9" x14ac:dyDescent="0.35">
      <c r="A77" s="8">
        <v>45442</v>
      </c>
      <c r="B77" t="s">
        <v>452</v>
      </c>
      <c r="C77" t="s">
        <v>453</v>
      </c>
      <c r="D77" s="1">
        <v>37816</v>
      </c>
      <c r="E77" s="1">
        <v>11248</v>
      </c>
      <c r="F77" s="3">
        <v>0.2974</v>
      </c>
      <c r="G77">
        <v>149</v>
      </c>
      <c r="H77" s="3">
        <v>1.32E-2</v>
      </c>
      <c r="I77" s="11">
        <v>3.8999999999999998E-3</v>
      </c>
    </row>
    <row r="78" spans="1:9" x14ac:dyDescent="0.35">
      <c r="A78" s="8">
        <v>45442</v>
      </c>
      <c r="B78" t="s">
        <v>399</v>
      </c>
      <c r="C78" t="s">
        <v>253</v>
      </c>
      <c r="D78" s="1">
        <v>1151819</v>
      </c>
      <c r="E78" s="1">
        <v>385759</v>
      </c>
      <c r="F78" s="3">
        <v>0.33489999999999998</v>
      </c>
      <c r="G78" s="1">
        <v>3285</v>
      </c>
      <c r="H78" s="3">
        <v>8.5000000000000006E-3</v>
      </c>
      <c r="I78" s="11">
        <v>2.8999999999999998E-3</v>
      </c>
    </row>
    <row r="79" spans="1:9" x14ac:dyDescent="0.35">
      <c r="A79" s="8">
        <v>45442</v>
      </c>
      <c r="B79" t="s">
        <v>401</v>
      </c>
      <c r="C79" t="s">
        <v>255</v>
      </c>
      <c r="D79" s="1">
        <v>109760</v>
      </c>
      <c r="E79" s="1">
        <v>34718</v>
      </c>
      <c r="F79" s="3">
        <v>0.31630000000000003</v>
      </c>
      <c r="G79">
        <v>349</v>
      </c>
      <c r="H79" s="3">
        <v>1.01E-2</v>
      </c>
      <c r="I79" s="11">
        <v>3.2000000000000002E-3</v>
      </c>
    </row>
    <row r="80" spans="1:9" ht="15" thickBot="1" x14ac:dyDescent="0.4">
      <c r="A80" s="12" t="s">
        <v>35</v>
      </c>
      <c r="B80" s="4"/>
      <c r="C80" s="4"/>
      <c r="D80" s="13">
        <f>SUM(D72:D79)</f>
        <v>2553919</v>
      </c>
      <c r="E80" s="13">
        <f>SUM(E72:E79)</f>
        <v>848732</v>
      </c>
      <c r="F80" s="14">
        <f>AVERAGE(F72:F79)</f>
        <v>0.32179999999999997</v>
      </c>
      <c r="G80" s="13">
        <f>SUM(G72:G79)</f>
        <v>7530</v>
      </c>
      <c r="H80" s="14">
        <f>AVERAGE(H72:H79)</f>
        <v>9.4125000000000007E-3</v>
      </c>
      <c r="I80" s="15">
        <f>AVERAGE(I72:I79)</f>
        <v>3.0125E-3</v>
      </c>
    </row>
    <row r="85" spans="6:13" x14ac:dyDescent="0.35">
      <c r="F85" s="1"/>
      <c r="G85" s="1"/>
      <c r="H85" s="3"/>
      <c r="I85" s="1"/>
      <c r="J85" s="3"/>
      <c r="K85" s="1"/>
      <c r="L85" s="3"/>
      <c r="M85" s="3"/>
    </row>
    <row r="86" spans="6:13" x14ac:dyDescent="0.35">
      <c r="F86" s="1"/>
      <c r="G86" s="1"/>
      <c r="H86" s="3"/>
      <c r="I86" s="1"/>
      <c r="J86" s="3"/>
      <c r="K86" s="1"/>
      <c r="L86" s="3"/>
      <c r="M86" s="3"/>
    </row>
    <row r="87" spans="6:13" x14ac:dyDescent="0.35">
      <c r="F87" s="1"/>
      <c r="H87" s="3"/>
      <c r="I87" s="1"/>
      <c r="J87" s="3"/>
      <c r="L87" s="3"/>
      <c r="M87" s="3"/>
    </row>
    <row r="88" spans="6:13" x14ac:dyDescent="0.35">
      <c r="F88" s="1"/>
      <c r="H88" s="3"/>
      <c r="I88" s="1"/>
      <c r="J88" s="3"/>
      <c r="L88" s="3"/>
      <c r="M88" s="3"/>
    </row>
  </sheetData>
  <mergeCells count="3">
    <mergeCell ref="A37:I37"/>
    <mergeCell ref="A51:I51"/>
    <mergeCell ref="A70:I70"/>
  </mergeCells>
  <pageMargins left="0.7" right="0.7" top="0.75" bottom="0.75" header="0.3" footer="0.3"/>
  <ignoredErrors>
    <ignoredError sqref="F36:G36 F80:G80 F69:G69 F50:G50" formula="1"/>
  </ignoredErrors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4F6A-6447-42B2-835D-091FB842D528}">
  <dimension ref="A1:M88"/>
  <sheetViews>
    <sheetView workbookViewId="0">
      <selection activeCell="L22" sqref="L22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45443</v>
      </c>
      <c r="B2" t="s">
        <v>461</v>
      </c>
      <c r="C2" t="s">
        <v>10</v>
      </c>
      <c r="D2" s="1">
        <v>588039</v>
      </c>
      <c r="E2" s="1">
        <v>223232</v>
      </c>
      <c r="F2" s="2">
        <v>0.37962107955424701</v>
      </c>
      <c r="G2" s="1">
        <v>5096</v>
      </c>
      <c r="H2" s="2">
        <v>2.2828268348623899E-2</v>
      </c>
      <c r="I2" s="2">
        <v>8.6660918748586394E-3</v>
      </c>
    </row>
    <row r="3" spans="1:9" x14ac:dyDescent="0.35">
      <c r="A3" s="19">
        <v>45443</v>
      </c>
      <c r="B3" t="s">
        <v>461</v>
      </c>
      <c r="C3" t="s">
        <v>11</v>
      </c>
      <c r="D3" s="1">
        <v>1603</v>
      </c>
      <c r="E3" s="1">
        <v>655</v>
      </c>
      <c r="F3" s="2">
        <v>0.40860885839051803</v>
      </c>
      <c r="G3" s="1">
        <v>5</v>
      </c>
      <c r="H3" s="2">
        <v>7.63358778625954E-3</v>
      </c>
      <c r="I3" s="2">
        <v>3.1191515907673102E-3</v>
      </c>
    </row>
    <row r="4" spans="1:9" x14ac:dyDescent="0.35">
      <c r="A4" s="19">
        <v>45443</v>
      </c>
      <c r="B4" t="s">
        <v>462</v>
      </c>
      <c r="C4" t="s">
        <v>10</v>
      </c>
      <c r="D4" s="1">
        <v>400562</v>
      </c>
      <c r="E4" s="1">
        <v>142139</v>
      </c>
      <c r="F4" s="2">
        <v>0.35484893724317301</v>
      </c>
      <c r="G4" s="1">
        <v>2684</v>
      </c>
      <c r="H4" s="2">
        <v>1.8882924461266801E-2</v>
      </c>
      <c r="I4" s="2">
        <v>6.7005856771236404E-3</v>
      </c>
    </row>
    <row r="5" spans="1:9" x14ac:dyDescent="0.35">
      <c r="A5" s="19">
        <v>45443</v>
      </c>
      <c r="B5" t="s">
        <v>463</v>
      </c>
      <c r="C5" t="s">
        <v>464</v>
      </c>
      <c r="D5" s="1">
        <v>2325987</v>
      </c>
      <c r="E5" s="1">
        <v>766562</v>
      </c>
      <c r="F5" s="2">
        <v>0.32956418071124199</v>
      </c>
      <c r="G5" s="1">
        <v>8860</v>
      </c>
      <c r="H5" s="2">
        <v>1.1558099670998599E-2</v>
      </c>
      <c r="I5" s="2">
        <v>3.80913564865152E-3</v>
      </c>
    </row>
    <row r="6" spans="1:9" x14ac:dyDescent="0.35">
      <c r="A6" s="19">
        <v>45443</v>
      </c>
      <c r="B6" t="s">
        <v>463</v>
      </c>
      <c r="C6" t="s">
        <v>465</v>
      </c>
      <c r="D6" s="1">
        <v>2328032</v>
      </c>
      <c r="E6" s="1">
        <v>768193</v>
      </c>
      <c r="F6" s="2">
        <v>0.32997527525394799</v>
      </c>
      <c r="G6" s="1">
        <v>8262</v>
      </c>
      <c r="H6" s="2">
        <v>1.07551097185213E-2</v>
      </c>
      <c r="I6" s="2">
        <v>3.5489202897554702E-3</v>
      </c>
    </row>
    <row r="7" spans="1:9" x14ac:dyDescent="0.35">
      <c r="A7" s="19">
        <v>45443</v>
      </c>
      <c r="B7" t="s">
        <v>463</v>
      </c>
      <c r="C7" t="s">
        <v>466</v>
      </c>
      <c r="D7" s="1">
        <v>147877</v>
      </c>
      <c r="E7" s="1">
        <v>42482</v>
      </c>
      <c r="F7" s="2">
        <v>0.287279292925878</v>
      </c>
      <c r="G7" s="1">
        <v>558</v>
      </c>
      <c r="H7" s="2">
        <v>1.31349748128619E-2</v>
      </c>
      <c r="I7" s="2">
        <v>3.77340627683818E-3</v>
      </c>
    </row>
    <row r="8" spans="1:9" x14ac:dyDescent="0.35">
      <c r="A8" s="19">
        <v>45443</v>
      </c>
      <c r="B8" t="s">
        <v>463</v>
      </c>
      <c r="C8" t="s">
        <v>467</v>
      </c>
      <c r="D8" s="1">
        <v>147469</v>
      </c>
      <c r="E8" s="1">
        <v>42487</v>
      </c>
      <c r="F8" s="2">
        <v>0.28810800914090401</v>
      </c>
      <c r="G8" s="1">
        <v>547</v>
      </c>
      <c r="H8" s="2">
        <v>1.28745263256996E-2</v>
      </c>
      <c r="I8" s="2">
        <v>3.7092541483294801E-3</v>
      </c>
    </row>
    <row r="9" spans="1:9" x14ac:dyDescent="0.35">
      <c r="A9" s="19">
        <v>45444</v>
      </c>
      <c r="B9" t="s">
        <v>468</v>
      </c>
      <c r="C9" t="s">
        <v>10</v>
      </c>
      <c r="D9" s="1">
        <v>60061</v>
      </c>
      <c r="E9" s="1">
        <v>25528</v>
      </c>
      <c r="F9" s="2">
        <v>0.42503454820932102</v>
      </c>
      <c r="G9" s="1">
        <v>1850</v>
      </c>
      <c r="H9" s="2">
        <v>7.2469445314948297E-2</v>
      </c>
      <c r="I9" s="2">
        <v>3.0802017948419101E-2</v>
      </c>
    </row>
    <row r="10" spans="1:9" x14ac:dyDescent="0.35">
      <c r="A10" s="19">
        <v>45444</v>
      </c>
      <c r="B10" t="s">
        <v>468</v>
      </c>
      <c r="C10" t="s">
        <v>11</v>
      </c>
      <c r="D10" s="1">
        <v>6573</v>
      </c>
      <c r="E10" s="1">
        <v>3093</v>
      </c>
      <c r="F10" s="2">
        <v>0.47056138749429499</v>
      </c>
      <c r="G10" s="1">
        <v>298</v>
      </c>
      <c r="H10" s="2">
        <v>9.6346589072098296E-2</v>
      </c>
      <c r="I10" s="2">
        <v>4.5336984634109199E-2</v>
      </c>
    </row>
    <row r="11" spans="1:9" x14ac:dyDescent="0.35">
      <c r="A11" s="19">
        <v>45444</v>
      </c>
      <c r="B11" t="s">
        <v>469</v>
      </c>
      <c r="C11" t="s">
        <v>10</v>
      </c>
      <c r="D11" s="1">
        <v>49108</v>
      </c>
      <c r="E11" s="1">
        <v>16720</v>
      </c>
      <c r="F11" s="2">
        <v>0.34047405718009299</v>
      </c>
      <c r="G11" s="1">
        <v>210</v>
      </c>
      <c r="H11" s="2">
        <v>1.25598086124402E-2</v>
      </c>
      <c r="I11" s="2">
        <v>4.2762889956829801E-3</v>
      </c>
    </row>
    <row r="12" spans="1:9" x14ac:dyDescent="0.35">
      <c r="A12" s="19">
        <v>45444</v>
      </c>
      <c r="B12" t="s">
        <v>470</v>
      </c>
      <c r="C12" t="s">
        <v>10</v>
      </c>
      <c r="D12" s="1">
        <v>87279</v>
      </c>
      <c r="E12" s="1">
        <v>35947</v>
      </c>
      <c r="F12" s="2">
        <v>0.41186310567261297</v>
      </c>
      <c r="G12" s="1">
        <v>3726</v>
      </c>
      <c r="H12" s="2">
        <v>0.10365259966061099</v>
      </c>
      <c r="I12" s="2">
        <v>4.2690681607259501E-2</v>
      </c>
    </row>
    <row r="13" spans="1:9" x14ac:dyDescent="0.35">
      <c r="A13" s="19">
        <v>45444</v>
      </c>
      <c r="B13" t="s">
        <v>470</v>
      </c>
      <c r="C13" t="s">
        <v>11</v>
      </c>
      <c r="D13" s="1">
        <v>9599</v>
      </c>
      <c r="E13" s="1">
        <v>3465</v>
      </c>
      <c r="F13" s="2">
        <v>0.36097510157308099</v>
      </c>
      <c r="G13" s="1">
        <v>478</v>
      </c>
      <c r="H13" s="2">
        <v>0.13795093795093799</v>
      </c>
      <c r="I13" s="2">
        <v>4.9796853838941599E-2</v>
      </c>
    </row>
    <row r="14" spans="1:9" x14ac:dyDescent="0.35">
      <c r="A14" s="19">
        <v>45446</v>
      </c>
      <c r="B14" t="s">
        <v>471</v>
      </c>
      <c r="C14" t="s">
        <v>472</v>
      </c>
      <c r="D14" s="1">
        <v>29234</v>
      </c>
      <c r="E14" s="1">
        <v>10739</v>
      </c>
      <c r="F14" s="2">
        <v>0.36734624067866201</v>
      </c>
      <c r="G14" s="1">
        <v>310</v>
      </c>
      <c r="H14" s="2">
        <v>2.8866747369401199E-2</v>
      </c>
      <c r="I14" s="2">
        <v>1.06040911267702E-2</v>
      </c>
    </row>
    <row r="15" spans="1:9" x14ac:dyDescent="0.35">
      <c r="A15" s="19">
        <v>45446</v>
      </c>
      <c r="B15" t="s">
        <v>471</v>
      </c>
      <c r="C15" t="s">
        <v>473</v>
      </c>
      <c r="D15" s="1">
        <v>49686</v>
      </c>
      <c r="E15" s="1">
        <v>18398</v>
      </c>
      <c r="F15" s="2">
        <v>0.370285392263414</v>
      </c>
      <c r="G15" s="1">
        <v>469</v>
      </c>
      <c r="H15" s="2">
        <v>2.5491901293618901E-2</v>
      </c>
      <c r="I15" s="2">
        <v>9.4392786700478997E-3</v>
      </c>
    </row>
    <row r="16" spans="1:9" x14ac:dyDescent="0.35">
      <c r="A16" s="19">
        <v>45447</v>
      </c>
      <c r="B16" t="s">
        <v>474</v>
      </c>
      <c r="C16" t="s">
        <v>101</v>
      </c>
      <c r="D16" s="1">
        <v>26022</v>
      </c>
      <c r="E16" s="1">
        <v>7917</v>
      </c>
      <c r="F16" s="2">
        <v>0.30424256398432098</v>
      </c>
      <c r="G16" s="1">
        <v>136</v>
      </c>
      <c r="H16" s="2">
        <v>1.7178224074775799E-2</v>
      </c>
      <c r="I16" s="2">
        <v>5.2263469372069802E-3</v>
      </c>
    </row>
    <row r="17" spans="1:9" x14ac:dyDescent="0.35">
      <c r="A17" s="19">
        <v>45447</v>
      </c>
      <c r="B17" t="s">
        <v>474</v>
      </c>
      <c r="C17" t="s">
        <v>102</v>
      </c>
      <c r="D17" s="1">
        <v>9059</v>
      </c>
      <c r="E17" s="1">
        <v>3072</v>
      </c>
      <c r="F17" s="2">
        <v>0.339110277072525</v>
      </c>
      <c r="G17" s="1">
        <v>72</v>
      </c>
      <c r="H17" s="2">
        <v>2.34375E-2</v>
      </c>
      <c r="I17" s="2">
        <v>7.9478971188872895E-3</v>
      </c>
    </row>
    <row r="18" spans="1:9" x14ac:dyDescent="0.35">
      <c r="A18" s="19">
        <v>45447</v>
      </c>
      <c r="B18" t="s">
        <v>474</v>
      </c>
      <c r="C18" t="s">
        <v>103</v>
      </c>
      <c r="D18" s="1">
        <v>39319</v>
      </c>
      <c r="E18" s="1">
        <v>14856</v>
      </c>
      <c r="F18" s="2">
        <v>0.37783260001525998</v>
      </c>
      <c r="G18" s="1">
        <v>425</v>
      </c>
      <c r="H18" s="2">
        <v>2.86079698438341E-2</v>
      </c>
      <c r="I18" s="2">
        <v>1.0809023627254E-2</v>
      </c>
    </row>
    <row r="19" spans="1:9" x14ac:dyDescent="0.35">
      <c r="A19" s="19">
        <v>45447</v>
      </c>
      <c r="B19" t="s">
        <v>474</v>
      </c>
      <c r="C19" t="s">
        <v>104</v>
      </c>
      <c r="D19" s="1">
        <v>166679</v>
      </c>
      <c r="E19" s="1">
        <v>59131</v>
      </c>
      <c r="F19" s="2">
        <v>0.35475974777866398</v>
      </c>
      <c r="G19" s="1">
        <v>1507</v>
      </c>
      <c r="H19" s="2">
        <v>2.5485785797635802E-2</v>
      </c>
      <c r="I19" s="2">
        <v>9.04133094151033E-3</v>
      </c>
    </row>
    <row r="20" spans="1:9" x14ac:dyDescent="0.35">
      <c r="A20" s="19">
        <v>45447</v>
      </c>
      <c r="B20" t="s">
        <v>474</v>
      </c>
      <c r="C20" t="s">
        <v>475</v>
      </c>
      <c r="D20" s="1">
        <v>12281</v>
      </c>
      <c r="E20" s="1">
        <v>4118</v>
      </c>
      <c r="F20" s="2">
        <v>0.33531471378552202</v>
      </c>
      <c r="G20" s="1">
        <v>89</v>
      </c>
      <c r="H20" s="2">
        <v>2.1612433220009698E-2</v>
      </c>
      <c r="I20" s="2">
        <v>7.2469668593762703E-3</v>
      </c>
    </row>
    <row r="21" spans="1:9" x14ac:dyDescent="0.35">
      <c r="A21" s="19">
        <v>45447</v>
      </c>
      <c r="B21" t="s">
        <v>476</v>
      </c>
      <c r="C21" t="s">
        <v>10</v>
      </c>
      <c r="D21" s="1">
        <v>1378819</v>
      </c>
      <c r="E21" s="1">
        <v>480471</v>
      </c>
      <c r="F21" s="2">
        <v>0.34846560716091102</v>
      </c>
      <c r="G21" s="1">
        <v>5676</v>
      </c>
      <c r="H21" s="2">
        <v>1.18134080933084E-2</v>
      </c>
      <c r="I21" s="2">
        <v>4.1165664238743396E-3</v>
      </c>
    </row>
    <row r="22" spans="1:9" x14ac:dyDescent="0.35">
      <c r="A22" s="19">
        <v>45447</v>
      </c>
      <c r="B22" t="s">
        <v>476</v>
      </c>
      <c r="C22" t="s">
        <v>11</v>
      </c>
      <c r="D22" s="1">
        <v>96871</v>
      </c>
      <c r="E22" s="1">
        <v>33137</v>
      </c>
      <c r="F22" s="2">
        <v>0.34207347916301101</v>
      </c>
      <c r="G22" s="1">
        <v>628</v>
      </c>
      <c r="H22" s="2">
        <v>1.8951625071672199E-2</v>
      </c>
      <c r="I22" s="2">
        <v>6.4828483240598296E-3</v>
      </c>
    </row>
    <row r="23" spans="1:9" x14ac:dyDescent="0.35">
      <c r="A23" s="19">
        <v>45448</v>
      </c>
      <c r="B23" t="s">
        <v>477</v>
      </c>
      <c r="C23" t="s">
        <v>10</v>
      </c>
      <c r="D23" s="1">
        <v>6559822</v>
      </c>
      <c r="E23" s="1">
        <v>2068799</v>
      </c>
      <c r="F23" s="2">
        <v>0.31537425863079799</v>
      </c>
      <c r="G23" s="1">
        <v>17627</v>
      </c>
      <c r="H23" s="2">
        <v>8.5204024170545296E-3</v>
      </c>
      <c r="I23" s="2">
        <v>2.6871155955146301E-3</v>
      </c>
    </row>
    <row r="24" spans="1:9" x14ac:dyDescent="0.35">
      <c r="A24" s="19">
        <v>45448</v>
      </c>
      <c r="B24" t="s">
        <v>477</v>
      </c>
      <c r="C24" t="s">
        <v>11</v>
      </c>
      <c r="D24" s="1">
        <v>423268</v>
      </c>
      <c r="E24" s="1">
        <v>127753</v>
      </c>
      <c r="F24" s="2">
        <v>0.301825321073174</v>
      </c>
      <c r="G24" s="1">
        <v>1945</v>
      </c>
      <c r="H24" s="2">
        <v>1.52246913966795E-2</v>
      </c>
      <c r="I24" s="2">
        <v>4.5951973690427804E-3</v>
      </c>
    </row>
    <row r="25" spans="1:9" x14ac:dyDescent="0.35">
      <c r="A25" s="19">
        <v>45448</v>
      </c>
      <c r="B25" t="s">
        <v>478</v>
      </c>
      <c r="C25" t="s">
        <v>10</v>
      </c>
      <c r="D25" s="1">
        <v>578340</v>
      </c>
      <c r="E25" s="1">
        <v>195556</v>
      </c>
      <c r="F25" s="2">
        <v>0.33813327800255899</v>
      </c>
      <c r="G25" s="1">
        <v>1622</v>
      </c>
      <c r="H25" s="2">
        <v>8.2942993311378808E-3</v>
      </c>
      <c r="I25" s="2">
        <v>2.8045786215720901E-3</v>
      </c>
    </row>
    <row r="26" spans="1:9" x14ac:dyDescent="0.35">
      <c r="A26" s="19">
        <v>45448</v>
      </c>
      <c r="B26" t="s">
        <v>478</v>
      </c>
      <c r="C26" t="s">
        <v>11</v>
      </c>
      <c r="D26" s="1">
        <v>28448</v>
      </c>
      <c r="E26" s="1">
        <v>8774</v>
      </c>
      <c r="F26" s="2">
        <v>0.30842238470191202</v>
      </c>
      <c r="G26" s="1">
        <v>79</v>
      </c>
      <c r="H26" s="2">
        <v>9.0038750854798295E-3</v>
      </c>
      <c r="I26" s="2">
        <v>2.7769966254218201E-3</v>
      </c>
    </row>
    <row r="27" spans="1:9" x14ac:dyDescent="0.35">
      <c r="A27" s="19">
        <v>45449</v>
      </c>
      <c r="B27" t="s">
        <v>446</v>
      </c>
      <c r="C27" t="s">
        <v>234</v>
      </c>
      <c r="D27" s="1">
        <v>332929</v>
      </c>
      <c r="E27" s="1">
        <v>108279</v>
      </c>
      <c r="F27" s="3">
        <v>0.32519999999999999</v>
      </c>
      <c r="G27">
        <v>938</v>
      </c>
      <c r="H27" s="3">
        <v>8.6999999999999994E-3</v>
      </c>
      <c r="I27" s="3">
        <v>2.8E-3</v>
      </c>
    </row>
    <row r="28" spans="1:9" x14ac:dyDescent="0.35">
      <c r="A28" s="19">
        <v>45449</v>
      </c>
      <c r="B28" t="s">
        <v>448</v>
      </c>
      <c r="C28" t="s">
        <v>235</v>
      </c>
      <c r="D28" s="1">
        <v>29278</v>
      </c>
      <c r="E28" s="1">
        <v>10263</v>
      </c>
      <c r="F28" s="3">
        <v>0.35049999999999998</v>
      </c>
      <c r="G28">
        <v>104</v>
      </c>
      <c r="H28" s="3">
        <v>1.01E-2</v>
      </c>
      <c r="I28" s="3">
        <v>3.5999999999999999E-3</v>
      </c>
    </row>
    <row r="29" spans="1:9" x14ac:dyDescent="0.35">
      <c r="A29" s="19">
        <v>45449</v>
      </c>
      <c r="B29" t="s">
        <v>422</v>
      </c>
      <c r="C29" t="s">
        <v>253</v>
      </c>
      <c r="D29" s="1">
        <v>279647</v>
      </c>
      <c r="E29" s="1">
        <v>89854</v>
      </c>
      <c r="F29" s="3">
        <v>0.32129999999999997</v>
      </c>
      <c r="G29">
        <v>840</v>
      </c>
      <c r="H29" s="3">
        <v>9.2999999999999992E-3</v>
      </c>
      <c r="I29" s="3">
        <v>3.0000000000000001E-3</v>
      </c>
    </row>
    <row r="30" spans="1:9" x14ac:dyDescent="0.35">
      <c r="A30" s="19">
        <v>45449</v>
      </c>
      <c r="B30" t="s">
        <v>424</v>
      </c>
      <c r="C30" t="s">
        <v>255</v>
      </c>
      <c r="D30" s="1">
        <v>18730</v>
      </c>
      <c r="E30" s="1">
        <v>5325</v>
      </c>
      <c r="F30" s="3">
        <v>0.2843</v>
      </c>
      <c r="G30">
        <v>78</v>
      </c>
      <c r="H30" s="3">
        <v>1.46E-2</v>
      </c>
      <c r="I30" s="3">
        <v>4.1999999999999997E-3</v>
      </c>
    </row>
    <row r="31" spans="1:9" x14ac:dyDescent="0.35">
      <c r="A31" s="19">
        <v>45449</v>
      </c>
      <c r="B31" t="s">
        <v>450</v>
      </c>
      <c r="C31" t="s">
        <v>234</v>
      </c>
      <c r="D31" s="1">
        <v>446113</v>
      </c>
      <c r="E31" s="1">
        <v>144806</v>
      </c>
      <c r="F31" s="3">
        <v>0.3246</v>
      </c>
      <c r="G31" s="1">
        <v>1210</v>
      </c>
      <c r="H31" s="3">
        <v>8.3999999999999995E-3</v>
      </c>
      <c r="I31" s="3">
        <v>2.7000000000000001E-3</v>
      </c>
    </row>
    <row r="32" spans="1:9" x14ac:dyDescent="0.35">
      <c r="A32" s="19">
        <v>45449</v>
      </c>
      <c r="B32" t="s">
        <v>452</v>
      </c>
      <c r="C32" t="s">
        <v>235</v>
      </c>
      <c r="D32" s="1">
        <v>33748</v>
      </c>
      <c r="E32" s="1">
        <v>9811</v>
      </c>
      <c r="F32" s="3">
        <v>0.29070000000000001</v>
      </c>
      <c r="G32">
        <v>157</v>
      </c>
      <c r="H32" s="3">
        <v>1.6E-2</v>
      </c>
      <c r="I32" s="3">
        <v>4.7000000000000002E-3</v>
      </c>
    </row>
    <row r="33" spans="1:9" x14ac:dyDescent="0.35">
      <c r="A33" s="19">
        <v>45449</v>
      </c>
      <c r="B33" t="s">
        <v>479</v>
      </c>
      <c r="C33" t="s">
        <v>10</v>
      </c>
      <c r="D33" s="1">
        <v>705392</v>
      </c>
      <c r="E33" s="1">
        <v>242704</v>
      </c>
      <c r="F33" s="2">
        <v>0.34406968040465402</v>
      </c>
      <c r="G33" s="1">
        <v>1957</v>
      </c>
      <c r="H33" s="2">
        <v>8.0633199288021595E-3</v>
      </c>
      <c r="I33" s="2">
        <v>2.7743439109034402E-3</v>
      </c>
    </row>
    <row r="34" spans="1:9" x14ac:dyDescent="0.35">
      <c r="A34" s="19">
        <v>45449</v>
      </c>
      <c r="B34" t="s">
        <v>480</v>
      </c>
      <c r="C34" t="s">
        <v>10</v>
      </c>
      <c r="D34" s="1">
        <v>1031322</v>
      </c>
      <c r="E34" s="1">
        <v>395223</v>
      </c>
      <c r="F34" s="2">
        <v>0.38321978974558901</v>
      </c>
      <c r="G34" s="1">
        <v>5455</v>
      </c>
      <c r="H34" s="2">
        <v>1.3802334378313E-2</v>
      </c>
      <c r="I34" s="2">
        <v>5.2893276784554202E-3</v>
      </c>
    </row>
    <row r="35" spans="1:9" x14ac:dyDescent="0.35">
      <c r="A35" s="19">
        <v>45449</v>
      </c>
      <c r="B35" t="s">
        <v>480</v>
      </c>
      <c r="C35" t="s">
        <v>11</v>
      </c>
      <c r="D35" s="1">
        <v>73998</v>
      </c>
      <c r="E35" s="1">
        <v>21075</v>
      </c>
      <c r="F35" s="2">
        <v>0.28480499472958698</v>
      </c>
      <c r="G35" s="1">
        <v>316</v>
      </c>
      <c r="H35" s="2">
        <v>1.4994068801898E-2</v>
      </c>
      <c r="I35" s="2">
        <v>4.2703856860996196E-3</v>
      </c>
    </row>
    <row r="36" spans="1:9" ht="15" thickBot="1" x14ac:dyDescent="0.4">
      <c r="A36" s="20" t="s">
        <v>35</v>
      </c>
      <c r="D36" s="10">
        <f>SUM(D2:D35)</f>
        <v>18501194</v>
      </c>
      <c r="E36" s="10">
        <f>SUM(E2:E35)</f>
        <v>6130564</v>
      </c>
      <c r="F36" s="27">
        <f>AVERAGE(F2:F35)</f>
        <v>0.34408218125117285</v>
      </c>
      <c r="G36" s="10">
        <f>SUM(G2:G35)</f>
        <v>74214</v>
      </c>
      <c r="H36" s="27">
        <f>AVERAGE(H2:H35)</f>
        <v>2.5502807583496722E-2</v>
      </c>
      <c r="I36" s="27">
        <f>AVERAGE(I2:I35)</f>
        <v>9.5100490601980441E-3</v>
      </c>
    </row>
    <row r="37" spans="1:9" ht="15" thickBot="1" x14ac:dyDescent="0.4">
      <c r="A37" s="138" t="s">
        <v>302</v>
      </c>
      <c r="B37" s="138"/>
      <c r="C37" s="138"/>
      <c r="D37" s="138"/>
      <c r="E37" s="138"/>
      <c r="F37" s="138"/>
      <c r="G37" s="138"/>
      <c r="H37" s="138"/>
      <c r="I37" s="138"/>
    </row>
    <row r="38" spans="1:9" x14ac:dyDescent="0.35">
      <c r="A38" s="24" t="s">
        <v>0</v>
      </c>
      <c r="B38" s="25" t="s">
        <v>1</v>
      </c>
      <c r="C38" s="25" t="s">
        <v>2</v>
      </c>
      <c r="D38" s="25" t="s">
        <v>3</v>
      </c>
      <c r="E38" s="25" t="s">
        <v>4</v>
      </c>
      <c r="F38" s="25" t="s">
        <v>5</v>
      </c>
      <c r="G38" s="25" t="s">
        <v>6</v>
      </c>
      <c r="H38" s="25" t="s">
        <v>7</v>
      </c>
      <c r="I38" s="26" t="s">
        <v>8</v>
      </c>
    </row>
    <row r="39" spans="1:9" x14ac:dyDescent="0.35">
      <c r="A39" s="5" t="s">
        <v>36</v>
      </c>
      <c r="B39" s="6"/>
      <c r="C39" s="6"/>
      <c r="D39" s="6"/>
      <c r="E39" s="6"/>
      <c r="F39" s="6"/>
      <c r="G39" s="6"/>
      <c r="H39" s="6"/>
      <c r="I39" s="7"/>
    </row>
    <row r="40" spans="1:9" x14ac:dyDescent="0.35">
      <c r="A40" s="8">
        <v>45443</v>
      </c>
      <c r="B40" t="s">
        <v>462</v>
      </c>
      <c r="C40" t="s">
        <v>10</v>
      </c>
      <c r="D40" s="1">
        <v>400562</v>
      </c>
      <c r="E40" s="1">
        <v>142139</v>
      </c>
      <c r="F40" s="2">
        <v>0.35484893724317301</v>
      </c>
      <c r="G40" s="1">
        <v>2684</v>
      </c>
      <c r="H40" s="2">
        <v>1.8882924461266801E-2</v>
      </c>
      <c r="I40" s="9">
        <v>6.7005856771236404E-3</v>
      </c>
    </row>
    <row r="41" spans="1:9" x14ac:dyDescent="0.35">
      <c r="A41" s="8">
        <v>45443</v>
      </c>
      <c r="B41" t="s">
        <v>463</v>
      </c>
      <c r="C41" t="s">
        <v>464</v>
      </c>
      <c r="D41" s="1">
        <v>2325987</v>
      </c>
      <c r="E41" s="1">
        <v>766562</v>
      </c>
      <c r="F41" s="2">
        <v>0.32956418071124199</v>
      </c>
      <c r="G41" s="1">
        <v>8860</v>
      </c>
      <c r="H41" s="2">
        <v>1.1558099670998599E-2</v>
      </c>
      <c r="I41" s="9">
        <v>3.80913564865152E-3</v>
      </c>
    </row>
    <row r="42" spans="1:9" x14ac:dyDescent="0.35">
      <c r="A42" s="8">
        <v>45443</v>
      </c>
      <c r="B42" t="s">
        <v>463</v>
      </c>
      <c r="C42" t="s">
        <v>465</v>
      </c>
      <c r="D42" s="1">
        <v>2328032</v>
      </c>
      <c r="E42" s="1">
        <v>768193</v>
      </c>
      <c r="F42" s="2">
        <v>0.32997527525394799</v>
      </c>
      <c r="G42" s="1">
        <v>8262</v>
      </c>
      <c r="H42" s="2">
        <v>1.07551097185213E-2</v>
      </c>
      <c r="I42" s="9">
        <v>3.5489202897554702E-3</v>
      </c>
    </row>
    <row r="43" spans="1:9" x14ac:dyDescent="0.35">
      <c r="A43" s="8">
        <v>45443</v>
      </c>
      <c r="B43" t="s">
        <v>463</v>
      </c>
      <c r="C43" t="s">
        <v>466</v>
      </c>
      <c r="D43" s="1">
        <v>147877</v>
      </c>
      <c r="E43" s="1">
        <v>42482</v>
      </c>
      <c r="F43" s="2">
        <v>0.287279292925878</v>
      </c>
      <c r="G43" s="1">
        <v>558</v>
      </c>
      <c r="H43" s="2">
        <v>1.31349748128619E-2</v>
      </c>
      <c r="I43" s="9">
        <v>3.77340627683818E-3</v>
      </c>
    </row>
    <row r="44" spans="1:9" x14ac:dyDescent="0.35">
      <c r="A44" s="8">
        <v>45443</v>
      </c>
      <c r="B44" t="s">
        <v>463</v>
      </c>
      <c r="C44" t="s">
        <v>467</v>
      </c>
      <c r="D44" s="1">
        <v>147469</v>
      </c>
      <c r="E44" s="1">
        <v>42487</v>
      </c>
      <c r="F44" s="2">
        <v>0.28810800914090401</v>
      </c>
      <c r="G44" s="1">
        <v>547</v>
      </c>
      <c r="H44" s="2">
        <v>1.28745263256996E-2</v>
      </c>
      <c r="I44" s="9">
        <v>3.7092541483294801E-3</v>
      </c>
    </row>
    <row r="45" spans="1:9" x14ac:dyDescent="0.35">
      <c r="A45" s="8">
        <v>45447</v>
      </c>
      <c r="B45" t="s">
        <v>476</v>
      </c>
      <c r="C45" t="s">
        <v>10</v>
      </c>
      <c r="D45" s="1">
        <v>1378819</v>
      </c>
      <c r="E45" s="1">
        <v>480471</v>
      </c>
      <c r="F45" s="2">
        <v>0.34846560716091102</v>
      </c>
      <c r="G45" s="1">
        <v>5676</v>
      </c>
      <c r="H45" s="2">
        <v>1.18134080933084E-2</v>
      </c>
      <c r="I45" s="9">
        <v>4.1165664238743396E-3</v>
      </c>
    </row>
    <row r="46" spans="1:9" x14ac:dyDescent="0.35">
      <c r="A46" s="8">
        <v>45447</v>
      </c>
      <c r="B46" t="s">
        <v>476</v>
      </c>
      <c r="C46" t="s">
        <v>11</v>
      </c>
      <c r="D46" s="1">
        <v>96871</v>
      </c>
      <c r="E46" s="1">
        <v>33137</v>
      </c>
      <c r="F46" s="2">
        <v>0.34207347916301101</v>
      </c>
      <c r="G46" s="1">
        <v>628</v>
      </c>
      <c r="H46" s="2">
        <v>1.8951625071672199E-2</v>
      </c>
      <c r="I46" s="9">
        <v>6.4828483240598296E-3</v>
      </c>
    </row>
    <row r="47" spans="1:9" ht="15" thickBot="1" x14ac:dyDescent="0.4">
      <c r="A47" s="12" t="s">
        <v>35</v>
      </c>
      <c r="B47" s="4"/>
      <c r="C47" s="4"/>
      <c r="D47" s="13">
        <f>SUM(D40:D46)</f>
        <v>6825617</v>
      </c>
      <c r="E47" s="13">
        <f>SUM(E40:E46)</f>
        <v>2275471</v>
      </c>
      <c r="F47" s="14">
        <f>AVERAGE(F40:F46)</f>
        <v>0.3257592545141525</v>
      </c>
      <c r="G47" s="13">
        <f>SUM(G40:G46)</f>
        <v>27215</v>
      </c>
      <c r="H47" s="14">
        <f>AVERAGE(H40:H46)</f>
        <v>1.3995809736332685E-2</v>
      </c>
      <c r="I47" s="15">
        <f>AVERAGE(I40:I46)</f>
        <v>4.5915309698046367E-3</v>
      </c>
    </row>
    <row r="48" spans="1:9" ht="3" customHeight="1" thickBot="1" x14ac:dyDescent="0.4">
      <c r="A48" s="139"/>
      <c r="B48" s="138"/>
      <c r="C48" s="138"/>
      <c r="D48" s="138"/>
      <c r="E48" s="138"/>
      <c r="F48" s="138"/>
      <c r="G48" s="138"/>
      <c r="H48" s="138"/>
      <c r="I48" s="140"/>
    </row>
    <row r="49" spans="1:9" x14ac:dyDescent="0.35">
      <c r="A49" s="16" t="s">
        <v>37</v>
      </c>
      <c r="B49" s="17"/>
      <c r="C49" s="17"/>
      <c r="D49" s="17"/>
      <c r="E49" s="17"/>
      <c r="F49" s="17"/>
      <c r="G49" s="17"/>
      <c r="H49" s="17"/>
      <c r="I49" s="18"/>
    </row>
    <row r="50" spans="1:9" x14ac:dyDescent="0.35">
      <c r="A50" s="8">
        <v>45443</v>
      </c>
      <c r="B50" t="s">
        <v>461</v>
      </c>
      <c r="C50" t="s">
        <v>10</v>
      </c>
      <c r="D50" s="1">
        <v>588039</v>
      </c>
      <c r="E50" s="1">
        <v>223232</v>
      </c>
      <c r="F50" s="2">
        <v>0.37962107955424701</v>
      </c>
      <c r="G50" s="1">
        <v>5096</v>
      </c>
      <c r="H50" s="2">
        <v>2.2828268348623899E-2</v>
      </c>
      <c r="I50" s="9">
        <v>8.6660918748586394E-3</v>
      </c>
    </row>
    <row r="51" spans="1:9" x14ac:dyDescent="0.35">
      <c r="A51" s="8">
        <v>45443</v>
      </c>
      <c r="B51" t="s">
        <v>461</v>
      </c>
      <c r="C51" t="s">
        <v>11</v>
      </c>
      <c r="D51" s="1">
        <v>1603</v>
      </c>
      <c r="E51" s="1">
        <v>655</v>
      </c>
      <c r="F51" s="2">
        <v>0.40860885839051803</v>
      </c>
      <c r="G51" s="1">
        <v>5</v>
      </c>
      <c r="H51" s="2">
        <v>7.63358778625954E-3</v>
      </c>
      <c r="I51" s="9">
        <v>3.1191515907673102E-3</v>
      </c>
    </row>
    <row r="52" spans="1:9" x14ac:dyDescent="0.35">
      <c r="A52" s="8">
        <v>45444</v>
      </c>
      <c r="B52" t="s">
        <v>468</v>
      </c>
      <c r="C52" t="s">
        <v>10</v>
      </c>
      <c r="D52" s="1">
        <v>60061</v>
      </c>
      <c r="E52" s="1">
        <v>25528</v>
      </c>
      <c r="F52" s="2">
        <v>0.42503454820932102</v>
      </c>
      <c r="G52" s="1">
        <v>1850</v>
      </c>
      <c r="H52" s="2">
        <v>7.2469445314948297E-2</v>
      </c>
      <c r="I52" s="9">
        <v>3.0802017948419101E-2</v>
      </c>
    </row>
    <row r="53" spans="1:9" x14ac:dyDescent="0.35">
      <c r="A53" s="8">
        <v>45444</v>
      </c>
      <c r="B53" t="s">
        <v>468</v>
      </c>
      <c r="C53" t="s">
        <v>11</v>
      </c>
      <c r="D53" s="1">
        <v>6573</v>
      </c>
      <c r="E53" s="1">
        <v>3093</v>
      </c>
      <c r="F53" s="2">
        <v>0.47056138749429499</v>
      </c>
      <c r="G53" s="1">
        <v>298</v>
      </c>
      <c r="H53" s="2">
        <v>9.6346589072098296E-2</v>
      </c>
      <c r="I53" s="9">
        <v>4.5336984634109199E-2</v>
      </c>
    </row>
    <row r="54" spans="1:9" x14ac:dyDescent="0.35">
      <c r="A54" s="8">
        <v>45444</v>
      </c>
      <c r="B54" t="s">
        <v>469</v>
      </c>
      <c r="C54" t="s">
        <v>10</v>
      </c>
      <c r="D54" s="1">
        <v>49108</v>
      </c>
      <c r="E54" s="1">
        <v>16720</v>
      </c>
      <c r="F54" s="2">
        <v>0.34047405718009299</v>
      </c>
      <c r="G54" s="1">
        <v>210</v>
      </c>
      <c r="H54" s="2">
        <v>1.25598086124402E-2</v>
      </c>
      <c r="I54" s="9">
        <v>4.2762889956829801E-3</v>
      </c>
    </row>
    <row r="55" spans="1:9" x14ac:dyDescent="0.35">
      <c r="A55" s="8">
        <v>45444</v>
      </c>
      <c r="B55" t="s">
        <v>470</v>
      </c>
      <c r="C55" t="s">
        <v>10</v>
      </c>
      <c r="D55" s="1">
        <v>87279</v>
      </c>
      <c r="E55" s="1">
        <v>35947</v>
      </c>
      <c r="F55" s="2">
        <v>0.41186310567261297</v>
      </c>
      <c r="G55" s="1">
        <v>3726</v>
      </c>
      <c r="H55" s="2">
        <v>0.10365259966061099</v>
      </c>
      <c r="I55" s="9">
        <v>4.2690681607259501E-2</v>
      </c>
    </row>
    <row r="56" spans="1:9" x14ac:dyDescent="0.35">
      <c r="A56" s="8">
        <v>45444</v>
      </c>
      <c r="B56" t="s">
        <v>470</v>
      </c>
      <c r="C56" t="s">
        <v>11</v>
      </c>
      <c r="D56" s="1">
        <v>9599</v>
      </c>
      <c r="E56" s="1">
        <v>3465</v>
      </c>
      <c r="F56" s="2">
        <v>0.36097510157308099</v>
      </c>
      <c r="G56" s="1">
        <v>478</v>
      </c>
      <c r="H56" s="2">
        <v>0.13795093795093799</v>
      </c>
      <c r="I56" s="9">
        <v>4.9796853838941599E-2</v>
      </c>
    </row>
    <row r="57" spans="1:9" x14ac:dyDescent="0.35">
      <c r="A57" s="8">
        <v>45446</v>
      </c>
      <c r="B57" t="s">
        <v>471</v>
      </c>
      <c r="C57" t="s">
        <v>472</v>
      </c>
      <c r="D57" s="1">
        <v>29234</v>
      </c>
      <c r="E57" s="1">
        <v>10739</v>
      </c>
      <c r="F57" s="2">
        <v>0.36734624067866201</v>
      </c>
      <c r="G57" s="1">
        <v>310</v>
      </c>
      <c r="H57" s="2">
        <v>2.8866747369401199E-2</v>
      </c>
      <c r="I57" s="9">
        <v>1.06040911267702E-2</v>
      </c>
    </row>
    <row r="58" spans="1:9" x14ac:dyDescent="0.35">
      <c r="A58" s="8">
        <v>45446</v>
      </c>
      <c r="B58" t="s">
        <v>471</v>
      </c>
      <c r="C58" t="s">
        <v>473</v>
      </c>
      <c r="D58" s="1">
        <v>49686</v>
      </c>
      <c r="E58" s="1">
        <v>18398</v>
      </c>
      <c r="F58" s="2">
        <v>0.370285392263414</v>
      </c>
      <c r="G58" s="1">
        <v>469</v>
      </c>
      <c r="H58" s="2">
        <v>2.5491901293618901E-2</v>
      </c>
      <c r="I58" s="9">
        <v>9.4392786700478997E-3</v>
      </c>
    </row>
    <row r="59" spans="1:9" x14ac:dyDescent="0.35">
      <c r="A59" s="8">
        <v>45447</v>
      </c>
      <c r="B59" t="s">
        <v>474</v>
      </c>
      <c r="C59" t="s">
        <v>101</v>
      </c>
      <c r="D59" s="1">
        <v>26022</v>
      </c>
      <c r="E59" s="1">
        <v>7917</v>
      </c>
      <c r="F59" s="2">
        <v>0.30424256398432098</v>
      </c>
      <c r="G59" s="1">
        <v>136</v>
      </c>
      <c r="H59" s="2">
        <v>1.7178224074775799E-2</v>
      </c>
      <c r="I59" s="9">
        <v>5.2263469372069802E-3</v>
      </c>
    </row>
    <row r="60" spans="1:9" x14ac:dyDescent="0.35">
      <c r="A60" s="8">
        <v>45447</v>
      </c>
      <c r="B60" t="s">
        <v>474</v>
      </c>
      <c r="C60" t="s">
        <v>102</v>
      </c>
      <c r="D60" s="1">
        <v>9059</v>
      </c>
      <c r="E60" s="1">
        <v>3072</v>
      </c>
      <c r="F60" s="2">
        <v>0.339110277072525</v>
      </c>
      <c r="G60" s="1">
        <v>72</v>
      </c>
      <c r="H60" s="2">
        <v>2.34375E-2</v>
      </c>
      <c r="I60" s="9">
        <v>7.9478971188872895E-3</v>
      </c>
    </row>
    <row r="61" spans="1:9" x14ac:dyDescent="0.35">
      <c r="A61" s="8">
        <v>45447</v>
      </c>
      <c r="B61" t="s">
        <v>474</v>
      </c>
      <c r="C61" t="s">
        <v>103</v>
      </c>
      <c r="D61" s="1">
        <v>39319</v>
      </c>
      <c r="E61" s="1">
        <v>14856</v>
      </c>
      <c r="F61" s="2">
        <v>0.37783260001525998</v>
      </c>
      <c r="G61" s="1">
        <v>425</v>
      </c>
      <c r="H61" s="2">
        <v>2.86079698438341E-2</v>
      </c>
      <c r="I61" s="9">
        <v>1.0809023627254E-2</v>
      </c>
    </row>
    <row r="62" spans="1:9" x14ac:dyDescent="0.35">
      <c r="A62" s="8">
        <v>45447</v>
      </c>
      <c r="B62" t="s">
        <v>474</v>
      </c>
      <c r="C62" t="s">
        <v>104</v>
      </c>
      <c r="D62" s="1">
        <v>166679</v>
      </c>
      <c r="E62" s="1">
        <v>59131</v>
      </c>
      <c r="F62" s="2">
        <v>0.35475974777866398</v>
      </c>
      <c r="G62" s="1">
        <v>1507</v>
      </c>
      <c r="H62" s="2">
        <v>2.5485785797635802E-2</v>
      </c>
      <c r="I62" s="9">
        <v>9.04133094151033E-3</v>
      </c>
    </row>
    <row r="63" spans="1:9" x14ac:dyDescent="0.35">
      <c r="A63" s="8">
        <v>45447</v>
      </c>
      <c r="B63" t="s">
        <v>474</v>
      </c>
      <c r="C63" t="s">
        <v>475</v>
      </c>
      <c r="D63" s="1">
        <v>12281</v>
      </c>
      <c r="E63" s="1">
        <v>4118</v>
      </c>
      <c r="F63" s="2">
        <v>0.33531471378552202</v>
      </c>
      <c r="G63" s="1">
        <v>89</v>
      </c>
      <c r="H63" s="2">
        <v>2.1612433220009698E-2</v>
      </c>
      <c r="I63" s="9">
        <v>7.2469668593762703E-3</v>
      </c>
    </row>
    <row r="64" spans="1:9" x14ac:dyDescent="0.35">
      <c r="A64" s="8">
        <v>45448</v>
      </c>
      <c r="B64" t="s">
        <v>477</v>
      </c>
      <c r="C64" t="s">
        <v>10</v>
      </c>
      <c r="D64" s="1">
        <v>6559822</v>
      </c>
      <c r="E64" s="1">
        <v>2068799</v>
      </c>
      <c r="F64" s="2">
        <v>0.31537425863079799</v>
      </c>
      <c r="G64" s="1">
        <v>17627</v>
      </c>
      <c r="H64" s="2">
        <v>8.5204024170545296E-3</v>
      </c>
      <c r="I64" s="9">
        <v>2.6871155955146301E-3</v>
      </c>
    </row>
    <row r="65" spans="1:9" x14ac:dyDescent="0.35">
      <c r="A65" s="8">
        <v>45448</v>
      </c>
      <c r="B65" t="s">
        <v>477</v>
      </c>
      <c r="C65" t="s">
        <v>11</v>
      </c>
      <c r="D65" s="1">
        <v>423268</v>
      </c>
      <c r="E65" s="1">
        <v>127753</v>
      </c>
      <c r="F65" s="2">
        <v>0.301825321073174</v>
      </c>
      <c r="G65" s="1">
        <v>1945</v>
      </c>
      <c r="H65" s="2">
        <v>1.52246913966795E-2</v>
      </c>
      <c r="I65" s="9">
        <v>4.5951973690427804E-3</v>
      </c>
    </row>
    <row r="66" spans="1:9" x14ac:dyDescent="0.35">
      <c r="A66" s="8">
        <v>45448</v>
      </c>
      <c r="B66" t="s">
        <v>478</v>
      </c>
      <c r="C66" t="s">
        <v>10</v>
      </c>
      <c r="D66" s="1">
        <v>578340</v>
      </c>
      <c r="E66" s="1">
        <v>195556</v>
      </c>
      <c r="F66" s="2">
        <v>0.33813327800255899</v>
      </c>
      <c r="G66" s="1">
        <v>1622</v>
      </c>
      <c r="H66" s="2">
        <v>8.2942993311378808E-3</v>
      </c>
      <c r="I66" s="9">
        <v>2.8045786215720901E-3</v>
      </c>
    </row>
    <row r="67" spans="1:9" x14ac:dyDescent="0.35">
      <c r="A67" s="8">
        <v>45448</v>
      </c>
      <c r="B67" t="s">
        <v>478</v>
      </c>
      <c r="C67" t="s">
        <v>11</v>
      </c>
      <c r="D67" s="1">
        <v>28448</v>
      </c>
      <c r="E67" s="1">
        <v>8774</v>
      </c>
      <c r="F67" s="2">
        <v>0.30842238470191202</v>
      </c>
      <c r="G67" s="1">
        <v>79</v>
      </c>
      <c r="H67" s="2">
        <v>9.0038750854798295E-3</v>
      </c>
      <c r="I67" s="9">
        <v>2.7769966254218201E-3</v>
      </c>
    </row>
    <row r="68" spans="1:9" x14ac:dyDescent="0.35">
      <c r="A68" s="8">
        <v>45449</v>
      </c>
      <c r="B68" t="s">
        <v>479</v>
      </c>
      <c r="C68" t="s">
        <v>10</v>
      </c>
      <c r="D68" s="1">
        <v>705392</v>
      </c>
      <c r="E68" s="1">
        <v>242704</v>
      </c>
      <c r="F68" s="2">
        <v>0.34406968040465402</v>
      </c>
      <c r="G68" s="1">
        <v>1957</v>
      </c>
      <c r="H68" s="2">
        <v>8.0633199288021595E-3</v>
      </c>
      <c r="I68" s="9">
        <v>2.7743439109034402E-3</v>
      </c>
    </row>
    <row r="69" spans="1:9" x14ac:dyDescent="0.35">
      <c r="A69" s="8">
        <v>45449</v>
      </c>
      <c r="B69" t="s">
        <v>480</v>
      </c>
      <c r="C69" t="s">
        <v>10</v>
      </c>
      <c r="D69" s="1">
        <v>1031322</v>
      </c>
      <c r="E69" s="1">
        <v>395223</v>
      </c>
      <c r="F69" s="2">
        <v>0.38321978974558901</v>
      </c>
      <c r="G69" s="1">
        <v>5455</v>
      </c>
      <c r="H69" s="2">
        <v>1.3802334378313E-2</v>
      </c>
      <c r="I69" s="9">
        <v>5.2893276784554202E-3</v>
      </c>
    </row>
    <row r="70" spans="1:9" x14ac:dyDescent="0.35">
      <c r="A70" s="8">
        <v>45449</v>
      </c>
      <c r="B70" t="s">
        <v>480</v>
      </c>
      <c r="C70" t="s">
        <v>11</v>
      </c>
      <c r="D70" s="1">
        <v>73998</v>
      </c>
      <c r="E70" s="1">
        <v>21075</v>
      </c>
      <c r="F70" s="2">
        <v>0.28480499472958698</v>
      </c>
      <c r="G70" s="1">
        <v>316</v>
      </c>
      <c r="H70" s="2">
        <v>1.4994068801898E-2</v>
      </c>
      <c r="I70" s="9">
        <v>4.2703856860996196E-3</v>
      </c>
    </row>
    <row r="71" spans="1:9" ht="15" thickBot="1" x14ac:dyDescent="0.4">
      <c r="A71" s="12" t="s">
        <v>35</v>
      </c>
      <c r="B71" s="4"/>
      <c r="C71" s="4"/>
      <c r="D71" s="13">
        <f>SUM(D50:D70)</f>
        <v>10535132</v>
      </c>
      <c r="E71" s="13">
        <f>SUM(E50:E70)</f>
        <v>3486755</v>
      </c>
      <c r="F71" s="14">
        <f>AVERAGE(F50:F70)</f>
        <v>0.35818473242575283</v>
      </c>
      <c r="G71" s="13">
        <f>SUM(G50:G70)</f>
        <v>43672</v>
      </c>
      <c r="H71" s="14">
        <f>AVERAGE(H50:H70)</f>
        <v>3.3429751889740934E-2</v>
      </c>
      <c r="I71" s="15">
        <f>AVERAGE(I50:I70)</f>
        <v>1.2866711964671476E-2</v>
      </c>
    </row>
    <row r="72" spans="1:9" ht="3" customHeight="1" thickBot="1" x14ac:dyDescent="0.4">
      <c r="A72" s="139"/>
      <c r="B72" s="138"/>
      <c r="C72" s="138"/>
      <c r="D72" s="138"/>
      <c r="E72" s="138"/>
      <c r="F72" s="138"/>
      <c r="G72" s="138"/>
      <c r="H72" s="138"/>
      <c r="I72" s="140"/>
    </row>
    <row r="73" spans="1:9" x14ac:dyDescent="0.35">
      <c r="A73" s="16" t="s">
        <v>38</v>
      </c>
      <c r="B73" s="17"/>
      <c r="C73" s="17"/>
      <c r="D73" s="17"/>
      <c r="E73" s="17"/>
      <c r="F73" s="17"/>
      <c r="G73" s="17"/>
      <c r="H73" s="17"/>
      <c r="I73" s="18"/>
    </row>
    <row r="74" spans="1:9" x14ac:dyDescent="0.35">
      <c r="A74" s="8">
        <v>45449</v>
      </c>
      <c r="B74" t="s">
        <v>446</v>
      </c>
      <c r="C74" t="s">
        <v>234</v>
      </c>
      <c r="D74" s="1">
        <v>332929</v>
      </c>
      <c r="E74" s="1">
        <v>108279</v>
      </c>
      <c r="F74" s="3">
        <v>0.32519999999999999</v>
      </c>
      <c r="G74">
        <v>938</v>
      </c>
      <c r="H74" s="3">
        <v>8.6999999999999994E-3</v>
      </c>
      <c r="I74" s="11">
        <v>2.8E-3</v>
      </c>
    </row>
    <row r="75" spans="1:9" x14ac:dyDescent="0.35">
      <c r="A75" s="8">
        <v>45449</v>
      </c>
      <c r="B75" t="s">
        <v>448</v>
      </c>
      <c r="C75" t="s">
        <v>235</v>
      </c>
      <c r="D75" s="1">
        <v>29278</v>
      </c>
      <c r="E75" s="1">
        <v>10263</v>
      </c>
      <c r="F75" s="3">
        <v>0.35049999999999998</v>
      </c>
      <c r="G75">
        <v>104</v>
      </c>
      <c r="H75" s="3">
        <v>1.01E-2</v>
      </c>
      <c r="I75" s="11">
        <v>3.5999999999999999E-3</v>
      </c>
    </row>
    <row r="76" spans="1:9" x14ac:dyDescent="0.35">
      <c r="A76" s="8">
        <v>45449</v>
      </c>
      <c r="B76" t="s">
        <v>422</v>
      </c>
      <c r="C76" t="s">
        <v>253</v>
      </c>
      <c r="D76" s="1">
        <v>279647</v>
      </c>
      <c r="E76" s="1">
        <v>89854</v>
      </c>
      <c r="F76" s="3">
        <v>0.32129999999999997</v>
      </c>
      <c r="G76">
        <v>840</v>
      </c>
      <c r="H76" s="3">
        <v>9.2999999999999992E-3</v>
      </c>
      <c r="I76" s="11">
        <v>3.0000000000000001E-3</v>
      </c>
    </row>
    <row r="77" spans="1:9" x14ac:dyDescent="0.35">
      <c r="A77" s="8">
        <v>45449</v>
      </c>
      <c r="B77" t="s">
        <v>424</v>
      </c>
      <c r="C77" t="s">
        <v>255</v>
      </c>
      <c r="D77" s="1">
        <v>18730</v>
      </c>
      <c r="E77" s="1">
        <v>5325</v>
      </c>
      <c r="F77" s="3">
        <v>0.2843</v>
      </c>
      <c r="G77">
        <v>78</v>
      </c>
      <c r="H77" s="3">
        <v>1.46E-2</v>
      </c>
      <c r="I77" s="11">
        <v>4.1999999999999997E-3</v>
      </c>
    </row>
    <row r="78" spans="1:9" x14ac:dyDescent="0.35">
      <c r="A78" s="8">
        <v>45449</v>
      </c>
      <c r="B78" t="s">
        <v>450</v>
      </c>
      <c r="C78" t="s">
        <v>234</v>
      </c>
      <c r="D78" s="1">
        <v>446113</v>
      </c>
      <c r="E78" s="1">
        <v>144806</v>
      </c>
      <c r="F78" s="3">
        <v>0.3246</v>
      </c>
      <c r="G78" s="1">
        <v>1210</v>
      </c>
      <c r="H78" s="3">
        <v>8.3999999999999995E-3</v>
      </c>
      <c r="I78" s="11">
        <v>2.7000000000000001E-3</v>
      </c>
    </row>
    <row r="79" spans="1:9" x14ac:dyDescent="0.35">
      <c r="A79" s="8">
        <v>45449</v>
      </c>
      <c r="B79" t="s">
        <v>452</v>
      </c>
      <c r="C79" t="s">
        <v>235</v>
      </c>
      <c r="D79" s="1">
        <v>33748</v>
      </c>
      <c r="E79" s="1">
        <v>9811</v>
      </c>
      <c r="F79" s="3">
        <v>0.29070000000000001</v>
      </c>
      <c r="G79">
        <v>157</v>
      </c>
      <c r="H79" s="3">
        <v>1.6E-2</v>
      </c>
      <c r="I79" s="11">
        <v>4.7000000000000002E-3</v>
      </c>
    </row>
    <row r="80" spans="1:9" ht="15" thickBot="1" x14ac:dyDescent="0.4">
      <c r="A80" s="12" t="s">
        <v>35</v>
      </c>
      <c r="B80" s="4"/>
      <c r="C80" s="4"/>
      <c r="D80" s="13">
        <f>SUM(D74:D79)</f>
        <v>1140445</v>
      </c>
      <c r="E80" s="13">
        <f>SUM(E74:E79)</f>
        <v>368338</v>
      </c>
      <c r="F80" s="14">
        <f>AVERAGE(F74:F79)</f>
        <v>0.31609999999999999</v>
      </c>
      <c r="G80" s="13">
        <f>SUM(G74:G79)</f>
        <v>3327</v>
      </c>
      <c r="H80" s="14">
        <f>AVERAGE(H74:H79)</f>
        <v>1.1183333333333332E-2</v>
      </c>
      <c r="I80" s="15">
        <f>AVERAGE(I74:I79)</f>
        <v>3.4999999999999996E-3</v>
      </c>
    </row>
    <row r="85" spans="6:13" x14ac:dyDescent="0.35">
      <c r="F85" s="1"/>
      <c r="G85" s="1"/>
      <c r="H85" s="3"/>
      <c r="I85" s="1"/>
      <c r="J85" s="3"/>
      <c r="K85" s="1"/>
      <c r="L85" s="3"/>
      <c r="M85" s="3"/>
    </row>
    <row r="86" spans="6:13" x14ac:dyDescent="0.35">
      <c r="F86" s="1"/>
      <c r="G86" s="1"/>
      <c r="H86" s="3"/>
      <c r="I86" s="1"/>
      <c r="J86" s="3"/>
      <c r="K86" s="1"/>
      <c r="L86" s="3"/>
      <c r="M86" s="3"/>
    </row>
    <row r="87" spans="6:13" x14ac:dyDescent="0.35">
      <c r="F87" s="1"/>
      <c r="H87" s="3"/>
      <c r="I87" s="1"/>
      <c r="J87" s="3"/>
      <c r="L87" s="3"/>
      <c r="M87" s="3"/>
    </row>
    <row r="88" spans="6:13" x14ac:dyDescent="0.35">
      <c r="F88" s="1"/>
      <c r="H88" s="3"/>
      <c r="I88" s="1"/>
      <c r="J88" s="3"/>
      <c r="L88" s="3"/>
      <c r="M88" s="3"/>
    </row>
  </sheetData>
  <mergeCells count="3">
    <mergeCell ref="A37:I37"/>
    <mergeCell ref="A48:I48"/>
    <mergeCell ref="A72:I72"/>
  </mergeCells>
  <pageMargins left="0.7" right="0.7" top="0.75" bottom="0.75" header="0.3" footer="0.3"/>
  <ignoredErrors>
    <ignoredError sqref="F36:G36 F47:G47 F71:G71 F80" formula="1"/>
  </ignoredErrors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450-CBC2-4BD1-87DF-5A1EA7BDA317}">
  <dimension ref="A1:M62"/>
  <sheetViews>
    <sheetView workbookViewId="0">
      <selection activeCell="L20" sqref="L20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1:9" x14ac:dyDescent="0.35">
      <c r="A2" s="19">
        <v>45450</v>
      </c>
      <c r="B2" t="s">
        <v>481</v>
      </c>
      <c r="C2" t="s">
        <v>10</v>
      </c>
      <c r="D2" s="1">
        <v>406828</v>
      </c>
      <c r="E2" s="1">
        <v>145737</v>
      </c>
      <c r="F2" s="2">
        <v>0.35822755562547298</v>
      </c>
      <c r="G2" s="1">
        <v>2723</v>
      </c>
      <c r="H2" s="2">
        <v>1.8684342342713201E-2</v>
      </c>
      <c r="I2" s="2">
        <v>6.6932462858996901E-3</v>
      </c>
    </row>
    <row r="3" spans="1:9" x14ac:dyDescent="0.35">
      <c r="A3" s="19">
        <v>45450</v>
      </c>
      <c r="B3" t="s">
        <v>481</v>
      </c>
      <c r="C3" t="s">
        <v>11</v>
      </c>
      <c r="D3" s="1">
        <v>22009</v>
      </c>
      <c r="E3" s="1">
        <v>7453</v>
      </c>
      <c r="F3" s="2">
        <v>0.33863419510200399</v>
      </c>
      <c r="G3" s="1">
        <v>228</v>
      </c>
      <c r="H3" s="2">
        <v>3.0591708037032098E-2</v>
      </c>
      <c r="I3" s="2">
        <v>1.0359398427915899E-2</v>
      </c>
    </row>
    <row r="4" spans="1:9" x14ac:dyDescent="0.35">
      <c r="A4" s="19">
        <v>45450</v>
      </c>
      <c r="B4" t="s">
        <v>482</v>
      </c>
      <c r="C4" t="s">
        <v>464</v>
      </c>
      <c r="D4" s="1">
        <v>2434462</v>
      </c>
      <c r="E4" s="1">
        <v>795219</v>
      </c>
      <c r="F4" s="2">
        <v>0.326650816484299</v>
      </c>
      <c r="G4" s="1">
        <v>9731</v>
      </c>
      <c r="H4" s="2">
        <v>1.2236880658032599E-2</v>
      </c>
      <c r="I4" s="2">
        <v>3.9971870581672697E-3</v>
      </c>
    </row>
    <row r="5" spans="1:9" x14ac:dyDescent="0.35">
      <c r="A5" s="19">
        <v>45450</v>
      </c>
      <c r="B5" t="s">
        <v>482</v>
      </c>
      <c r="C5" t="s">
        <v>465</v>
      </c>
      <c r="D5" s="1">
        <v>2435207</v>
      </c>
      <c r="E5" s="1">
        <v>795083</v>
      </c>
      <c r="F5" s="2">
        <v>0.32649503717753797</v>
      </c>
      <c r="G5" s="1">
        <v>8827</v>
      </c>
      <c r="H5" s="2">
        <v>1.1101985578864101E-2</v>
      </c>
      <c r="I5" s="2">
        <v>3.6247431943157199E-3</v>
      </c>
    </row>
    <row r="6" spans="1:9" x14ac:dyDescent="0.35">
      <c r="A6" s="19">
        <v>45450</v>
      </c>
      <c r="B6" t="s">
        <v>482</v>
      </c>
      <c r="C6" t="s">
        <v>466</v>
      </c>
      <c r="D6" s="1">
        <v>155508</v>
      </c>
      <c r="E6" s="1">
        <v>44821</v>
      </c>
      <c r="F6" s="2">
        <v>0.288223113923399</v>
      </c>
      <c r="G6" s="1">
        <v>791</v>
      </c>
      <c r="H6" s="2">
        <v>1.7647977510541899E-2</v>
      </c>
      <c r="I6" s="2">
        <v>5.08655503253852E-3</v>
      </c>
    </row>
    <row r="7" spans="1:9" x14ac:dyDescent="0.35">
      <c r="A7" s="19">
        <v>45450</v>
      </c>
      <c r="B7" t="s">
        <v>482</v>
      </c>
      <c r="C7" t="s">
        <v>467</v>
      </c>
      <c r="D7" s="1">
        <v>154918</v>
      </c>
      <c r="E7" s="1">
        <v>45260</v>
      </c>
      <c r="F7" s="2">
        <v>0.29215455918615002</v>
      </c>
      <c r="G7" s="1">
        <v>697</v>
      </c>
      <c r="H7" s="2">
        <v>1.53999116217411E-2</v>
      </c>
      <c r="I7" s="2">
        <v>4.4991543913554298E-3</v>
      </c>
    </row>
    <row r="8" spans="1:9" x14ac:dyDescent="0.35">
      <c r="A8" s="19">
        <v>45450</v>
      </c>
      <c r="B8" t="s">
        <v>483</v>
      </c>
      <c r="C8" t="s">
        <v>10</v>
      </c>
      <c r="D8" s="1">
        <v>1240</v>
      </c>
      <c r="E8" s="1">
        <v>545</v>
      </c>
      <c r="F8" s="2">
        <v>0.43951612903225801</v>
      </c>
      <c r="G8" s="1">
        <v>25</v>
      </c>
      <c r="H8" s="2">
        <v>4.5871559633027498E-2</v>
      </c>
      <c r="I8" s="2">
        <v>2.0161290322580599E-2</v>
      </c>
    </row>
    <row r="9" spans="1:9" x14ac:dyDescent="0.35">
      <c r="A9" s="19">
        <v>45450</v>
      </c>
      <c r="B9" t="s">
        <v>483</v>
      </c>
      <c r="C9" t="s">
        <v>11</v>
      </c>
      <c r="D9" s="1">
        <v>559</v>
      </c>
      <c r="E9" s="1">
        <v>204</v>
      </c>
      <c r="F9" s="2">
        <v>0.36493738819320198</v>
      </c>
      <c r="G9" s="1">
        <v>12</v>
      </c>
      <c r="H9" s="2">
        <v>5.8823529411764698E-2</v>
      </c>
      <c r="I9" s="2">
        <v>2.1466905187835401E-2</v>
      </c>
    </row>
    <row r="10" spans="1:9" x14ac:dyDescent="0.35">
      <c r="A10" s="19">
        <v>45454</v>
      </c>
      <c r="B10" t="s">
        <v>484</v>
      </c>
      <c r="C10" t="s">
        <v>10</v>
      </c>
      <c r="D10" s="1">
        <v>1370312</v>
      </c>
      <c r="E10" s="1">
        <v>478550</v>
      </c>
      <c r="F10" s="2">
        <v>0.349227037346239</v>
      </c>
      <c r="G10" s="1">
        <v>6864</v>
      </c>
      <c r="H10" s="2">
        <v>1.43433288057674E-2</v>
      </c>
      <c r="I10" s="2">
        <v>5.0090782245211301E-3</v>
      </c>
    </row>
    <row r="11" spans="1:9" x14ac:dyDescent="0.35">
      <c r="A11" s="19">
        <v>45454</v>
      </c>
      <c r="B11" t="s">
        <v>484</v>
      </c>
      <c r="C11" t="s">
        <v>11</v>
      </c>
      <c r="D11" s="1">
        <v>96055</v>
      </c>
      <c r="E11" s="1">
        <v>32342</v>
      </c>
      <c r="F11" s="2">
        <v>0.33670293061266998</v>
      </c>
      <c r="G11" s="1">
        <v>625</v>
      </c>
      <c r="H11" s="2">
        <v>1.9324717086141901E-2</v>
      </c>
      <c r="I11" s="2">
        <v>6.5066888761646999E-3</v>
      </c>
    </row>
    <row r="12" spans="1:9" x14ac:dyDescent="0.35">
      <c r="A12" s="19">
        <v>45454</v>
      </c>
      <c r="B12" t="s">
        <v>485</v>
      </c>
      <c r="C12" t="s">
        <v>10</v>
      </c>
      <c r="D12" s="1">
        <v>67736</v>
      </c>
      <c r="E12" s="1">
        <v>23417</v>
      </c>
      <c r="F12" s="2">
        <v>0.345709814574229</v>
      </c>
      <c r="G12" s="1">
        <v>268</v>
      </c>
      <c r="H12" s="2">
        <v>1.1444676944100399E-2</v>
      </c>
      <c r="I12" s="2">
        <v>3.9565371442069203E-3</v>
      </c>
    </row>
    <row r="13" spans="1:9" x14ac:dyDescent="0.35">
      <c r="A13" s="19">
        <v>45455</v>
      </c>
      <c r="B13" t="s">
        <v>486</v>
      </c>
      <c r="C13" t="s">
        <v>10</v>
      </c>
      <c r="D13" s="1">
        <v>52306</v>
      </c>
      <c r="E13" s="1">
        <v>24212</v>
      </c>
      <c r="F13" s="2">
        <v>0.46289144648797498</v>
      </c>
      <c r="G13" s="1">
        <v>272</v>
      </c>
      <c r="H13" s="2">
        <v>1.1234098793986499E-2</v>
      </c>
      <c r="I13" s="2">
        <v>5.2001682407371999E-3</v>
      </c>
    </row>
    <row r="14" spans="1:9" x14ac:dyDescent="0.35">
      <c r="A14" s="19">
        <v>45455</v>
      </c>
      <c r="B14" t="s">
        <v>487</v>
      </c>
      <c r="C14" t="s">
        <v>10</v>
      </c>
      <c r="D14" s="1">
        <v>269506</v>
      </c>
      <c r="E14" s="1">
        <v>87782</v>
      </c>
      <c r="F14" s="2">
        <v>0.32571445533680099</v>
      </c>
      <c r="G14" s="1">
        <v>877</v>
      </c>
      <c r="H14" s="2">
        <v>9.9906586771775496E-3</v>
      </c>
      <c r="I14" s="2">
        <v>3.2541019494927801E-3</v>
      </c>
    </row>
    <row r="15" spans="1:9" x14ac:dyDescent="0.35">
      <c r="A15" s="19">
        <v>45455</v>
      </c>
      <c r="B15" t="s">
        <v>488</v>
      </c>
      <c r="C15" t="s">
        <v>489</v>
      </c>
      <c r="D15" s="1">
        <v>2691432</v>
      </c>
      <c r="E15" s="1">
        <v>933784</v>
      </c>
      <c r="F15" s="2">
        <v>0.346946904101608</v>
      </c>
      <c r="G15" s="1">
        <v>5487</v>
      </c>
      <c r="H15" s="2">
        <v>5.8760912587921803E-3</v>
      </c>
      <c r="I15" s="2">
        <v>2.0386916704564699E-3</v>
      </c>
    </row>
    <row r="16" spans="1:9" x14ac:dyDescent="0.35">
      <c r="A16" s="19">
        <v>45456</v>
      </c>
      <c r="B16" t="s">
        <v>469</v>
      </c>
      <c r="C16" t="s">
        <v>14</v>
      </c>
      <c r="D16" s="1">
        <v>48794</v>
      </c>
      <c r="E16" s="1">
        <v>15121</v>
      </c>
      <c r="F16" s="2">
        <v>0.30989465917940701</v>
      </c>
      <c r="G16" s="1">
        <v>189</v>
      </c>
      <c r="H16" s="2">
        <v>1.24991733350969E-2</v>
      </c>
      <c r="I16" s="2">
        <v>3.87342706070418E-3</v>
      </c>
    </row>
    <row r="17" spans="1:9" x14ac:dyDescent="0.35">
      <c r="A17" s="19">
        <v>45456</v>
      </c>
      <c r="B17" t="s">
        <v>446</v>
      </c>
      <c r="C17" t="s">
        <v>253</v>
      </c>
      <c r="D17" s="1">
        <v>329327</v>
      </c>
      <c r="E17" s="1">
        <v>104426</v>
      </c>
      <c r="F17" s="3">
        <v>0.31709999999999999</v>
      </c>
      <c r="G17">
        <v>994</v>
      </c>
      <c r="H17" s="3">
        <v>9.4999999999999998E-3</v>
      </c>
      <c r="I17" s="3">
        <v>3.0000000000000001E-3</v>
      </c>
    </row>
    <row r="18" spans="1:9" x14ac:dyDescent="0.35">
      <c r="A18" s="19">
        <v>45456</v>
      </c>
      <c r="B18" t="s">
        <v>448</v>
      </c>
      <c r="C18" t="s">
        <v>255</v>
      </c>
      <c r="D18" s="1">
        <v>29024</v>
      </c>
      <c r="E18" s="1">
        <v>10081</v>
      </c>
      <c r="F18" s="3">
        <v>0.3473</v>
      </c>
      <c r="G18">
        <v>84</v>
      </c>
      <c r="H18" s="3">
        <v>8.3000000000000001E-3</v>
      </c>
      <c r="I18" s="3">
        <v>2.8999999999999998E-3</v>
      </c>
    </row>
    <row r="19" spans="1:9" x14ac:dyDescent="0.35">
      <c r="A19" s="19">
        <v>45456</v>
      </c>
      <c r="B19" t="s">
        <v>450</v>
      </c>
      <c r="C19" t="s">
        <v>253</v>
      </c>
      <c r="D19" s="1">
        <v>441072</v>
      </c>
      <c r="E19" s="1">
        <v>140434</v>
      </c>
      <c r="F19" s="3">
        <v>0.31840000000000002</v>
      </c>
      <c r="G19" s="1">
        <v>1215</v>
      </c>
      <c r="H19" s="3">
        <v>8.6999999999999994E-3</v>
      </c>
      <c r="I19" s="3">
        <v>2.8E-3</v>
      </c>
    </row>
    <row r="20" spans="1:9" x14ac:dyDescent="0.35">
      <c r="A20" s="19">
        <v>45456</v>
      </c>
      <c r="B20" t="s">
        <v>452</v>
      </c>
      <c r="C20" t="s">
        <v>255</v>
      </c>
      <c r="D20" s="1">
        <v>33128</v>
      </c>
      <c r="E20" s="1">
        <v>9489</v>
      </c>
      <c r="F20" s="3">
        <v>0.28639999999999999</v>
      </c>
      <c r="G20">
        <v>119</v>
      </c>
      <c r="H20" s="3">
        <v>1.2500000000000001E-2</v>
      </c>
      <c r="I20" s="3">
        <v>3.5999999999999999E-3</v>
      </c>
    </row>
    <row r="21" spans="1:9" x14ac:dyDescent="0.35">
      <c r="A21" s="19">
        <v>45456</v>
      </c>
      <c r="B21" t="s">
        <v>490</v>
      </c>
      <c r="C21" t="s">
        <v>400</v>
      </c>
      <c r="D21" s="1">
        <v>975875</v>
      </c>
      <c r="E21" s="1">
        <v>315518</v>
      </c>
      <c r="F21" s="3">
        <v>0.32329999999999998</v>
      </c>
      <c r="G21" s="1">
        <v>2059</v>
      </c>
      <c r="H21" s="3">
        <v>6.4999999999999997E-3</v>
      </c>
      <c r="I21" s="3">
        <v>2.0999999999999999E-3</v>
      </c>
    </row>
    <row r="22" spans="1:9" x14ac:dyDescent="0.35">
      <c r="A22" s="19">
        <v>45456</v>
      </c>
      <c r="B22" t="s">
        <v>491</v>
      </c>
      <c r="C22" t="s">
        <v>402</v>
      </c>
      <c r="D22" s="1">
        <v>50488</v>
      </c>
      <c r="E22" s="1">
        <v>15359</v>
      </c>
      <c r="F22" s="3">
        <v>0.30420000000000003</v>
      </c>
      <c r="G22">
        <v>136</v>
      </c>
      <c r="H22" s="3">
        <v>8.8999999999999999E-3</v>
      </c>
      <c r="I22" s="3">
        <v>2.7000000000000001E-3</v>
      </c>
    </row>
    <row r="23" spans="1:9" ht="15" thickBot="1" x14ac:dyDescent="0.4">
      <c r="A23" s="20" t="s">
        <v>35</v>
      </c>
      <c r="D23" s="10">
        <f>SUM(D2:D22)</f>
        <v>12065786</v>
      </c>
      <c r="E23" s="10">
        <f>SUM(E2:E22)</f>
        <v>4024837</v>
      </c>
      <c r="F23" s="27">
        <f>AVERAGE(F2:F22)</f>
        <v>0.33850600201729764</v>
      </c>
      <c r="G23" s="10">
        <f>SUM(G2:G22)</f>
        <v>42223</v>
      </c>
      <c r="H23" s="27">
        <f>AVERAGE(H2:H22)</f>
        <v>1.6641459033084765E-2</v>
      </c>
      <c r="I23" s="27">
        <f>AVERAGE(I2:I22)</f>
        <v>5.8489130031853286E-3</v>
      </c>
    </row>
    <row r="24" spans="1:9" ht="15" thickBot="1" x14ac:dyDescent="0.4">
      <c r="A24" s="138" t="s">
        <v>302</v>
      </c>
      <c r="B24" s="138"/>
      <c r="C24" s="138"/>
      <c r="D24" s="138"/>
      <c r="E24" s="138"/>
      <c r="F24" s="138"/>
      <c r="G24" s="138"/>
      <c r="H24" s="138"/>
      <c r="I24" s="138"/>
    </row>
    <row r="25" spans="1:9" x14ac:dyDescent="0.35">
      <c r="A25" s="24" t="s">
        <v>0</v>
      </c>
      <c r="B25" s="25" t="s">
        <v>1</v>
      </c>
      <c r="C25" s="25" t="s">
        <v>2</v>
      </c>
      <c r="D25" s="25" t="s">
        <v>3</v>
      </c>
      <c r="E25" s="25" t="s">
        <v>4</v>
      </c>
      <c r="F25" s="25" t="s">
        <v>5</v>
      </c>
      <c r="G25" s="25" t="s">
        <v>6</v>
      </c>
      <c r="H25" s="25" t="s">
        <v>7</v>
      </c>
      <c r="I25" s="26" t="s">
        <v>8</v>
      </c>
    </row>
    <row r="26" spans="1:9" x14ac:dyDescent="0.35">
      <c r="A26" s="5" t="s">
        <v>36</v>
      </c>
      <c r="B26" s="6"/>
      <c r="C26" s="6"/>
      <c r="D26" s="6"/>
      <c r="E26" s="6"/>
      <c r="F26" s="6"/>
      <c r="G26" s="6"/>
      <c r="H26" s="6"/>
      <c r="I26" s="7"/>
    </row>
    <row r="27" spans="1:9" x14ac:dyDescent="0.35">
      <c r="A27" s="8">
        <v>45450</v>
      </c>
      <c r="B27" t="s">
        <v>481</v>
      </c>
      <c r="C27" t="s">
        <v>10</v>
      </c>
      <c r="D27" s="1">
        <v>406828</v>
      </c>
      <c r="E27" s="1">
        <v>145737</v>
      </c>
      <c r="F27" s="2">
        <v>0.35822755562547298</v>
      </c>
      <c r="G27" s="1">
        <v>2723</v>
      </c>
      <c r="H27" s="2">
        <v>1.8684342342713201E-2</v>
      </c>
      <c r="I27" s="9">
        <v>6.6932462858996901E-3</v>
      </c>
    </row>
    <row r="28" spans="1:9" x14ac:dyDescent="0.35">
      <c r="A28" s="8">
        <v>45450</v>
      </c>
      <c r="B28" t="s">
        <v>481</v>
      </c>
      <c r="C28" t="s">
        <v>11</v>
      </c>
      <c r="D28" s="1">
        <v>22009</v>
      </c>
      <c r="E28" s="1">
        <v>7453</v>
      </c>
      <c r="F28" s="2">
        <v>0.33863419510200399</v>
      </c>
      <c r="G28" s="1">
        <v>228</v>
      </c>
      <c r="H28" s="2">
        <v>3.0591708037032098E-2</v>
      </c>
      <c r="I28" s="9">
        <v>1.0359398427915899E-2</v>
      </c>
    </row>
    <row r="29" spans="1:9" x14ac:dyDescent="0.35">
      <c r="A29" s="8">
        <v>45450</v>
      </c>
      <c r="B29" t="s">
        <v>482</v>
      </c>
      <c r="C29" t="s">
        <v>464</v>
      </c>
      <c r="D29" s="1">
        <v>2434462</v>
      </c>
      <c r="E29" s="1">
        <v>795219</v>
      </c>
      <c r="F29" s="2">
        <v>0.326650816484299</v>
      </c>
      <c r="G29" s="1">
        <v>9731</v>
      </c>
      <c r="H29" s="2">
        <v>1.2236880658032599E-2</v>
      </c>
      <c r="I29" s="9">
        <v>3.9971870581672697E-3</v>
      </c>
    </row>
    <row r="30" spans="1:9" x14ac:dyDescent="0.35">
      <c r="A30" s="8">
        <v>45450</v>
      </c>
      <c r="B30" t="s">
        <v>482</v>
      </c>
      <c r="C30" t="s">
        <v>465</v>
      </c>
      <c r="D30" s="1">
        <v>2435207</v>
      </c>
      <c r="E30" s="1">
        <v>795083</v>
      </c>
      <c r="F30" s="2">
        <v>0.32649503717753797</v>
      </c>
      <c r="G30" s="1">
        <v>8827</v>
      </c>
      <c r="H30" s="2">
        <v>1.1101985578864101E-2</v>
      </c>
      <c r="I30" s="9">
        <v>3.6247431943157199E-3</v>
      </c>
    </row>
    <row r="31" spans="1:9" x14ac:dyDescent="0.35">
      <c r="A31" s="8">
        <v>45450</v>
      </c>
      <c r="B31" t="s">
        <v>482</v>
      </c>
      <c r="C31" t="s">
        <v>466</v>
      </c>
      <c r="D31" s="1">
        <v>155508</v>
      </c>
      <c r="E31" s="1">
        <v>44821</v>
      </c>
      <c r="F31" s="2">
        <v>0.288223113923399</v>
      </c>
      <c r="G31" s="1">
        <v>791</v>
      </c>
      <c r="H31" s="2">
        <v>1.7647977510541899E-2</v>
      </c>
      <c r="I31" s="9">
        <v>5.08655503253852E-3</v>
      </c>
    </row>
    <row r="32" spans="1:9" x14ac:dyDescent="0.35">
      <c r="A32" s="8">
        <v>45450</v>
      </c>
      <c r="B32" t="s">
        <v>482</v>
      </c>
      <c r="C32" t="s">
        <v>467</v>
      </c>
      <c r="D32" s="1">
        <v>154918</v>
      </c>
      <c r="E32" s="1">
        <v>45260</v>
      </c>
      <c r="F32" s="2">
        <v>0.29215455918615002</v>
      </c>
      <c r="G32" s="1">
        <v>697</v>
      </c>
      <c r="H32" s="2">
        <v>1.53999116217411E-2</v>
      </c>
      <c r="I32" s="9">
        <v>4.4991543913554298E-3</v>
      </c>
    </row>
    <row r="33" spans="1:9" x14ac:dyDescent="0.35">
      <c r="A33" s="8">
        <v>45454</v>
      </c>
      <c r="B33" t="s">
        <v>484</v>
      </c>
      <c r="C33" t="s">
        <v>10</v>
      </c>
      <c r="D33" s="1">
        <v>1370312</v>
      </c>
      <c r="E33" s="1">
        <v>478550</v>
      </c>
      <c r="F33" s="2">
        <v>0.349227037346239</v>
      </c>
      <c r="G33" s="1">
        <v>6864</v>
      </c>
      <c r="H33" s="2">
        <v>1.43433288057674E-2</v>
      </c>
      <c r="I33" s="9">
        <v>5.0090782245211301E-3</v>
      </c>
    </row>
    <row r="34" spans="1:9" x14ac:dyDescent="0.35">
      <c r="A34" s="8">
        <v>45454</v>
      </c>
      <c r="B34" t="s">
        <v>484</v>
      </c>
      <c r="C34" t="s">
        <v>11</v>
      </c>
      <c r="D34" s="1">
        <v>96055</v>
      </c>
      <c r="E34" s="1">
        <v>32342</v>
      </c>
      <c r="F34" s="2">
        <v>0.33670293061266998</v>
      </c>
      <c r="G34" s="1">
        <v>625</v>
      </c>
      <c r="H34" s="2">
        <v>1.9324717086141901E-2</v>
      </c>
      <c r="I34" s="9">
        <v>6.5066888761646999E-3</v>
      </c>
    </row>
    <row r="35" spans="1:9" ht="15" thickBot="1" x14ac:dyDescent="0.4">
      <c r="A35" s="12" t="s">
        <v>35</v>
      </c>
      <c r="B35" s="4"/>
      <c r="C35" s="4"/>
      <c r="D35" s="13">
        <f>SUM(D27:D34)</f>
        <v>7075299</v>
      </c>
      <c r="E35" s="13">
        <f>SUM(E27:E34)</f>
        <v>2344465</v>
      </c>
      <c r="F35" s="14">
        <f>AVERAGE(F27:F34)</f>
        <v>0.32703940568222151</v>
      </c>
      <c r="G35" s="13">
        <f>SUM(G27:G34)</f>
        <v>30486</v>
      </c>
      <c r="H35" s="14">
        <f>AVERAGE(H27:H34)</f>
        <v>1.7416356455104288E-2</v>
      </c>
      <c r="I35" s="15">
        <f>AVERAGE(I27:I34)</f>
        <v>5.7220064363597946E-3</v>
      </c>
    </row>
    <row r="36" spans="1:9" ht="3" customHeight="1" thickBot="1" x14ac:dyDescent="0.4">
      <c r="A36" s="139"/>
      <c r="B36" s="138"/>
      <c r="C36" s="138"/>
      <c r="D36" s="138"/>
      <c r="E36" s="138"/>
      <c r="F36" s="138"/>
      <c r="G36" s="138"/>
      <c r="H36" s="138"/>
      <c r="I36" s="140"/>
    </row>
    <row r="37" spans="1:9" x14ac:dyDescent="0.35">
      <c r="A37" s="16" t="s">
        <v>37</v>
      </c>
      <c r="B37" s="17"/>
      <c r="C37" s="17"/>
      <c r="D37" s="17"/>
      <c r="E37" s="17"/>
      <c r="F37" s="17"/>
      <c r="G37" s="17"/>
      <c r="H37" s="17"/>
      <c r="I37" s="18"/>
    </row>
    <row r="38" spans="1:9" x14ac:dyDescent="0.35">
      <c r="A38" s="8">
        <v>45450</v>
      </c>
      <c r="B38" t="s">
        <v>483</v>
      </c>
      <c r="C38" t="s">
        <v>10</v>
      </c>
      <c r="D38" s="1">
        <v>1240</v>
      </c>
      <c r="E38" s="1">
        <v>545</v>
      </c>
      <c r="F38" s="2">
        <v>0.43951612903225801</v>
      </c>
      <c r="G38" s="1">
        <v>25</v>
      </c>
      <c r="H38" s="2">
        <v>4.5871559633027498E-2</v>
      </c>
      <c r="I38" s="9">
        <v>2.0161290322580599E-2</v>
      </c>
    </row>
    <row r="39" spans="1:9" x14ac:dyDescent="0.35">
      <c r="A39" s="8">
        <v>45450</v>
      </c>
      <c r="B39" t="s">
        <v>483</v>
      </c>
      <c r="C39" t="s">
        <v>11</v>
      </c>
      <c r="D39" s="1">
        <v>559</v>
      </c>
      <c r="E39" s="1">
        <v>204</v>
      </c>
      <c r="F39" s="2">
        <v>0.36493738819320198</v>
      </c>
      <c r="G39" s="1">
        <v>12</v>
      </c>
      <c r="H39" s="2">
        <v>5.8823529411764698E-2</v>
      </c>
      <c r="I39" s="9">
        <v>2.1466905187835401E-2</v>
      </c>
    </row>
    <row r="40" spans="1:9" x14ac:dyDescent="0.35">
      <c r="A40" s="8">
        <v>45454</v>
      </c>
      <c r="B40" t="s">
        <v>485</v>
      </c>
      <c r="C40" t="s">
        <v>10</v>
      </c>
      <c r="D40" s="1">
        <v>67736</v>
      </c>
      <c r="E40" s="1">
        <v>23417</v>
      </c>
      <c r="F40" s="2">
        <v>0.345709814574229</v>
      </c>
      <c r="G40" s="1">
        <v>268</v>
      </c>
      <c r="H40" s="2">
        <v>1.1444676944100399E-2</v>
      </c>
      <c r="I40" s="9">
        <v>3.9565371442069203E-3</v>
      </c>
    </row>
    <row r="41" spans="1:9" x14ac:dyDescent="0.35">
      <c r="A41" s="8">
        <v>45455</v>
      </c>
      <c r="B41" t="s">
        <v>486</v>
      </c>
      <c r="C41" t="s">
        <v>10</v>
      </c>
      <c r="D41" s="1">
        <v>52306</v>
      </c>
      <c r="E41" s="1">
        <v>24212</v>
      </c>
      <c r="F41" s="2">
        <v>0.46289144648797498</v>
      </c>
      <c r="G41" s="1">
        <v>272</v>
      </c>
      <c r="H41" s="2">
        <v>1.1234098793986499E-2</v>
      </c>
      <c r="I41" s="9">
        <v>5.2001682407371999E-3</v>
      </c>
    </row>
    <row r="42" spans="1:9" x14ac:dyDescent="0.35">
      <c r="A42" s="8">
        <v>45455</v>
      </c>
      <c r="B42" t="s">
        <v>487</v>
      </c>
      <c r="C42" t="s">
        <v>10</v>
      </c>
      <c r="D42" s="1">
        <v>269506</v>
      </c>
      <c r="E42" s="1">
        <v>87782</v>
      </c>
      <c r="F42" s="2">
        <v>0.32571445533680099</v>
      </c>
      <c r="G42" s="1">
        <v>877</v>
      </c>
      <c r="H42" s="2">
        <v>9.9906586771775496E-3</v>
      </c>
      <c r="I42" s="9">
        <v>3.2541019494927801E-3</v>
      </c>
    </row>
    <row r="43" spans="1:9" x14ac:dyDescent="0.35">
      <c r="A43" s="8">
        <v>45455</v>
      </c>
      <c r="B43" t="s">
        <v>488</v>
      </c>
      <c r="C43" t="s">
        <v>489</v>
      </c>
      <c r="D43" s="1">
        <v>2691432</v>
      </c>
      <c r="E43" s="1">
        <v>933784</v>
      </c>
      <c r="F43" s="2">
        <v>0.346946904101608</v>
      </c>
      <c r="G43" s="1">
        <v>5487</v>
      </c>
      <c r="H43" s="2">
        <v>5.8760912587921803E-3</v>
      </c>
      <c r="I43" s="9">
        <v>2.0386916704564699E-3</v>
      </c>
    </row>
    <row r="44" spans="1:9" x14ac:dyDescent="0.35">
      <c r="A44" s="8">
        <v>45456</v>
      </c>
      <c r="B44" t="s">
        <v>469</v>
      </c>
      <c r="C44" t="s">
        <v>14</v>
      </c>
      <c r="D44" s="1">
        <v>48794</v>
      </c>
      <c r="E44" s="1">
        <v>15121</v>
      </c>
      <c r="F44" s="2">
        <v>0.30989465917940701</v>
      </c>
      <c r="G44" s="1">
        <v>189</v>
      </c>
      <c r="H44" s="2">
        <v>1.24991733350969E-2</v>
      </c>
      <c r="I44" s="9">
        <v>3.87342706070418E-3</v>
      </c>
    </row>
    <row r="45" spans="1:9" ht="15" thickBot="1" x14ac:dyDescent="0.4">
      <c r="A45" s="12" t="s">
        <v>35</v>
      </c>
      <c r="B45" s="4"/>
      <c r="C45" s="4"/>
      <c r="D45" s="13">
        <f>SUM(D38:D44)</f>
        <v>3131573</v>
      </c>
      <c r="E45" s="13">
        <f>SUM(E38:E44)</f>
        <v>1085065</v>
      </c>
      <c r="F45" s="14">
        <f>AVERAGE(F38:F44)</f>
        <v>0.37080154241506857</v>
      </c>
      <c r="G45" s="13">
        <f>SUM(G38:G44)</f>
        <v>7130</v>
      </c>
      <c r="H45" s="14">
        <f>AVERAGE(H38:H44)</f>
        <v>2.2248541150563676E-2</v>
      </c>
      <c r="I45" s="15">
        <f>AVERAGE(I38:I44)</f>
        <v>8.5644459394305077E-3</v>
      </c>
    </row>
    <row r="46" spans="1:9" ht="3" customHeight="1" thickBot="1" x14ac:dyDescent="0.4">
      <c r="A46" s="139"/>
      <c r="B46" s="138"/>
      <c r="C46" s="138"/>
      <c r="D46" s="138"/>
      <c r="E46" s="138"/>
      <c r="F46" s="138"/>
      <c r="G46" s="138"/>
      <c r="H46" s="138"/>
      <c r="I46" s="140"/>
    </row>
    <row r="47" spans="1:9" x14ac:dyDescent="0.35">
      <c r="A47" s="16" t="s">
        <v>38</v>
      </c>
      <c r="B47" s="17"/>
      <c r="C47" s="17"/>
      <c r="D47" s="17"/>
      <c r="E47" s="17"/>
      <c r="F47" s="17"/>
      <c r="G47" s="17"/>
      <c r="H47" s="17"/>
      <c r="I47" s="18"/>
    </row>
    <row r="48" spans="1:9" x14ac:dyDescent="0.35">
      <c r="A48" s="8">
        <v>45456</v>
      </c>
      <c r="B48" t="s">
        <v>446</v>
      </c>
      <c r="C48" t="s">
        <v>253</v>
      </c>
      <c r="D48" s="1">
        <v>329327</v>
      </c>
      <c r="E48" s="1">
        <v>104426</v>
      </c>
      <c r="F48" s="3">
        <v>0.31709999999999999</v>
      </c>
      <c r="G48">
        <v>994</v>
      </c>
      <c r="H48" s="3">
        <v>9.4999999999999998E-3</v>
      </c>
      <c r="I48" s="11">
        <v>3.0000000000000001E-3</v>
      </c>
    </row>
    <row r="49" spans="1:13" x14ac:dyDescent="0.35">
      <c r="A49" s="8">
        <v>45456</v>
      </c>
      <c r="B49" t="s">
        <v>448</v>
      </c>
      <c r="C49" t="s">
        <v>255</v>
      </c>
      <c r="D49" s="1">
        <v>29024</v>
      </c>
      <c r="E49" s="1">
        <v>10081</v>
      </c>
      <c r="F49" s="3">
        <v>0.3473</v>
      </c>
      <c r="G49">
        <v>84</v>
      </c>
      <c r="H49" s="3">
        <v>8.3000000000000001E-3</v>
      </c>
      <c r="I49" s="11">
        <v>2.8999999999999998E-3</v>
      </c>
    </row>
    <row r="50" spans="1:13" x14ac:dyDescent="0.35">
      <c r="A50" s="8">
        <v>45456</v>
      </c>
      <c r="B50" t="s">
        <v>450</v>
      </c>
      <c r="C50" t="s">
        <v>253</v>
      </c>
      <c r="D50" s="1">
        <v>441072</v>
      </c>
      <c r="E50" s="1">
        <v>140434</v>
      </c>
      <c r="F50" s="3">
        <v>0.31840000000000002</v>
      </c>
      <c r="G50" s="1">
        <v>1215</v>
      </c>
      <c r="H50" s="3">
        <v>8.6999999999999994E-3</v>
      </c>
      <c r="I50" s="11">
        <v>2.8E-3</v>
      </c>
    </row>
    <row r="51" spans="1:13" x14ac:dyDescent="0.35">
      <c r="A51" s="8">
        <v>45456</v>
      </c>
      <c r="B51" t="s">
        <v>452</v>
      </c>
      <c r="C51" t="s">
        <v>255</v>
      </c>
      <c r="D51" s="1">
        <v>33128</v>
      </c>
      <c r="E51" s="1">
        <v>9489</v>
      </c>
      <c r="F51" s="3">
        <v>0.28639999999999999</v>
      </c>
      <c r="G51">
        <v>119</v>
      </c>
      <c r="H51" s="3">
        <v>1.2500000000000001E-2</v>
      </c>
      <c r="I51" s="11">
        <v>3.5999999999999999E-3</v>
      </c>
    </row>
    <row r="52" spans="1:13" x14ac:dyDescent="0.35">
      <c r="A52" s="8">
        <v>45456</v>
      </c>
      <c r="B52" t="s">
        <v>490</v>
      </c>
      <c r="C52" t="s">
        <v>400</v>
      </c>
      <c r="D52" s="1">
        <v>975875</v>
      </c>
      <c r="E52" s="1">
        <v>315518</v>
      </c>
      <c r="F52" s="3">
        <v>0.32329999999999998</v>
      </c>
      <c r="G52" s="1">
        <v>2059</v>
      </c>
      <c r="H52" s="3">
        <v>6.4999999999999997E-3</v>
      </c>
      <c r="I52" s="11">
        <v>2.0999999999999999E-3</v>
      </c>
    </row>
    <row r="53" spans="1:13" x14ac:dyDescent="0.35">
      <c r="A53" s="8">
        <v>45456</v>
      </c>
      <c r="B53" t="s">
        <v>491</v>
      </c>
      <c r="C53" t="s">
        <v>402</v>
      </c>
      <c r="D53" s="1">
        <v>50488</v>
      </c>
      <c r="E53" s="1">
        <v>15359</v>
      </c>
      <c r="F53" s="3">
        <v>0.30420000000000003</v>
      </c>
      <c r="G53">
        <v>136</v>
      </c>
      <c r="H53" s="3">
        <v>8.8999999999999999E-3</v>
      </c>
      <c r="I53" s="11">
        <v>2.7000000000000001E-3</v>
      </c>
    </row>
    <row r="54" spans="1:13" ht="15" thickBot="1" x14ac:dyDescent="0.4">
      <c r="A54" s="12" t="s">
        <v>35</v>
      </c>
      <c r="B54" s="4"/>
      <c r="C54" s="4"/>
      <c r="D54" s="13">
        <f>SUM(D48:D53)</f>
        <v>1858914</v>
      </c>
      <c r="E54" s="13">
        <f>SUM(E48:E53)</f>
        <v>595307</v>
      </c>
      <c r="F54" s="14">
        <f>AVERAGE(F48:F53)</f>
        <v>0.31611666666666666</v>
      </c>
      <c r="G54" s="13">
        <f>SUM(G48:G53)</f>
        <v>4607</v>
      </c>
      <c r="H54" s="14">
        <f>AVERAGE(H48:H53)</f>
        <v>9.0666666666666656E-3</v>
      </c>
      <c r="I54" s="15">
        <f>AVERAGE(I48:I53)</f>
        <v>2.8499999999999997E-3</v>
      </c>
    </row>
    <row r="59" spans="1:13" x14ac:dyDescent="0.35">
      <c r="F59" s="1"/>
      <c r="G59" s="1"/>
      <c r="H59" s="3"/>
      <c r="I59" s="1"/>
      <c r="J59" s="3"/>
      <c r="K59" s="1"/>
      <c r="L59" s="3"/>
      <c r="M59" s="3"/>
    </row>
    <row r="60" spans="1:13" x14ac:dyDescent="0.35">
      <c r="F60" s="1"/>
      <c r="G60" s="1"/>
      <c r="H60" s="3"/>
      <c r="I60" s="1"/>
      <c r="J60" s="3"/>
      <c r="K60" s="1"/>
      <c r="L60" s="3"/>
      <c r="M60" s="3"/>
    </row>
    <row r="61" spans="1:13" x14ac:dyDescent="0.35">
      <c r="F61" s="1"/>
      <c r="H61" s="3"/>
      <c r="I61" s="1"/>
      <c r="J61" s="3"/>
      <c r="L61" s="3"/>
      <c r="M61" s="3"/>
    </row>
    <row r="62" spans="1:13" x14ac:dyDescent="0.35">
      <c r="F62" s="1"/>
      <c r="H62" s="3"/>
      <c r="I62" s="1"/>
      <c r="J62" s="3"/>
      <c r="L62" s="3"/>
      <c r="M62" s="3"/>
    </row>
  </sheetData>
  <mergeCells count="3">
    <mergeCell ref="A24:I24"/>
    <mergeCell ref="A36:I36"/>
    <mergeCell ref="A46:I46"/>
  </mergeCells>
  <pageMargins left="0.7" right="0.7" top="0.75" bottom="0.75" header="0.3" footer="0.3"/>
  <ignoredErrors>
    <ignoredError sqref="F23:G23 F35:G35 F45:G45 F54" formula="1"/>
  </ignoredErrors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C34E-CD26-4DFB-886E-5CECA7593FC3}">
  <dimension ref="A1:M86"/>
  <sheetViews>
    <sheetView workbookViewId="0">
      <selection activeCell="B12" sqref="B12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45457</v>
      </c>
      <c r="B2" t="s">
        <v>492</v>
      </c>
      <c r="C2" t="s">
        <v>10</v>
      </c>
      <c r="D2" s="1">
        <v>406334</v>
      </c>
      <c r="E2" s="1">
        <v>135350</v>
      </c>
      <c r="F2" s="2">
        <v>0.33310035586488002</v>
      </c>
      <c r="G2" s="1">
        <v>2579</v>
      </c>
      <c r="H2" s="2">
        <v>1.90543036571851E-2</v>
      </c>
      <c r="I2" s="2">
        <v>6.3469953289658296E-3</v>
      </c>
    </row>
    <row r="3" spans="1:9" x14ac:dyDescent="0.35">
      <c r="A3" s="19">
        <v>45457</v>
      </c>
      <c r="B3" t="s">
        <v>493</v>
      </c>
      <c r="C3" t="s">
        <v>464</v>
      </c>
      <c r="D3" s="1">
        <v>2421659</v>
      </c>
      <c r="E3" s="1">
        <v>761631</v>
      </c>
      <c r="F3" s="2">
        <v>0.31450794682488298</v>
      </c>
      <c r="G3" s="1">
        <v>9219</v>
      </c>
      <c r="H3" s="2">
        <v>1.2104286721522599E-2</v>
      </c>
      <c r="I3" s="2">
        <v>3.8068943645657798E-3</v>
      </c>
    </row>
    <row r="4" spans="1:9" x14ac:dyDescent="0.35">
      <c r="A4" s="19">
        <v>45457</v>
      </c>
      <c r="B4" t="s">
        <v>493</v>
      </c>
      <c r="C4" t="s">
        <v>465</v>
      </c>
      <c r="D4" s="1">
        <v>2420304</v>
      </c>
      <c r="E4" s="1">
        <v>764659</v>
      </c>
      <c r="F4" s="2">
        <v>0.31593510567267602</v>
      </c>
      <c r="G4" s="1">
        <v>8778</v>
      </c>
      <c r="H4" s="2">
        <v>1.14796268663548E-2</v>
      </c>
      <c r="I4" s="2">
        <v>3.6268171271046901E-3</v>
      </c>
    </row>
    <row r="5" spans="1:9" x14ac:dyDescent="0.35">
      <c r="A5" s="19">
        <v>45457</v>
      </c>
      <c r="B5" t="s">
        <v>493</v>
      </c>
      <c r="C5" t="s">
        <v>466</v>
      </c>
      <c r="D5" s="1">
        <v>154304</v>
      </c>
      <c r="E5" s="1">
        <v>41128</v>
      </c>
      <c r="F5" s="2">
        <v>0.26653878058896702</v>
      </c>
      <c r="G5" s="1">
        <v>689</v>
      </c>
      <c r="H5" s="2">
        <v>1.6752577319587601E-2</v>
      </c>
      <c r="I5" s="2">
        <v>4.46521153048528E-3</v>
      </c>
    </row>
    <row r="6" spans="1:9" x14ac:dyDescent="0.35">
      <c r="A6" s="19">
        <v>45457</v>
      </c>
      <c r="B6" t="s">
        <v>493</v>
      </c>
      <c r="C6" t="s">
        <v>467</v>
      </c>
      <c r="D6" s="1">
        <v>155205</v>
      </c>
      <c r="E6" s="1">
        <v>41362</v>
      </c>
      <c r="F6" s="2">
        <v>0.26649914629039001</v>
      </c>
      <c r="G6" s="1">
        <v>637</v>
      </c>
      <c r="H6" s="2">
        <v>1.54006092548716E-2</v>
      </c>
      <c r="I6" s="2">
        <v>4.1042492187751698E-3</v>
      </c>
    </row>
    <row r="7" spans="1:9" x14ac:dyDescent="0.35">
      <c r="A7" s="19">
        <v>45457</v>
      </c>
      <c r="B7" t="s">
        <v>494</v>
      </c>
      <c r="C7" t="s">
        <v>84</v>
      </c>
      <c r="D7" s="1">
        <v>43812</v>
      </c>
      <c r="E7" s="1">
        <v>15491</v>
      </c>
      <c r="F7" s="2">
        <v>0.353578928147539</v>
      </c>
      <c r="G7" s="1">
        <v>256</v>
      </c>
      <c r="H7" s="2">
        <v>1.6525724614292199E-2</v>
      </c>
      <c r="I7" s="2">
        <v>5.8431479959828404E-3</v>
      </c>
    </row>
    <row r="8" spans="1:9" x14ac:dyDescent="0.35">
      <c r="A8" s="19">
        <v>45457</v>
      </c>
      <c r="B8" t="s">
        <v>494</v>
      </c>
      <c r="C8" t="s">
        <v>72</v>
      </c>
      <c r="D8" s="1">
        <v>837294</v>
      </c>
      <c r="E8" s="1">
        <v>299870</v>
      </c>
      <c r="F8" s="2">
        <v>0.35814182354107399</v>
      </c>
      <c r="G8" s="1">
        <v>3250</v>
      </c>
      <c r="H8" s="2">
        <v>1.08380298129189E-2</v>
      </c>
      <c r="I8" s="2">
        <v>3.8815517607913102E-3</v>
      </c>
    </row>
    <row r="9" spans="1:9" x14ac:dyDescent="0.35">
      <c r="A9" s="19">
        <v>45457</v>
      </c>
      <c r="B9" t="s">
        <v>494</v>
      </c>
      <c r="C9" t="s">
        <v>85</v>
      </c>
      <c r="D9" s="1">
        <v>2930</v>
      </c>
      <c r="E9" s="1">
        <v>1024</v>
      </c>
      <c r="F9" s="2">
        <v>0.34948805460750898</v>
      </c>
      <c r="G9" s="1">
        <v>17</v>
      </c>
      <c r="H9" s="2">
        <v>1.66015625E-2</v>
      </c>
      <c r="I9" s="2">
        <v>5.8020477815699696E-3</v>
      </c>
    </row>
    <row r="10" spans="1:9" x14ac:dyDescent="0.35">
      <c r="A10" s="19">
        <v>45457</v>
      </c>
      <c r="B10" t="s">
        <v>494</v>
      </c>
      <c r="C10" t="s">
        <v>73</v>
      </c>
      <c r="D10" s="1">
        <v>57390</v>
      </c>
      <c r="E10" s="1">
        <v>20622</v>
      </c>
      <c r="F10" s="2">
        <v>0.35933089388395201</v>
      </c>
      <c r="G10" s="1">
        <v>378</v>
      </c>
      <c r="H10" s="2">
        <v>1.83299389002037E-2</v>
      </c>
      <c r="I10" s="2">
        <v>6.5865133298484103E-3</v>
      </c>
    </row>
    <row r="11" spans="1:9" x14ac:dyDescent="0.35">
      <c r="A11" s="19">
        <v>45458</v>
      </c>
      <c r="B11" t="s">
        <v>495</v>
      </c>
      <c r="C11" t="s">
        <v>10</v>
      </c>
      <c r="D11" s="1">
        <v>1236392</v>
      </c>
      <c r="E11" s="1">
        <v>345038</v>
      </c>
      <c r="F11" s="2">
        <v>0.27906845078260001</v>
      </c>
      <c r="G11" s="1">
        <v>6056</v>
      </c>
      <c r="H11" s="2">
        <v>1.7551689958787101E-2</v>
      </c>
      <c r="I11" s="2">
        <v>4.8981229254152396E-3</v>
      </c>
    </row>
    <row r="12" spans="1:9" x14ac:dyDescent="0.35">
      <c r="A12" s="19">
        <v>45458</v>
      </c>
      <c r="B12" t="s">
        <v>495</v>
      </c>
      <c r="C12" t="s">
        <v>11</v>
      </c>
      <c r="D12" s="1">
        <v>92217</v>
      </c>
      <c r="E12" s="1">
        <v>23556</v>
      </c>
      <c r="F12" s="2">
        <v>0.25544097075376598</v>
      </c>
      <c r="G12" s="1">
        <v>589</v>
      </c>
      <c r="H12" s="2">
        <v>2.5004245202920699E-2</v>
      </c>
      <c r="I12" s="2">
        <v>6.38710866759925E-3</v>
      </c>
    </row>
    <row r="13" spans="1:9" x14ac:dyDescent="0.35">
      <c r="A13" s="19">
        <v>45458</v>
      </c>
      <c r="B13" t="s">
        <v>488</v>
      </c>
      <c r="C13" t="s">
        <v>496</v>
      </c>
      <c r="D13" s="1">
        <v>2682993</v>
      </c>
      <c r="E13" s="1">
        <v>959754</v>
      </c>
      <c r="F13" s="2">
        <v>0.35771766829059898</v>
      </c>
      <c r="G13" s="1">
        <v>6642</v>
      </c>
      <c r="H13" s="2">
        <v>6.9205233841171804E-3</v>
      </c>
      <c r="I13" s="2">
        <v>2.4755934883169701E-3</v>
      </c>
    </row>
    <row r="14" spans="1:9" x14ac:dyDescent="0.35">
      <c r="A14" s="19">
        <v>45460</v>
      </c>
      <c r="B14" t="s">
        <v>497</v>
      </c>
      <c r="C14" t="s">
        <v>10</v>
      </c>
      <c r="D14" s="1">
        <v>222212</v>
      </c>
      <c r="E14" s="1">
        <v>71386</v>
      </c>
      <c r="F14" s="2">
        <v>0.32125177758176898</v>
      </c>
      <c r="G14" s="1">
        <v>1397</v>
      </c>
      <c r="H14" s="2">
        <v>1.9569663519457599E-2</v>
      </c>
      <c r="I14" s="2">
        <v>6.28678919230285E-3</v>
      </c>
    </row>
    <row r="15" spans="1:9" x14ac:dyDescent="0.35">
      <c r="A15" s="19">
        <v>45461</v>
      </c>
      <c r="B15" t="s">
        <v>498</v>
      </c>
      <c r="C15" t="s">
        <v>10</v>
      </c>
      <c r="D15" s="1">
        <v>1855577</v>
      </c>
      <c r="E15" s="1">
        <v>588349</v>
      </c>
      <c r="F15" s="2">
        <v>0.31707064702785198</v>
      </c>
      <c r="G15" s="1">
        <v>5688</v>
      </c>
      <c r="H15" s="2">
        <v>9.6677312275537108E-3</v>
      </c>
      <c r="I15" s="2">
        <v>3.0653537956118202E-3</v>
      </c>
    </row>
    <row r="16" spans="1:9" x14ac:dyDescent="0.35">
      <c r="A16" s="19">
        <v>45461</v>
      </c>
      <c r="B16" t="s">
        <v>498</v>
      </c>
      <c r="C16" t="s">
        <v>11</v>
      </c>
      <c r="D16" s="1">
        <v>142613</v>
      </c>
      <c r="E16" s="1">
        <v>40123</v>
      </c>
      <c r="F16" s="2">
        <v>0.281341813158688</v>
      </c>
      <c r="G16" s="1">
        <v>611</v>
      </c>
      <c r="H16" s="2">
        <v>1.52281733668968E-2</v>
      </c>
      <c r="I16" s="2">
        <v>4.2843219061375901E-3</v>
      </c>
    </row>
    <row r="17" spans="1:9" x14ac:dyDescent="0.35">
      <c r="A17" s="19">
        <v>45461</v>
      </c>
      <c r="B17" t="s">
        <v>499</v>
      </c>
      <c r="C17" t="s">
        <v>10</v>
      </c>
      <c r="D17" s="1">
        <v>1359997</v>
      </c>
      <c r="E17" s="1">
        <v>470887</v>
      </c>
      <c r="F17" s="2">
        <v>0.34624120494383398</v>
      </c>
      <c r="G17" s="1">
        <v>6504</v>
      </c>
      <c r="H17" s="2">
        <v>1.3812230959869399E-2</v>
      </c>
      <c r="I17" s="2">
        <v>4.7823634905077E-3</v>
      </c>
    </row>
    <row r="18" spans="1:9" x14ac:dyDescent="0.35">
      <c r="A18" s="19">
        <v>45461</v>
      </c>
      <c r="B18" t="s">
        <v>499</v>
      </c>
      <c r="C18" t="s">
        <v>11</v>
      </c>
      <c r="D18" s="1">
        <v>95497</v>
      </c>
      <c r="E18" s="1">
        <v>32157</v>
      </c>
      <c r="F18" s="2">
        <v>0.336733091091867</v>
      </c>
      <c r="G18" s="1">
        <v>770</v>
      </c>
      <c r="H18" s="2">
        <v>2.39450197468669E-2</v>
      </c>
      <c r="I18" s="2">
        <v>8.0630805156182896E-3</v>
      </c>
    </row>
    <row r="19" spans="1:9" x14ac:dyDescent="0.35">
      <c r="A19" s="19">
        <v>45462</v>
      </c>
      <c r="B19" t="s">
        <v>500</v>
      </c>
      <c r="C19" t="s">
        <v>10</v>
      </c>
      <c r="D19" s="1">
        <v>366597</v>
      </c>
      <c r="E19" s="1">
        <v>138083</v>
      </c>
      <c r="F19" s="2">
        <v>0.37666156569748299</v>
      </c>
      <c r="G19" s="1">
        <v>1752</v>
      </c>
      <c r="H19" s="2">
        <v>1.2688020972893101E-2</v>
      </c>
      <c r="I19" s="2">
        <v>4.7790898452524204E-3</v>
      </c>
    </row>
    <row r="20" spans="1:9" x14ac:dyDescent="0.35">
      <c r="A20" s="19">
        <v>45462</v>
      </c>
      <c r="B20" t="s">
        <v>500</v>
      </c>
      <c r="C20" t="s">
        <v>11</v>
      </c>
      <c r="D20" s="1">
        <v>18065</v>
      </c>
      <c r="E20" s="1">
        <v>6705</v>
      </c>
      <c r="F20" s="2">
        <v>0.37115970107943502</v>
      </c>
      <c r="G20" s="1">
        <v>97</v>
      </c>
      <c r="H20" s="2">
        <v>1.4466815809097699E-2</v>
      </c>
      <c r="I20" s="2">
        <v>5.3694990312759504E-3</v>
      </c>
    </row>
    <row r="21" spans="1:9" x14ac:dyDescent="0.35">
      <c r="A21" s="19">
        <v>45462</v>
      </c>
      <c r="B21" t="s">
        <v>501</v>
      </c>
      <c r="C21" t="s">
        <v>10</v>
      </c>
      <c r="D21" s="1">
        <v>19170</v>
      </c>
      <c r="E21" s="1">
        <v>8073</v>
      </c>
      <c r="F21" s="2">
        <v>0.42112676056338</v>
      </c>
      <c r="G21" s="1">
        <v>153</v>
      </c>
      <c r="H21" s="2">
        <v>1.89520624303233E-2</v>
      </c>
      <c r="I21" s="2">
        <v>7.9812206572770009E-3</v>
      </c>
    </row>
    <row r="22" spans="1:9" x14ac:dyDescent="0.35">
      <c r="A22" s="19">
        <v>45462</v>
      </c>
      <c r="B22" t="s">
        <v>502</v>
      </c>
      <c r="C22" t="s">
        <v>503</v>
      </c>
      <c r="D22" s="1">
        <v>88593</v>
      </c>
      <c r="E22" s="1">
        <v>31762</v>
      </c>
      <c r="F22" s="2">
        <v>0.35851590983486298</v>
      </c>
      <c r="G22" s="1">
        <v>495</v>
      </c>
      <c r="H22" s="2">
        <v>1.55846609155595E-2</v>
      </c>
      <c r="I22" s="2">
        <v>5.5873488876096297E-3</v>
      </c>
    </row>
    <row r="23" spans="1:9" x14ac:dyDescent="0.35">
      <c r="A23" s="19">
        <v>45462</v>
      </c>
      <c r="B23" t="s">
        <v>502</v>
      </c>
      <c r="C23" t="s">
        <v>504</v>
      </c>
      <c r="D23" s="1">
        <v>4366</v>
      </c>
      <c r="E23" s="1">
        <v>1445</v>
      </c>
      <c r="F23" s="2">
        <v>0.33096655978011902</v>
      </c>
      <c r="G23" s="1">
        <v>25</v>
      </c>
      <c r="H23" s="2">
        <v>1.73010380622837E-2</v>
      </c>
      <c r="I23" s="2">
        <v>5.72606504809895E-3</v>
      </c>
    </row>
    <row r="24" spans="1:9" x14ac:dyDescent="0.35">
      <c r="A24" s="19">
        <v>45463</v>
      </c>
      <c r="B24" t="s">
        <v>505</v>
      </c>
      <c r="C24" t="s">
        <v>423</v>
      </c>
      <c r="D24" s="1">
        <v>1032470</v>
      </c>
      <c r="E24" s="1">
        <v>335333</v>
      </c>
      <c r="F24" s="3">
        <v>0.32479999999999998</v>
      </c>
      <c r="G24" s="1">
        <v>3349</v>
      </c>
      <c r="H24" s="3">
        <v>0.01</v>
      </c>
      <c r="I24" s="3">
        <v>3.2000000000000002E-3</v>
      </c>
    </row>
    <row r="25" spans="1:9" x14ac:dyDescent="0.35">
      <c r="A25" s="19">
        <v>45463</v>
      </c>
      <c r="B25" t="s">
        <v>506</v>
      </c>
      <c r="C25" t="s">
        <v>425</v>
      </c>
      <c r="D25" s="1">
        <v>75618</v>
      </c>
      <c r="E25" s="1">
        <v>21385</v>
      </c>
      <c r="F25" s="3">
        <v>0.2828</v>
      </c>
      <c r="G25">
        <v>329</v>
      </c>
      <c r="H25" s="3">
        <v>1.54E-2</v>
      </c>
      <c r="I25" s="3">
        <v>4.4000000000000003E-3</v>
      </c>
    </row>
    <row r="26" spans="1:9" x14ac:dyDescent="0.35">
      <c r="A26" s="19">
        <v>45463</v>
      </c>
      <c r="B26" t="s">
        <v>490</v>
      </c>
      <c r="C26" t="s">
        <v>234</v>
      </c>
      <c r="D26" s="1">
        <v>853597</v>
      </c>
      <c r="E26" s="1">
        <v>273263</v>
      </c>
      <c r="F26" s="3">
        <v>0.3201</v>
      </c>
      <c r="G26" s="1">
        <v>1737</v>
      </c>
      <c r="H26" s="3">
        <v>6.4000000000000003E-3</v>
      </c>
      <c r="I26" s="3">
        <v>2E-3</v>
      </c>
    </row>
    <row r="27" spans="1:9" x14ac:dyDescent="0.35">
      <c r="A27" s="19">
        <v>45463</v>
      </c>
      <c r="B27" t="s">
        <v>491</v>
      </c>
      <c r="C27" t="s">
        <v>235</v>
      </c>
      <c r="D27" s="1">
        <v>44882</v>
      </c>
      <c r="E27" s="1">
        <v>13099</v>
      </c>
      <c r="F27" s="3">
        <v>0.29189999999999999</v>
      </c>
      <c r="G27">
        <v>99</v>
      </c>
      <c r="H27" s="3">
        <v>7.6E-3</v>
      </c>
      <c r="I27" s="3">
        <v>2.2000000000000001E-3</v>
      </c>
    </row>
    <row r="28" spans="1:9" x14ac:dyDescent="0.35">
      <c r="A28" s="19">
        <v>45463</v>
      </c>
      <c r="B28" t="s">
        <v>507</v>
      </c>
      <c r="C28" t="s">
        <v>84</v>
      </c>
      <c r="D28" s="1">
        <v>7526</v>
      </c>
      <c r="E28" s="1">
        <v>2869</v>
      </c>
      <c r="F28" s="2">
        <v>0.38121179909646602</v>
      </c>
      <c r="G28" s="1">
        <v>79</v>
      </c>
      <c r="H28" s="2">
        <v>2.75357267340537E-2</v>
      </c>
      <c r="I28" s="2">
        <v>1.04969439277172E-2</v>
      </c>
    </row>
    <row r="29" spans="1:9" x14ac:dyDescent="0.35">
      <c r="A29" s="19">
        <v>45463</v>
      </c>
      <c r="B29" t="s">
        <v>507</v>
      </c>
      <c r="C29" t="s">
        <v>72</v>
      </c>
      <c r="D29" s="1">
        <v>140023</v>
      </c>
      <c r="E29" s="1">
        <v>55015</v>
      </c>
      <c r="F29" s="2">
        <v>0.392899737900202</v>
      </c>
      <c r="G29" s="1">
        <v>1409</v>
      </c>
      <c r="H29" s="2">
        <v>2.5611196946287398E-2</v>
      </c>
      <c r="I29" s="2">
        <v>1.00626325675068E-2</v>
      </c>
    </row>
    <row r="30" spans="1:9" x14ac:dyDescent="0.35">
      <c r="A30" s="19">
        <v>45463</v>
      </c>
      <c r="B30" t="s">
        <v>507</v>
      </c>
      <c r="C30" t="s">
        <v>85</v>
      </c>
      <c r="D30" s="1">
        <v>348</v>
      </c>
      <c r="E30" s="1">
        <v>157</v>
      </c>
      <c r="F30" s="2">
        <v>0.45114942528735602</v>
      </c>
      <c r="G30" s="1">
        <v>3</v>
      </c>
      <c r="H30" s="2">
        <v>1.9108280254777101E-2</v>
      </c>
      <c r="I30" s="2">
        <v>8.6206896551724102E-3</v>
      </c>
    </row>
    <row r="31" spans="1:9" x14ac:dyDescent="0.35">
      <c r="A31" s="19">
        <v>45463</v>
      </c>
      <c r="B31" t="s">
        <v>507</v>
      </c>
      <c r="C31" t="s">
        <v>73</v>
      </c>
      <c r="D31" s="1">
        <v>6601</v>
      </c>
      <c r="E31" s="1">
        <v>2785</v>
      </c>
      <c r="F31" s="2">
        <v>0.42190577185275002</v>
      </c>
      <c r="G31" s="1">
        <v>49</v>
      </c>
      <c r="H31" s="2">
        <v>1.7594254937163399E-2</v>
      </c>
      <c r="I31" s="2">
        <v>7.4231177094379597E-3</v>
      </c>
    </row>
    <row r="32" spans="1:9" x14ac:dyDescent="0.35">
      <c r="A32" s="19">
        <v>45463</v>
      </c>
      <c r="B32" t="s">
        <v>508</v>
      </c>
      <c r="C32" t="s">
        <v>10</v>
      </c>
      <c r="D32" s="1">
        <v>8735</v>
      </c>
      <c r="E32" s="1">
        <v>2777</v>
      </c>
      <c r="F32" s="2">
        <v>0.31791642816256399</v>
      </c>
      <c r="G32" s="1">
        <v>323</v>
      </c>
      <c r="H32" s="2">
        <v>0.11631256751890499</v>
      </c>
      <c r="I32" s="2">
        <v>3.69776760160275E-2</v>
      </c>
    </row>
    <row r="33" spans="1:9" x14ac:dyDescent="0.35">
      <c r="A33" s="19">
        <v>45463</v>
      </c>
      <c r="B33" t="s">
        <v>509</v>
      </c>
      <c r="C33" t="s">
        <v>10</v>
      </c>
      <c r="D33" s="1">
        <v>335940</v>
      </c>
      <c r="E33" s="1">
        <v>124738</v>
      </c>
      <c r="F33" s="2">
        <v>0.37131035303923299</v>
      </c>
      <c r="G33" s="1">
        <v>1759</v>
      </c>
      <c r="H33" s="2">
        <v>1.41015568631852E-2</v>
      </c>
      <c r="I33" s="2">
        <v>5.2360540572721301E-3</v>
      </c>
    </row>
    <row r="34" spans="1:9" x14ac:dyDescent="0.35">
      <c r="A34" s="19">
        <v>45463</v>
      </c>
      <c r="B34" t="s">
        <v>509</v>
      </c>
      <c r="C34" t="s">
        <v>11</v>
      </c>
      <c r="D34" s="1">
        <v>24967</v>
      </c>
      <c r="E34" s="1">
        <v>9081</v>
      </c>
      <c r="F34" s="2">
        <v>0.36372011054592102</v>
      </c>
      <c r="G34" s="1">
        <v>153</v>
      </c>
      <c r="H34" s="2">
        <v>1.68483647175421E-2</v>
      </c>
      <c r="I34" s="2">
        <v>6.1280890775824099E-3</v>
      </c>
    </row>
    <row r="35" spans="1:9" ht="16" thickBot="1" x14ac:dyDescent="0.4">
      <c r="A35" s="37" t="s">
        <v>35</v>
      </c>
      <c r="D35" s="31">
        <f>SUM(D2:D34)</f>
        <v>17214228</v>
      </c>
      <c r="E35" s="31">
        <f>SUM(E2:E34)</f>
        <v>5638957</v>
      </c>
      <c r="F35" s="32">
        <f>AVERAGE(F2:F34)</f>
        <v>0.33909487217856416</v>
      </c>
      <c r="G35" s="31">
        <f>SUM(G2:G34)</f>
        <v>65871</v>
      </c>
      <c r="H35" s="32">
        <f>AVERAGE(H2:H34)</f>
        <v>1.891789342955991E-2</v>
      </c>
      <c r="I35" s="32">
        <f>AVERAGE(I2:I34)</f>
        <v>6.3907451181766462E-3</v>
      </c>
    </row>
    <row r="36" spans="1:9" ht="15" thickBot="1" x14ac:dyDescent="0.4">
      <c r="A36" s="138" t="s">
        <v>302</v>
      </c>
      <c r="B36" s="138"/>
      <c r="C36" s="138"/>
      <c r="D36" s="138"/>
      <c r="E36" s="138"/>
      <c r="F36" s="138"/>
      <c r="G36" s="138"/>
      <c r="H36" s="138"/>
      <c r="I36" s="138"/>
    </row>
    <row r="37" spans="1:9" ht="15.5" x14ac:dyDescent="0.35">
      <c r="A37" s="38" t="s">
        <v>0</v>
      </c>
      <c r="B37" s="39" t="s">
        <v>1</v>
      </c>
      <c r="C37" s="39" t="s">
        <v>2</v>
      </c>
      <c r="D37" s="39" t="s">
        <v>3</v>
      </c>
      <c r="E37" s="39" t="s">
        <v>4</v>
      </c>
      <c r="F37" s="39" t="s">
        <v>5</v>
      </c>
      <c r="G37" s="39" t="s">
        <v>6</v>
      </c>
      <c r="H37" s="39" t="s">
        <v>7</v>
      </c>
      <c r="I37" s="40" t="s">
        <v>8</v>
      </c>
    </row>
    <row r="38" spans="1:9" x14ac:dyDescent="0.35">
      <c r="A38" s="5" t="s">
        <v>36</v>
      </c>
      <c r="B38" s="6"/>
      <c r="C38" s="6"/>
      <c r="D38" s="6"/>
      <c r="E38" s="6"/>
      <c r="F38" s="6"/>
      <c r="G38" s="6"/>
      <c r="H38" s="6"/>
      <c r="I38" s="7"/>
    </row>
    <row r="39" spans="1:9" x14ac:dyDescent="0.35">
      <c r="A39" s="8">
        <v>45457</v>
      </c>
      <c r="B39" t="s">
        <v>492</v>
      </c>
      <c r="C39" t="s">
        <v>10</v>
      </c>
      <c r="D39" s="1">
        <v>406334</v>
      </c>
      <c r="E39" s="1">
        <v>135350</v>
      </c>
      <c r="F39" s="2">
        <v>0.33310035586488002</v>
      </c>
      <c r="G39" s="1">
        <v>2579</v>
      </c>
      <c r="H39" s="2">
        <v>1.90543036571851E-2</v>
      </c>
      <c r="I39" s="9">
        <v>6.3469953289658296E-3</v>
      </c>
    </row>
    <row r="40" spans="1:9" x14ac:dyDescent="0.35">
      <c r="A40" s="8">
        <v>45457</v>
      </c>
      <c r="B40" t="s">
        <v>493</v>
      </c>
      <c r="C40" t="s">
        <v>464</v>
      </c>
      <c r="D40" s="1">
        <v>2421659</v>
      </c>
      <c r="E40" s="1">
        <v>761631</v>
      </c>
      <c r="F40" s="2">
        <v>0.31450794682488298</v>
      </c>
      <c r="G40" s="1">
        <v>9219</v>
      </c>
      <c r="H40" s="2">
        <v>1.2104286721522599E-2</v>
      </c>
      <c r="I40" s="9">
        <v>3.8068943645657798E-3</v>
      </c>
    </row>
    <row r="41" spans="1:9" x14ac:dyDescent="0.35">
      <c r="A41" s="8">
        <v>45457</v>
      </c>
      <c r="B41" t="s">
        <v>493</v>
      </c>
      <c r="C41" t="s">
        <v>465</v>
      </c>
      <c r="D41" s="1">
        <v>2420304</v>
      </c>
      <c r="E41" s="1">
        <v>764659</v>
      </c>
      <c r="F41" s="2">
        <v>0.31593510567267602</v>
      </c>
      <c r="G41" s="1">
        <v>8778</v>
      </c>
      <c r="H41" s="2">
        <v>1.14796268663548E-2</v>
      </c>
      <c r="I41" s="9">
        <v>3.6268171271046901E-3</v>
      </c>
    </row>
    <row r="42" spans="1:9" x14ac:dyDescent="0.35">
      <c r="A42" s="8">
        <v>45457</v>
      </c>
      <c r="B42" t="s">
        <v>493</v>
      </c>
      <c r="C42" t="s">
        <v>466</v>
      </c>
      <c r="D42" s="1">
        <v>154304</v>
      </c>
      <c r="E42" s="1">
        <v>41128</v>
      </c>
      <c r="F42" s="2">
        <v>0.26653878058896702</v>
      </c>
      <c r="G42" s="1">
        <v>689</v>
      </c>
      <c r="H42" s="2">
        <v>1.6752577319587601E-2</v>
      </c>
      <c r="I42" s="9">
        <v>4.46521153048528E-3</v>
      </c>
    </row>
    <row r="43" spans="1:9" x14ac:dyDescent="0.35">
      <c r="A43" s="8">
        <v>45457</v>
      </c>
      <c r="B43" t="s">
        <v>493</v>
      </c>
      <c r="C43" t="s">
        <v>467</v>
      </c>
      <c r="D43" s="1">
        <v>155205</v>
      </c>
      <c r="E43" s="1">
        <v>41362</v>
      </c>
      <c r="F43" s="2">
        <v>0.26649914629039001</v>
      </c>
      <c r="G43" s="1">
        <v>637</v>
      </c>
      <c r="H43" s="2">
        <v>1.54006092548716E-2</v>
      </c>
      <c r="I43" s="9">
        <v>4.1042492187751698E-3</v>
      </c>
    </row>
    <row r="44" spans="1:9" x14ac:dyDescent="0.35">
      <c r="A44" s="8">
        <v>45461</v>
      </c>
      <c r="B44" t="s">
        <v>499</v>
      </c>
      <c r="C44" t="s">
        <v>10</v>
      </c>
      <c r="D44" s="1">
        <v>1359997</v>
      </c>
      <c r="E44" s="1">
        <v>470887</v>
      </c>
      <c r="F44" s="2">
        <v>0.34624120494383398</v>
      </c>
      <c r="G44" s="1">
        <v>6504</v>
      </c>
      <c r="H44" s="2">
        <v>1.3812230959869399E-2</v>
      </c>
      <c r="I44" s="9">
        <v>4.7823634905077E-3</v>
      </c>
    </row>
    <row r="45" spans="1:9" x14ac:dyDescent="0.35">
      <c r="A45" s="8">
        <v>45461</v>
      </c>
      <c r="B45" t="s">
        <v>499</v>
      </c>
      <c r="C45" t="s">
        <v>11</v>
      </c>
      <c r="D45" s="1">
        <v>95497</v>
      </c>
      <c r="E45" s="1">
        <v>32157</v>
      </c>
      <c r="F45" s="2">
        <v>0.336733091091867</v>
      </c>
      <c r="G45" s="1">
        <v>770</v>
      </c>
      <c r="H45" s="2">
        <v>2.39450197468669E-2</v>
      </c>
      <c r="I45" s="9">
        <v>8.0630805156182896E-3</v>
      </c>
    </row>
    <row r="46" spans="1:9" ht="16" thickBot="1" x14ac:dyDescent="0.4">
      <c r="A46" s="36" t="s">
        <v>35</v>
      </c>
      <c r="B46" s="4"/>
      <c r="C46" s="4"/>
      <c r="D46" s="33">
        <f>SUM(D39:D45)</f>
        <v>7013300</v>
      </c>
      <c r="E46" s="33">
        <f>SUM(E39:E45)</f>
        <v>2247174</v>
      </c>
      <c r="F46" s="34">
        <f>AVERAGE(F39:F45)</f>
        <v>0.31136509018249958</v>
      </c>
      <c r="G46" s="33">
        <f>SUM(G39:G45)</f>
        <v>29176</v>
      </c>
      <c r="H46" s="34">
        <f>AVERAGE(H39:H45)</f>
        <v>1.607837921803686E-2</v>
      </c>
      <c r="I46" s="35">
        <f>AVERAGE(I39:I45)</f>
        <v>5.0279445108603908E-3</v>
      </c>
    </row>
    <row r="47" spans="1:9" ht="3" customHeight="1" thickBot="1" x14ac:dyDescent="0.4">
      <c r="A47" s="139"/>
      <c r="B47" s="138"/>
      <c r="C47" s="138"/>
      <c r="D47" s="138"/>
      <c r="E47" s="138"/>
      <c r="F47" s="138"/>
      <c r="G47" s="138"/>
      <c r="H47" s="138"/>
      <c r="I47" s="140"/>
    </row>
    <row r="48" spans="1:9" x14ac:dyDescent="0.35">
      <c r="A48" s="16" t="s">
        <v>37</v>
      </c>
      <c r="B48" s="17"/>
      <c r="C48" s="17"/>
      <c r="D48" s="17"/>
      <c r="E48" s="17"/>
      <c r="F48" s="17"/>
      <c r="G48" s="17"/>
      <c r="H48" s="17"/>
      <c r="I48" s="18"/>
    </row>
    <row r="49" spans="1:9" x14ac:dyDescent="0.35">
      <c r="A49" s="8">
        <v>45457</v>
      </c>
      <c r="B49" t="s">
        <v>494</v>
      </c>
      <c r="C49" t="s">
        <v>84</v>
      </c>
      <c r="D49" s="1">
        <v>43812</v>
      </c>
      <c r="E49" s="1">
        <v>15491</v>
      </c>
      <c r="F49" s="2">
        <v>0.353578928147539</v>
      </c>
      <c r="G49" s="1">
        <v>256</v>
      </c>
      <c r="H49" s="2">
        <v>1.6525724614292199E-2</v>
      </c>
      <c r="I49" s="9">
        <v>5.8431479959828404E-3</v>
      </c>
    </row>
    <row r="50" spans="1:9" x14ac:dyDescent="0.35">
      <c r="A50" s="8">
        <v>45457</v>
      </c>
      <c r="B50" t="s">
        <v>494</v>
      </c>
      <c r="C50" t="s">
        <v>72</v>
      </c>
      <c r="D50" s="1">
        <v>837294</v>
      </c>
      <c r="E50" s="1">
        <v>299870</v>
      </c>
      <c r="F50" s="2">
        <v>0.35814182354107399</v>
      </c>
      <c r="G50" s="1">
        <v>3250</v>
      </c>
      <c r="H50" s="2">
        <v>1.08380298129189E-2</v>
      </c>
      <c r="I50" s="9">
        <v>3.8815517607913102E-3</v>
      </c>
    </row>
    <row r="51" spans="1:9" x14ac:dyDescent="0.35">
      <c r="A51" s="8">
        <v>45457</v>
      </c>
      <c r="B51" t="s">
        <v>494</v>
      </c>
      <c r="C51" t="s">
        <v>85</v>
      </c>
      <c r="D51" s="1">
        <v>2930</v>
      </c>
      <c r="E51" s="1">
        <v>1024</v>
      </c>
      <c r="F51" s="2">
        <v>0.34948805460750898</v>
      </c>
      <c r="G51" s="1">
        <v>17</v>
      </c>
      <c r="H51" s="2">
        <v>1.66015625E-2</v>
      </c>
      <c r="I51" s="9">
        <v>5.8020477815699696E-3</v>
      </c>
    </row>
    <row r="52" spans="1:9" x14ac:dyDescent="0.35">
      <c r="A52" s="8">
        <v>45457</v>
      </c>
      <c r="B52" t="s">
        <v>494</v>
      </c>
      <c r="C52" t="s">
        <v>73</v>
      </c>
      <c r="D52" s="1">
        <v>57390</v>
      </c>
      <c r="E52" s="1">
        <v>20622</v>
      </c>
      <c r="F52" s="2">
        <v>0.35933089388395201</v>
      </c>
      <c r="G52" s="1">
        <v>378</v>
      </c>
      <c r="H52" s="2">
        <v>1.83299389002037E-2</v>
      </c>
      <c r="I52" s="9">
        <v>6.5865133298484103E-3</v>
      </c>
    </row>
    <row r="53" spans="1:9" x14ac:dyDescent="0.35">
      <c r="A53" s="8">
        <v>45458</v>
      </c>
      <c r="B53" t="s">
        <v>495</v>
      </c>
      <c r="C53" t="s">
        <v>10</v>
      </c>
      <c r="D53" s="1">
        <v>1236392</v>
      </c>
      <c r="E53" s="1">
        <v>345038</v>
      </c>
      <c r="F53" s="2">
        <v>0.27906845078260001</v>
      </c>
      <c r="G53" s="1">
        <v>6056</v>
      </c>
      <c r="H53" s="2">
        <v>1.7551689958787101E-2</v>
      </c>
      <c r="I53" s="9">
        <v>4.8981229254152396E-3</v>
      </c>
    </row>
    <row r="54" spans="1:9" x14ac:dyDescent="0.35">
      <c r="A54" s="8">
        <v>45458</v>
      </c>
      <c r="B54" t="s">
        <v>495</v>
      </c>
      <c r="C54" t="s">
        <v>11</v>
      </c>
      <c r="D54" s="1">
        <v>92217</v>
      </c>
      <c r="E54" s="1">
        <v>23556</v>
      </c>
      <c r="F54" s="2">
        <v>0.25544097075376598</v>
      </c>
      <c r="G54" s="1">
        <v>589</v>
      </c>
      <c r="H54" s="2">
        <v>2.5004245202920699E-2</v>
      </c>
      <c r="I54" s="9">
        <v>6.38710866759925E-3</v>
      </c>
    </row>
    <row r="55" spans="1:9" x14ac:dyDescent="0.35">
      <c r="A55" s="8">
        <v>45458</v>
      </c>
      <c r="B55" t="s">
        <v>488</v>
      </c>
      <c r="C55" t="s">
        <v>496</v>
      </c>
      <c r="D55" s="1">
        <v>2682993</v>
      </c>
      <c r="E55" s="1">
        <v>959754</v>
      </c>
      <c r="F55" s="2">
        <v>0.35771766829059898</v>
      </c>
      <c r="G55" s="1">
        <v>6642</v>
      </c>
      <c r="H55" s="2">
        <v>6.9205233841171804E-3</v>
      </c>
      <c r="I55" s="9">
        <v>2.4755934883169701E-3</v>
      </c>
    </row>
    <row r="56" spans="1:9" x14ac:dyDescent="0.35">
      <c r="A56" s="8">
        <v>45460</v>
      </c>
      <c r="B56" t="s">
        <v>497</v>
      </c>
      <c r="C56" t="s">
        <v>10</v>
      </c>
      <c r="D56" s="1">
        <v>222212</v>
      </c>
      <c r="E56" s="1">
        <v>71386</v>
      </c>
      <c r="F56" s="2">
        <v>0.32125177758176898</v>
      </c>
      <c r="G56" s="1">
        <v>1397</v>
      </c>
      <c r="H56" s="2">
        <v>1.9569663519457599E-2</v>
      </c>
      <c r="I56" s="9">
        <v>6.28678919230285E-3</v>
      </c>
    </row>
    <row r="57" spans="1:9" x14ac:dyDescent="0.35">
      <c r="A57" s="8">
        <v>45461</v>
      </c>
      <c r="B57" t="s">
        <v>498</v>
      </c>
      <c r="C57" t="s">
        <v>10</v>
      </c>
      <c r="D57" s="1">
        <v>1855577</v>
      </c>
      <c r="E57" s="1">
        <v>588349</v>
      </c>
      <c r="F57" s="2">
        <v>0.31707064702785198</v>
      </c>
      <c r="G57" s="1">
        <v>5688</v>
      </c>
      <c r="H57" s="2">
        <v>9.6677312275537108E-3</v>
      </c>
      <c r="I57" s="9">
        <v>3.0653537956118202E-3</v>
      </c>
    </row>
    <row r="58" spans="1:9" x14ac:dyDescent="0.35">
      <c r="A58" s="8">
        <v>45461</v>
      </c>
      <c r="B58" t="s">
        <v>498</v>
      </c>
      <c r="C58" t="s">
        <v>11</v>
      </c>
      <c r="D58" s="1">
        <v>142613</v>
      </c>
      <c r="E58" s="1">
        <v>40123</v>
      </c>
      <c r="F58" s="2">
        <v>0.281341813158688</v>
      </c>
      <c r="G58" s="1">
        <v>611</v>
      </c>
      <c r="H58" s="2">
        <v>1.52281733668968E-2</v>
      </c>
      <c r="I58" s="9">
        <v>4.2843219061375901E-3</v>
      </c>
    </row>
    <row r="59" spans="1:9" x14ac:dyDescent="0.35">
      <c r="A59" s="8">
        <v>45462</v>
      </c>
      <c r="B59" t="s">
        <v>500</v>
      </c>
      <c r="C59" t="s">
        <v>10</v>
      </c>
      <c r="D59" s="1">
        <v>366597</v>
      </c>
      <c r="E59" s="1">
        <v>138083</v>
      </c>
      <c r="F59" s="2">
        <v>0.37666156569748299</v>
      </c>
      <c r="G59" s="1">
        <v>1752</v>
      </c>
      <c r="H59" s="2">
        <v>1.2688020972893101E-2</v>
      </c>
      <c r="I59" s="9">
        <v>4.7790898452524204E-3</v>
      </c>
    </row>
    <row r="60" spans="1:9" x14ac:dyDescent="0.35">
      <c r="A60" s="8">
        <v>45462</v>
      </c>
      <c r="B60" t="s">
        <v>500</v>
      </c>
      <c r="C60" t="s">
        <v>11</v>
      </c>
      <c r="D60" s="1">
        <v>18065</v>
      </c>
      <c r="E60" s="1">
        <v>6705</v>
      </c>
      <c r="F60" s="2">
        <v>0.37115970107943502</v>
      </c>
      <c r="G60" s="1">
        <v>97</v>
      </c>
      <c r="H60" s="2">
        <v>1.4466815809097699E-2</v>
      </c>
      <c r="I60" s="9">
        <v>5.3694990312759504E-3</v>
      </c>
    </row>
    <row r="61" spans="1:9" x14ac:dyDescent="0.35">
      <c r="A61" s="8">
        <v>45462</v>
      </c>
      <c r="B61" t="s">
        <v>501</v>
      </c>
      <c r="C61" t="s">
        <v>10</v>
      </c>
      <c r="D61" s="1">
        <v>19170</v>
      </c>
      <c r="E61" s="1">
        <v>8073</v>
      </c>
      <c r="F61" s="2">
        <v>0.42112676056338</v>
      </c>
      <c r="G61" s="1">
        <v>153</v>
      </c>
      <c r="H61" s="2">
        <v>1.89520624303233E-2</v>
      </c>
      <c r="I61" s="9">
        <v>7.9812206572770009E-3</v>
      </c>
    </row>
    <row r="62" spans="1:9" x14ac:dyDescent="0.35">
      <c r="A62" s="8">
        <v>45462</v>
      </c>
      <c r="B62" t="s">
        <v>502</v>
      </c>
      <c r="C62" t="s">
        <v>503</v>
      </c>
      <c r="D62" s="1">
        <v>88593</v>
      </c>
      <c r="E62" s="1">
        <v>31762</v>
      </c>
      <c r="F62" s="2">
        <v>0.35851590983486298</v>
      </c>
      <c r="G62" s="1">
        <v>495</v>
      </c>
      <c r="H62" s="2">
        <v>1.55846609155595E-2</v>
      </c>
      <c r="I62" s="9">
        <v>5.5873488876096297E-3</v>
      </c>
    </row>
    <row r="63" spans="1:9" x14ac:dyDescent="0.35">
      <c r="A63" s="8">
        <v>45462</v>
      </c>
      <c r="B63" t="s">
        <v>502</v>
      </c>
      <c r="C63" t="s">
        <v>504</v>
      </c>
      <c r="D63" s="1">
        <v>4366</v>
      </c>
      <c r="E63" s="1">
        <v>1445</v>
      </c>
      <c r="F63" s="2">
        <v>0.33096655978011902</v>
      </c>
      <c r="G63" s="1">
        <v>25</v>
      </c>
      <c r="H63" s="2">
        <v>1.73010380622837E-2</v>
      </c>
      <c r="I63" s="9">
        <v>5.72606504809895E-3</v>
      </c>
    </row>
    <row r="64" spans="1:9" x14ac:dyDescent="0.35">
      <c r="A64" s="8">
        <v>45463</v>
      </c>
      <c r="B64" t="s">
        <v>507</v>
      </c>
      <c r="C64" t="s">
        <v>84</v>
      </c>
      <c r="D64" s="1">
        <v>7526</v>
      </c>
      <c r="E64" s="1">
        <v>2869</v>
      </c>
      <c r="F64" s="2">
        <v>0.38121179909646602</v>
      </c>
      <c r="G64" s="1">
        <v>79</v>
      </c>
      <c r="H64" s="2">
        <v>2.75357267340537E-2</v>
      </c>
      <c r="I64" s="9">
        <v>1.04969439277172E-2</v>
      </c>
    </row>
    <row r="65" spans="1:9" x14ac:dyDescent="0.35">
      <c r="A65" s="8">
        <v>45463</v>
      </c>
      <c r="B65" t="s">
        <v>507</v>
      </c>
      <c r="C65" t="s">
        <v>72</v>
      </c>
      <c r="D65" s="1">
        <v>140023</v>
      </c>
      <c r="E65" s="1">
        <v>55015</v>
      </c>
      <c r="F65" s="2">
        <v>0.392899737900202</v>
      </c>
      <c r="G65" s="1">
        <v>1409</v>
      </c>
      <c r="H65" s="2">
        <v>2.5611196946287398E-2</v>
      </c>
      <c r="I65" s="9">
        <v>1.00626325675068E-2</v>
      </c>
    </row>
    <row r="66" spans="1:9" x14ac:dyDescent="0.35">
      <c r="A66" s="8">
        <v>45463</v>
      </c>
      <c r="B66" t="s">
        <v>507</v>
      </c>
      <c r="C66" t="s">
        <v>85</v>
      </c>
      <c r="D66" s="1">
        <v>348</v>
      </c>
      <c r="E66" s="1">
        <v>157</v>
      </c>
      <c r="F66" s="2">
        <v>0.45114942528735602</v>
      </c>
      <c r="G66" s="1">
        <v>3</v>
      </c>
      <c r="H66" s="2">
        <v>1.9108280254777101E-2</v>
      </c>
      <c r="I66" s="9">
        <v>8.6206896551724102E-3</v>
      </c>
    </row>
    <row r="67" spans="1:9" x14ac:dyDescent="0.35">
      <c r="A67" s="8">
        <v>45463</v>
      </c>
      <c r="B67" t="s">
        <v>507</v>
      </c>
      <c r="C67" t="s">
        <v>73</v>
      </c>
      <c r="D67" s="1">
        <v>6601</v>
      </c>
      <c r="E67" s="1">
        <v>2785</v>
      </c>
      <c r="F67" s="2">
        <v>0.42190577185275002</v>
      </c>
      <c r="G67" s="1">
        <v>49</v>
      </c>
      <c r="H67" s="2">
        <v>1.7594254937163399E-2</v>
      </c>
      <c r="I67" s="9">
        <v>7.4231177094379597E-3</v>
      </c>
    </row>
    <row r="68" spans="1:9" x14ac:dyDescent="0.35">
      <c r="A68" s="8">
        <v>45463</v>
      </c>
      <c r="B68" t="s">
        <v>508</v>
      </c>
      <c r="C68" t="s">
        <v>10</v>
      </c>
      <c r="D68" s="1">
        <v>8735</v>
      </c>
      <c r="E68" s="1">
        <v>2777</v>
      </c>
      <c r="F68" s="2">
        <v>0.31791642816256399</v>
      </c>
      <c r="G68" s="1">
        <v>323</v>
      </c>
      <c r="H68" s="2">
        <v>0.11631256751890499</v>
      </c>
      <c r="I68" s="9">
        <v>3.69776760160275E-2</v>
      </c>
    </row>
    <row r="69" spans="1:9" x14ac:dyDescent="0.35">
      <c r="A69" s="8">
        <v>45463</v>
      </c>
      <c r="B69" t="s">
        <v>509</v>
      </c>
      <c r="C69" t="s">
        <v>10</v>
      </c>
      <c r="D69" s="1">
        <v>335940</v>
      </c>
      <c r="E69" s="1">
        <v>124738</v>
      </c>
      <c r="F69" s="2">
        <v>0.37131035303923299</v>
      </c>
      <c r="G69" s="1">
        <v>1759</v>
      </c>
      <c r="H69" s="2">
        <v>1.41015568631852E-2</v>
      </c>
      <c r="I69" s="9">
        <v>5.2360540572721301E-3</v>
      </c>
    </row>
    <row r="70" spans="1:9" x14ac:dyDescent="0.35">
      <c r="A70" s="8">
        <v>45463</v>
      </c>
      <c r="B70" t="s">
        <v>509</v>
      </c>
      <c r="C70" t="s">
        <v>11</v>
      </c>
      <c r="D70" s="1">
        <v>24967</v>
      </c>
      <c r="E70" s="1">
        <v>9081</v>
      </c>
      <c r="F70" s="2">
        <v>0.36372011054592102</v>
      </c>
      <c r="G70" s="1">
        <v>153</v>
      </c>
      <c r="H70" s="2">
        <v>1.68483647175421E-2</v>
      </c>
      <c r="I70" s="9">
        <v>6.1280890775824099E-3</v>
      </c>
    </row>
    <row r="71" spans="1:9" ht="16" thickBot="1" x14ac:dyDescent="0.4">
      <c r="A71" s="36" t="s">
        <v>35</v>
      </c>
      <c r="B71" s="4"/>
      <c r="C71" s="4"/>
      <c r="D71" s="33">
        <f>SUM(D49:D70)</f>
        <v>8194361</v>
      </c>
      <c r="E71" s="33">
        <f>SUM(E49:E70)</f>
        <v>2748703</v>
      </c>
      <c r="F71" s="34">
        <f>AVERAGE(F49:F70)</f>
        <v>0.3541352341188691</v>
      </c>
      <c r="G71" s="33">
        <f>SUM(G49:G70)</f>
        <v>31181</v>
      </c>
      <c r="H71" s="34">
        <f>AVERAGE(H49:H70)</f>
        <v>2.1470083120419047E-2</v>
      </c>
      <c r="I71" s="35">
        <f>AVERAGE(I49:I70)</f>
        <v>7.4499535147184819E-3</v>
      </c>
    </row>
    <row r="72" spans="1:9" ht="3" customHeight="1" thickBot="1" x14ac:dyDescent="0.4">
      <c r="A72" s="139"/>
      <c r="B72" s="138"/>
      <c r="C72" s="138"/>
      <c r="D72" s="138"/>
      <c r="E72" s="138"/>
      <c r="F72" s="138"/>
      <c r="G72" s="138"/>
      <c r="H72" s="138"/>
      <c r="I72" s="140"/>
    </row>
    <row r="73" spans="1:9" x14ac:dyDescent="0.35">
      <c r="A73" s="16" t="s">
        <v>38</v>
      </c>
      <c r="B73" s="17"/>
      <c r="C73" s="17"/>
      <c r="D73" s="17"/>
      <c r="E73" s="17"/>
      <c r="F73" s="17"/>
      <c r="G73" s="17"/>
      <c r="H73" s="17"/>
      <c r="I73" s="18"/>
    </row>
    <row r="74" spans="1:9" x14ac:dyDescent="0.35">
      <c r="A74" s="28">
        <v>45463</v>
      </c>
      <c r="B74" t="s">
        <v>505</v>
      </c>
      <c r="C74" t="s">
        <v>423</v>
      </c>
      <c r="D74" s="1">
        <v>1032470</v>
      </c>
      <c r="E74" s="1">
        <v>335333</v>
      </c>
      <c r="F74" s="3">
        <v>0.32479999999999998</v>
      </c>
      <c r="G74" s="1">
        <v>3349</v>
      </c>
      <c r="H74" s="3">
        <v>0.01</v>
      </c>
      <c r="I74" s="30">
        <v>3.2000000000000002E-3</v>
      </c>
    </row>
    <row r="75" spans="1:9" x14ac:dyDescent="0.35">
      <c r="A75" s="28">
        <v>45463</v>
      </c>
      <c r="B75" t="s">
        <v>506</v>
      </c>
      <c r="C75" t="s">
        <v>425</v>
      </c>
      <c r="D75" s="1">
        <v>75618</v>
      </c>
      <c r="E75" s="1">
        <v>21385</v>
      </c>
      <c r="F75" s="3">
        <v>0.2828</v>
      </c>
      <c r="G75">
        <v>329</v>
      </c>
      <c r="H75" s="3">
        <v>1.54E-2</v>
      </c>
      <c r="I75" s="30">
        <v>4.4000000000000003E-3</v>
      </c>
    </row>
    <row r="76" spans="1:9" x14ac:dyDescent="0.35">
      <c r="A76" s="28">
        <v>45463</v>
      </c>
      <c r="B76" t="s">
        <v>490</v>
      </c>
      <c r="C76" t="s">
        <v>234</v>
      </c>
      <c r="D76" s="1">
        <v>853597</v>
      </c>
      <c r="E76" s="1">
        <v>273263</v>
      </c>
      <c r="F76" s="3">
        <v>0.3201</v>
      </c>
      <c r="G76" s="1">
        <v>1737</v>
      </c>
      <c r="H76" s="3">
        <v>6.4000000000000003E-3</v>
      </c>
      <c r="I76" s="30">
        <v>2E-3</v>
      </c>
    </row>
    <row r="77" spans="1:9" x14ac:dyDescent="0.35">
      <c r="A77" s="28">
        <v>45463</v>
      </c>
      <c r="B77" t="s">
        <v>491</v>
      </c>
      <c r="C77" t="s">
        <v>235</v>
      </c>
      <c r="D77" s="1">
        <v>44882</v>
      </c>
      <c r="E77" s="1">
        <v>13099</v>
      </c>
      <c r="F77" s="3">
        <v>0.29189999999999999</v>
      </c>
      <c r="G77">
        <v>99</v>
      </c>
      <c r="H77" s="3">
        <v>7.6E-3</v>
      </c>
      <c r="I77" s="30">
        <v>2.2000000000000001E-3</v>
      </c>
    </row>
    <row r="78" spans="1:9" ht="16" thickBot="1" x14ac:dyDescent="0.4">
      <c r="A78" s="36" t="s">
        <v>35</v>
      </c>
      <c r="B78" s="4"/>
      <c r="C78" s="4"/>
      <c r="D78" s="33">
        <f>SUM(D74:D77)</f>
        <v>2006567</v>
      </c>
      <c r="E78" s="33">
        <f>SUM(E74:E77)</f>
        <v>643080</v>
      </c>
      <c r="F78" s="34">
        <f>AVERAGE(F74:F77)</f>
        <v>0.3049</v>
      </c>
      <c r="G78" s="33">
        <f>SUM(G74:G77)</f>
        <v>5514</v>
      </c>
      <c r="H78" s="34">
        <f>AVERAGE(H74:H77)</f>
        <v>9.8500000000000011E-3</v>
      </c>
      <c r="I78" s="35">
        <f>AVERAGE(I74:I77)</f>
        <v>2.9500000000000004E-3</v>
      </c>
    </row>
    <row r="83" spans="6:13" x14ac:dyDescent="0.35">
      <c r="F83" s="1"/>
      <c r="G83" s="1"/>
      <c r="H83" s="3"/>
      <c r="I83" s="1"/>
      <c r="J83" s="3"/>
      <c r="K83" s="1"/>
      <c r="L83" s="3"/>
      <c r="M83" s="3"/>
    </row>
    <row r="84" spans="6:13" x14ac:dyDescent="0.35">
      <c r="F84" s="1"/>
      <c r="G84" s="1"/>
      <c r="H84" s="3"/>
      <c r="I84" s="1"/>
      <c r="J84" s="3"/>
      <c r="K84" s="1"/>
      <c r="L84" s="3"/>
      <c r="M84" s="3"/>
    </row>
    <row r="85" spans="6:13" x14ac:dyDescent="0.35">
      <c r="F85" s="1"/>
      <c r="H85" s="3"/>
      <c r="I85" s="1"/>
      <c r="J85" s="3"/>
      <c r="L85" s="3"/>
      <c r="M85" s="3"/>
    </row>
    <row r="86" spans="6:13" x14ac:dyDescent="0.35">
      <c r="F86" s="1"/>
      <c r="H86" s="3"/>
      <c r="I86" s="1"/>
      <c r="J86" s="3"/>
      <c r="L86" s="3"/>
      <c r="M86" s="3"/>
    </row>
  </sheetData>
  <mergeCells count="3">
    <mergeCell ref="A36:I36"/>
    <mergeCell ref="A47:I47"/>
    <mergeCell ref="A72:I72"/>
  </mergeCells>
  <pageMargins left="0.7" right="0.7" top="0.75" bottom="0.75" header="0.3" footer="0.3"/>
  <ignoredErrors>
    <ignoredError sqref="F35:G35 F46:G46 F71:G71 F78" formula="1"/>
  </ignoredErrors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8858-F3B7-4BB2-8C95-94E0B75A83E4}">
  <dimension ref="A1:M82"/>
  <sheetViews>
    <sheetView workbookViewId="0">
      <selection activeCell="M27" sqref="M27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45464</v>
      </c>
      <c r="B2" t="s">
        <v>510</v>
      </c>
      <c r="C2" t="s">
        <v>10</v>
      </c>
      <c r="D2" s="1">
        <v>403219</v>
      </c>
      <c r="E2" s="1">
        <v>143773</v>
      </c>
      <c r="F2" s="2">
        <v>0.35656305878443201</v>
      </c>
      <c r="G2" s="1">
        <v>2851</v>
      </c>
      <c r="H2" s="2">
        <v>1.9829870698948999E-2</v>
      </c>
      <c r="I2" s="2">
        <v>7.0705993517170603E-3</v>
      </c>
    </row>
    <row r="3" spans="1:9" x14ac:dyDescent="0.35">
      <c r="A3" s="19">
        <v>45464</v>
      </c>
      <c r="B3" t="s">
        <v>510</v>
      </c>
      <c r="C3" t="s">
        <v>11</v>
      </c>
      <c r="D3" s="1">
        <v>21940</v>
      </c>
      <c r="E3" s="1">
        <v>7483</v>
      </c>
      <c r="F3" s="2">
        <v>0.341066545123063</v>
      </c>
      <c r="G3" s="1">
        <v>278</v>
      </c>
      <c r="H3" s="2">
        <v>3.7150875317386103E-2</v>
      </c>
      <c r="I3" s="2">
        <v>1.26709206927985E-2</v>
      </c>
    </row>
    <row r="4" spans="1:9" x14ac:dyDescent="0.35">
      <c r="A4" s="19">
        <v>45464</v>
      </c>
      <c r="B4" t="s">
        <v>511</v>
      </c>
      <c r="C4" t="s">
        <v>10</v>
      </c>
      <c r="D4" s="1">
        <v>4828903</v>
      </c>
      <c r="E4" s="1">
        <v>1575490</v>
      </c>
      <c r="F4" s="2">
        <v>0.32626250724025702</v>
      </c>
      <c r="G4" s="1">
        <v>20235</v>
      </c>
      <c r="H4" s="2">
        <v>1.2843623253717899E-2</v>
      </c>
      <c r="I4" s="2">
        <v>4.19039272480727E-3</v>
      </c>
    </row>
    <row r="5" spans="1:9" x14ac:dyDescent="0.35">
      <c r="A5" s="19">
        <v>45464</v>
      </c>
      <c r="B5" t="s">
        <v>511</v>
      </c>
      <c r="C5" t="s">
        <v>11</v>
      </c>
      <c r="D5" s="1">
        <v>308989</v>
      </c>
      <c r="E5" s="1">
        <v>90099</v>
      </c>
      <c r="F5" s="2">
        <v>0.291592904601782</v>
      </c>
      <c r="G5" s="1">
        <v>2448</v>
      </c>
      <c r="H5" s="2">
        <v>2.7170112875836601E-2</v>
      </c>
      <c r="I5" s="2">
        <v>7.9226121318234592E-3</v>
      </c>
    </row>
    <row r="6" spans="1:9" x14ac:dyDescent="0.35">
      <c r="A6" s="19">
        <v>45464</v>
      </c>
      <c r="B6" t="s">
        <v>512</v>
      </c>
      <c r="C6" t="s">
        <v>10</v>
      </c>
      <c r="D6" s="1">
        <v>775363</v>
      </c>
      <c r="E6" s="1">
        <v>296051</v>
      </c>
      <c r="F6" s="2">
        <v>0.38182244961392298</v>
      </c>
      <c r="G6" s="1">
        <v>2885</v>
      </c>
      <c r="H6" s="2">
        <v>9.7449425943502994E-3</v>
      </c>
      <c r="I6" s="2">
        <v>3.7208378527218899E-3</v>
      </c>
    </row>
    <row r="7" spans="1:9" x14ac:dyDescent="0.35">
      <c r="A7" s="19">
        <v>45464</v>
      </c>
      <c r="B7" t="s">
        <v>512</v>
      </c>
      <c r="C7" t="s">
        <v>11</v>
      </c>
      <c r="D7" s="1">
        <v>22486</v>
      </c>
      <c r="E7" s="1">
        <v>9219</v>
      </c>
      <c r="F7" s="2">
        <v>0.40998843724984402</v>
      </c>
      <c r="G7" s="1">
        <v>94</v>
      </c>
      <c r="H7" s="2">
        <v>1.01963336587482E-2</v>
      </c>
      <c r="I7" s="2">
        <v>4.1803789024281801E-3</v>
      </c>
    </row>
    <row r="8" spans="1:9" x14ac:dyDescent="0.35">
      <c r="A8" s="19">
        <v>45467</v>
      </c>
      <c r="B8" t="s">
        <v>513</v>
      </c>
      <c r="C8" t="s">
        <v>10</v>
      </c>
      <c r="D8" s="1">
        <v>588094</v>
      </c>
      <c r="E8" s="1">
        <v>221502</v>
      </c>
      <c r="F8" s="2">
        <v>0.37664386985754</v>
      </c>
      <c r="G8" s="1">
        <v>4154</v>
      </c>
      <c r="H8" s="2">
        <v>1.87537810042347E-2</v>
      </c>
      <c r="I8" s="2">
        <v>7.0634966518957898E-3</v>
      </c>
    </row>
    <row r="9" spans="1:9" x14ac:dyDescent="0.35">
      <c r="A9" s="19">
        <v>45467</v>
      </c>
      <c r="B9" t="s">
        <v>513</v>
      </c>
      <c r="C9" t="s">
        <v>11</v>
      </c>
      <c r="D9" s="1">
        <v>1484</v>
      </c>
      <c r="E9" s="1">
        <v>616</v>
      </c>
      <c r="F9" s="2">
        <v>0.41509433962264197</v>
      </c>
      <c r="G9" s="1">
        <v>5</v>
      </c>
      <c r="H9" s="2">
        <v>8.1168831168831196E-3</v>
      </c>
      <c r="I9" s="2">
        <v>3.36927223719677E-3</v>
      </c>
    </row>
    <row r="10" spans="1:9" x14ac:dyDescent="0.35">
      <c r="A10" s="19">
        <v>45467</v>
      </c>
      <c r="B10" t="s">
        <v>469</v>
      </c>
      <c r="C10" t="s">
        <v>514</v>
      </c>
      <c r="D10" s="1">
        <v>48562</v>
      </c>
      <c r="E10" s="1">
        <v>16125</v>
      </c>
      <c r="F10" s="2">
        <v>0.33204975083398502</v>
      </c>
      <c r="G10" s="1">
        <v>201</v>
      </c>
      <c r="H10" s="2">
        <v>1.24651162790698E-2</v>
      </c>
      <c r="I10" s="2">
        <v>4.1390387545817697E-3</v>
      </c>
    </row>
    <row r="11" spans="1:9" x14ac:dyDescent="0.35">
      <c r="A11" s="19">
        <v>45468</v>
      </c>
      <c r="B11" t="s">
        <v>515</v>
      </c>
      <c r="C11" t="s">
        <v>10</v>
      </c>
      <c r="D11" s="1">
        <v>1356676</v>
      </c>
      <c r="E11" s="1">
        <v>480281</v>
      </c>
      <c r="F11" s="2">
        <v>0.35401304364490899</v>
      </c>
      <c r="G11" s="1">
        <v>8476</v>
      </c>
      <c r="H11" s="2">
        <v>1.7648001898888401E-2</v>
      </c>
      <c r="I11" s="2">
        <v>6.2476228664765897E-3</v>
      </c>
    </row>
    <row r="12" spans="1:9" x14ac:dyDescent="0.35">
      <c r="A12" s="19">
        <v>45468</v>
      </c>
      <c r="B12" t="s">
        <v>515</v>
      </c>
      <c r="C12" t="s">
        <v>11</v>
      </c>
      <c r="D12" s="1">
        <v>95013</v>
      </c>
      <c r="E12" s="1">
        <v>32819</v>
      </c>
      <c r="F12" s="2">
        <v>0.34541589045709498</v>
      </c>
      <c r="G12" s="1">
        <v>1033</v>
      </c>
      <c r="H12" s="2">
        <v>3.14756695816448E-2</v>
      </c>
      <c r="I12" s="2">
        <v>1.08721964362771E-2</v>
      </c>
    </row>
    <row r="13" spans="1:9" x14ac:dyDescent="0.35">
      <c r="A13" s="19">
        <v>45469</v>
      </c>
      <c r="B13" t="s">
        <v>516</v>
      </c>
      <c r="C13" t="s">
        <v>10</v>
      </c>
      <c r="D13" s="1">
        <v>312094</v>
      </c>
      <c r="E13" s="1">
        <v>114756</v>
      </c>
      <c r="F13" s="2">
        <v>0.36769691182784697</v>
      </c>
      <c r="G13" s="1">
        <v>1379</v>
      </c>
      <c r="H13" s="2">
        <v>1.20168008644428E-2</v>
      </c>
      <c r="I13" s="2">
        <v>4.4185405679058199E-3</v>
      </c>
    </row>
    <row r="14" spans="1:9" x14ac:dyDescent="0.35">
      <c r="A14" s="19">
        <v>45469</v>
      </c>
      <c r="B14" t="s">
        <v>516</v>
      </c>
      <c r="C14" t="s">
        <v>11</v>
      </c>
      <c r="D14" s="1">
        <v>82</v>
      </c>
      <c r="E14" s="1">
        <v>28</v>
      </c>
      <c r="F14" s="2">
        <v>0.34146341463414598</v>
      </c>
      <c r="G14" s="1">
        <v>2</v>
      </c>
      <c r="H14" s="2">
        <v>7.1428571428571397E-2</v>
      </c>
      <c r="I14" s="2">
        <v>2.4390243902439001E-2</v>
      </c>
    </row>
    <row r="15" spans="1:9" x14ac:dyDescent="0.35">
      <c r="A15" s="19">
        <v>45469</v>
      </c>
      <c r="B15" t="s">
        <v>517</v>
      </c>
      <c r="C15" t="s">
        <v>392</v>
      </c>
      <c r="D15" s="1">
        <v>795303</v>
      </c>
      <c r="E15" s="1">
        <v>302761</v>
      </c>
      <c r="F15" s="2">
        <v>0.38068635476038698</v>
      </c>
      <c r="G15" s="1">
        <v>4882</v>
      </c>
      <c r="H15" s="2">
        <v>1.6124930225491399E-2</v>
      </c>
      <c r="I15" s="2">
        <v>6.1385409083078999E-3</v>
      </c>
    </row>
    <row r="16" spans="1:9" x14ac:dyDescent="0.35">
      <c r="A16" s="19">
        <v>45469</v>
      </c>
      <c r="B16" t="s">
        <v>517</v>
      </c>
      <c r="C16" t="s">
        <v>393</v>
      </c>
      <c r="D16" s="1">
        <v>4433750</v>
      </c>
      <c r="E16" s="1">
        <v>1432808</v>
      </c>
      <c r="F16" s="2">
        <v>0.323159402311813</v>
      </c>
      <c r="G16" s="1">
        <v>15918</v>
      </c>
      <c r="H16" s="2">
        <v>1.11096532124332E-2</v>
      </c>
      <c r="I16" s="2">
        <v>3.59018889202143E-3</v>
      </c>
    </row>
    <row r="17" spans="1:9" x14ac:dyDescent="0.35">
      <c r="A17" s="19">
        <v>45469</v>
      </c>
      <c r="B17" t="s">
        <v>517</v>
      </c>
      <c r="C17" t="s">
        <v>394</v>
      </c>
      <c r="D17" s="1">
        <v>1146781</v>
      </c>
      <c r="E17" s="1">
        <v>402737</v>
      </c>
      <c r="F17" s="2">
        <v>0.35118911108572598</v>
      </c>
      <c r="G17" s="1">
        <v>5265</v>
      </c>
      <c r="H17" s="2">
        <v>1.3073047671309099E-2</v>
      </c>
      <c r="I17" s="2">
        <v>4.5911119908683502E-3</v>
      </c>
    </row>
    <row r="18" spans="1:9" x14ac:dyDescent="0.35">
      <c r="A18" s="19">
        <v>45469</v>
      </c>
      <c r="B18" t="s">
        <v>517</v>
      </c>
      <c r="C18" t="s">
        <v>395</v>
      </c>
      <c r="D18" s="1">
        <v>71789</v>
      </c>
      <c r="E18" s="1">
        <v>27843</v>
      </c>
      <c r="F18" s="2">
        <v>0.387844934460711</v>
      </c>
      <c r="G18" s="1">
        <v>507</v>
      </c>
      <c r="H18" s="2">
        <v>1.8209244693459799E-2</v>
      </c>
      <c r="I18" s="2">
        <v>7.0623633147139497E-3</v>
      </c>
    </row>
    <row r="19" spans="1:9" x14ac:dyDescent="0.35">
      <c r="A19" s="19">
        <v>45469</v>
      </c>
      <c r="B19" t="s">
        <v>517</v>
      </c>
      <c r="C19" t="s">
        <v>396</v>
      </c>
      <c r="D19" s="1">
        <v>8789</v>
      </c>
      <c r="E19" s="1">
        <v>4172</v>
      </c>
      <c r="F19" s="2">
        <v>0.47468426442143602</v>
      </c>
      <c r="G19" s="1">
        <v>111</v>
      </c>
      <c r="H19" s="2">
        <v>2.66059443911793E-2</v>
      </c>
      <c r="I19" s="2">
        <v>1.26294231425646E-2</v>
      </c>
    </row>
    <row r="20" spans="1:9" x14ac:dyDescent="0.35">
      <c r="A20" s="19">
        <v>45469</v>
      </c>
      <c r="B20" t="s">
        <v>518</v>
      </c>
      <c r="C20" t="s">
        <v>10</v>
      </c>
      <c r="D20" s="1">
        <v>141358</v>
      </c>
      <c r="E20" s="1">
        <v>46486</v>
      </c>
      <c r="F20" s="2">
        <v>0.32885298320576101</v>
      </c>
      <c r="G20" s="1">
        <v>404</v>
      </c>
      <c r="H20" s="2">
        <v>8.6907886245321201E-3</v>
      </c>
      <c r="I20" s="2">
        <v>2.8579917655880802E-3</v>
      </c>
    </row>
    <row r="21" spans="1:9" x14ac:dyDescent="0.35">
      <c r="A21" s="19">
        <v>45469</v>
      </c>
      <c r="B21" t="s">
        <v>519</v>
      </c>
      <c r="C21" t="s">
        <v>10</v>
      </c>
      <c r="D21" s="1">
        <v>639343</v>
      </c>
      <c r="E21" s="1">
        <v>227038</v>
      </c>
      <c r="F21" s="2">
        <v>0.35511141906613503</v>
      </c>
      <c r="G21" s="1">
        <v>2058</v>
      </c>
      <c r="H21" s="2">
        <v>9.0645618795091604E-3</v>
      </c>
      <c r="I21" s="2">
        <v>3.2189294322452901E-3</v>
      </c>
    </row>
    <row r="22" spans="1:9" x14ac:dyDescent="0.35">
      <c r="A22" s="19">
        <v>45469</v>
      </c>
      <c r="B22" t="s">
        <v>519</v>
      </c>
      <c r="C22" t="s">
        <v>11</v>
      </c>
      <c r="D22" s="1">
        <v>41922</v>
      </c>
      <c r="E22" s="1">
        <v>13862</v>
      </c>
      <c r="F22" s="2">
        <v>0.33066170507132298</v>
      </c>
      <c r="G22" s="1">
        <v>190</v>
      </c>
      <c r="H22" s="2">
        <v>1.3706535853412199E-2</v>
      </c>
      <c r="I22" s="2">
        <v>4.5322265159105004E-3</v>
      </c>
    </row>
    <row r="23" spans="1:9" x14ac:dyDescent="0.35">
      <c r="A23" s="19">
        <v>45469</v>
      </c>
      <c r="B23" t="s">
        <v>520</v>
      </c>
      <c r="C23" t="s">
        <v>14</v>
      </c>
      <c r="D23" s="1">
        <v>84221</v>
      </c>
      <c r="E23" s="1">
        <v>30114</v>
      </c>
      <c r="F23" s="2">
        <v>0.35755927856472902</v>
      </c>
      <c r="G23" s="1">
        <v>400</v>
      </c>
      <c r="H23" s="2">
        <v>1.3282858471142999E-2</v>
      </c>
      <c r="I23" s="2">
        <v>4.7494092922192796E-3</v>
      </c>
    </row>
    <row r="24" spans="1:9" x14ac:dyDescent="0.35">
      <c r="A24" s="19">
        <v>45469</v>
      </c>
      <c r="B24" t="s">
        <v>520</v>
      </c>
      <c r="C24" t="s">
        <v>274</v>
      </c>
      <c r="D24" s="1">
        <v>4160</v>
      </c>
      <c r="E24" s="1">
        <v>1453</v>
      </c>
      <c r="F24" s="2">
        <v>0.34927884615384602</v>
      </c>
      <c r="G24" s="1">
        <v>23</v>
      </c>
      <c r="H24" s="2">
        <v>1.58293186510668E-2</v>
      </c>
      <c r="I24" s="2">
        <v>5.5288461538461498E-3</v>
      </c>
    </row>
    <row r="25" spans="1:9" x14ac:dyDescent="0.35">
      <c r="A25" s="19">
        <v>45470</v>
      </c>
      <c r="B25" t="s">
        <v>505</v>
      </c>
      <c r="C25" t="s">
        <v>234</v>
      </c>
      <c r="D25" s="1">
        <v>938029</v>
      </c>
      <c r="E25" s="1">
        <v>298505</v>
      </c>
      <c r="F25" s="3">
        <v>0.31819999999999998</v>
      </c>
      <c r="G25" s="1">
        <v>2993</v>
      </c>
      <c r="H25" s="3">
        <v>0.01</v>
      </c>
      <c r="I25" s="3">
        <v>3.2000000000000002E-3</v>
      </c>
    </row>
    <row r="26" spans="1:9" x14ac:dyDescent="0.35">
      <c r="A26" s="19">
        <v>45470</v>
      </c>
      <c r="B26" t="s">
        <v>506</v>
      </c>
      <c r="C26" t="s">
        <v>235</v>
      </c>
      <c r="D26" s="1">
        <v>69289</v>
      </c>
      <c r="E26" s="1">
        <v>19295</v>
      </c>
      <c r="F26" s="3">
        <v>0.27850000000000003</v>
      </c>
      <c r="G26">
        <v>308</v>
      </c>
      <c r="H26" s="3">
        <v>1.6E-2</v>
      </c>
      <c r="I26" s="3">
        <v>4.4000000000000003E-3</v>
      </c>
    </row>
    <row r="27" spans="1:9" x14ac:dyDescent="0.35">
      <c r="A27" s="19">
        <v>45470</v>
      </c>
      <c r="B27" t="s">
        <v>490</v>
      </c>
      <c r="C27" t="s">
        <v>253</v>
      </c>
      <c r="D27" s="1">
        <v>845980</v>
      </c>
      <c r="E27" s="1">
        <v>277392</v>
      </c>
      <c r="F27" s="3">
        <v>0.32790000000000002</v>
      </c>
      <c r="G27" s="1">
        <v>2097</v>
      </c>
      <c r="H27" s="3">
        <v>7.6E-3</v>
      </c>
      <c r="I27" s="3">
        <v>2.5000000000000001E-3</v>
      </c>
    </row>
    <row r="28" spans="1:9" x14ac:dyDescent="0.35">
      <c r="A28" s="19">
        <v>45470</v>
      </c>
      <c r="B28" t="s">
        <v>491</v>
      </c>
      <c r="C28" t="s">
        <v>255</v>
      </c>
      <c r="D28" s="1">
        <v>44271</v>
      </c>
      <c r="E28" s="1">
        <v>13527</v>
      </c>
      <c r="F28" s="3">
        <v>0.30549999999999999</v>
      </c>
      <c r="G28">
        <v>163</v>
      </c>
      <c r="H28" s="3">
        <v>1.2E-2</v>
      </c>
      <c r="I28" s="3">
        <v>3.7000000000000002E-3</v>
      </c>
    </row>
    <row r="29" spans="1:9" x14ac:dyDescent="0.35">
      <c r="A29" s="19">
        <v>45470</v>
      </c>
      <c r="B29" t="s">
        <v>521</v>
      </c>
      <c r="C29" t="s">
        <v>458</v>
      </c>
      <c r="D29" s="1">
        <v>349078</v>
      </c>
      <c r="E29" s="1">
        <v>105465</v>
      </c>
      <c r="F29" s="2">
        <v>0.30212445356052198</v>
      </c>
      <c r="G29" s="1">
        <v>1016</v>
      </c>
      <c r="H29" s="2">
        <v>9.6335277106148996E-3</v>
      </c>
      <c r="I29" s="2">
        <v>2.9105242954296701E-3</v>
      </c>
    </row>
    <row r="30" spans="1:9" x14ac:dyDescent="0.35">
      <c r="A30" s="19">
        <v>45470</v>
      </c>
      <c r="B30" t="s">
        <v>521</v>
      </c>
      <c r="C30" t="s">
        <v>74</v>
      </c>
      <c r="D30" s="1">
        <v>18412</v>
      </c>
      <c r="E30" s="1">
        <v>5495</v>
      </c>
      <c r="F30" s="2">
        <v>0.29844666521833602</v>
      </c>
      <c r="G30" s="1">
        <v>63</v>
      </c>
      <c r="H30" s="2">
        <v>1.14649681528662E-2</v>
      </c>
      <c r="I30" s="2">
        <v>3.4216815120573498E-3</v>
      </c>
    </row>
    <row r="31" spans="1:9" x14ac:dyDescent="0.35">
      <c r="A31" s="19">
        <v>45470</v>
      </c>
      <c r="B31" t="s">
        <v>521</v>
      </c>
      <c r="C31" t="s">
        <v>459</v>
      </c>
      <c r="D31" s="1">
        <v>18448</v>
      </c>
      <c r="E31" s="1">
        <v>5118</v>
      </c>
      <c r="F31" s="2">
        <v>0.27742844752818702</v>
      </c>
      <c r="G31" s="1">
        <v>75</v>
      </c>
      <c r="H31" s="2">
        <v>1.4654161781946101E-2</v>
      </c>
      <c r="I31" s="2">
        <v>4.0654813529921903E-3</v>
      </c>
    </row>
    <row r="32" spans="1:9" x14ac:dyDescent="0.35">
      <c r="A32" s="19">
        <v>45470</v>
      </c>
      <c r="B32" t="s">
        <v>521</v>
      </c>
      <c r="C32" t="s">
        <v>75</v>
      </c>
      <c r="D32" s="1">
        <v>962</v>
      </c>
      <c r="E32" s="1">
        <v>274</v>
      </c>
      <c r="F32" s="2">
        <v>0.28482328482328501</v>
      </c>
      <c r="G32" s="1">
        <v>4</v>
      </c>
      <c r="H32" s="2">
        <v>1.4598540145985399E-2</v>
      </c>
      <c r="I32" s="2">
        <v>4.15800415800416E-3</v>
      </c>
    </row>
    <row r="33" spans="1:9" ht="16" thickBot="1" x14ac:dyDescent="0.4">
      <c r="A33" s="37" t="s">
        <v>35</v>
      </c>
      <c r="D33" s="31">
        <f>SUM(D2:D32)</f>
        <v>18414790</v>
      </c>
      <c r="E33" s="31">
        <f>SUM(E2:E32)</f>
        <v>6202587</v>
      </c>
      <c r="F33" s="32">
        <f>AVERAGE(F2:F32)</f>
        <v>0.3442459443136664</v>
      </c>
      <c r="G33" s="31">
        <f>SUM(G2:G32)</f>
        <v>80518</v>
      </c>
      <c r="H33" s="32">
        <f>AVERAGE(H2:H32)</f>
        <v>1.7112537549602312E-2</v>
      </c>
      <c r="I33" s="32">
        <f>AVERAGE(I2:I32)</f>
        <v>5.9197056709625207E-3</v>
      </c>
    </row>
    <row r="34" spans="1:9" ht="15" thickBot="1" x14ac:dyDescent="0.4">
      <c r="A34" s="138" t="s">
        <v>302</v>
      </c>
      <c r="B34" s="138"/>
      <c r="C34" s="138"/>
      <c r="D34" s="138"/>
      <c r="E34" s="138"/>
      <c r="F34" s="138"/>
      <c r="G34" s="138"/>
      <c r="H34" s="138"/>
      <c r="I34" s="138"/>
    </row>
    <row r="35" spans="1:9" ht="15.5" x14ac:dyDescent="0.35">
      <c r="A35" s="38" t="s">
        <v>0</v>
      </c>
      <c r="B35" s="39" t="s">
        <v>1</v>
      </c>
      <c r="C35" s="39" t="s">
        <v>2</v>
      </c>
      <c r="D35" s="39" t="s">
        <v>3</v>
      </c>
      <c r="E35" s="39" t="s">
        <v>4</v>
      </c>
      <c r="F35" s="39" t="s">
        <v>5</v>
      </c>
      <c r="G35" s="39" t="s">
        <v>6</v>
      </c>
      <c r="H35" s="39" t="s">
        <v>7</v>
      </c>
      <c r="I35" s="40" t="s">
        <v>8</v>
      </c>
    </row>
    <row r="36" spans="1:9" x14ac:dyDescent="0.35">
      <c r="A36" s="5" t="s">
        <v>36</v>
      </c>
      <c r="B36" s="6"/>
      <c r="C36" s="6"/>
      <c r="D36" s="6"/>
      <c r="E36" s="6"/>
      <c r="F36" s="6"/>
      <c r="G36" s="6"/>
      <c r="H36" s="6"/>
      <c r="I36" s="7"/>
    </row>
    <row r="37" spans="1:9" x14ac:dyDescent="0.35">
      <c r="A37" s="8">
        <v>45464</v>
      </c>
      <c r="B37" t="s">
        <v>510</v>
      </c>
      <c r="C37" t="s">
        <v>10</v>
      </c>
      <c r="D37" s="1">
        <v>403219</v>
      </c>
      <c r="E37" s="1">
        <v>143773</v>
      </c>
      <c r="F37" s="2">
        <v>0.35656305878443201</v>
      </c>
      <c r="G37" s="1">
        <v>2851</v>
      </c>
      <c r="H37" s="2">
        <v>1.9829870698948999E-2</v>
      </c>
      <c r="I37" s="9">
        <v>7.0705993517170603E-3</v>
      </c>
    </row>
    <row r="38" spans="1:9" x14ac:dyDescent="0.35">
      <c r="A38" s="8">
        <v>45464</v>
      </c>
      <c r="B38" t="s">
        <v>510</v>
      </c>
      <c r="C38" t="s">
        <v>11</v>
      </c>
      <c r="D38" s="1">
        <v>21940</v>
      </c>
      <c r="E38" s="1">
        <v>7483</v>
      </c>
      <c r="F38" s="2">
        <v>0.341066545123063</v>
      </c>
      <c r="G38" s="1">
        <v>278</v>
      </c>
      <c r="H38" s="2">
        <v>3.7150875317386103E-2</v>
      </c>
      <c r="I38" s="9">
        <v>1.26709206927985E-2</v>
      </c>
    </row>
    <row r="39" spans="1:9" x14ac:dyDescent="0.35">
      <c r="A39" s="8">
        <v>45464</v>
      </c>
      <c r="B39" t="s">
        <v>511</v>
      </c>
      <c r="C39" t="s">
        <v>10</v>
      </c>
      <c r="D39" s="1">
        <v>4828903</v>
      </c>
      <c r="E39" s="1">
        <v>1575490</v>
      </c>
      <c r="F39" s="2">
        <v>0.32626250724025702</v>
      </c>
      <c r="G39" s="1">
        <v>20235</v>
      </c>
      <c r="H39" s="2">
        <v>1.2843623253717899E-2</v>
      </c>
      <c r="I39" s="9">
        <v>4.19039272480727E-3</v>
      </c>
    </row>
    <row r="40" spans="1:9" x14ac:dyDescent="0.35">
      <c r="A40" s="8">
        <v>45464</v>
      </c>
      <c r="B40" t="s">
        <v>511</v>
      </c>
      <c r="C40" t="s">
        <v>11</v>
      </c>
      <c r="D40" s="1">
        <v>308989</v>
      </c>
      <c r="E40" s="1">
        <v>90099</v>
      </c>
      <c r="F40" s="2">
        <v>0.291592904601782</v>
      </c>
      <c r="G40" s="1">
        <v>2448</v>
      </c>
      <c r="H40" s="2">
        <v>2.7170112875836601E-2</v>
      </c>
      <c r="I40" s="9">
        <v>7.9226121318234592E-3</v>
      </c>
    </row>
    <row r="41" spans="1:9" x14ac:dyDescent="0.35">
      <c r="A41" s="8">
        <v>45468</v>
      </c>
      <c r="B41" t="s">
        <v>515</v>
      </c>
      <c r="C41" t="s">
        <v>10</v>
      </c>
      <c r="D41" s="1">
        <v>1356676</v>
      </c>
      <c r="E41" s="1">
        <v>480281</v>
      </c>
      <c r="F41" s="2">
        <v>0.35401304364490899</v>
      </c>
      <c r="G41" s="1">
        <v>8476</v>
      </c>
      <c r="H41" s="2">
        <v>1.7648001898888401E-2</v>
      </c>
      <c r="I41" s="9">
        <v>6.2476228664765897E-3</v>
      </c>
    </row>
    <row r="42" spans="1:9" x14ac:dyDescent="0.35">
      <c r="A42" s="8">
        <v>45468</v>
      </c>
      <c r="B42" t="s">
        <v>515</v>
      </c>
      <c r="C42" t="s">
        <v>11</v>
      </c>
      <c r="D42" s="1">
        <v>95013</v>
      </c>
      <c r="E42" s="1">
        <v>32819</v>
      </c>
      <c r="F42" s="2">
        <v>0.34541589045709498</v>
      </c>
      <c r="G42" s="1">
        <v>1033</v>
      </c>
      <c r="H42" s="2">
        <v>3.14756695816448E-2</v>
      </c>
      <c r="I42" s="9">
        <v>1.08721964362771E-2</v>
      </c>
    </row>
    <row r="43" spans="1:9" ht="16" thickBot="1" x14ac:dyDescent="0.4">
      <c r="A43" s="36" t="s">
        <v>35</v>
      </c>
      <c r="B43" s="4"/>
      <c r="C43" s="4"/>
      <c r="D43" s="33">
        <f>SUM(D37:D42)</f>
        <v>7014740</v>
      </c>
      <c r="E43" s="33">
        <f>SUM(E37:E42)</f>
        <v>2329945</v>
      </c>
      <c r="F43" s="34">
        <f>AVERAGE(F37:F42)</f>
        <v>0.33581899164192297</v>
      </c>
      <c r="G43" s="33">
        <f>SUM(G37:G42)</f>
        <v>35321</v>
      </c>
      <c r="H43" s="34">
        <f>AVERAGE(H37:H42)</f>
        <v>2.4353025604403802E-2</v>
      </c>
      <c r="I43" s="35">
        <f>AVERAGE(I37:I42)</f>
        <v>8.1623907006499966E-3</v>
      </c>
    </row>
    <row r="44" spans="1:9" ht="3" customHeight="1" thickBot="1" x14ac:dyDescent="0.4">
      <c r="A44" s="139"/>
      <c r="B44" s="138"/>
      <c r="C44" s="138"/>
      <c r="D44" s="138"/>
      <c r="E44" s="138"/>
      <c r="F44" s="138"/>
      <c r="G44" s="138"/>
      <c r="H44" s="138"/>
      <c r="I44" s="140"/>
    </row>
    <row r="45" spans="1:9" x14ac:dyDescent="0.35">
      <c r="A45" s="16" t="s">
        <v>37</v>
      </c>
      <c r="B45" s="17"/>
      <c r="C45" s="17"/>
      <c r="D45" s="17"/>
      <c r="E45" s="17"/>
      <c r="F45" s="17"/>
      <c r="G45" s="17"/>
      <c r="H45" s="17"/>
      <c r="I45" s="18"/>
    </row>
    <row r="46" spans="1:9" x14ac:dyDescent="0.35">
      <c r="A46" s="8">
        <v>45464</v>
      </c>
      <c r="B46" t="s">
        <v>512</v>
      </c>
      <c r="C46" t="s">
        <v>10</v>
      </c>
      <c r="D46" s="1">
        <v>775363</v>
      </c>
      <c r="E46" s="1">
        <v>296051</v>
      </c>
      <c r="F46" s="2">
        <v>0.38182244961392298</v>
      </c>
      <c r="G46" s="1">
        <v>2885</v>
      </c>
      <c r="H46" s="2">
        <v>9.7449425943502994E-3</v>
      </c>
      <c r="I46" s="9">
        <v>3.7208378527218899E-3</v>
      </c>
    </row>
    <row r="47" spans="1:9" x14ac:dyDescent="0.35">
      <c r="A47" s="8">
        <v>45464</v>
      </c>
      <c r="B47" t="s">
        <v>512</v>
      </c>
      <c r="C47" t="s">
        <v>11</v>
      </c>
      <c r="D47" s="1">
        <v>22486</v>
      </c>
      <c r="E47" s="1">
        <v>9219</v>
      </c>
      <c r="F47" s="2">
        <v>0.40998843724984402</v>
      </c>
      <c r="G47" s="1">
        <v>94</v>
      </c>
      <c r="H47" s="2">
        <v>1.01963336587482E-2</v>
      </c>
      <c r="I47" s="9">
        <v>4.1803789024281801E-3</v>
      </c>
    </row>
    <row r="48" spans="1:9" x14ac:dyDescent="0.35">
      <c r="A48" s="8">
        <v>45467</v>
      </c>
      <c r="B48" t="s">
        <v>513</v>
      </c>
      <c r="C48" t="s">
        <v>10</v>
      </c>
      <c r="D48" s="1">
        <v>588094</v>
      </c>
      <c r="E48" s="1">
        <v>221502</v>
      </c>
      <c r="F48" s="2">
        <v>0.37664386985754</v>
      </c>
      <c r="G48" s="1">
        <v>4154</v>
      </c>
      <c r="H48" s="2">
        <v>1.87537810042347E-2</v>
      </c>
      <c r="I48" s="9">
        <v>7.0634966518957898E-3</v>
      </c>
    </row>
    <row r="49" spans="1:9" x14ac:dyDescent="0.35">
      <c r="A49" s="8">
        <v>45467</v>
      </c>
      <c r="B49" t="s">
        <v>513</v>
      </c>
      <c r="C49" t="s">
        <v>11</v>
      </c>
      <c r="D49" s="1">
        <v>1484</v>
      </c>
      <c r="E49" s="1">
        <v>616</v>
      </c>
      <c r="F49" s="2">
        <v>0.41509433962264197</v>
      </c>
      <c r="G49" s="1">
        <v>5</v>
      </c>
      <c r="H49" s="2">
        <v>8.1168831168831196E-3</v>
      </c>
      <c r="I49" s="9">
        <v>3.36927223719677E-3</v>
      </c>
    </row>
    <row r="50" spans="1:9" x14ac:dyDescent="0.35">
      <c r="A50" s="8">
        <v>45467</v>
      </c>
      <c r="B50" t="s">
        <v>469</v>
      </c>
      <c r="C50" t="s">
        <v>514</v>
      </c>
      <c r="D50" s="1">
        <v>48562</v>
      </c>
      <c r="E50" s="1">
        <v>16125</v>
      </c>
      <c r="F50" s="2">
        <v>0.33204975083398502</v>
      </c>
      <c r="G50" s="1">
        <v>201</v>
      </c>
      <c r="H50" s="2">
        <v>1.24651162790698E-2</v>
      </c>
      <c r="I50" s="9">
        <v>4.1390387545817697E-3</v>
      </c>
    </row>
    <row r="51" spans="1:9" x14ac:dyDescent="0.35">
      <c r="A51" s="8">
        <v>45469</v>
      </c>
      <c r="B51" t="s">
        <v>516</v>
      </c>
      <c r="C51" t="s">
        <v>10</v>
      </c>
      <c r="D51" s="1">
        <v>312094</v>
      </c>
      <c r="E51" s="1">
        <v>114756</v>
      </c>
      <c r="F51" s="2">
        <v>0.36769691182784697</v>
      </c>
      <c r="G51" s="1">
        <v>1379</v>
      </c>
      <c r="H51" s="2">
        <v>1.20168008644428E-2</v>
      </c>
      <c r="I51" s="9">
        <v>4.4185405679058199E-3</v>
      </c>
    </row>
    <row r="52" spans="1:9" x14ac:dyDescent="0.35">
      <c r="A52" s="8">
        <v>45469</v>
      </c>
      <c r="B52" t="s">
        <v>516</v>
      </c>
      <c r="C52" t="s">
        <v>11</v>
      </c>
      <c r="D52" s="1">
        <v>82</v>
      </c>
      <c r="E52" s="1">
        <v>28</v>
      </c>
      <c r="F52" s="2">
        <v>0.34146341463414598</v>
      </c>
      <c r="G52" s="1">
        <v>2</v>
      </c>
      <c r="H52" s="2">
        <v>7.1428571428571397E-2</v>
      </c>
      <c r="I52" s="9">
        <v>2.4390243902439001E-2</v>
      </c>
    </row>
    <row r="53" spans="1:9" x14ac:dyDescent="0.35">
      <c r="A53" s="8">
        <v>45469</v>
      </c>
      <c r="B53" t="s">
        <v>517</v>
      </c>
      <c r="C53" t="s">
        <v>392</v>
      </c>
      <c r="D53" s="1">
        <v>795303</v>
      </c>
      <c r="E53" s="1">
        <v>302761</v>
      </c>
      <c r="F53" s="2">
        <v>0.38068635476038698</v>
      </c>
      <c r="G53" s="1">
        <v>4882</v>
      </c>
      <c r="H53" s="2">
        <v>1.6124930225491399E-2</v>
      </c>
      <c r="I53" s="9">
        <v>6.1385409083078999E-3</v>
      </c>
    </row>
    <row r="54" spans="1:9" x14ac:dyDescent="0.35">
      <c r="A54" s="8">
        <v>45469</v>
      </c>
      <c r="B54" t="s">
        <v>517</v>
      </c>
      <c r="C54" t="s">
        <v>393</v>
      </c>
      <c r="D54" s="1">
        <v>4433750</v>
      </c>
      <c r="E54" s="1">
        <v>1432808</v>
      </c>
      <c r="F54" s="2">
        <v>0.323159402311813</v>
      </c>
      <c r="G54" s="1">
        <v>15918</v>
      </c>
      <c r="H54" s="2">
        <v>1.11096532124332E-2</v>
      </c>
      <c r="I54" s="9">
        <v>3.59018889202143E-3</v>
      </c>
    </row>
    <row r="55" spans="1:9" x14ac:dyDescent="0.35">
      <c r="A55" s="8">
        <v>45469</v>
      </c>
      <c r="B55" t="s">
        <v>517</v>
      </c>
      <c r="C55" t="s">
        <v>394</v>
      </c>
      <c r="D55" s="1">
        <v>1146781</v>
      </c>
      <c r="E55" s="1">
        <v>402737</v>
      </c>
      <c r="F55" s="2">
        <v>0.35118911108572598</v>
      </c>
      <c r="G55" s="1">
        <v>5265</v>
      </c>
      <c r="H55" s="2">
        <v>1.3073047671309099E-2</v>
      </c>
      <c r="I55" s="9">
        <v>4.5911119908683502E-3</v>
      </c>
    </row>
    <row r="56" spans="1:9" x14ac:dyDescent="0.35">
      <c r="A56" s="8">
        <v>45469</v>
      </c>
      <c r="B56" t="s">
        <v>517</v>
      </c>
      <c r="C56" t="s">
        <v>395</v>
      </c>
      <c r="D56" s="1">
        <v>71789</v>
      </c>
      <c r="E56" s="1">
        <v>27843</v>
      </c>
      <c r="F56" s="2">
        <v>0.387844934460711</v>
      </c>
      <c r="G56" s="1">
        <v>507</v>
      </c>
      <c r="H56" s="2">
        <v>1.8209244693459799E-2</v>
      </c>
      <c r="I56" s="9">
        <v>7.0623633147139497E-3</v>
      </c>
    </row>
    <row r="57" spans="1:9" x14ac:dyDescent="0.35">
      <c r="A57" s="8">
        <v>45469</v>
      </c>
      <c r="B57" t="s">
        <v>517</v>
      </c>
      <c r="C57" t="s">
        <v>396</v>
      </c>
      <c r="D57" s="1">
        <v>8789</v>
      </c>
      <c r="E57" s="1">
        <v>4172</v>
      </c>
      <c r="F57" s="2">
        <v>0.47468426442143602</v>
      </c>
      <c r="G57" s="1">
        <v>111</v>
      </c>
      <c r="H57" s="2">
        <v>2.66059443911793E-2</v>
      </c>
      <c r="I57" s="9">
        <v>1.26294231425646E-2</v>
      </c>
    </row>
    <row r="58" spans="1:9" x14ac:dyDescent="0.35">
      <c r="A58" s="8">
        <v>45469</v>
      </c>
      <c r="B58" t="s">
        <v>518</v>
      </c>
      <c r="C58" t="s">
        <v>10</v>
      </c>
      <c r="D58" s="1">
        <v>141358</v>
      </c>
      <c r="E58" s="1">
        <v>46486</v>
      </c>
      <c r="F58" s="2">
        <v>0.32885298320576101</v>
      </c>
      <c r="G58" s="1">
        <v>404</v>
      </c>
      <c r="H58" s="2">
        <v>8.6907886245321201E-3</v>
      </c>
      <c r="I58" s="9">
        <v>2.8579917655880802E-3</v>
      </c>
    </row>
    <row r="59" spans="1:9" x14ac:dyDescent="0.35">
      <c r="A59" s="8">
        <v>45469</v>
      </c>
      <c r="B59" t="s">
        <v>519</v>
      </c>
      <c r="C59" t="s">
        <v>10</v>
      </c>
      <c r="D59" s="1">
        <v>639343</v>
      </c>
      <c r="E59" s="1">
        <v>227038</v>
      </c>
      <c r="F59" s="2">
        <v>0.35511141906613503</v>
      </c>
      <c r="G59" s="1">
        <v>2058</v>
      </c>
      <c r="H59" s="2">
        <v>9.0645618795091604E-3</v>
      </c>
      <c r="I59" s="9">
        <v>3.2189294322452901E-3</v>
      </c>
    </row>
    <row r="60" spans="1:9" x14ac:dyDescent="0.35">
      <c r="A60" s="8">
        <v>45469</v>
      </c>
      <c r="B60" t="s">
        <v>519</v>
      </c>
      <c r="C60" t="s">
        <v>11</v>
      </c>
      <c r="D60" s="1">
        <v>41922</v>
      </c>
      <c r="E60" s="1">
        <v>13862</v>
      </c>
      <c r="F60" s="2">
        <v>0.33066170507132298</v>
      </c>
      <c r="G60" s="1">
        <v>190</v>
      </c>
      <c r="H60" s="2">
        <v>1.3706535853412199E-2</v>
      </c>
      <c r="I60" s="9">
        <v>4.5322265159105004E-3</v>
      </c>
    </row>
    <row r="61" spans="1:9" x14ac:dyDescent="0.35">
      <c r="A61" s="8">
        <v>45469</v>
      </c>
      <c r="B61" t="s">
        <v>520</v>
      </c>
      <c r="C61" t="s">
        <v>14</v>
      </c>
      <c r="D61" s="1">
        <v>84221</v>
      </c>
      <c r="E61" s="1">
        <v>30114</v>
      </c>
      <c r="F61" s="2">
        <v>0.35755927856472902</v>
      </c>
      <c r="G61" s="1">
        <v>400</v>
      </c>
      <c r="H61" s="2">
        <v>1.3282858471142999E-2</v>
      </c>
      <c r="I61" s="9">
        <v>4.7494092922192796E-3</v>
      </c>
    </row>
    <row r="62" spans="1:9" x14ac:dyDescent="0.35">
      <c r="A62" s="8">
        <v>45469</v>
      </c>
      <c r="B62" t="s">
        <v>520</v>
      </c>
      <c r="C62" t="s">
        <v>274</v>
      </c>
      <c r="D62" s="1">
        <v>4160</v>
      </c>
      <c r="E62" s="1">
        <v>1453</v>
      </c>
      <c r="F62" s="2">
        <v>0.34927884615384602</v>
      </c>
      <c r="G62" s="1">
        <v>23</v>
      </c>
      <c r="H62" s="2">
        <v>1.58293186510668E-2</v>
      </c>
      <c r="I62" s="9">
        <v>5.5288461538461498E-3</v>
      </c>
    </row>
    <row r="63" spans="1:9" x14ac:dyDescent="0.35">
      <c r="A63" s="8">
        <v>45470</v>
      </c>
      <c r="B63" t="s">
        <v>521</v>
      </c>
      <c r="C63" t="s">
        <v>458</v>
      </c>
      <c r="D63" s="1">
        <v>349078</v>
      </c>
      <c r="E63" s="1">
        <v>105465</v>
      </c>
      <c r="F63" s="2">
        <v>0.30212445356052198</v>
      </c>
      <c r="G63" s="1">
        <v>1016</v>
      </c>
      <c r="H63" s="2">
        <v>9.6335277106148996E-3</v>
      </c>
      <c r="I63" s="9">
        <v>2.9105242954296701E-3</v>
      </c>
    </row>
    <row r="64" spans="1:9" x14ac:dyDescent="0.35">
      <c r="A64" s="8">
        <v>45470</v>
      </c>
      <c r="B64" t="s">
        <v>521</v>
      </c>
      <c r="C64" t="s">
        <v>74</v>
      </c>
      <c r="D64" s="1">
        <v>18412</v>
      </c>
      <c r="E64" s="1">
        <v>5495</v>
      </c>
      <c r="F64" s="2">
        <v>0.29844666521833602</v>
      </c>
      <c r="G64" s="1">
        <v>63</v>
      </c>
      <c r="H64" s="2">
        <v>1.14649681528662E-2</v>
      </c>
      <c r="I64" s="9">
        <v>3.4216815120573498E-3</v>
      </c>
    </row>
    <row r="65" spans="1:13" x14ac:dyDescent="0.35">
      <c r="A65" s="8">
        <v>45470</v>
      </c>
      <c r="B65" t="s">
        <v>521</v>
      </c>
      <c r="C65" t="s">
        <v>459</v>
      </c>
      <c r="D65" s="1">
        <v>18448</v>
      </c>
      <c r="E65" s="1">
        <v>5118</v>
      </c>
      <c r="F65" s="2">
        <v>0.27742844752818702</v>
      </c>
      <c r="G65" s="1">
        <v>75</v>
      </c>
      <c r="H65" s="2">
        <v>1.4654161781946101E-2</v>
      </c>
      <c r="I65" s="9">
        <v>4.0654813529921903E-3</v>
      </c>
    </row>
    <row r="66" spans="1:13" x14ac:dyDescent="0.35">
      <c r="A66" s="8">
        <v>45470</v>
      </c>
      <c r="B66" t="s">
        <v>521</v>
      </c>
      <c r="C66" t="s">
        <v>75</v>
      </c>
      <c r="D66" s="1">
        <v>962</v>
      </c>
      <c r="E66" s="1">
        <v>274</v>
      </c>
      <c r="F66" s="2">
        <v>0.28482328482328501</v>
      </c>
      <c r="G66" s="1">
        <v>4</v>
      </c>
      <c r="H66" s="2">
        <v>1.4598540145985399E-2</v>
      </c>
      <c r="I66" s="9">
        <v>4.15800415800416E-3</v>
      </c>
    </row>
    <row r="67" spans="1:13" ht="16" thickBot="1" x14ac:dyDescent="0.4">
      <c r="A67" s="36" t="s">
        <v>35</v>
      </c>
      <c r="B67" s="4"/>
      <c r="C67" s="4"/>
      <c r="D67" s="33">
        <f>SUM(D46:D66)</f>
        <v>9502481</v>
      </c>
      <c r="E67" s="33">
        <f>SUM(E46:E66)</f>
        <v>3263923</v>
      </c>
      <c r="F67" s="34">
        <f>AVERAGE(F46:F66)</f>
        <v>0.35364811066057728</v>
      </c>
      <c r="G67" s="33">
        <f>SUM(G46:G66)</f>
        <v>39636</v>
      </c>
      <c r="H67" s="34">
        <f>AVERAGE(H46:H66)</f>
        <v>1.6131929067202334E-2</v>
      </c>
      <c r="I67" s="35">
        <f>AVERAGE(I46:I66)</f>
        <v>5.7493586474256239E-3</v>
      </c>
    </row>
    <row r="68" spans="1:13" ht="3" customHeight="1" thickBot="1" x14ac:dyDescent="0.4">
      <c r="A68" s="139"/>
      <c r="B68" s="138"/>
      <c r="C68" s="138"/>
      <c r="D68" s="138"/>
      <c r="E68" s="138"/>
      <c r="F68" s="138"/>
      <c r="G68" s="138"/>
      <c r="H68" s="138"/>
      <c r="I68" s="140"/>
    </row>
    <row r="69" spans="1:13" x14ac:dyDescent="0.35">
      <c r="A69" s="16" t="s">
        <v>38</v>
      </c>
      <c r="B69" s="17"/>
      <c r="C69" s="17"/>
      <c r="D69" s="17"/>
      <c r="E69" s="17"/>
      <c r="F69" s="17"/>
      <c r="G69" s="17"/>
      <c r="H69" s="17"/>
      <c r="I69" s="18"/>
    </row>
    <row r="70" spans="1:13" x14ac:dyDescent="0.35">
      <c r="A70" s="8">
        <v>45470</v>
      </c>
      <c r="B70" t="s">
        <v>505</v>
      </c>
      <c r="C70" t="s">
        <v>234</v>
      </c>
      <c r="D70" s="1">
        <v>938029</v>
      </c>
      <c r="E70" s="1">
        <v>298505</v>
      </c>
      <c r="F70" s="3">
        <v>0.31819999999999998</v>
      </c>
      <c r="G70" s="1">
        <v>2993</v>
      </c>
      <c r="H70" s="3">
        <v>0.01</v>
      </c>
      <c r="I70" s="11">
        <v>3.2000000000000002E-3</v>
      </c>
    </row>
    <row r="71" spans="1:13" x14ac:dyDescent="0.35">
      <c r="A71" s="8">
        <v>45470</v>
      </c>
      <c r="B71" t="s">
        <v>506</v>
      </c>
      <c r="C71" t="s">
        <v>235</v>
      </c>
      <c r="D71" s="1">
        <v>69289</v>
      </c>
      <c r="E71" s="1">
        <v>19295</v>
      </c>
      <c r="F71" s="3">
        <v>0.27850000000000003</v>
      </c>
      <c r="G71">
        <v>308</v>
      </c>
      <c r="H71" s="3">
        <v>1.6E-2</v>
      </c>
      <c r="I71" s="11">
        <v>4.4000000000000003E-3</v>
      </c>
    </row>
    <row r="72" spans="1:13" x14ac:dyDescent="0.35">
      <c r="A72" s="8">
        <v>45470</v>
      </c>
      <c r="B72" t="s">
        <v>490</v>
      </c>
      <c r="C72" t="s">
        <v>253</v>
      </c>
      <c r="D72" s="1">
        <v>845980</v>
      </c>
      <c r="E72" s="1">
        <v>277392</v>
      </c>
      <c r="F72" s="3">
        <v>0.32790000000000002</v>
      </c>
      <c r="G72" s="1">
        <v>2097</v>
      </c>
      <c r="H72" s="3">
        <v>7.6E-3</v>
      </c>
      <c r="I72" s="11">
        <v>2.5000000000000001E-3</v>
      </c>
    </row>
    <row r="73" spans="1:13" x14ac:dyDescent="0.35">
      <c r="A73" s="8">
        <v>45470</v>
      </c>
      <c r="B73" t="s">
        <v>491</v>
      </c>
      <c r="C73" t="s">
        <v>255</v>
      </c>
      <c r="D73" s="1">
        <v>44271</v>
      </c>
      <c r="E73" s="1">
        <v>13527</v>
      </c>
      <c r="F73" s="3">
        <v>0.30549999999999999</v>
      </c>
      <c r="G73">
        <v>163</v>
      </c>
      <c r="H73" s="3">
        <v>1.2E-2</v>
      </c>
      <c r="I73" s="11">
        <v>3.7000000000000002E-3</v>
      </c>
    </row>
    <row r="74" spans="1:13" ht="16" thickBot="1" x14ac:dyDescent="0.4">
      <c r="A74" s="36" t="s">
        <v>35</v>
      </c>
      <c r="B74" s="4"/>
      <c r="C74" s="4"/>
      <c r="D74" s="33">
        <f>SUM(D70:D73)</f>
        <v>1897569</v>
      </c>
      <c r="E74" s="33">
        <f>SUM(E70:E73)</f>
        <v>608719</v>
      </c>
      <c r="F74" s="34">
        <f>AVERAGE(F70:F73)</f>
        <v>0.30752500000000005</v>
      </c>
      <c r="G74" s="33">
        <f>SUM(G70:G73)</f>
        <v>5561</v>
      </c>
      <c r="H74" s="34">
        <f>AVERAGE(H70:H73)</f>
        <v>1.14E-2</v>
      </c>
      <c r="I74" s="35">
        <f>AVERAGE(I70:I73)</f>
        <v>3.4500000000000004E-3</v>
      </c>
    </row>
    <row r="79" spans="1:13" x14ac:dyDescent="0.35">
      <c r="F79" s="1"/>
      <c r="G79" s="1"/>
      <c r="H79" s="3"/>
      <c r="I79" s="1"/>
      <c r="J79" s="3"/>
      <c r="K79" s="1"/>
      <c r="L79" s="3"/>
      <c r="M79" s="3"/>
    </row>
    <row r="80" spans="1:13" x14ac:dyDescent="0.35">
      <c r="F80" s="1"/>
      <c r="G80" s="1"/>
      <c r="H80" s="3"/>
      <c r="I80" s="1"/>
      <c r="J80" s="3"/>
      <c r="K80" s="1"/>
      <c r="L80" s="3"/>
      <c r="M80" s="3"/>
    </row>
    <row r="81" spans="6:13" x14ac:dyDescent="0.35">
      <c r="F81" s="1"/>
      <c r="H81" s="3"/>
      <c r="I81" s="1"/>
      <c r="J81" s="3"/>
      <c r="L81" s="3"/>
      <c r="M81" s="3"/>
    </row>
    <row r="82" spans="6:13" x14ac:dyDescent="0.35">
      <c r="F82" s="1"/>
      <c r="H82" s="3"/>
      <c r="I82" s="1"/>
      <c r="J82" s="3"/>
      <c r="L82" s="3"/>
      <c r="M82" s="3"/>
    </row>
  </sheetData>
  <mergeCells count="3">
    <mergeCell ref="A34:I34"/>
    <mergeCell ref="A44:I44"/>
    <mergeCell ref="A68:I68"/>
  </mergeCells>
  <pageMargins left="0.7" right="0.7" top="0.75" bottom="0.75" header="0.3" footer="0.3"/>
  <ignoredErrors>
    <ignoredError sqref="F33:G33 F43:G43 F67:G67 F74" formula="1"/>
  </ignoredErrors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E8FF-C19B-4284-BF1A-E9E8ED692AA4}">
  <dimension ref="A1:M68"/>
  <sheetViews>
    <sheetView workbookViewId="0">
      <selection activeCell="L17" sqref="L17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45471</v>
      </c>
      <c r="B2" t="s">
        <v>522</v>
      </c>
      <c r="C2" t="s">
        <v>10</v>
      </c>
      <c r="D2" s="1">
        <v>397826</v>
      </c>
      <c r="E2" s="1">
        <v>137524</v>
      </c>
      <c r="F2" s="2">
        <v>0.34568881872979601</v>
      </c>
      <c r="G2" s="1">
        <v>2700</v>
      </c>
      <c r="H2" s="2">
        <v>1.9632936796486401E-2</v>
      </c>
      <c r="I2" s="2">
        <v>6.7868867293741503E-3</v>
      </c>
    </row>
    <row r="3" spans="1:9" ht="14.15" customHeight="1" x14ac:dyDescent="0.35">
      <c r="A3" s="19">
        <v>45472</v>
      </c>
      <c r="B3" t="s">
        <v>523</v>
      </c>
      <c r="C3" t="s">
        <v>524</v>
      </c>
      <c r="D3" s="1">
        <v>237285</v>
      </c>
      <c r="E3" s="1">
        <v>77939</v>
      </c>
      <c r="F3" s="2">
        <v>0.328461554670544</v>
      </c>
      <c r="G3" s="1">
        <v>1056</v>
      </c>
      <c r="H3" s="2">
        <v>1.35490575963253E-2</v>
      </c>
      <c r="I3" s="2">
        <v>4.4503445224097597E-3</v>
      </c>
    </row>
    <row r="4" spans="1:9" ht="14.15" customHeight="1" x14ac:dyDescent="0.35">
      <c r="A4" s="19">
        <v>45472</v>
      </c>
      <c r="B4" t="s">
        <v>523</v>
      </c>
      <c r="C4" t="s">
        <v>525</v>
      </c>
      <c r="D4" s="1">
        <v>15185</v>
      </c>
      <c r="E4" s="1">
        <v>4504</v>
      </c>
      <c r="F4" s="2">
        <v>0.29660849522555199</v>
      </c>
      <c r="G4" s="1">
        <v>78</v>
      </c>
      <c r="H4" s="2">
        <v>1.7317939609236201E-2</v>
      </c>
      <c r="I4" s="2">
        <v>5.1366480079025403E-3</v>
      </c>
    </row>
    <row r="5" spans="1:9" ht="14.15" customHeight="1" x14ac:dyDescent="0.35">
      <c r="A5" s="19">
        <v>45472</v>
      </c>
      <c r="B5" t="s">
        <v>523</v>
      </c>
      <c r="C5" t="s">
        <v>526</v>
      </c>
      <c r="D5" s="1">
        <v>4315254</v>
      </c>
      <c r="E5" s="1">
        <v>1407419</v>
      </c>
      <c r="F5" s="2">
        <v>0.32614974692103899</v>
      </c>
      <c r="G5" s="1">
        <v>23106</v>
      </c>
      <c r="H5" s="2">
        <v>1.6417285826040399E-2</v>
      </c>
      <c r="I5" s="2">
        <v>5.3544936172934404E-3</v>
      </c>
    </row>
    <row r="6" spans="1:9" ht="14.15" customHeight="1" x14ac:dyDescent="0.35">
      <c r="A6" s="19">
        <v>45472</v>
      </c>
      <c r="B6" t="s">
        <v>523</v>
      </c>
      <c r="C6" t="s">
        <v>527</v>
      </c>
      <c r="D6" s="1">
        <v>277584</v>
      </c>
      <c r="E6" s="1">
        <v>81095</v>
      </c>
      <c r="F6" s="2">
        <v>0.29214580091071501</v>
      </c>
      <c r="G6" s="1">
        <v>1883</v>
      </c>
      <c r="H6" s="2">
        <v>2.3219680621493301E-2</v>
      </c>
      <c r="I6" s="2">
        <v>6.7835321920571802E-3</v>
      </c>
    </row>
    <row r="7" spans="1:9" ht="14.15" customHeight="1" x14ac:dyDescent="0.35">
      <c r="A7" s="19">
        <v>45472</v>
      </c>
      <c r="B7" t="s">
        <v>523</v>
      </c>
      <c r="C7" t="s">
        <v>528</v>
      </c>
      <c r="D7" s="1">
        <v>162416</v>
      </c>
      <c r="E7" s="1">
        <v>54998</v>
      </c>
      <c r="F7" s="2">
        <v>0.33862427347059398</v>
      </c>
      <c r="G7" s="1">
        <v>1519</v>
      </c>
      <c r="H7" s="2">
        <v>2.7619186152223699E-2</v>
      </c>
      <c r="I7" s="2">
        <v>9.3525268446458497E-3</v>
      </c>
    </row>
    <row r="8" spans="1:9" ht="14.15" customHeight="1" x14ac:dyDescent="0.35">
      <c r="A8" s="19">
        <v>45472</v>
      </c>
      <c r="B8" t="s">
        <v>523</v>
      </c>
      <c r="C8" t="s">
        <v>529</v>
      </c>
      <c r="D8" s="1">
        <v>10553</v>
      </c>
      <c r="E8" s="1">
        <v>3263</v>
      </c>
      <c r="F8" s="2">
        <v>0.309201175021321</v>
      </c>
      <c r="G8" s="1">
        <v>113</v>
      </c>
      <c r="H8" s="2">
        <v>3.4630707937480798E-2</v>
      </c>
      <c r="I8" s="2">
        <v>1.0707855586089301E-2</v>
      </c>
    </row>
    <row r="9" spans="1:9" x14ac:dyDescent="0.35">
      <c r="A9" s="19">
        <v>45474</v>
      </c>
      <c r="B9" t="s">
        <v>530</v>
      </c>
      <c r="C9" t="s">
        <v>10</v>
      </c>
      <c r="D9" s="1">
        <v>310510</v>
      </c>
      <c r="E9" s="1">
        <v>125285</v>
      </c>
      <c r="F9" s="2">
        <v>0.403481369360085</v>
      </c>
      <c r="G9" s="1">
        <v>1429</v>
      </c>
      <c r="H9" s="2">
        <v>1.14059943329209E-2</v>
      </c>
      <c r="I9" s="2">
        <v>4.6021062123603098E-3</v>
      </c>
    </row>
    <row r="10" spans="1:9" x14ac:dyDescent="0.35">
      <c r="A10" s="19">
        <v>45474</v>
      </c>
      <c r="B10" t="s">
        <v>531</v>
      </c>
      <c r="C10" t="s">
        <v>10</v>
      </c>
      <c r="D10" s="1">
        <v>261087</v>
      </c>
      <c r="E10" s="1">
        <v>90092</v>
      </c>
      <c r="F10" s="2">
        <v>0.34506505494337097</v>
      </c>
      <c r="G10" s="1">
        <v>1746</v>
      </c>
      <c r="H10" s="2">
        <v>1.9380189139990199E-2</v>
      </c>
      <c r="I10" s="2">
        <v>6.6874260304036603E-3</v>
      </c>
    </row>
    <row r="11" spans="1:9" x14ac:dyDescent="0.35">
      <c r="A11" s="19">
        <v>45474</v>
      </c>
      <c r="B11" t="s">
        <v>532</v>
      </c>
      <c r="C11" t="s">
        <v>10</v>
      </c>
      <c r="D11" s="1">
        <v>86991</v>
      </c>
      <c r="E11" s="1">
        <v>33577</v>
      </c>
      <c r="F11" s="2">
        <v>0.38598245795542102</v>
      </c>
      <c r="G11" s="1">
        <v>3620</v>
      </c>
      <c r="H11" s="2">
        <v>0.10781189504720499</v>
      </c>
      <c r="I11" s="2">
        <v>4.1613500247151998E-2</v>
      </c>
    </row>
    <row r="12" spans="1:9" x14ac:dyDescent="0.35">
      <c r="A12" s="19">
        <v>45474</v>
      </c>
      <c r="B12" t="s">
        <v>532</v>
      </c>
      <c r="C12" t="s">
        <v>11</v>
      </c>
      <c r="D12" s="1">
        <v>9637</v>
      </c>
      <c r="E12" s="1">
        <v>3450</v>
      </c>
      <c r="F12" s="2">
        <v>0.35799522673030998</v>
      </c>
      <c r="G12" s="1">
        <v>539</v>
      </c>
      <c r="H12" s="2">
        <v>0.156231884057971</v>
      </c>
      <c r="I12" s="2">
        <v>5.5930268755836898E-2</v>
      </c>
    </row>
    <row r="13" spans="1:9" ht="14.15" customHeight="1" x14ac:dyDescent="0.35">
      <c r="A13" s="19">
        <v>45475</v>
      </c>
      <c r="B13" t="s">
        <v>533</v>
      </c>
      <c r="C13" t="s">
        <v>10</v>
      </c>
      <c r="D13" s="1">
        <v>1346964</v>
      </c>
      <c r="E13" s="1">
        <v>490974</v>
      </c>
      <c r="F13" s="2">
        <v>0.36450417383092598</v>
      </c>
      <c r="G13" s="1">
        <v>12018</v>
      </c>
      <c r="H13" s="2">
        <v>2.4477874592137301E-2</v>
      </c>
      <c r="I13" s="2">
        <v>8.9222874553440204E-3</v>
      </c>
    </row>
    <row r="14" spans="1:9" ht="14.15" customHeight="1" x14ac:dyDescent="0.35">
      <c r="A14" s="19">
        <v>45475</v>
      </c>
      <c r="B14" t="s">
        <v>533</v>
      </c>
      <c r="C14" t="s">
        <v>11</v>
      </c>
      <c r="D14" s="1">
        <v>94432</v>
      </c>
      <c r="E14" s="1">
        <v>34248</v>
      </c>
      <c r="F14" s="2">
        <v>0.36267366994239197</v>
      </c>
      <c r="G14" s="1">
        <v>1135</v>
      </c>
      <c r="H14" s="2">
        <v>3.3140621350151798E-2</v>
      </c>
      <c r="I14" s="2">
        <v>1.2019230769230799E-2</v>
      </c>
    </row>
    <row r="15" spans="1:9" x14ac:dyDescent="0.35">
      <c r="A15" s="19">
        <v>45476</v>
      </c>
      <c r="B15" t="s">
        <v>534</v>
      </c>
      <c r="C15" t="s">
        <v>10</v>
      </c>
      <c r="D15" s="1">
        <v>435319</v>
      </c>
      <c r="E15" s="1">
        <v>146317</v>
      </c>
      <c r="F15" s="2">
        <v>0.33611443562077498</v>
      </c>
      <c r="G15" s="1">
        <v>1236</v>
      </c>
      <c r="H15" s="2">
        <v>8.4474121257270204E-3</v>
      </c>
      <c r="I15" s="2">
        <v>2.83929715909482E-3</v>
      </c>
    </row>
    <row r="16" spans="1:9" x14ac:dyDescent="0.35">
      <c r="A16" s="19">
        <v>45476</v>
      </c>
      <c r="B16" t="s">
        <v>534</v>
      </c>
      <c r="C16" t="s">
        <v>11</v>
      </c>
      <c r="D16" s="1">
        <v>17884</v>
      </c>
      <c r="E16" s="1">
        <v>5619</v>
      </c>
      <c r="F16" s="2">
        <v>0.31419145605010101</v>
      </c>
      <c r="G16" s="1">
        <v>65</v>
      </c>
      <c r="H16" s="2">
        <v>1.1567894643174899E-2</v>
      </c>
      <c r="I16" s="2">
        <v>3.63453366137329E-3</v>
      </c>
    </row>
    <row r="17" spans="1:9" x14ac:dyDescent="0.35">
      <c r="A17" s="19">
        <v>45476</v>
      </c>
      <c r="B17" t="s">
        <v>535</v>
      </c>
      <c r="C17" t="s">
        <v>536</v>
      </c>
      <c r="D17" s="1">
        <v>325</v>
      </c>
      <c r="E17" s="1">
        <v>183</v>
      </c>
      <c r="F17" s="2">
        <v>0.56307692307692303</v>
      </c>
      <c r="G17" s="1">
        <v>24</v>
      </c>
      <c r="H17" s="2">
        <v>0.13114754098360701</v>
      </c>
      <c r="I17" s="2">
        <v>7.3846153846153895E-2</v>
      </c>
    </row>
    <row r="18" spans="1:9" x14ac:dyDescent="0.35">
      <c r="A18" s="19">
        <v>45476</v>
      </c>
      <c r="B18" t="s">
        <v>535</v>
      </c>
      <c r="C18" t="s">
        <v>537</v>
      </c>
      <c r="D18" s="1">
        <v>1633</v>
      </c>
      <c r="E18" s="1">
        <v>828</v>
      </c>
      <c r="F18" s="2">
        <v>0.50704225352112697</v>
      </c>
      <c r="G18" s="1">
        <v>72</v>
      </c>
      <c r="H18" s="2">
        <v>8.6956521739130405E-2</v>
      </c>
      <c r="I18" s="2">
        <v>4.4090630740967501E-2</v>
      </c>
    </row>
    <row r="19" spans="1:9" x14ac:dyDescent="0.35">
      <c r="A19" s="19">
        <v>45476</v>
      </c>
      <c r="B19" t="s">
        <v>538</v>
      </c>
      <c r="C19" t="s">
        <v>10</v>
      </c>
      <c r="D19" s="1">
        <v>440324</v>
      </c>
      <c r="E19" s="1">
        <v>162458</v>
      </c>
      <c r="F19" s="2">
        <v>0.36895104513948801</v>
      </c>
      <c r="G19" s="1">
        <v>1256</v>
      </c>
      <c r="H19" s="2">
        <v>7.7312289945709002E-3</v>
      </c>
      <c r="I19" s="2">
        <v>2.85244501775965E-3</v>
      </c>
    </row>
    <row r="20" spans="1:9" x14ac:dyDescent="0.35">
      <c r="A20" s="19">
        <v>45476</v>
      </c>
      <c r="B20" t="s">
        <v>539</v>
      </c>
      <c r="C20" t="s">
        <v>540</v>
      </c>
      <c r="D20" s="1">
        <v>218989</v>
      </c>
      <c r="E20" s="1">
        <v>76736</v>
      </c>
      <c r="F20" s="2">
        <v>0.35041029458100598</v>
      </c>
      <c r="G20" s="1">
        <v>941</v>
      </c>
      <c r="H20" s="2">
        <v>1.22628231859883E-2</v>
      </c>
      <c r="I20" s="2">
        <v>4.2970194849969601E-3</v>
      </c>
    </row>
    <row r="21" spans="1:9" x14ac:dyDescent="0.35">
      <c r="A21" s="19">
        <v>45476</v>
      </c>
      <c r="B21" t="s">
        <v>539</v>
      </c>
      <c r="C21" t="s">
        <v>541</v>
      </c>
      <c r="D21" s="1">
        <v>152290</v>
      </c>
      <c r="E21" s="1">
        <v>50938</v>
      </c>
      <c r="F21" s="2">
        <v>0.33448026790990898</v>
      </c>
      <c r="G21" s="1">
        <v>706</v>
      </c>
      <c r="H21" s="2">
        <v>1.38599866504378E-2</v>
      </c>
      <c r="I21" s="2">
        <v>4.6358920480661899E-3</v>
      </c>
    </row>
    <row r="22" spans="1:9" x14ac:dyDescent="0.35">
      <c r="A22" s="19">
        <v>45477</v>
      </c>
      <c r="B22" t="s">
        <v>542</v>
      </c>
      <c r="C22" t="s">
        <v>543</v>
      </c>
      <c r="D22" s="1">
        <v>589830</v>
      </c>
      <c r="E22" s="1">
        <v>188377</v>
      </c>
      <c r="F22" s="3">
        <v>0.31940000000000002</v>
      </c>
      <c r="G22" s="1">
        <v>1243</v>
      </c>
      <c r="H22" s="3">
        <v>6.6E-3</v>
      </c>
      <c r="I22" s="3">
        <v>2.0999999999999999E-3</v>
      </c>
    </row>
    <row r="23" spans="1:9" x14ac:dyDescent="0.35">
      <c r="A23" s="19">
        <v>45477</v>
      </c>
      <c r="B23" t="s">
        <v>544</v>
      </c>
      <c r="C23" t="s">
        <v>545</v>
      </c>
      <c r="D23" s="1">
        <v>29586</v>
      </c>
      <c r="E23" s="1">
        <v>8590</v>
      </c>
      <c r="F23" s="3">
        <v>0.2903</v>
      </c>
      <c r="G23">
        <v>74</v>
      </c>
      <c r="H23" s="3">
        <v>8.6E-3</v>
      </c>
      <c r="I23" s="3">
        <v>2.5000000000000001E-3</v>
      </c>
    </row>
    <row r="24" spans="1:9" x14ac:dyDescent="0.35">
      <c r="A24" s="19">
        <v>45477</v>
      </c>
      <c r="B24" t="s">
        <v>505</v>
      </c>
      <c r="C24" t="s">
        <v>234</v>
      </c>
      <c r="D24" s="1">
        <v>909979</v>
      </c>
      <c r="E24" s="1">
        <v>293162</v>
      </c>
      <c r="F24" s="3">
        <v>0.32219999999999999</v>
      </c>
      <c r="G24" s="1">
        <v>3088</v>
      </c>
      <c r="H24" s="3">
        <v>1.0500000000000001E-2</v>
      </c>
      <c r="I24" s="3">
        <v>3.3999999999999998E-3</v>
      </c>
    </row>
    <row r="25" spans="1:9" x14ac:dyDescent="0.35">
      <c r="A25" s="19">
        <v>45477</v>
      </c>
      <c r="B25" t="s">
        <v>506</v>
      </c>
      <c r="C25" t="s">
        <v>235</v>
      </c>
      <c r="D25" s="1">
        <v>67529</v>
      </c>
      <c r="E25" s="1">
        <v>19175</v>
      </c>
      <c r="F25" s="3">
        <v>0.28399999999999997</v>
      </c>
      <c r="G25">
        <v>270</v>
      </c>
      <c r="H25" s="3">
        <v>1.41E-2</v>
      </c>
      <c r="I25" s="3">
        <v>4.0000000000000001E-3</v>
      </c>
    </row>
    <row r="26" spans="1:9" ht="16" thickBot="1" x14ac:dyDescent="0.4">
      <c r="A26" s="37" t="s">
        <v>35</v>
      </c>
      <c r="D26" s="31">
        <f>SUM(D2:D25)</f>
        <v>10389412</v>
      </c>
      <c r="E26" s="31">
        <f>SUM(E2:E25)</f>
        <v>3496751</v>
      </c>
      <c r="F26" s="32">
        <f>AVERAGE(F2:F25)</f>
        <v>0.35194785390047478</v>
      </c>
      <c r="G26" s="31">
        <f>SUM(G2:G25)</f>
        <v>59917</v>
      </c>
      <c r="H26" s="32">
        <f>AVERAGE(H2:H25)</f>
        <v>3.4025360890929106E-2</v>
      </c>
      <c r="I26" s="32">
        <f>AVERAGE(I2:I25)</f>
        <v>1.3605961622021342E-2</v>
      </c>
    </row>
    <row r="27" spans="1:9" ht="15" thickBot="1" x14ac:dyDescent="0.4">
      <c r="A27" s="138" t="s">
        <v>302</v>
      </c>
      <c r="B27" s="138"/>
      <c r="C27" s="138"/>
      <c r="D27" s="138"/>
      <c r="E27" s="138"/>
      <c r="F27" s="138"/>
      <c r="G27" s="138"/>
      <c r="H27" s="138"/>
      <c r="I27" s="138"/>
    </row>
    <row r="28" spans="1:9" ht="15.5" x14ac:dyDescent="0.35">
      <c r="A28" s="38" t="s">
        <v>0</v>
      </c>
      <c r="B28" s="39" t="s">
        <v>1</v>
      </c>
      <c r="C28" s="39" t="s">
        <v>2</v>
      </c>
      <c r="D28" s="39" t="s">
        <v>3</v>
      </c>
      <c r="E28" s="39" t="s">
        <v>4</v>
      </c>
      <c r="F28" s="39" t="s">
        <v>5</v>
      </c>
      <c r="G28" s="39" t="s">
        <v>6</v>
      </c>
      <c r="H28" s="39" t="s">
        <v>7</v>
      </c>
      <c r="I28" s="40" t="s">
        <v>8</v>
      </c>
    </row>
    <row r="29" spans="1:9" x14ac:dyDescent="0.35">
      <c r="A29" s="5" t="s">
        <v>36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8">
        <v>45471</v>
      </c>
      <c r="B30" t="s">
        <v>522</v>
      </c>
      <c r="C30" t="s">
        <v>10</v>
      </c>
      <c r="D30" s="1">
        <v>397826</v>
      </c>
      <c r="E30" s="1">
        <v>137524</v>
      </c>
      <c r="F30" s="2">
        <v>0.34568881872979601</v>
      </c>
      <c r="G30" s="1">
        <v>2700</v>
      </c>
      <c r="H30" s="2">
        <v>1.9632936796486401E-2</v>
      </c>
      <c r="I30" s="9">
        <v>6.7868867293741503E-3</v>
      </c>
    </row>
    <row r="31" spans="1:9" ht="14.15" customHeight="1" x14ac:dyDescent="0.35">
      <c r="A31" s="8">
        <v>45472</v>
      </c>
      <c r="B31" t="s">
        <v>523</v>
      </c>
      <c r="C31" t="s">
        <v>524</v>
      </c>
      <c r="D31" s="1">
        <v>237285</v>
      </c>
      <c r="E31" s="1">
        <v>77939</v>
      </c>
      <c r="F31" s="2">
        <v>0.328461554670544</v>
      </c>
      <c r="G31" s="1">
        <v>1056</v>
      </c>
      <c r="H31" s="2">
        <v>1.35490575963253E-2</v>
      </c>
      <c r="I31" s="9">
        <v>4.4503445224097597E-3</v>
      </c>
    </row>
    <row r="32" spans="1:9" ht="14.15" customHeight="1" x14ac:dyDescent="0.35">
      <c r="A32" s="8">
        <v>45472</v>
      </c>
      <c r="B32" t="s">
        <v>523</v>
      </c>
      <c r="C32" t="s">
        <v>525</v>
      </c>
      <c r="D32" s="1">
        <v>15185</v>
      </c>
      <c r="E32" s="1">
        <v>4504</v>
      </c>
      <c r="F32" s="2">
        <v>0.29660849522555199</v>
      </c>
      <c r="G32" s="1">
        <v>78</v>
      </c>
      <c r="H32" s="2">
        <v>1.7317939609236201E-2</v>
      </c>
      <c r="I32" s="9">
        <v>5.1366480079025403E-3</v>
      </c>
    </row>
    <row r="33" spans="1:9" ht="14.15" customHeight="1" x14ac:dyDescent="0.35">
      <c r="A33" s="8">
        <v>45472</v>
      </c>
      <c r="B33" t="s">
        <v>523</v>
      </c>
      <c r="C33" t="s">
        <v>526</v>
      </c>
      <c r="D33" s="1">
        <v>4315254</v>
      </c>
      <c r="E33" s="1">
        <v>1407419</v>
      </c>
      <c r="F33" s="2">
        <v>0.32614974692103899</v>
      </c>
      <c r="G33" s="1">
        <v>23106</v>
      </c>
      <c r="H33" s="2">
        <v>1.6417285826040399E-2</v>
      </c>
      <c r="I33" s="9">
        <v>5.3544936172934404E-3</v>
      </c>
    </row>
    <row r="34" spans="1:9" ht="14.15" customHeight="1" x14ac:dyDescent="0.35">
      <c r="A34" s="8">
        <v>45472</v>
      </c>
      <c r="B34" t="s">
        <v>523</v>
      </c>
      <c r="C34" t="s">
        <v>527</v>
      </c>
      <c r="D34" s="1">
        <v>277584</v>
      </c>
      <c r="E34" s="1">
        <v>81095</v>
      </c>
      <c r="F34" s="2">
        <v>0.29214580091071501</v>
      </c>
      <c r="G34" s="1">
        <v>1883</v>
      </c>
      <c r="H34" s="2">
        <v>2.3219680621493301E-2</v>
      </c>
      <c r="I34" s="9">
        <v>6.7835321920571802E-3</v>
      </c>
    </row>
    <row r="35" spans="1:9" ht="14.15" customHeight="1" x14ac:dyDescent="0.35">
      <c r="A35" s="8">
        <v>45472</v>
      </c>
      <c r="B35" t="s">
        <v>523</v>
      </c>
      <c r="C35" t="s">
        <v>528</v>
      </c>
      <c r="D35" s="1">
        <v>162416</v>
      </c>
      <c r="E35" s="1">
        <v>54998</v>
      </c>
      <c r="F35" s="2">
        <v>0.33862427347059398</v>
      </c>
      <c r="G35" s="1">
        <v>1519</v>
      </c>
      <c r="H35" s="2">
        <v>2.7619186152223699E-2</v>
      </c>
      <c r="I35" s="9">
        <v>9.3525268446458497E-3</v>
      </c>
    </row>
    <row r="36" spans="1:9" ht="14.15" customHeight="1" x14ac:dyDescent="0.35">
      <c r="A36" s="8">
        <v>45472</v>
      </c>
      <c r="B36" t="s">
        <v>523</v>
      </c>
      <c r="C36" t="s">
        <v>529</v>
      </c>
      <c r="D36" s="1">
        <v>10553</v>
      </c>
      <c r="E36" s="1">
        <v>3263</v>
      </c>
      <c r="F36" s="2">
        <v>0.309201175021321</v>
      </c>
      <c r="G36" s="1">
        <v>113</v>
      </c>
      <c r="H36" s="2">
        <v>3.4630707937480798E-2</v>
      </c>
      <c r="I36" s="9">
        <v>1.0707855586089301E-2</v>
      </c>
    </row>
    <row r="37" spans="1:9" ht="14.15" customHeight="1" x14ac:dyDescent="0.35">
      <c r="A37" s="8">
        <v>45475</v>
      </c>
      <c r="B37" t="s">
        <v>533</v>
      </c>
      <c r="C37" t="s">
        <v>10</v>
      </c>
      <c r="D37" s="1">
        <v>1346964</v>
      </c>
      <c r="E37" s="1">
        <v>490974</v>
      </c>
      <c r="F37" s="2">
        <v>0.36450417383092598</v>
      </c>
      <c r="G37" s="1">
        <v>12018</v>
      </c>
      <c r="H37" s="2">
        <v>2.4477874592137301E-2</v>
      </c>
      <c r="I37" s="9">
        <v>8.9222874553440204E-3</v>
      </c>
    </row>
    <row r="38" spans="1:9" ht="14.15" customHeight="1" x14ac:dyDescent="0.35">
      <c r="A38" s="8">
        <v>45475</v>
      </c>
      <c r="B38" t="s">
        <v>533</v>
      </c>
      <c r="C38" t="s">
        <v>11</v>
      </c>
      <c r="D38" s="1">
        <v>94432</v>
      </c>
      <c r="E38" s="1">
        <v>34248</v>
      </c>
      <c r="F38" s="2">
        <v>0.36267366994239197</v>
      </c>
      <c r="G38" s="1">
        <v>1135</v>
      </c>
      <c r="H38" s="2">
        <v>3.3140621350151798E-2</v>
      </c>
      <c r="I38" s="9">
        <v>1.2019230769230799E-2</v>
      </c>
    </row>
    <row r="39" spans="1:9" ht="16" thickBot="1" x14ac:dyDescent="0.4">
      <c r="A39" s="36" t="s">
        <v>35</v>
      </c>
      <c r="B39" s="4"/>
      <c r="C39" s="4"/>
      <c r="D39" s="33">
        <f>SUM(D30:D38)</f>
        <v>6857499</v>
      </c>
      <c r="E39" s="33">
        <f>SUM(E30:E38)</f>
        <v>2291964</v>
      </c>
      <c r="F39" s="34">
        <f>AVERAGE(F30:F38)</f>
        <v>0.32933974541365318</v>
      </c>
      <c r="G39" s="33">
        <f>SUM(G30:G38)</f>
        <v>43608</v>
      </c>
      <c r="H39" s="34">
        <f>AVERAGE(H30:H38)</f>
        <v>2.3333921164619464E-2</v>
      </c>
      <c r="I39" s="35">
        <f>AVERAGE(I30:I38)</f>
        <v>7.7237561915941173E-3</v>
      </c>
    </row>
    <row r="40" spans="1:9" ht="3" customHeight="1" thickBot="1" x14ac:dyDescent="0.4">
      <c r="A40" s="139"/>
      <c r="B40" s="138"/>
      <c r="C40" s="138"/>
      <c r="D40" s="138"/>
      <c r="E40" s="138"/>
      <c r="F40" s="138"/>
      <c r="G40" s="138"/>
      <c r="H40" s="138"/>
      <c r="I40" s="140"/>
    </row>
    <row r="41" spans="1:9" x14ac:dyDescent="0.35">
      <c r="A41" s="16" t="s">
        <v>37</v>
      </c>
      <c r="B41" s="17"/>
      <c r="C41" s="17"/>
      <c r="D41" s="17"/>
      <c r="E41" s="17"/>
      <c r="F41" s="17"/>
      <c r="G41" s="17"/>
      <c r="H41" s="17"/>
      <c r="I41" s="18"/>
    </row>
    <row r="42" spans="1:9" x14ac:dyDescent="0.35">
      <c r="A42" s="8">
        <v>45474</v>
      </c>
      <c r="B42" t="s">
        <v>530</v>
      </c>
      <c r="C42" t="s">
        <v>10</v>
      </c>
      <c r="D42" s="1">
        <v>310510</v>
      </c>
      <c r="E42" s="1">
        <v>125285</v>
      </c>
      <c r="F42" s="2">
        <v>0.403481369360085</v>
      </c>
      <c r="G42" s="1">
        <v>1429</v>
      </c>
      <c r="H42" s="2">
        <v>1.14059943329209E-2</v>
      </c>
      <c r="I42" s="9">
        <v>4.6021062123603098E-3</v>
      </c>
    </row>
    <row r="43" spans="1:9" x14ac:dyDescent="0.35">
      <c r="A43" s="8">
        <v>45474</v>
      </c>
      <c r="B43" t="s">
        <v>531</v>
      </c>
      <c r="C43" t="s">
        <v>10</v>
      </c>
      <c r="D43" s="1">
        <v>261087</v>
      </c>
      <c r="E43" s="1">
        <v>90092</v>
      </c>
      <c r="F43" s="2">
        <v>0.34506505494337097</v>
      </c>
      <c r="G43" s="1">
        <v>1746</v>
      </c>
      <c r="H43" s="2">
        <v>1.9380189139990199E-2</v>
      </c>
      <c r="I43" s="9">
        <v>6.6874260304036603E-3</v>
      </c>
    </row>
    <row r="44" spans="1:9" x14ac:dyDescent="0.35">
      <c r="A44" s="8">
        <v>45474</v>
      </c>
      <c r="B44" t="s">
        <v>532</v>
      </c>
      <c r="C44" t="s">
        <v>10</v>
      </c>
      <c r="D44" s="1">
        <v>86991</v>
      </c>
      <c r="E44" s="1">
        <v>33577</v>
      </c>
      <c r="F44" s="2">
        <v>0.38598245795542102</v>
      </c>
      <c r="G44" s="1">
        <v>3620</v>
      </c>
      <c r="H44" s="2">
        <v>0.10781189504720499</v>
      </c>
      <c r="I44" s="9">
        <v>4.1613500247151998E-2</v>
      </c>
    </row>
    <row r="45" spans="1:9" x14ac:dyDescent="0.35">
      <c r="A45" s="8">
        <v>45474</v>
      </c>
      <c r="B45" t="s">
        <v>532</v>
      </c>
      <c r="C45" t="s">
        <v>11</v>
      </c>
      <c r="D45" s="1">
        <v>9637</v>
      </c>
      <c r="E45" s="1">
        <v>3450</v>
      </c>
      <c r="F45" s="2">
        <v>0.35799522673030998</v>
      </c>
      <c r="G45" s="1">
        <v>539</v>
      </c>
      <c r="H45" s="2">
        <v>0.156231884057971</v>
      </c>
      <c r="I45" s="9">
        <v>5.5930268755836898E-2</v>
      </c>
    </row>
    <row r="46" spans="1:9" x14ac:dyDescent="0.35">
      <c r="A46" s="8">
        <v>45476</v>
      </c>
      <c r="B46" t="s">
        <v>534</v>
      </c>
      <c r="C46" t="s">
        <v>10</v>
      </c>
      <c r="D46" s="1">
        <v>435319</v>
      </c>
      <c r="E46" s="1">
        <v>146317</v>
      </c>
      <c r="F46" s="2">
        <v>0.33611443562077498</v>
      </c>
      <c r="G46" s="1">
        <v>1236</v>
      </c>
      <c r="H46" s="2">
        <v>8.4474121257270204E-3</v>
      </c>
      <c r="I46" s="9">
        <v>2.83929715909482E-3</v>
      </c>
    </row>
    <row r="47" spans="1:9" x14ac:dyDescent="0.35">
      <c r="A47" s="8">
        <v>45476</v>
      </c>
      <c r="B47" t="s">
        <v>534</v>
      </c>
      <c r="C47" t="s">
        <v>11</v>
      </c>
      <c r="D47" s="1">
        <v>17884</v>
      </c>
      <c r="E47" s="1">
        <v>5619</v>
      </c>
      <c r="F47" s="2">
        <v>0.31419145605010101</v>
      </c>
      <c r="G47" s="1">
        <v>65</v>
      </c>
      <c r="H47" s="2">
        <v>1.1567894643174899E-2</v>
      </c>
      <c r="I47" s="9">
        <v>3.63453366137329E-3</v>
      </c>
    </row>
    <row r="48" spans="1:9" x14ac:dyDescent="0.35">
      <c r="A48" s="8">
        <v>45476</v>
      </c>
      <c r="B48" t="s">
        <v>535</v>
      </c>
      <c r="C48" t="s">
        <v>536</v>
      </c>
      <c r="D48" s="1">
        <v>325</v>
      </c>
      <c r="E48" s="1">
        <v>183</v>
      </c>
      <c r="F48" s="2">
        <v>0.56307692307692303</v>
      </c>
      <c r="G48" s="1">
        <v>24</v>
      </c>
      <c r="H48" s="2">
        <v>0.13114754098360701</v>
      </c>
      <c r="I48" s="9">
        <v>7.3846153846153895E-2</v>
      </c>
    </row>
    <row r="49" spans="1:9" x14ac:dyDescent="0.35">
      <c r="A49" s="8">
        <v>45476</v>
      </c>
      <c r="B49" t="s">
        <v>535</v>
      </c>
      <c r="C49" t="s">
        <v>537</v>
      </c>
      <c r="D49" s="1">
        <v>1633</v>
      </c>
      <c r="E49" s="1">
        <v>828</v>
      </c>
      <c r="F49" s="2">
        <v>0.50704225352112697</v>
      </c>
      <c r="G49" s="1">
        <v>72</v>
      </c>
      <c r="H49" s="2">
        <v>8.6956521739130405E-2</v>
      </c>
      <c r="I49" s="9">
        <v>4.4090630740967501E-2</v>
      </c>
    </row>
    <row r="50" spans="1:9" x14ac:dyDescent="0.35">
      <c r="A50" s="8">
        <v>45476</v>
      </c>
      <c r="B50" t="s">
        <v>538</v>
      </c>
      <c r="C50" t="s">
        <v>10</v>
      </c>
      <c r="D50" s="1">
        <v>440324</v>
      </c>
      <c r="E50" s="1">
        <v>162458</v>
      </c>
      <c r="F50" s="2">
        <v>0.36895104513948801</v>
      </c>
      <c r="G50" s="1">
        <v>1256</v>
      </c>
      <c r="H50" s="2">
        <v>7.7312289945709002E-3</v>
      </c>
      <c r="I50" s="9">
        <v>2.85244501775965E-3</v>
      </c>
    </row>
    <row r="51" spans="1:9" x14ac:dyDescent="0.35">
      <c r="A51" s="8">
        <v>45476</v>
      </c>
      <c r="B51" t="s">
        <v>539</v>
      </c>
      <c r="C51" t="s">
        <v>540</v>
      </c>
      <c r="D51" s="1">
        <v>218989</v>
      </c>
      <c r="E51" s="1">
        <v>76736</v>
      </c>
      <c r="F51" s="2">
        <v>0.35041029458100598</v>
      </c>
      <c r="G51" s="1">
        <v>941</v>
      </c>
      <c r="H51" s="2">
        <v>1.22628231859883E-2</v>
      </c>
      <c r="I51" s="9">
        <v>4.2970194849969601E-3</v>
      </c>
    </row>
    <row r="52" spans="1:9" x14ac:dyDescent="0.35">
      <c r="A52" s="8">
        <v>45476</v>
      </c>
      <c r="B52" t="s">
        <v>539</v>
      </c>
      <c r="C52" t="s">
        <v>541</v>
      </c>
      <c r="D52" s="1">
        <v>152290</v>
      </c>
      <c r="E52" s="1">
        <v>50938</v>
      </c>
      <c r="F52" s="2">
        <v>0.33448026790990898</v>
      </c>
      <c r="G52" s="1">
        <v>706</v>
      </c>
      <c r="H52" s="2">
        <v>1.38599866504378E-2</v>
      </c>
      <c r="I52" s="9">
        <v>4.6358920480661899E-3</v>
      </c>
    </row>
    <row r="53" spans="1:9" ht="16" thickBot="1" x14ac:dyDescent="0.4">
      <c r="A53" s="36" t="s">
        <v>35</v>
      </c>
      <c r="B53" s="4"/>
      <c r="C53" s="4"/>
      <c r="D53" s="33">
        <f>SUM(D42:D52)</f>
        <v>1934989</v>
      </c>
      <c r="E53" s="33">
        <f>SUM(E42:E52)</f>
        <v>695483</v>
      </c>
      <c r="F53" s="34">
        <f>AVERAGE(F42:F52)</f>
        <v>0.38789007135350145</v>
      </c>
      <c r="G53" s="33">
        <f>SUM(G42:G52)</f>
        <v>11634</v>
      </c>
      <c r="H53" s="34">
        <f>AVERAGE(H42:H52)</f>
        <v>5.1527579172793041E-2</v>
      </c>
      <c r="I53" s="35">
        <f>AVERAGE(I42:I52)</f>
        <v>2.2275388473105926E-2</v>
      </c>
    </row>
    <row r="54" spans="1:9" ht="3" customHeight="1" thickBot="1" x14ac:dyDescent="0.4">
      <c r="A54" s="139"/>
      <c r="B54" s="138"/>
      <c r="C54" s="138"/>
      <c r="D54" s="138"/>
      <c r="E54" s="138"/>
      <c r="F54" s="138"/>
      <c r="G54" s="138"/>
      <c r="H54" s="138"/>
      <c r="I54" s="140"/>
    </row>
    <row r="55" spans="1:9" x14ac:dyDescent="0.35">
      <c r="A55" s="16" t="s">
        <v>38</v>
      </c>
      <c r="B55" s="17"/>
      <c r="C55" s="17"/>
      <c r="D55" s="17"/>
      <c r="E55" s="17"/>
      <c r="F55" s="17"/>
      <c r="G55" s="17"/>
      <c r="H55" s="17"/>
      <c r="I55" s="18"/>
    </row>
    <row r="56" spans="1:9" x14ac:dyDescent="0.35">
      <c r="A56" s="8">
        <v>45477</v>
      </c>
      <c r="B56" t="s">
        <v>542</v>
      </c>
      <c r="C56" t="s">
        <v>543</v>
      </c>
      <c r="D56" s="1">
        <v>589830</v>
      </c>
      <c r="E56" s="1">
        <v>188377</v>
      </c>
      <c r="F56" s="3">
        <v>0.31940000000000002</v>
      </c>
      <c r="G56" s="1">
        <v>1243</v>
      </c>
      <c r="H56" s="3">
        <v>6.6E-3</v>
      </c>
      <c r="I56" s="11">
        <v>2.0999999999999999E-3</v>
      </c>
    </row>
    <row r="57" spans="1:9" x14ac:dyDescent="0.35">
      <c r="A57" s="8">
        <v>45477</v>
      </c>
      <c r="B57" t="s">
        <v>544</v>
      </c>
      <c r="C57" t="s">
        <v>545</v>
      </c>
      <c r="D57" s="1">
        <v>29586</v>
      </c>
      <c r="E57" s="1">
        <v>8590</v>
      </c>
      <c r="F57" s="3">
        <v>0.2903</v>
      </c>
      <c r="G57">
        <v>74</v>
      </c>
      <c r="H57" s="3">
        <v>8.6E-3</v>
      </c>
      <c r="I57" s="11">
        <v>2.5000000000000001E-3</v>
      </c>
    </row>
    <row r="58" spans="1:9" x14ac:dyDescent="0.35">
      <c r="A58" s="8">
        <v>45477</v>
      </c>
      <c r="B58" t="s">
        <v>505</v>
      </c>
      <c r="C58" t="s">
        <v>234</v>
      </c>
      <c r="D58" s="1">
        <v>909979</v>
      </c>
      <c r="E58" s="1">
        <v>293162</v>
      </c>
      <c r="F58" s="3">
        <v>0.32219999999999999</v>
      </c>
      <c r="G58" s="1">
        <v>3088</v>
      </c>
      <c r="H58" s="3">
        <v>1.0500000000000001E-2</v>
      </c>
      <c r="I58" s="11">
        <v>3.3999999999999998E-3</v>
      </c>
    </row>
    <row r="59" spans="1:9" x14ac:dyDescent="0.35">
      <c r="A59" s="8">
        <v>45477</v>
      </c>
      <c r="B59" t="s">
        <v>506</v>
      </c>
      <c r="C59" t="s">
        <v>235</v>
      </c>
      <c r="D59" s="1">
        <v>67529</v>
      </c>
      <c r="E59" s="1">
        <v>19175</v>
      </c>
      <c r="F59" s="3">
        <v>0.28399999999999997</v>
      </c>
      <c r="G59">
        <v>270</v>
      </c>
      <c r="H59" s="3">
        <v>1.41E-2</v>
      </c>
      <c r="I59" s="11">
        <v>4.0000000000000001E-3</v>
      </c>
    </row>
    <row r="60" spans="1:9" ht="16" thickBot="1" x14ac:dyDescent="0.4">
      <c r="A60" s="36" t="s">
        <v>35</v>
      </c>
      <c r="B60" s="4"/>
      <c r="C60" s="4"/>
      <c r="D60" s="33">
        <f>SUM(D56:D59)</f>
        <v>1596924</v>
      </c>
      <c r="E60" s="33">
        <f>SUM(E56:E59)</f>
        <v>509304</v>
      </c>
      <c r="F60" s="34">
        <f>AVERAGE(F56:F59)</f>
        <v>0.303975</v>
      </c>
      <c r="G60" s="33">
        <f>SUM(G56:G59)</f>
        <v>4675</v>
      </c>
      <c r="H60" s="34">
        <f>AVERAGE(H56:H59)</f>
        <v>9.9500000000000005E-3</v>
      </c>
      <c r="I60" s="35">
        <f>AVERAGE(I56:I59)</f>
        <v>3.0000000000000001E-3</v>
      </c>
    </row>
    <row r="65" spans="6:13" x14ac:dyDescent="0.35">
      <c r="F65" s="1"/>
      <c r="G65" s="1"/>
      <c r="H65" s="3"/>
      <c r="I65" s="1"/>
      <c r="J65" s="3"/>
      <c r="K65" s="1"/>
      <c r="L65" s="3"/>
      <c r="M65" s="3"/>
    </row>
    <row r="66" spans="6:13" x14ac:dyDescent="0.35">
      <c r="F66" s="1"/>
      <c r="G66" s="1"/>
      <c r="H66" s="3"/>
      <c r="I66" s="1"/>
      <c r="J66" s="3"/>
      <c r="K66" s="1"/>
      <c r="L66" s="3"/>
      <c r="M66" s="3"/>
    </row>
    <row r="67" spans="6:13" x14ac:dyDescent="0.35">
      <c r="F67" s="1"/>
      <c r="H67" s="3"/>
      <c r="I67" s="1"/>
      <c r="J67" s="3"/>
      <c r="L67" s="3"/>
      <c r="M67" s="3"/>
    </row>
    <row r="68" spans="6:13" x14ac:dyDescent="0.35">
      <c r="F68" s="1"/>
      <c r="H68" s="3"/>
      <c r="I68" s="1"/>
      <c r="J68" s="3"/>
      <c r="L68" s="3"/>
      <c r="M68" s="3"/>
    </row>
  </sheetData>
  <mergeCells count="3">
    <mergeCell ref="A27:I27"/>
    <mergeCell ref="A40:I40"/>
    <mergeCell ref="A54:I54"/>
  </mergeCells>
  <pageMargins left="0.7" right="0.7" top="0.75" bottom="0.75" header="0.3" footer="0.3"/>
  <ignoredErrors>
    <ignoredError sqref="F26:G26 F39:G39 F60:G60 F53" formula="1"/>
  </ignoredErrors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8C6C-039E-44A0-8EE4-8B3CB118D552}">
  <dimension ref="A1:M68"/>
  <sheetViews>
    <sheetView workbookViewId="0">
      <selection activeCell="M20" sqref="M20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45478</v>
      </c>
      <c r="B2" t="s">
        <v>546</v>
      </c>
      <c r="C2" t="s">
        <v>10</v>
      </c>
      <c r="D2" s="1">
        <v>395997</v>
      </c>
      <c r="E2" s="1">
        <v>139317</v>
      </c>
      <c r="F2" s="2">
        <v>0.35181327131266099</v>
      </c>
      <c r="G2" s="1">
        <v>3262</v>
      </c>
      <c r="H2" s="2">
        <v>2.3414227983663199E-2</v>
      </c>
      <c r="I2" s="2">
        <v>8.2374361421929995E-3</v>
      </c>
    </row>
    <row r="3" spans="1:9" ht="14.15" customHeight="1" x14ac:dyDescent="0.35">
      <c r="A3" s="19">
        <v>45478</v>
      </c>
      <c r="B3" t="s">
        <v>546</v>
      </c>
      <c r="C3" t="s">
        <v>11</v>
      </c>
      <c r="D3" s="1">
        <v>21770</v>
      </c>
      <c r="E3" s="1">
        <v>7451</v>
      </c>
      <c r="F3" s="2">
        <v>0.34225999081304498</v>
      </c>
      <c r="G3" s="1">
        <v>342</v>
      </c>
      <c r="H3" s="2">
        <v>4.5899879210844201E-2</v>
      </c>
      <c r="I3" s="2">
        <v>1.5709692237023402E-2</v>
      </c>
    </row>
    <row r="4" spans="1:9" ht="14.15" customHeight="1" x14ac:dyDescent="0.35">
      <c r="A4" s="19">
        <v>45478</v>
      </c>
      <c r="B4" t="s">
        <v>547</v>
      </c>
      <c r="C4" t="s">
        <v>524</v>
      </c>
      <c r="D4" s="1">
        <v>237116</v>
      </c>
      <c r="E4" s="1">
        <v>78516</v>
      </c>
      <c r="F4" s="2">
        <v>0.33112906762934602</v>
      </c>
      <c r="G4" s="1">
        <v>965</v>
      </c>
      <c r="H4" s="2">
        <v>1.22904885628407E-2</v>
      </c>
      <c r="I4" s="2">
        <v>4.06973801852258E-3</v>
      </c>
    </row>
    <row r="5" spans="1:9" ht="14.15" customHeight="1" x14ac:dyDescent="0.35">
      <c r="A5" s="19">
        <v>45478</v>
      </c>
      <c r="B5" t="s">
        <v>547</v>
      </c>
      <c r="C5" t="s">
        <v>525</v>
      </c>
      <c r="D5" s="1">
        <v>15320</v>
      </c>
      <c r="E5" s="1">
        <v>4590</v>
      </c>
      <c r="F5" s="2">
        <v>0.299608355091384</v>
      </c>
      <c r="G5" s="1">
        <v>70</v>
      </c>
      <c r="H5" s="2">
        <v>1.52505446623094E-2</v>
      </c>
      <c r="I5" s="2">
        <v>4.56919060052219E-3</v>
      </c>
    </row>
    <row r="6" spans="1:9" ht="14.15" customHeight="1" x14ac:dyDescent="0.35">
      <c r="A6" s="19">
        <v>45478</v>
      </c>
      <c r="B6" t="s">
        <v>547</v>
      </c>
      <c r="C6" t="s">
        <v>526</v>
      </c>
      <c r="D6" s="1">
        <v>4307497</v>
      </c>
      <c r="E6" s="1">
        <v>1395295</v>
      </c>
      <c r="F6" s="2">
        <v>0.32392245426984601</v>
      </c>
      <c r="G6" s="1">
        <v>22578</v>
      </c>
      <c r="H6" s="2">
        <v>1.6181524337147299E-2</v>
      </c>
      <c r="I6" s="2">
        <v>5.2415590771160104E-3</v>
      </c>
    </row>
    <row r="7" spans="1:9" ht="14.15" customHeight="1" x14ac:dyDescent="0.35">
      <c r="A7" s="19">
        <v>45478</v>
      </c>
      <c r="B7" t="s">
        <v>547</v>
      </c>
      <c r="C7" t="s">
        <v>527</v>
      </c>
      <c r="D7" s="1">
        <v>277918</v>
      </c>
      <c r="E7" s="1">
        <v>81060</v>
      </c>
      <c r="F7" s="2">
        <v>0.29166876560712202</v>
      </c>
      <c r="G7" s="1">
        <v>1953</v>
      </c>
      <c r="H7" s="2">
        <v>2.4093264248704699E-2</v>
      </c>
      <c r="I7" s="2">
        <v>7.0272526428658798E-3</v>
      </c>
    </row>
    <row r="8" spans="1:9" ht="14.15" customHeight="1" x14ac:dyDescent="0.35">
      <c r="A8" s="19">
        <v>45479</v>
      </c>
      <c r="B8" t="s">
        <v>548</v>
      </c>
      <c r="C8" t="s">
        <v>10</v>
      </c>
      <c r="D8" s="1">
        <v>61054</v>
      </c>
      <c r="E8" s="1">
        <v>25161</v>
      </c>
      <c r="F8" s="2">
        <v>0.41211059062469302</v>
      </c>
      <c r="G8" s="1">
        <v>1558</v>
      </c>
      <c r="H8" s="2">
        <v>6.1921227296212397E-2</v>
      </c>
      <c r="I8" s="2">
        <v>2.5518393553247899E-2</v>
      </c>
    </row>
    <row r="9" spans="1:9" ht="14.15" customHeight="1" x14ac:dyDescent="0.35">
      <c r="A9" s="19">
        <v>45479</v>
      </c>
      <c r="B9" t="s">
        <v>548</v>
      </c>
      <c r="C9" t="s">
        <v>11</v>
      </c>
      <c r="D9" s="1">
        <v>6660</v>
      </c>
      <c r="E9" s="1">
        <v>3060</v>
      </c>
      <c r="F9" s="2">
        <v>0.45945945945945899</v>
      </c>
      <c r="G9" s="1">
        <v>225</v>
      </c>
      <c r="H9" s="2">
        <v>7.3529411764705899E-2</v>
      </c>
      <c r="I9" s="2">
        <v>3.37837837837838E-2</v>
      </c>
    </row>
    <row r="10" spans="1:9" ht="14.15" customHeight="1" x14ac:dyDescent="0.35">
      <c r="A10" s="19">
        <v>45481</v>
      </c>
      <c r="B10" t="s">
        <v>549</v>
      </c>
      <c r="C10" t="s">
        <v>10</v>
      </c>
      <c r="D10" s="1">
        <v>6396904</v>
      </c>
      <c r="E10" s="1">
        <v>2382553</v>
      </c>
      <c r="F10" s="2">
        <v>0.37245408091164101</v>
      </c>
      <c r="G10" s="1">
        <v>15614</v>
      </c>
      <c r="H10" s="2">
        <v>6.5534743613258504E-3</v>
      </c>
      <c r="I10" s="2">
        <v>2.44086827002562E-3</v>
      </c>
    </row>
    <row r="11" spans="1:9" ht="14.15" customHeight="1" x14ac:dyDescent="0.35">
      <c r="A11" s="19">
        <v>45481</v>
      </c>
      <c r="B11" t="s">
        <v>549</v>
      </c>
      <c r="C11" t="s">
        <v>11</v>
      </c>
      <c r="D11" s="1">
        <v>416624</v>
      </c>
      <c r="E11" s="1">
        <v>129723</v>
      </c>
      <c r="F11" s="2">
        <v>0.3113670839894</v>
      </c>
      <c r="G11" s="1">
        <v>1312</v>
      </c>
      <c r="H11" s="2">
        <v>1.0113857989716601E-2</v>
      </c>
      <c r="I11" s="2">
        <v>3.1491224701409399E-3</v>
      </c>
    </row>
    <row r="12" spans="1:9" ht="14.15" customHeight="1" x14ac:dyDescent="0.35">
      <c r="A12" s="19">
        <v>45481</v>
      </c>
      <c r="B12" t="s">
        <v>550</v>
      </c>
      <c r="C12" t="s">
        <v>10</v>
      </c>
      <c r="D12" s="1">
        <v>14525</v>
      </c>
      <c r="E12" s="1">
        <v>5649</v>
      </c>
      <c r="F12" s="2">
        <v>0.38891566265060201</v>
      </c>
      <c r="G12" s="1">
        <v>393</v>
      </c>
      <c r="H12" s="2">
        <v>6.9569835369091906E-2</v>
      </c>
      <c r="I12" s="2">
        <v>2.7056798623063701E-2</v>
      </c>
    </row>
    <row r="13" spans="1:9" ht="14.15" customHeight="1" x14ac:dyDescent="0.35">
      <c r="A13" s="19">
        <v>45481</v>
      </c>
      <c r="B13" t="s">
        <v>551</v>
      </c>
      <c r="C13" t="s">
        <v>552</v>
      </c>
      <c r="D13" s="1">
        <v>10221</v>
      </c>
      <c r="E13" s="1">
        <v>4118</v>
      </c>
      <c r="F13" s="2">
        <v>0.402895998434595</v>
      </c>
      <c r="G13" s="1">
        <v>245</v>
      </c>
      <c r="H13" s="2">
        <v>5.9494900437105397E-2</v>
      </c>
      <c r="I13" s="2">
        <v>2.3970257313374401E-2</v>
      </c>
    </row>
    <row r="14" spans="1:9" ht="14.15" customHeight="1" x14ac:dyDescent="0.35">
      <c r="A14" s="19">
        <v>45482</v>
      </c>
      <c r="B14" t="s">
        <v>553</v>
      </c>
      <c r="C14" t="s">
        <v>10</v>
      </c>
      <c r="D14" s="1">
        <v>1337359</v>
      </c>
      <c r="E14" s="1">
        <v>465308</v>
      </c>
      <c r="F14" s="2">
        <v>0.347930510805251</v>
      </c>
      <c r="G14" s="1">
        <v>9252</v>
      </c>
      <c r="H14" s="2">
        <v>1.9883603978440099E-2</v>
      </c>
      <c r="I14" s="2">
        <v>6.9181124888679901E-3</v>
      </c>
    </row>
    <row r="15" spans="1:9" ht="14.15" customHeight="1" x14ac:dyDescent="0.35">
      <c r="A15" s="19">
        <v>45482</v>
      </c>
      <c r="B15" t="s">
        <v>553</v>
      </c>
      <c r="C15" t="s">
        <v>11</v>
      </c>
      <c r="D15" s="1">
        <v>92921</v>
      </c>
      <c r="E15" s="1">
        <v>32051</v>
      </c>
      <c r="F15" s="2">
        <v>0.34492741145704398</v>
      </c>
      <c r="G15" s="1">
        <v>1121</v>
      </c>
      <c r="H15" s="2">
        <v>3.49755077844685E-2</v>
      </c>
      <c r="I15" s="2">
        <v>1.2064011364492399E-2</v>
      </c>
    </row>
    <row r="16" spans="1:9" ht="14.15" customHeight="1" x14ac:dyDescent="0.35">
      <c r="A16" s="19">
        <v>45483</v>
      </c>
      <c r="B16" t="s">
        <v>554</v>
      </c>
      <c r="C16" t="s">
        <v>10</v>
      </c>
      <c r="D16" s="1">
        <v>83932</v>
      </c>
      <c r="E16" s="1">
        <v>40500</v>
      </c>
      <c r="F16" s="2">
        <v>0.48253347948339098</v>
      </c>
      <c r="G16" s="1">
        <v>494</v>
      </c>
      <c r="H16" s="2">
        <v>1.21975308641975E-2</v>
      </c>
      <c r="I16" s="2">
        <v>5.8857170090072901E-3</v>
      </c>
    </row>
    <row r="17" spans="1:9" ht="14.15" customHeight="1" x14ac:dyDescent="0.35">
      <c r="A17" s="19">
        <v>45483</v>
      </c>
      <c r="B17" t="s">
        <v>555</v>
      </c>
      <c r="C17" t="s">
        <v>10</v>
      </c>
      <c r="D17" s="1">
        <v>227195</v>
      </c>
      <c r="E17" s="1">
        <v>96926</v>
      </c>
      <c r="F17" s="2">
        <v>0.42662030414401703</v>
      </c>
      <c r="G17" s="1">
        <v>2607</v>
      </c>
      <c r="H17" s="2">
        <v>2.68968078740482E-2</v>
      </c>
      <c r="I17" s="2">
        <v>1.14747243557297E-2</v>
      </c>
    </row>
    <row r="18" spans="1:9" ht="14.15" customHeight="1" x14ac:dyDescent="0.35">
      <c r="A18" s="19">
        <v>45483</v>
      </c>
      <c r="B18" t="s">
        <v>555</v>
      </c>
      <c r="C18" t="s">
        <v>11</v>
      </c>
      <c r="D18" s="1">
        <v>13409</v>
      </c>
      <c r="E18" s="1">
        <v>6167</v>
      </c>
      <c r="F18" s="2">
        <v>0.459914982474457</v>
      </c>
      <c r="G18" s="1">
        <v>497</v>
      </c>
      <c r="H18" s="2">
        <v>8.0590238365493796E-2</v>
      </c>
      <c r="I18" s="2">
        <v>3.7064658065478401E-2</v>
      </c>
    </row>
    <row r="19" spans="1:9" ht="14.15" customHeight="1" x14ac:dyDescent="0.35">
      <c r="A19" s="19">
        <v>45483</v>
      </c>
      <c r="B19" t="s">
        <v>556</v>
      </c>
      <c r="C19" t="s">
        <v>10</v>
      </c>
      <c r="D19" s="1">
        <v>3066267</v>
      </c>
      <c r="E19" s="1">
        <v>1137364</v>
      </c>
      <c r="F19" s="2">
        <v>0.37092790680002802</v>
      </c>
      <c r="G19" s="1">
        <v>33472</v>
      </c>
      <c r="H19" s="2">
        <v>2.9429452664230599E-2</v>
      </c>
      <c r="I19" s="2">
        <v>1.09162052750136E-2</v>
      </c>
    </row>
    <row r="20" spans="1:9" ht="14.15" customHeight="1" x14ac:dyDescent="0.35">
      <c r="A20" s="19">
        <v>45483</v>
      </c>
      <c r="B20" t="s">
        <v>556</v>
      </c>
      <c r="C20" t="s">
        <v>11</v>
      </c>
      <c r="D20" s="1">
        <v>163382</v>
      </c>
      <c r="E20" s="1">
        <v>61207</v>
      </c>
      <c r="F20" s="2">
        <v>0.374625111701411</v>
      </c>
      <c r="G20" s="1">
        <v>4079</v>
      </c>
      <c r="H20" s="2">
        <v>6.6642704265851893E-2</v>
      </c>
      <c r="I20" s="2">
        <v>2.4966030529678902E-2</v>
      </c>
    </row>
    <row r="21" spans="1:9" ht="14.15" customHeight="1" x14ac:dyDescent="0.35">
      <c r="A21" s="19">
        <v>45484</v>
      </c>
      <c r="B21" t="s">
        <v>542</v>
      </c>
      <c r="C21" t="s">
        <v>234</v>
      </c>
      <c r="D21" s="1">
        <v>439924</v>
      </c>
      <c r="E21" s="1">
        <v>136107</v>
      </c>
      <c r="F21" s="3">
        <v>0.30940000000000001</v>
      </c>
      <c r="G21">
        <v>913</v>
      </c>
      <c r="H21" s="3">
        <v>6.7000000000000002E-3</v>
      </c>
      <c r="I21" s="3">
        <v>2.0999999999999999E-3</v>
      </c>
    </row>
    <row r="22" spans="1:9" ht="14.15" customHeight="1" x14ac:dyDescent="0.35">
      <c r="A22" s="19">
        <v>45484</v>
      </c>
      <c r="B22" t="s">
        <v>544</v>
      </c>
      <c r="C22" t="s">
        <v>235</v>
      </c>
      <c r="D22" s="1">
        <v>21594</v>
      </c>
      <c r="E22" s="1">
        <v>6151</v>
      </c>
      <c r="F22" s="3">
        <v>0.2848</v>
      </c>
      <c r="G22">
        <v>74</v>
      </c>
      <c r="H22" s="3">
        <v>1.2E-2</v>
      </c>
      <c r="I22" s="3">
        <v>3.3999999999999998E-3</v>
      </c>
    </row>
    <row r="23" spans="1:9" ht="14.15" customHeight="1" x14ac:dyDescent="0.35">
      <c r="A23" s="19">
        <v>45484</v>
      </c>
      <c r="B23" t="s">
        <v>557</v>
      </c>
      <c r="C23" t="s">
        <v>400</v>
      </c>
      <c r="D23" s="1">
        <v>1056207</v>
      </c>
      <c r="E23" s="1">
        <v>353643</v>
      </c>
      <c r="F23" s="3">
        <v>0.33479999999999999</v>
      </c>
      <c r="G23" s="1">
        <v>4238</v>
      </c>
      <c r="H23" s="3">
        <v>1.2E-2</v>
      </c>
      <c r="I23" s="3">
        <v>4.0000000000000001E-3</v>
      </c>
    </row>
    <row r="24" spans="1:9" ht="14.15" customHeight="1" x14ac:dyDescent="0.35">
      <c r="A24" s="19">
        <v>45484</v>
      </c>
      <c r="B24" t="s">
        <v>558</v>
      </c>
      <c r="C24" t="s">
        <v>402</v>
      </c>
      <c r="D24" s="1">
        <v>61146</v>
      </c>
      <c r="E24" s="1">
        <v>18669</v>
      </c>
      <c r="F24" s="3">
        <v>0.30530000000000002</v>
      </c>
      <c r="G24">
        <v>271</v>
      </c>
      <c r="H24" s="3">
        <v>1.4500000000000001E-2</v>
      </c>
      <c r="I24" s="3">
        <v>4.4000000000000003E-3</v>
      </c>
    </row>
    <row r="25" spans="1:9" ht="14.15" customHeight="1" x14ac:dyDescent="0.35">
      <c r="A25" s="19">
        <v>45484</v>
      </c>
      <c r="B25" t="s">
        <v>559</v>
      </c>
      <c r="C25" t="s">
        <v>10</v>
      </c>
      <c r="D25" s="1">
        <v>755353</v>
      </c>
      <c r="E25" s="1">
        <v>198929</v>
      </c>
      <c r="F25" s="2">
        <v>0.26335898579869299</v>
      </c>
      <c r="G25" s="1">
        <v>1755</v>
      </c>
      <c r="H25" s="2">
        <v>8.8222431118640306E-3</v>
      </c>
      <c r="I25" s="2">
        <v>2.3234169984100101E-3</v>
      </c>
    </row>
    <row r="26" spans="1:9" ht="16" thickBot="1" x14ac:dyDescent="0.4">
      <c r="A26" s="37" t="s">
        <v>35</v>
      </c>
      <c r="D26" s="31">
        <f>SUM(D2:D25)</f>
        <v>19480295</v>
      </c>
      <c r="E26" s="31">
        <f>SUM(E2:E25)</f>
        <v>6809515</v>
      </c>
      <c r="F26" s="32">
        <f>AVERAGE(F2:F25)</f>
        <v>0.35803097806075357</v>
      </c>
      <c r="G26" s="31">
        <f>SUM(G2:G25)</f>
        <v>107290</v>
      </c>
      <c r="H26" s="32">
        <f>AVERAGE(H2:H25)</f>
        <v>3.0956280213844264E-2</v>
      </c>
      <c r="I26" s="32">
        <f>AVERAGE(I2:I25)</f>
        <v>1.1928623700773237E-2</v>
      </c>
    </row>
    <row r="27" spans="1:9" ht="15" thickBot="1" x14ac:dyDescent="0.4">
      <c r="A27" s="138" t="s">
        <v>302</v>
      </c>
      <c r="B27" s="138"/>
      <c r="C27" s="138"/>
      <c r="D27" s="138"/>
      <c r="E27" s="138"/>
      <c r="F27" s="138"/>
      <c r="G27" s="138"/>
      <c r="H27" s="138"/>
      <c r="I27" s="138"/>
    </row>
    <row r="28" spans="1:9" ht="15.5" x14ac:dyDescent="0.35">
      <c r="A28" s="38" t="s">
        <v>0</v>
      </c>
      <c r="B28" s="39" t="s">
        <v>1</v>
      </c>
      <c r="C28" s="39" t="s">
        <v>2</v>
      </c>
      <c r="D28" s="39" t="s">
        <v>3</v>
      </c>
      <c r="E28" s="39" t="s">
        <v>4</v>
      </c>
      <c r="F28" s="39" t="s">
        <v>5</v>
      </c>
      <c r="G28" s="39" t="s">
        <v>6</v>
      </c>
      <c r="H28" s="39" t="s">
        <v>7</v>
      </c>
      <c r="I28" s="40" t="s">
        <v>8</v>
      </c>
    </row>
    <row r="29" spans="1:9" x14ac:dyDescent="0.35">
      <c r="A29" s="5" t="s">
        <v>36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8">
        <v>45478</v>
      </c>
      <c r="B30" t="s">
        <v>546</v>
      </c>
      <c r="C30" t="s">
        <v>10</v>
      </c>
      <c r="D30" s="1">
        <v>395997</v>
      </c>
      <c r="E30" s="1">
        <v>139317</v>
      </c>
      <c r="F30" s="2">
        <v>0.35181327131266099</v>
      </c>
      <c r="G30" s="1">
        <v>3262</v>
      </c>
      <c r="H30" s="2">
        <v>2.3414227983663199E-2</v>
      </c>
      <c r="I30" s="9">
        <v>8.2374361421929995E-3</v>
      </c>
    </row>
    <row r="31" spans="1:9" ht="14.15" customHeight="1" x14ac:dyDescent="0.35">
      <c r="A31" s="8">
        <v>45478</v>
      </c>
      <c r="B31" t="s">
        <v>546</v>
      </c>
      <c r="C31" t="s">
        <v>11</v>
      </c>
      <c r="D31" s="1">
        <v>21770</v>
      </c>
      <c r="E31" s="1">
        <v>7451</v>
      </c>
      <c r="F31" s="2">
        <v>0.34225999081304498</v>
      </c>
      <c r="G31" s="1">
        <v>342</v>
      </c>
      <c r="H31" s="2">
        <v>4.5899879210844201E-2</v>
      </c>
      <c r="I31" s="9">
        <v>1.5709692237023402E-2</v>
      </c>
    </row>
    <row r="32" spans="1:9" ht="14.15" customHeight="1" x14ac:dyDescent="0.35">
      <c r="A32" s="8">
        <v>45478</v>
      </c>
      <c r="B32" t="s">
        <v>547</v>
      </c>
      <c r="C32" t="s">
        <v>524</v>
      </c>
      <c r="D32" s="1">
        <v>237116</v>
      </c>
      <c r="E32" s="1">
        <v>78516</v>
      </c>
      <c r="F32" s="2">
        <v>0.33112906762934602</v>
      </c>
      <c r="G32" s="1">
        <v>965</v>
      </c>
      <c r="H32" s="2">
        <v>1.22904885628407E-2</v>
      </c>
      <c r="I32" s="9">
        <v>4.06973801852258E-3</v>
      </c>
    </row>
    <row r="33" spans="1:9" ht="14.15" customHeight="1" x14ac:dyDescent="0.35">
      <c r="A33" s="8">
        <v>45478</v>
      </c>
      <c r="B33" t="s">
        <v>547</v>
      </c>
      <c r="C33" t="s">
        <v>525</v>
      </c>
      <c r="D33" s="1">
        <v>15320</v>
      </c>
      <c r="E33" s="1">
        <v>4590</v>
      </c>
      <c r="F33" s="2">
        <v>0.299608355091384</v>
      </c>
      <c r="G33" s="1">
        <v>70</v>
      </c>
      <c r="H33" s="2">
        <v>1.52505446623094E-2</v>
      </c>
      <c r="I33" s="9">
        <v>4.56919060052219E-3</v>
      </c>
    </row>
    <row r="34" spans="1:9" ht="14.15" customHeight="1" x14ac:dyDescent="0.35">
      <c r="A34" s="8">
        <v>45478</v>
      </c>
      <c r="B34" t="s">
        <v>547</v>
      </c>
      <c r="C34" t="s">
        <v>526</v>
      </c>
      <c r="D34" s="1">
        <v>4307497</v>
      </c>
      <c r="E34" s="1">
        <v>1395295</v>
      </c>
      <c r="F34" s="2">
        <v>0.32392245426984601</v>
      </c>
      <c r="G34" s="1">
        <v>22578</v>
      </c>
      <c r="H34" s="2">
        <v>1.6181524337147299E-2</v>
      </c>
      <c r="I34" s="9">
        <v>5.2415590771160104E-3</v>
      </c>
    </row>
    <row r="35" spans="1:9" ht="14.15" customHeight="1" x14ac:dyDescent="0.35">
      <c r="A35" s="8">
        <v>45478</v>
      </c>
      <c r="B35" t="s">
        <v>547</v>
      </c>
      <c r="C35" t="s">
        <v>527</v>
      </c>
      <c r="D35" s="1">
        <v>277918</v>
      </c>
      <c r="E35" s="1">
        <v>81060</v>
      </c>
      <c r="F35" s="2">
        <v>0.29166876560712202</v>
      </c>
      <c r="G35" s="1">
        <v>1953</v>
      </c>
      <c r="H35" s="2">
        <v>2.4093264248704699E-2</v>
      </c>
      <c r="I35" s="9">
        <v>7.0272526428658798E-3</v>
      </c>
    </row>
    <row r="36" spans="1:9" ht="14.15" customHeight="1" x14ac:dyDescent="0.35">
      <c r="A36" s="8">
        <v>45482</v>
      </c>
      <c r="B36" t="s">
        <v>553</v>
      </c>
      <c r="C36" t="s">
        <v>10</v>
      </c>
      <c r="D36" s="1">
        <v>1337359</v>
      </c>
      <c r="E36" s="1">
        <v>465308</v>
      </c>
      <c r="F36" s="2">
        <v>0.347930510805251</v>
      </c>
      <c r="G36" s="1">
        <v>9252</v>
      </c>
      <c r="H36" s="2">
        <v>1.9883603978440099E-2</v>
      </c>
      <c r="I36" s="9">
        <v>6.9181124888679901E-3</v>
      </c>
    </row>
    <row r="37" spans="1:9" ht="14.15" customHeight="1" x14ac:dyDescent="0.35">
      <c r="A37" s="8">
        <v>45482</v>
      </c>
      <c r="B37" t="s">
        <v>553</v>
      </c>
      <c r="C37" t="s">
        <v>11</v>
      </c>
      <c r="D37" s="1">
        <v>92921</v>
      </c>
      <c r="E37" s="1">
        <v>32051</v>
      </c>
      <c r="F37" s="2">
        <v>0.34492741145704398</v>
      </c>
      <c r="G37" s="1">
        <v>1121</v>
      </c>
      <c r="H37" s="2">
        <v>3.49755077844685E-2</v>
      </c>
      <c r="I37" s="9">
        <v>1.2064011364492399E-2</v>
      </c>
    </row>
    <row r="38" spans="1:9" ht="16" thickBot="1" x14ac:dyDescent="0.4">
      <c r="A38" s="36" t="s">
        <v>35</v>
      </c>
      <c r="B38" s="4"/>
      <c r="C38" s="4"/>
      <c r="D38" s="33">
        <f>SUM(D30:D37)</f>
        <v>6685898</v>
      </c>
      <c r="E38" s="33">
        <f>SUM(E30:E37)</f>
        <v>2203588</v>
      </c>
      <c r="F38" s="34">
        <f>AVERAGE(F30:F37)</f>
        <v>0.3291574783732123</v>
      </c>
      <c r="G38" s="33">
        <f>SUM(G30:G37)</f>
        <v>39543</v>
      </c>
      <c r="H38" s="34">
        <f>AVERAGE(H30:H37)</f>
        <v>2.3998630096052267E-2</v>
      </c>
      <c r="I38" s="35">
        <f>AVERAGE(I30:I37)</f>
        <v>7.97962407145043E-3</v>
      </c>
    </row>
    <row r="39" spans="1:9" ht="3" customHeight="1" thickBot="1" x14ac:dyDescent="0.4">
      <c r="A39" s="139"/>
      <c r="B39" s="138"/>
      <c r="C39" s="138"/>
      <c r="D39" s="138"/>
      <c r="E39" s="138"/>
      <c r="F39" s="138"/>
      <c r="G39" s="138"/>
      <c r="H39" s="138"/>
      <c r="I39" s="140"/>
    </row>
    <row r="40" spans="1:9" x14ac:dyDescent="0.35">
      <c r="A40" s="16" t="s">
        <v>37</v>
      </c>
      <c r="B40" s="17"/>
      <c r="C40" s="17"/>
      <c r="D40" s="17"/>
      <c r="E40" s="17"/>
      <c r="F40" s="17"/>
      <c r="G40" s="17"/>
      <c r="H40" s="17"/>
      <c r="I40" s="18"/>
    </row>
    <row r="41" spans="1:9" ht="14.15" customHeight="1" x14ac:dyDescent="0.35">
      <c r="A41" s="8">
        <v>45479</v>
      </c>
      <c r="B41" t="s">
        <v>548</v>
      </c>
      <c r="C41" t="s">
        <v>10</v>
      </c>
      <c r="D41" s="1">
        <v>61054</v>
      </c>
      <c r="E41" s="1">
        <v>25161</v>
      </c>
      <c r="F41" s="2">
        <v>0.41211059062469302</v>
      </c>
      <c r="G41" s="1">
        <v>1558</v>
      </c>
      <c r="H41" s="2">
        <v>6.1921227296212397E-2</v>
      </c>
      <c r="I41" s="9">
        <v>2.5518393553247899E-2</v>
      </c>
    </row>
    <row r="42" spans="1:9" ht="14.15" customHeight="1" x14ac:dyDescent="0.35">
      <c r="A42" s="8">
        <v>45479</v>
      </c>
      <c r="B42" t="s">
        <v>548</v>
      </c>
      <c r="C42" t="s">
        <v>11</v>
      </c>
      <c r="D42" s="1">
        <v>6660</v>
      </c>
      <c r="E42" s="1">
        <v>3060</v>
      </c>
      <c r="F42" s="2">
        <v>0.45945945945945899</v>
      </c>
      <c r="G42" s="1">
        <v>225</v>
      </c>
      <c r="H42" s="2">
        <v>7.3529411764705899E-2</v>
      </c>
      <c r="I42" s="9">
        <v>3.37837837837838E-2</v>
      </c>
    </row>
    <row r="43" spans="1:9" ht="14.15" customHeight="1" x14ac:dyDescent="0.35">
      <c r="A43" s="8">
        <v>45481</v>
      </c>
      <c r="B43" t="s">
        <v>549</v>
      </c>
      <c r="C43" t="s">
        <v>10</v>
      </c>
      <c r="D43" s="1">
        <v>6396904</v>
      </c>
      <c r="E43" s="1">
        <v>2382553</v>
      </c>
      <c r="F43" s="2">
        <v>0.37245408091164101</v>
      </c>
      <c r="G43" s="1">
        <v>15614</v>
      </c>
      <c r="H43" s="2">
        <v>6.5534743613258504E-3</v>
      </c>
      <c r="I43" s="9">
        <v>2.44086827002562E-3</v>
      </c>
    </row>
    <row r="44" spans="1:9" ht="14.15" customHeight="1" x14ac:dyDescent="0.35">
      <c r="A44" s="8">
        <v>45481</v>
      </c>
      <c r="B44" t="s">
        <v>549</v>
      </c>
      <c r="C44" t="s">
        <v>11</v>
      </c>
      <c r="D44" s="1">
        <v>416624</v>
      </c>
      <c r="E44" s="1">
        <v>129723</v>
      </c>
      <c r="F44" s="2">
        <v>0.3113670839894</v>
      </c>
      <c r="G44" s="1">
        <v>1312</v>
      </c>
      <c r="H44" s="2">
        <v>1.0113857989716601E-2</v>
      </c>
      <c r="I44" s="9">
        <v>3.1491224701409399E-3</v>
      </c>
    </row>
    <row r="45" spans="1:9" ht="14.15" customHeight="1" x14ac:dyDescent="0.35">
      <c r="A45" s="8">
        <v>45481</v>
      </c>
      <c r="B45" t="s">
        <v>550</v>
      </c>
      <c r="C45" t="s">
        <v>10</v>
      </c>
      <c r="D45" s="1">
        <v>14525</v>
      </c>
      <c r="E45" s="1">
        <v>5649</v>
      </c>
      <c r="F45" s="2">
        <v>0.38891566265060201</v>
      </c>
      <c r="G45" s="1">
        <v>393</v>
      </c>
      <c r="H45" s="2">
        <v>6.9569835369091906E-2</v>
      </c>
      <c r="I45" s="9">
        <v>2.7056798623063701E-2</v>
      </c>
    </row>
    <row r="46" spans="1:9" ht="14.15" customHeight="1" x14ac:dyDescent="0.35">
      <c r="A46" s="8">
        <v>45481</v>
      </c>
      <c r="B46" t="s">
        <v>551</v>
      </c>
      <c r="C46" t="s">
        <v>552</v>
      </c>
      <c r="D46" s="1">
        <v>10221</v>
      </c>
      <c r="E46" s="1">
        <v>4118</v>
      </c>
      <c r="F46" s="2">
        <v>0.402895998434595</v>
      </c>
      <c r="G46" s="1">
        <v>245</v>
      </c>
      <c r="H46" s="2">
        <v>5.9494900437105397E-2</v>
      </c>
      <c r="I46" s="9">
        <v>2.3970257313374401E-2</v>
      </c>
    </row>
    <row r="47" spans="1:9" ht="14.15" customHeight="1" x14ac:dyDescent="0.35">
      <c r="A47" s="8">
        <v>45483</v>
      </c>
      <c r="B47" t="s">
        <v>554</v>
      </c>
      <c r="C47" t="s">
        <v>10</v>
      </c>
      <c r="D47" s="1">
        <v>83932</v>
      </c>
      <c r="E47" s="1">
        <v>40500</v>
      </c>
      <c r="F47" s="2">
        <v>0.48253347948339098</v>
      </c>
      <c r="G47" s="1">
        <v>494</v>
      </c>
      <c r="H47" s="2">
        <v>1.21975308641975E-2</v>
      </c>
      <c r="I47" s="9">
        <v>5.8857170090072901E-3</v>
      </c>
    </row>
    <row r="48" spans="1:9" ht="14.15" customHeight="1" x14ac:dyDescent="0.35">
      <c r="A48" s="8">
        <v>45483</v>
      </c>
      <c r="B48" t="s">
        <v>555</v>
      </c>
      <c r="C48" t="s">
        <v>10</v>
      </c>
      <c r="D48" s="1">
        <v>227195</v>
      </c>
      <c r="E48" s="1">
        <v>96926</v>
      </c>
      <c r="F48" s="2">
        <v>0.42662030414401703</v>
      </c>
      <c r="G48" s="1">
        <v>2607</v>
      </c>
      <c r="H48" s="2">
        <v>2.68968078740482E-2</v>
      </c>
      <c r="I48" s="9">
        <v>1.14747243557297E-2</v>
      </c>
    </row>
    <row r="49" spans="1:9" ht="14.15" customHeight="1" x14ac:dyDescent="0.35">
      <c r="A49" s="8">
        <v>45483</v>
      </c>
      <c r="B49" t="s">
        <v>555</v>
      </c>
      <c r="C49" t="s">
        <v>11</v>
      </c>
      <c r="D49" s="1">
        <v>13409</v>
      </c>
      <c r="E49" s="1">
        <v>6167</v>
      </c>
      <c r="F49" s="2">
        <v>0.459914982474457</v>
      </c>
      <c r="G49" s="1">
        <v>497</v>
      </c>
      <c r="H49" s="2">
        <v>8.0590238365493796E-2</v>
      </c>
      <c r="I49" s="9">
        <v>3.7064658065478401E-2</v>
      </c>
    </row>
    <row r="50" spans="1:9" ht="14.15" customHeight="1" x14ac:dyDescent="0.35">
      <c r="A50" s="8">
        <v>45483</v>
      </c>
      <c r="B50" t="s">
        <v>556</v>
      </c>
      <c r="C50" t="s">
        <v>10</v>
      </c>
      <c r="D50" s="1">
        <v>3066267</v>
      </c>
      <c r="E50" s="1">
        <v>1137364</v>
      </c>
      <c r="F50" s="2">
        <v>0.37092790680002802</v>
      </c>
      <c r="G50" s="1">
        <v>33472</v>
      </c>
      <c r="H50" s="2">
        <v>2.9429452664230599E-2</v>
      </c>
      <c r="I50" s="9">
        <v>1.09162052750136E-2</v>
      </c>
    </row>
    <row r="51" spans="1:9" ht="14.15" customHeight="1" x14ac:dyDescent="0.35">
      <c r="A51" s="8">
        <v>45483</v>
      </c>
      <c r="B51" t="s">
        <v>556</v>
      </c>
      <c r="C51" t="s">
        <v>11</v>
      </c>
      <c r="D51" s="1">
        <v>163382</v>
      </c>
      <c r="E51" s="1">
        <v>61207</v>
      </c>
      <c r="F51" s="2">
        <v>0.374625111701411</v>
      </c>
      <c r="G51" s="1">
        <v>4079</v>
      </c>
      <c r="H51" s="2">
        <v>6.6642704265851893E-2</v>
      </c>
      <c r="I51" s="9">
        <v>2.4966030529678902E-2</v>
      </c>
    </row>
    <row r="52" spans="1:9" ht="14.15" customHeight="1" x14ac:dyDescent="0.35">
      <c r="A52" s="8">
        <v>45484</v>
      </c>
      <c r="B52" t="s">
        <v>559</v>
      </c>
      <c r="C52" t="s">
        <v>10</v>
      </c>
      <c r="D52" s="1">
        <v>755353</v>
      </c>
      <c r="E52" s="1">
        <v>198929</v>
      </c>
      <c r="F52" s="2">
        <v>0.26335898579869299</v>
      </c>
      <c r="G52" s="1">
        <v>1755</v>
      </c>
      <c r="H52" s="2">
        <v>8.8222431118640306E-3</v>
      </c>
      <c r="I52" s="9">
        <v>2.3234169984100101E-3</v>
      </c>
    </row>
    <row r="53" spans="1:9" ht="16" thickBot="1" x14ac:dyDescent="0.4">
      <c r="A53" s="36" t="s">
        <v>35</v>
      </c>
      <c r="B53" s="4"/>
      <c r="C53" s="4"/>
      <c r="D53" s="33">
        <f>SUM(D41:D52)</f>
        <v>11215526</v>
      </c>
      <c r="E53" s="33">
        <f>SUM(E41:E52)</f>
        <v>4091357</v>
      </c>
      <c r="F53" s="34">
        <f>AVERAGE(F41:F52)</f>
        <v>0.39376530387269887</v>
      </c>
      <c r="G53" s="33">
        <f>SUM(G41:G52)</f>
        <v>62251</v>
      </c>
      <c r="H53" s="34">
        <f>AVERAGE(H41:H52)</f>
        <v>4.2146807030320338E-2</v>
      </c>
      <c r="I53" s="35">
        <f>AVERAGE(I41:I52)</f>
        <v>1.737916468724619E-2</v>
      </c>
    </row>
    <row r="54" spans="1:9" ht="3" customHeight="1" thickBot="1" x14ac:dyDescent="0.4">
      <c r="A54" s="139"/>
      <c r="B54" s="138"/>
      <c r="C54" s="138"/>
      <c r="D54" s="138"/>
      <c r="E54" s="138"/>
      <c r="F54" s="138"/>
      <c r="G54" s="138"/>
      <c r="H54" s="138"/>
      <c r="I54" s="140"/>
    </row>
    <row r="55" spans="1:9" x14ac:dyDescent="0.35">
      <c r="A55" s="16" t="s">
        <v>38</v>
      </c>
      <c r="B55" s="17"/>
      <c r="C55" s="17"/>
      <c r="D55" s="17"/>
      <c r="E55" s="17"/>
      <c r="F55" s="17"/>
      <c r="G55" s="17"/>
      <c r="H55" s="17"/>
      <c r="I55" s="18"/>
    </row>
    <row r="56" spans="1:9" ht="14.15" customHeight="1" x14ac:dyDescent="0.35">
      <c r="A56" s="8">
        <v>45484</v>
      </c>
      <c r="B56" t="s">
        <v>542</v>
      </c>
      <c r="C56" t="s">
        <v>234</v>
      </c>
      <c r="D56" s="1">
        <v>439924</v>
      </c>
      <c r="E56" s="1">
        <v>136107</v>
      </c>
      <c r="F56" s="3">
        <v>0.30940000000000001</v>
      </c>
      <c r="G56">
        <v>913</v>
      </c>
      <c r="H56" s="3">
        <v>6.7000000000000002E-3</v>
      </c>
      <c r="I56" s="11">
        <v>2.0999999999999999E-3</v>
      </c>
    </row>
    <row r="57" spans="1:9" ht="14.15" customHeight="1" x14ac:dyDescent="0.35">
      <c r="A57" s="8">
        <v>45484</v>
      </c>
      <c r="B57" t="s">
        <v>544</v>
      </c>
      <c r="C57" t="s">
        <v>235</v>
      </c>
      <c r="D57" s="1">
        <v>21594</v>
      </c>
      <c r="E57" s="1">
        <v>6151</v>
      </c>
      <c r="F57" s="3">
        <v>0.2848</v>
      </c>
      <c r="G57">
        <v>74</v>
      </c>
      <c r="H57" s="3">
        <v>1.2E-2</v>
      </c>
      <c r="I57" s="11">
        <v>3.3999999999999998E-3</v>
      </c>
    </row>
    <row r="58" spans="1:9" ht="14.15" customHeight="1" x14ac:dyDescent="0.35">
      <c r="A58" s="8">
        <v>45484</v>
      </c>
      <c r="B58" t="s">
        <v>557</v>
      </c>
      <c r="C58" t="s">
        <v>400</v>
      </c>
      <c r="D58" s="1">
        <v>1056207</v>
      </c>
      <c r="E58" s="1">
        <v>353643</v>
      </c>
      <c r="F58" s="3">
        <v>0.33479999999999999</v>
      </c>
      <c r="G58" s="1">
        <v>4238</v>
      </c>
      <c r="H58" s="3">
        <v>1.2E-2</v>
      </c>
      <c r="I58" s="11">
        <v>4.0000000000000001E-3</v>
      </c>
    </row>
    <row r="59" spans="1:9" ht="14.15" customHeight="1" x14ac:dyDescent="0.35">
      <c r="A59" s="8">
        <v>45484</v>
      </c>
      <c r="B59" t="s">
        <v>558</v>
      </c>
      <c r="C59" t="s">
        <v>402</v>
      </c>
      <c r="D59" s="1">
        <v>61146</v>
      </c>
      <c r="E59" s="1">
        <v>18669</v>
      </c>
      <c r="F59" s="3">
        <v>0.30530000000000002</v>
      </c>
      <c r="G59">
        <v>271</v>
      </c>
      <c r="H59" s="3">
        <v>1.4500000000000001E-2</v>
      </c>
      <c r="I59" s="11">
        <v>4.4000000000000003E-3</v>
      </c>
    </row>
    <row r="60" spans="1:9" ht="16" thickBot="1" x14ac:dyDescent="0.4">
      <c r="A60" s="36" t="s">
        <v>35</v>
      </c>
      <c r="B60" s="4"/>
      <c r="C60" s="4"/>
      <c r="D60" s="33">
        <f>SUM(D56:D59)</f>
        <v>1578871</v>
      </c>
      <c r="E60" s="33">
        <f>SUM(E56:E59)</f>
        <v>514570</v>
      </c>
      <c r="F60" s="34">
        <f>AVERAGE(F56:F59)</f>
        <v>0.30857500000000004</v>
      </c>
      <c r="G60" s="33">
        <f>SUM(G56:G59)</f>
        <v>5496</v>
      </c>
      <c r="H60" s="34">
        <f>AVERAGE(H56:H59)</f>
        <v>1.1300000000000001E-2</v>
      </c>
      <c r="I60" s="35">
        <f>AVERAGE(I56:I59)</f>
        <v>3.4749999999999998E-3</v>
      </c>
    </row>
    <row r="65" spans="6:13" x14ac:dyDescent="0.35">
      <c r="F65" s="1"/>
      <c r="G65" s="1"/>
      <c r="H65" s="3"/>
      <c r="I65" s="1"/>
      <c r="J65" s="3"/>
      <c r="K65" s="1"/>
      <c r="L65" s="3"/>
      <c r="M65" s="3"/>
    </row>
    <row r="66" spans="6:13" x14ac:dyDescent="0.35">
      <c r="F66" s="1"/>
      <c r="G66" s="1"/>
      <c r="H66" s="3"/>
      <c r="I66" s="1"/>
      <c r="J66" s="3"/>
      <c r="K66" s="1"/>
      <c r="L66" s="3"/>
      <c r="M66" s="3"/>
    </row>
    <row r="67" spans="6:13" x14ac:dyDescent="0.35">
      <c r="F67" s="1"/>
      <c r="H67" s="3"/>
      <c r="I67" s="1"/>
      <c r="J67" s="3"/>
      <c r="L67" s="3"/>
      <c r="M67" s="3"/>
    </row>
    <row r="68" spans="6:13" x14ac:dyDescent="0.35">
      <c r="F68" s="1"/>
      <c r="H68" s="3"/>
      <c r="I68" s="1"/>
      <c r="J68" s="3"/>
      <c r="L68" s="3"/>
      <c r="M68" s="3"/>
    </row>
  </sheetData>
  <mergeCells count="3">
    <mergeCell ref="A27:I27"/>
    <mergeCell ref="A39:I39"/>
    <mergeCell ref="A54:I54"/>
  </mergeCells>
  <pageMargins left="0.7" right="0.7" top="0.75" bottom="0.75" header="0.3" footer="0.3"/>
  <ignoredErrors>
    <ignoredError sqref="F26:G26 F53:G53 F38 F60" formula="1"/>
  </ignoredErrors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AAEB-44CE-429B-8A8F-FC98589CB4B9}">
  <dimension ref="A1:M88"/>
  <sheetViews>
    <sheetView zoomScale="98" zoomScaleNormal="98" workbookViewId="0">
      <selection activeCell="M25" sqref="M25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6.5429687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45485</v>
      </c>
      <c r="B2" t="s">
        <v>560</v>
      </c>
      <c r="C2" t="s">
        <v>10</v>
      </c>
      <c r="D2" s="1">
        <v>391532</v>
      </c>
      <c r="E2" s="1">
        <v>134965</v>
      </c>
      <c r="F2" s="2">
        <v>0.34471001093141801</v>
      </c>
      <c r="G2" s="1">
        <v>2714</v>
      </c>
      <c r="H2" s="2">
        <v>2.01089171266625E-2</v>
      </c>
      <c r="I2" s="2">
        <v>6.9317450425508001E-3</v>
      </c>
    </row>
    <row r="3" spans="1:9" x14ac:dyDescent="0.35">
      <c r="A3" s="19">
        <v>45485</v>
      </c>
      <c r="B3" t="s">
        <v>561</v>
      </c>
      <c r="C3" t="s">
        <v>84</v>
      </c>
      <c r="D3" s="1">
        <v>7391</v>
      </c>
      <c r="E3" s="1">
        <v>2341</v>
      </c>
      <c r="F3" s="2">
        <v>0.31673657150588602</v>
      </c>
      <c r="G3" s="1">
        <v>26</v>
      </c>
      <c r="H3" s="2">
        <v>1.11063648013669E-2</v>
      </c>
      <c r="I3" s="2">
        <v>3.5177919090786098E-3</v>
      </c>
    </row>
    <row r="4" spans="1:9" x14ac:dyDescent="0.35">
      <c r="A4" s="19">
        <v>45485</v>
      </c>
      <c r="B4" t="s">
        <v>561</v>
      </c>
      <c r="C4" t="s">
        <v>72</v>
      </c>
      <c r="D4" s="1">
        <v>139292</v>
      </c>
      <c r="E4" s="1">
        <v>44334</v>
      </c>
      <c r="F4" s="2">
        <v>0.31828102116417301</v>
      </c>
      <c r="G4" s="1">
        <v>730</v>
      </c>
      <c r="H4" s="2">
        <v>1.6465917805747299E-2</v>
      </c>
      <c r="I4" s="2">
        <v>5.2407891336185798E-3</v>
      </c>
    </row>
    <row r="5" spans="1:9" x14ac:dyDescent="0.35">
      <c r="A5" s="19">
        <v>45485</v>
      </c>
      <c r="B5" t="s">
        <v>561</v>
      </c>
      <c r="C5" t="s">
        <v>85</v>
      </c>
      <c r="D5" s="1">
        <v>350</v>
      </c>
      <c r="E5" s="1">
        <v>103</v>
      </c>
      <c r="F5" s="2">
        <v>0.29428571428571398</v>
      </c>
      <c r="G5" s="1">
        <v>3</v>
      </c>
      <c r="H5" s="2">
        <v>2.9126213592233E-2</v>
      </c>
      <c r="I5" s="2">
        <v>8.5714285714285701E-3</v>
      </c>
    </row>
    <row r="6" spans="1:9" x14ac:dyDescent="0.35">
      <c r="A6" s="19">
        <v>45485</v>
      </c>
      <c r="B6" t="s">
        <v>561</v>
      </c>
      <c r="C6" t="s">
        <v>73</v>
      </c>
      <c r="D6" s="1">
        <v>6463</v>
      </c>
      <c r="E6" s="1">
        <v>2009</v>
      </c>
      <c r="F6" s="2">
        <v>0.31084635618133999</v>
      </c>
      <c r="G6" s="1">
        <v>57</v>
      </c>
      <c r="H6" s="2">
        <v>2.8372324539571898E-2</v>
      </c>
      <c r="I6" s="2">
        <v>8.8194336995203494E-3</v>
      </c>
    </row>
    <row r="7" spans="1:9" x14ac:dyDescent="0.35">
      <c r="A7" s="19">
        <v>45485</v>
      </c>
      <c r="B7" t="s">
        <v>562</v>
      </c>
      <c r="C7" t="s">
        <v>524</v>
      </c>
      <c r="D7" s="1">
        <v>241119</v>
      </c>
      <c r="E7" s="1">
        <v>79544</v>
      </c>
      <c r="F7" s="2">
        <v>0.32989519697742598</v>
      </c>
      <c r="G7" s="1">
        <v>1114</v>
      </c>
      <c r="H7" s="2">
        <v>1.4004827516845999E-2</v>
      </c>
      <c r="I7" s="2">
        <v>4.6201253323048001E-3</v>
      </c>
    </row>
    <row r="8" spans="1:9" x14ac:dyDescent="0.35">
      <c r="A8" s="19">
        <v>45485</v>
      </c>
      <c r="B8" t="s">
        <v>562</v>
      </c>
      <c r="C8" t="s">
        <v>525</v>
      </c>
      <c r="D8" s="1">
        <v>15480</v>
      </c>
      <c r="E8" s="1">
        <v>4634</v>
      </c>
      <c r="F8" s="2">
        <v>0.29935400516795901</v>
      </c>
      <c r="G8" s="1">
        <v>97</v>
      </c>
      <c r="H8" s="2">
        <v>2.0932239965472599E-2</v>
      </c>
      <c r="I8" s="2">
        <v>6.2661498708010297E-3</v>
      </c>
    </row>
    <row r="9" spans="1:9" x14ac:dyDescent="0.35">
      <c r="A9" s="19">
        <v>45485</v>
      </c>
      <c r="B9" t="s">
        <v>562</v>
      </c>
      <c r="C9" t="s">
        <v>526</v>
      </c>
      <c r="D9" s="1">
        <v>4368470</v>
      </c>
      <c r="E9" s="1">
        <v>1442818</v>
      </c>
      <c r="F9" s="2">
        <v>0.330279937827203</v>
      </c>
      <c r="G9" s="1">
        <v>26705</v>
      </c>
      <c r="H9" s="2">
        <v>1.8508917964705201E-2</v>
      </c>
      <c r="I9" s="2">
        <v>6.1131242746316197E-3</v>
      </c>
    </row>
    <row r="10" spans="1:9" x14ac:dyDescent="0.35">
      <c r="A10" s="19">
        <v>45485</v>
      </c>
      <c r="B10" t="s">
        <v>562</v>
      </c>
      <c r="C10" t="s">
        <v>527</v>
      </c>
      <c r="D10" s="1">
        <v>280126</v>
      </c>
      <c r="E10" s="1">
        <v>83171</v>
      </c>
      <c r="F10" s="2">
        <v>0.29690567815911401</v>
      </c>
      <c r="G10" s="1">
        <v>2631</v>
      </c>
      <c r="H10" s="2">
        <v>3.1633622296233101E-2</v>
      </c>
      <c r="I10" s="2">
        <v>9.3922020804923494E-3</v>
      </c>
    </row>
    <row r="11" spans="1:9" x14ac:dyDescent="0.35">
      <c r="A11" s="19">
        <v>45485</v>
      </c>
      <c r="B11" t="s">
        <v>562</v>
      </c>
      <c r="C11" t="s">
        <v>528</v>
      </c>
      <c r="D11" s="1">
        <v>240889</v>
      </c>
      <c r="E11" s="1">
        <v>82360</v>
      </c>
      <c r="F11" s="2">
        <v>0.34190021130064102</v>
      </c>
      <c r="G11" s="1">
        <v>942</v>
      </c>
      <c r="H11" s="2">
        <v>1.14375910636231E-2</v>
      </c>
      <c r="I11" s="2">
        <v>3.9105148014230602E-3</v>
      </c>
    </row>
    <row r="12" spans="1:9" x14ac:dyDescent="0.35">
      <c r="A12" s="19">
        <v>45485</v>
      </c>
      <c r="B12" t="s">
        <v>562</v>
      </c>
      <c r="C12" t="s">
        <v>529</v>
      </c>
      <c r="D12" s="1">
        <v>15764</v>
      </c>
      <c r="E12" s="1">
        <v>5065</v>
      </c>
      <c r="F12" s="2">
        <v>0.32130170007612302</v>
      </c>
      <c r="G12" s="1">
        <v>92</v>
      </c>
      <c r="H12" s="2">
        <v>1.8163869693978301E-2</v>
      </c>
      <c r="I12" s="2">
        <v>5.8360822126363896E-3</v>
      </c>
    </row>
    <row r="13" spans="1:9" x14ac:dyDescent="0.35">
      <c r="A13" s="19">
        <v>45489</v>
      </c>
      <c r="B13" t="s">
        <v>563</v>
      </c>
      <c r="C13" t="s">
        <v>10</v>
      </c>
      <c r="D13" s="1">
        <v>1321894</v>
      </c>
      <c r="E13" s="1">
        <v>464696</v>
      </c>
      <c r="F13" s="2">
        <v>0.35153802044642002</v>
      </c>
      <c r="G13" s="1">
        <v>10948</v>
      </c>
      <c r="H13" s="2">
        <v>2.3559488353676401E-2</v>
      </c>
      <c r="I13" s="2">
        <v>8.2820558985818808E-3</v>
      </c>
    </row>
    <row r="14" spans="1:9" x14ac:dyDescent="0.35">
      <c r="A14" s="19">
        <v>45489</v>
      </c>
      <c r="B14" t="s">
        <v>563</v>
      </c>
      <c r="C14" t="s">
        <v>11</v>
      </c>
      <c r="D14" s="1">
        <v>91147</v>
      </c>
      <c r="E14" s="1">
        <v>31985</v>
      </c>
      <c r="F14" s="2">
        <v>0.35091665112400799</v>
      </c>
      <c r="G14" s="1">
        <v>1364</v>
      </c>
      <c r="H14" s="2">
        <v>4.2644989838986999E-2</v>
      </c>
      <c r="I14" s="2">
        <v>1.49648370215147E-2</v>
      </c>
    </row>
    <row r="15" spans="1:9" x14ac:dyDescent="0.35">
      <c r="A15" s="19">
        <v>45489</v>
      </c>
      <c r="B15" t="s">
        <v>564</v>
      </c>
      <c r="C15" t="s">
        <v>437</v>
      </c>
      <c r="D15" s="1">
        <v>8127</v>
      </c>
      <c r="E15" s="1">
        <v>4525</v>
      </c>
      <c r="F15" s="2">
        <v>0.55678602190230098</v>
      </c>
      <c r="G15" s="1">
        <v>375</v>
      </c>
      <c r="H15" s="2">
        <v>8.2872928176795604E-2</v>
      </c>
      <c r="I15" s="2">
        <v>4.6142488002953098E-2</v>
      </c>
    </row>
    <row r="16" spans="1:9" x14ac:dyDescent="0.35">
      <c r="A16" s="19">
        <v>45489</v>
      </c>
      <c r="B16" t="s">
        <v>564</v>
      </c>
      <c r="C16" t="s">
        <v>438</v>
      </c>
      <c r="D16" s="1">
        <v>4294</v>
      </c>
      <c r="E16" s="1">
        <v>2392</v>
      </c>
      <c r="F16" s="2">
        <v>0.55705635770842998</v>
      </c>
      <c r="G16" s="1">
        <v>220</v>
      </c>
      <c r="H16" s="2">
        <v>9.1973244147157199E-2</v>
      </c>
      <c r="I16" s="2">
        <v>5.12342803912436E-2</v>
      </c>
    </row>
    <row r="17" spans="1:9" x14ac:dyDescent="0.35">
      <c r="A17" s="19">
        <v>45489</v>
      </c>
      <c r="B17" t="s">
        <v>564</v>
      </c>
      <c r="C17" t="s">
        <v>439</v>
      </c>
      <c r="D17" s="1">
        <v>21567</v>
      </c>
      <c r="E17" s="1">
        <v>12991</v>
      </c>
      <c r="F17" s="2">
        <v>0.60235545045671601</v>
      </c>
      <c r="G17" s="1">
        <v>1179</v>
      </c>
      <c r="H17" s="2">
        <v>9.0755138172581004E-2</v>
      </c>
      <c r="I17" s="2">
        <v>5.4666852135206598E-2</v>
      </c>
    </row>
    <row r="18" spans="1:9" x14ac:dyDescent="0.35">
      <c r="A18" s="19">
        <v>45489</v>
      </c>
      <c r="B18" t="s">
        <v>564</v>
      </c>
      <c r="C18" t="s">
        <v>565</v>
      </c>
      <c r="D18" s="1">
        <v>13067</v>
      </c>
      <c r="E18" s="1">
        <v>7613</v>
      </c>
      <c r="F18" s="2">
        <v>0.58261268845182501</v>
      </c>
      <c r="G18" s="1">
        <v>617</v>
      </c>
      <c r="H18" s="2">
        <v>8.1045579929068703E-2</v>
      </c>
      <c r="I18" s="2">
        <v>4.7218183209611998E-2</v>
      </c>
    </row>
    <row r="19" spans="1:9" x14ac:dyDescent="0.35">
      <c r="A19" s="19">
        <v>45490</v>
      </c>
      <c r="B19" t="s">
        <v>566</v>
      </c>
      <c r="C19" t="s">
        <v>10</v>
      </c>
      <c r="D19" s="1">
        <v>65907</v>
      </c>
      <c r="E19" s="1">
        <v>32012</v>
      </c>
      <c r="F19" s="2">
        <v>0.48571471922557502</v>
      </c>
      <c r="G19" s="1">
        <v>1807</v>
      </c>
      <c r="H19" s="2">
        <v>5.6447582156691198E-2</v>
      </c>
      <c r="I19" s="2">
        <v>2.7417421518199901E-2</v>
      </c>
    </row>
    <row r="20" spans="1:9" x14ac:dyDescent="0.35">
      <c r="A20" s="19">
        <v>45490</v>
      </c>
      <c r="B20" t="s">
        <v>566</v>
      </c>
      <c r="C20" t="s">
        <v>11</v>
      </c>
      <c r="D20" s="1">
        <v>2014</v>
      </c>
      <c r="E20" s="1">
        <v>1008</v>
      </c>
      <c r="F20" s="2">
        <v>0.50049652432969205</v>
      </c>
      <c r="G20" s="1">
        <v>131</v>
      </c>
      <c r="H20" s="2">
        <v>0.129960317460317</v>
      </c>
      <c r="I20" s="2">
        <v>6.5044687189672296E-2</v>
      </c>
    </row>
    <row r="21" spans="1:9" x14ac:dyDescent="0.35">
      <c r="A21" s="19">
        <v>45490</v>
      </c>
      <c r="B21" t="s">
        <v>539</v>
      </c>
      <c r="C21" t="s">
        <v>567</v>
      </c>
      <c r="D21" s="1">
        <v>217630</v>
      </c>
      <c r="E21" s="1">
        <v>73664</v>
      </c>
      <c r="F21" s="2">
        <v>0.33848274594495198</v>
      </c>
      <c r="G21" s="1">
        <v>791</v>
      </c>
      <c r="H21" s="2">
        <v>1.0737945264987E-2</v>
      </c>
      <c r="I21" s="2">
        <v>3.6346091990993902E-3</v>
      </c>
    </row>
    <row r="22" spans="1:9" x14ac:dyDescent="0.35">
      <c r="A22" s="19">
        <v>45490</v>
      </c>
      <c r="B22" t="s">
        <v>539</v>
      </c>
      <c r="C22" t="s">
        <v>568</v>
      </c>
      <c r="D22" s="1">
        <v>151536</v>
      </c>
      <c r="E22" s="1">
        <v>48654</v>
      </c>
      <c r="F22" s="2">
        <v>0.32107222046246398</v>
      </c>
      <c r="G22" s="1">
        <v>576</v>
      </c>
      <c r="H22" s="2">
        <v>1.18386977432482E-2</v>
      </c>
      <c r="I22" s="2">
        <v>3.80107697180868E-3</v>
      </c>
    </row>
    <row r="23" spans="1:9" x14ac:dyDescent="0.35">
      <c r="A23" s="19">
        <v>45491</v>
      </c>
      <c r="B23" t="s">
        <v>569</v>
      </c>
      <c r="C23" t="s">
        <v>415</v>
      </c>
      <c r="D23" s="1">
        <v>193</v>
      </c>
      <c r="E23" s="1">
        <v>81</v>
      </c>
      <c r="F23" s="2">
        <v>0.419689119170984</v>
      </c>
      <c r="G23" s="1">
        <v>12</v>
      </c>
      <c r="H23" s="2">
        <v>0.148148148148148</v>
      </c>
      <c r="I23" s="2">
        <v>6.21761658031088E-2</v>
      </c>
    </row>
    <row r="24" spans="1:9" x14ac:dyDescent="0.35">
      <c r="A24" s="19">
        <v>45491</v>
      </c>
      <c r="B24" t="s">
        <v>542</v>
      </c>
      <c r="C24" t="s">
        <v>253</v>
      </c>
      <c r="D24" s="1">
        <v>434815</v>
      </c>
      <c r="E24" s="1">
        <v>137690</v>
      </c>
      <c r="F24" s="3">
        <v>0.31669999999999998</v>
      </c>
      <c r="G24" s="1">
        <v>1014</v>
      </c>
      <c r="H24" s="3">
        <v>7.4000000000000003E-3</v>
      </c>
      <c r="I24" s="11">
        <v>2.3E-3</v>
      </c>
    </row>
    <row r="25" spans="1:9" x14ac:dyDescent="0.35">
      <c r="A25" s="19">
        <v>45491</v>
      </c>
      <c r="B25" t="s">
        <v>544</v>
      </c>
      <c r="C25" t="s">
        <v>255</v>
      </c>
      <c r="D25" s="1">
        <v>21300</v>
      </c>
      <c r="E25" s="1">
        <v>6339</v>
      </c>
      <c r="F25" s="3">
        <v>0.29759999999999998</v>
      </c>
      <c r="G25">
        <v>68</v>
      </c>
      <c r="H25" s="3">
        <v>1.0699999999999999E-2</v>
      </c>
      <c r="I25" s="11">
        <v>3.2000000000000002E-3</v>
      </c>
    </row>
    <row r="26" spans="1:9" ht="14.15" customHeight="1" x14ac:dyDescent="0.35">
      <c r="A26" s="19">
        <v>45491</v>
      </c>
      <c r="B26" t="s">
        <v>557</v>
      </c>
      <c r="C26" t="s">
        <v>234</v>
      </c>
      <c r="D26" s="1">
        <v>720100</v>
      </c>
      <c r="E26" s="1">
        <v>246564</v>
      </c>
      <c r="F26" s="3">
        <v>0.34239999999999998</v>
      </c>
      <c r="G26" s="1">
        <v>2287</v>
      </c>
      <c r="H26" s="3">
        <v>9.2999999999999992E-3</v>
      </c>
      <c r="I26" s="11">
        <v>3.2000000000000002E-3</v>
      </c>
    </row>
    <row r="27" spans="1:9" ht="14.15" customHeight="1" x14ac:dyDescent="0.35">
      <c r="A27" s="19">
        <v>45491</v>
      </c>
      <c r="B27" t="s">
        <v>558</v>
      </c>
      <c r="C27" t="s">
        <v>235</v>
      </c>
      <c r="D27" s="1">
        <v>55695</v>
      </c>
      <c r="E27" s="1">
        <v>16788</v>
      </c>
      <c r="F27" s="3">
        <v>0.3014</v>
      </c>
      <c r="G27">
        <v>203</v>
      </c>
      <c r="H27" s="3">
        <v>1.21E-2</v>
      </c>
      <c r="I27" s="11">
        <v>3.5999999999999999E-3</v>
      </c>
    </row>
    <row r="28" spans="1:9" ht="14.15" customHeight="1" x14ac:dyDescent="0.35">
      <c r="A28" s="19">
        <v>45491</v>
      </c>
      <c r="B28" t="s">
        <v>570</v>
      </c>
      <c r="C28" t="s">
        <v>327</v>
      </c>
      <c r="D28" s="1">
        <v>63028</v>
      </c>
      <c r="E28" s="1">
        <v>23623</v>
      </c>
      <c r="F28" s="3">
        <v>0.37480000000000002</v>
      </c>
      <c r="G28">
        <v>582</v>
      </c>
      <c r="H28" s="3">
        <v>2.46E-2</v>
      </c>
      <c r="I28" s="11">
        <v>9.1999999999999998E-3</v>
      </c>
    </row>
    <row r="29" spans="1:9" ht="14.15" customHeight="1" x14ac:dyDescent="0.35">
      <c r="A29" s="19">
        <v>45491</v>
      </c>
      <c r="B29" t="s">
        <v>571</v>
      </c>
      <c r="C29" t="s">
        <v>10</v>
      </c>
      <c r="D29" s="1">
        <v>221830</v>
      </c>
      <c r="E29" s="1">
        <v>91417</v>
      </c>
      <c r="F29" s="2">
        <v>0.41210386331875798</v>
      </c>
      <c r="G29" s="1">
        <v>2603</v>
      </c>
      <c r="H29" s="2">
        <v>2.8473916230022898E-2</v>
      </c>
      <c r="I29" s="2">
        <v>1.1734210882207099E-2</v>
      </c>
    </row>
    <row r="30" spans="1:9" ht="14.15" customHeight="1" x14ac:dyDescent="0.35">
      <c r="A30" s="19">
        <v>45491</v>
      </c>
      <c r="B30" t="s">
        <v>571</v>
      </c>
      <c r="C30" t="s">
        <v>11</v>
      </c>
      <c r="D30" s="1">
        <v>13118</v>
      </c>
      <c r="E30" s="1">
        <v>5921</v>
      </c>
      <c r="F30" s="2">
        <v>0.45136453727702402</v>
      </c>
      <c r="G30" s="1">
        <v>315</v>
      </c>
      <c r="H30" s="2">
        <v>5.3200472893092397E-2</v>
      </c>
      <c r="I30" s="2">
        <v>2.4012806830309499E-2</v>
      </c>
    </row>
    <row r="31" spans="1:9" ht="14.15" customHeight="1" x14ac:dyDescent="0.35">
      <c r="A31" s="19">
        <v>45491</v>
      </c>
      <c r="B31" t="s">
        <v>572</v>
      </c>
      <c r="C31" t="s">
        <v>325</v>
      </c>
      <c r="D31" s="1">
        <v>242008</v>
      </c>
      <c r="E31" s="1">
        <v>94483</v>
      </c>
      <c r="F31" s="2">
        <v>0.39041271362930202</v>
      </c>
      <c r="G31" s="1">
        <v>1377</v>
      </c>
      <c r="H31" s="2">
        <v>1.45740503582655E-2</v>
      </c>
      <c r="I31" s="2">
        <v>5.6898945489405302E-3</v>
      </c>
    </row>
    <row r="32" spans="1:9" ht="14.15" customHeight="1" x14ac:dyDescent="0.35">
      <c r="A32" s="19">
        <v>45491</v>
      </c>
      <c r="B32" t="s">
        <v>572</v>
      </c>
      <c r="C32" t="s">
        <v>327</v>
      </c>
      <c r="D32" s="1">
        <v>9977</v>
      </c>
      <c r="E32" s="1">
        <v>3615</v>
      </c>
      <c r="F32" s="2">
        <v>0.36233336674351002</v>
      </c>
      <c r="G32" s="1">
        <v>67</v>
      </c>
      <c r="H32" s="2">
        <v>1.8533886583679101E-2</v>
      </c>
      <c r="I32" s="2">
        <v>6.7154455247068296E-3</v>
      </c>
    </row>
    <row r="33" spans="1:9" ht="14.15" customHeight="1" x14ac:dyDescent="0.35">
      <c r="A33" s="19">
        <v>45491</v>
      </c>
      <c r="B33" t="s">
        <v>573</v>
      </c>
      <c r="C33" t="s">
        <v>52</v>
      </c>
      <c r="D33" s="1">
        <v>143032</v>
      </c>
      <c r="E33" s="1">
        <v>45352</v>
      </c>
      <c r="F33" s="2">
        <v>0.31707589909950201</v>
      </c>
      <c r="G33" s="1">
        <v>419</v>
      </c>
      <c r="H33" s="2">
        <v>9.23884282942318E-3</v>
      </c>
      <c r="I33" s="2">
        <v>2.9294143967783402E-3</v>
      </c>
    </row>
    <row r="34" spans="1:9" ht="14.15" customHeight="1" x14ac:dyDescent="0.35">
      <c r="A34" s="19">
        <v>45491</v>
      </c>
      <c r="B34" t="s">
        <v>573</v>
      </c>
      <c r="C34" t="s">
        <v>574</v>
      </c>
      <c r="D34" s="1">
        <v>35304</v>
      </c>
      <c r="E34" s="1">
        <v>10236</v>
      </c>
      <c r="F34" s="2">
        <v>0.28993881713120301</v>
      </c>
      <c r="G34" s="1">
        <v>64</v>
      </c>
      <c r="H34" s="2">
        <v>6.2524423602969897E-3</v>
      </c>
      <c r="I34" s="2">
        <v>1.81282574212554E-3</v>
      </c>
    </row>
    <row r="35" spans="1:9" ht="14.15" customHeight="1" x14ac:dyDescent="0.35">
      <c r="A35" s="19">
        <v>45491</v>
      </c>
      <c r="B35" t="s">
        <v>573</v>
      </c>
      <c r="C35" t="s">
        <v>575</v>
      </c>
      <c r="D35" s="1">
        <v>11817</v>
      </c>
      <c r="E35" s="1">
        <v>4389</v>
      </c>
      <c r="F35" s="2">
        <v>0.371414064483371</v>
      </c>
      <c r="G35" s="1">
        <v>47</v>
      </c>
      <c r="H35" s="2">
        <v>1.07085896559581E-2</v>
      </c>
      <c r="I35" s="2">
        <v>3.9773208090039796E-3</v>
      </c>
    </row>
    <row r="36" spans="1:9" ht="16" thickBot="1" x14ac:dyDescent="0.4">
      <c r="A36" s="37" t="s">
        <v>35</v>
      </c>
      <c r="D36" s="31">
        <f>SUM(D2:D35)</f>
        <v>9576276</v>
      </c>
      <c r="E36" s="31">
        <f>SUM(E2:E35)</f>
        <v>3247382</v>
      </c>
      <c r="F36" s="32">
        <f>AVERAGE(F2:F35)</f>
        <v>0.37643412307303031</v>
      </c>
      <c r="G36" s="31">
        <f>SUM(G2:G35)</f>
        <v>62177</v>
      </c>
      <c r="H36" s="32">
        <f>AVERAGE(H2:H35)</f>
        <v>3.5144913725553978E-2</v>
      </c>
      <c r="I36" s="32">
        <f>AVERAGE(I2:I35)</f>
        <v>1.5652175382457612E-2</v>
      </c>
    </row>
    <row r="37" spans="1:9" ht="15" thickBot="1" x14ac:dyDescent="0.4">
      <c r="A37" s="138" t="s">
        <v>302</v>
      </c>
      <c r="B37" s="138"/>
      <c r="C37" s="138"/>
      <c r="D37" s="138"/>
      <c r="E37" s="138"/>
      <c r="F37" s="138"/>
      <c r="G37" s="138"/>
      <c r="H37" s="138"/>
      <c r="I37" s="138"/>
    </row>
    <row r="38" spans="1:9" ht="15.5" x14ac:dyDescent="0.35">
      <c r="A38" s="38" t="s">
        <v>0</v>
      </c>
      <c r="B38" s="39" t="s">
        <v>1</v>
      </c>
      <c r="C38" s="39" t="s">
        <v>2</v>
      </c>
      <c r="D38" s="39" t="s">
        <v>3</v>
      </c>
      <c r="E38" s="39" t="s">
        <v>4</v>
      </c>
      <c r="F38" s="39" t="s">
        <v>5</v>
      </c>
      <c r="G38" s="39" t="s">
        <v>6</v>
      </c>
      <c r="H38" s="39" t="s">
        <v>7</v>
      </c>
      <c r="I38" s="40" t="s">
        <v>8</v>
      </c>
    </row>
    <row r="39" spans="1:9" x14ac:dyDescent="0.35">
      <c r="A39" s="5" t="s">
        <v>36</v>
      </c>
      <c r="B39" s="6"/>
      <c r="C39" s="6"/>
      <c r="D39" s="6"/>
      <c r="E39" s="6"/>
      <c r="F39" s="6"/>
      <c r="G39" s="6"/>
      <c r="H39" s="6"/>
      <c r="I39" s="7"/>
    </row>
    <row r="40" spans="1:9" x14ac:dyDescent="0.35">
      <c r="A40" s="8">
        <v>45485</v>
      </c>
      <c r="B40" t="s">
        <v>560</v>
      </c>
      <c r="C40" t="s">
        <v>10</v>
      </c>
      <c r="D40" s="1">
        <v>391532</v>
      </c>
      <c r="E40" s="1">
        <v>134965</v>
      </c>
      <c r="F40" s="2">
        <v>0.34471001093141801</v>
      </c>
      <c r="G40" s="1">
        <v>2714</v>
      </c>
      <c r="H40" s="2">
        <v>2.01089171266625E-2</v>
      </c>
      <c r="I40" s="9">
        <v>6.9317450425508001E-3</v>
      </c>
    </row>
    <row r="41" spans="1:9" x14ac:dyDescent="0.35">
      <c r="A41" s="8">
        <v>45485</v>
      </c>
      <c r="B41" t="s">
        <v>562</v>
      </c>
      <c r="C41" t="s">
        <v>524</v>
      </c>
      <c r="D41" s="1">
        <v>241119</v>
      </c>
      <c r="E41" s="1">
        <v>79544</v>
      </c>
      <c r="F41" s="2">
        <v>0.32989519697742598</v>
      </c>
      <c r="G41" s="1">
        <v>1114</v>
      </c>
      <c r="H41" s="2">
        <v>1.4004827516845999E-2</v>
      </c>
      <c r="I41" s="9">
        <v>4.6201253323048001E-3</v>
      </c>
    </row>
    <row r="42" spans="1:9" x14ac:dyDescent="0.35">
      <c r="A42" s="8">
        <v>45485</v>
      </c>
      <c r="B42" t="s">
        <v>562</v>
      </c>
      <c r="C42" t="s">
        <v>525</v>
      </c>
      <c r="D42" s="1">
        <v>15480</v>
      </c>
      <c r="E42" s="1">
        <v>4634</v>
      </c>
      <c r="F42" s="2">
        <v>0.29935400516795901</v>
      </c>
      <c r="G42" s="1">
        <v>97</v>
      </c>
      <c r="H42" s="2">
        <v>2.0932239965472599E-2</v>
      </c>
      <c r="I42" s="9">
        <v>6.2661498708010297E-3</v>
      </c>
    </row>
    <row r="43" spans="1:9" x14ac:dyDescent="0.35">
      <c r="A43" s="8">
        <v>45485</v>
      </c>
      <c r="B43" t="s">
        <v>562</v>
      </c>
      <c r="C43" t="s">
        <v>526</v>
      </c>
      <c r="D43" s="1">
        <v>4368470</v>
      </c>
      <c r="E43" s="1">
        <v>1442818</v>
      </c>
      <c r="F43" s="2">
        <v>0.330279937827203</v>
      </c>
      <c r="G43" s="1">
        <v>26705</v>
      </c>
      <c r="H43" s="2">
        <v>1.8508917964705201E-2</v>
      </c>
      <c r="I43" s="9">
        <v>6.1131242746316197E-3</v>
      </c>
    </row>
    <row r="44" spans="1:9" x14ac:dyDescent="0.35">
      <c r="A44" s="8">
        <v>45485</v>
      </c>
      <c r="B44" t="s">
        <v>562</v>
      </c>
      <c r="C44" t="s">
        <v>527</v>
      </c>
      <c r="D44" s="1">
        <v>280126</v>
      </c>
      <c r="E44" s="1">
        <v>83171</v>
      </c>
      <c r="F44" s="2">
        <v>0.29690567815911401</v>
      </c>
      <c r="G44" s="1">
        <v>2631</v>
      </c>
      <c r="H44" s="2">
        <v>3.1633622296233101E-2</v>
      </c>
      <c r="I44" s="9">
        <v>9.3922020804923494E-3</v>
      </c>
    </row>
    <row r="45" spans="1:9" x14ac:dyDescent="0.35">
      <c r="A45" s="8">
        <v>45485</v>
      </c>
      <c r="B45" t="s">
        <v>562</v>
      </c>
      <c r="C45" t="s">
        <v>528</v>
      </c>
      <c r="D45" s="1">
        <v>240889</v>
      </c>
      <c r="E45" s="1">
        <v>82360</v>
      </c>
      <c r="F45" s="2">
        <v>0.34190021130064102</v>
      </c>
      <c r="G45" s="1">
        <v>942</v>
      </c>
      <c r="H45" s="2">
        <v>1.14375910636231E-2</v>
      </c>
      <c r="I45" s="9">
        <v>3.9105148014230602E-3</v>
      </c>
    </row>
    <row r="46" spans="1:9" x14ac:dyDescent="0.35">
      <c r="A46" s="8">
        <v>45485</v>
      </c>
      <c r="B46" t="s">
        <v>562</v>
      </c>
      <c r="C46" t="s">
        <v>529</v>
      </c>
      <c r="D46" s="1">
        <v>15764</v>
      </c>
      <c r="E46" s="1">
        <v>5065</v>
      </c>
      <c r="F46" s="2">
        <v>0.32130170007612302</v>
      </c>
      <c r="G46" s="1">
        <v>92</v>
      </c>
      <c r="H46" s="2">
        <v>1.8163869693978301E-2</v>
      </c>
      <c r="I46" s="9">
        <v>5.8360822126363896E-3</v>
      </c>
    </row>
    <row r="47" spans="1:9" x14ac:dyDescent="0.35">
      <c r="A47" s="8">
        <v>45489</v>
      </c>
      <c r="B47" t="s">
        <v>563</v>
      </c>
      <c r="C47" t="s">
        <v>10</v>
      </c>
      <c r="D47" s="1">
        <v>1321894</v>
      </c>
      <c r="E47" s="1">
        <v>464696</v>
      </c>
      <c r="F47" s="2">
        <v>0.35153802044642002</v>
      </c>
      <c r="G47" s="1">
        <v>10948</v>
      </c>
      <c r="H47" s="2">
        <v>2.3559488353676401E-2</v>
      </c>
      <c r="I47" s="9">
        <v>8.2820558985818808E-3</v>
      </c>
    </row>
    <row r="48" spans="1:9" x14ac:dyDescent="0.35">
      <c r="A48" s="8">
        <v>45489</v>
      </c>
      <c r="B48" t="s">
        <v>563</v>
      </c>
      <c r="C48" t="s">
        <v>11</v>
      </c>
      <c r="D48" s="1">
        <v>91147</v>
      </c>
      <c r="E48" s="1">
        <v>31985</v>
      </c>
      <c r="F48" s="2">
        <v>0.35091665112400799</v>
      </c>
      <c r="G48" s="1">
        <v>1364</v>
      </c>
      <c r="H48" s="2">
        <v>4.2644989838986999E-2</v>
      </c>
      <c r="I48" s="9">
        <v>1.49648370215147E-2</v>
      </c>
    </row>
    <row r="49" spans="1:9" ht="16" thickBot="1" x14ac:dyDescent="0.4">
      <c r="A49" s="36" t="s">
        <v>35</v>
      </c>
      <c r="B49" s="4"/>
      <c r="C49" s="4"/>
      <c r="D49" s="33">
        <f>SUM(D40:D48)</f>
        <v>6966421</v>
      </c>
      <c r="E49" s="33">
        <f>SUM(E40:E48)</f>
        <v>2329238</v>
      </c>
      <c r="F49" s="34">
        <f>AVERAGE(F40:F48)</f>
        <v>0.32964460133447915</v>
      </c>
      <c r="G49" s="33">
        <f>SUM(G40:G48)</f>
        <v>46607</v>
      </c>
      <c r="H49" s="34">
        <f>AVERAGE(H40:H48)</f>
        <v>2.2332718202242689E-2</v>
      </c>
      <c r="I49" s="35">
        <f>AVERAGE(I40:I48)</f>
        <v>7.3685373927707366E-3</v>
      </c>
    </row>
    <row r="50" spans="1:9" ht="3" customHeight="1" thickBot="1" x14ac:dyDescent="0.4">
      <c r="A50" s="141"/>
      <c r="B50" s="142"/>
      <c r="C50" s="142"/>
      <c r="D50" s="142"/>
      <c r="E50" s="142"/>
      <c r="F50" s="142"/>
      <c r="G50" s="142"/>
      <c r="H50" s="142"/>
      <c r="I50" s="143"/>
    </row>
    <row r="51" spans="1:9" x14ac:dyDescent="0.35">
      <c r="A51" s="16" t="s">
        <v>37</v>
      </c>
      <c r="B51" s="17"/>
      <c r="C51" s="17"/>
      <c r="D51" s="17"/>
      <c r="E51" s="17"/>
      <c r="F51" s="17"/>
      <c r="G51" s="17"/>
      <c r="H51" s="17"/>
      <c r="I51" s="18"/>
    </row>
    <row r="52" spans="1:9" x14ac:dyDescent="0.35">
      <c r="A52" s="8">
        <v>45485</v>
      </c>
      <c r="B52" t="s">
        <v>561</v>
      </c>
      <c r="C52" t="s">
        <v>84</v>
      </c>
      <c r="D52" s="1">
        <v>7391</v>
      </c>
      <c r="E52" s="1">
        <v>2341</v>
      </c>
      <c r="F52" s="2">
        <v>0.31673657150588602</v>
      </c>
      <c r="G52" s="1">
        <v>26</v>
      </c>
      <c r="H52" s="2">
        <v>1.11063648013669E-2</v>
      </c>
      <c r="I52" s="9">
        <v>3.5177919090786098E-3</v>
      </c>
    </row>
    <row r="53" spans="1:9" x14ac:dyDescent="0.35">
      <c r="A53" s="8">
        <v>45485</v>
      </c>
      <c r="B53" t="s">
        <v>561</v>
      </c>
      <c r="C53" t="s">
        <v>72</v>
      </c>
      <c r="D53" s="1">
        <v>139292</v>
      </c>
      <c r="E53" s="1">
        <v>44334</v>
      </c>
      <c r="F53" s="2">
        <v>0.31828102116417301</v>
      </c>
      <c r="G53" s="1">
        <v>730</v>
      </c>
      <c r="H53" s="2">
        <v>1.6465917805747299E-2</v>
      </c>
      <c r="I53" s="9">
        <v>5.2407891336185798E-3</v>
      </c>
    </row>
    <row r="54" spans="1:9" x14ac:dyDescent="0.35">
      <c r="A54" s="8">
        <v>45485</v>
      </c>
      <c r="B54" t="s">
        <v>561</v>
      </c>
      <c r="C54" t="s">
        <v>85</v>
      </c>
      <c r="D54" s="1">
        <v>350</v>
      </c>
      <c r="E54" s="1">
        <v>103</v>
      </c>
      <c r="F54" s="2">
        <v>0.29428571428571398</v>
      </c>
      <c r="G54" s="1">
        <v>3</v>
      </c>
      <c r="H54" s="2">
        <v>2.9126213592233E-2</v>
      </c>
      <c r="I54" s="9">
        <v>8.5714285714285701E-3</v>
      </c>
    </row>
    <row r="55" spans="1:9" x14ac:dyDescent="0.35">
      <c r="A55" s="8">
        <v>45485</v>
      </c>
      <c r="B55" t="s">
        <v>561</v>
      </c>
      <c r="C55" t="s">
        <v>73</v>
      </c>
      <c r="D55" s="1">
        <v>6463</v>
      </c>
      <c r="E55" s="1">
        <v>2009</v>
      </c>
      <c r="F55" s="2">
        <v>0.31084635618133999</v>
      </c>
      <c r="G55" s="1">
        <v>57</v>
      </c>
      <c r="H55" s="2">
        <v>2.8372324539571898E-2</v>
      </c>
      <c r="I55" s="9">
        <v>8.8194336995203494E-3</v>
      </c>
    </row>
    <row r="56" spans="1:9" x14ac:dyDescent="0.35">
      <c r="A56" s="8">
        <v>45489</v>
      </c>
      <c r="B56" t="s">
        <v>564</v>
      </c>
      <c r="C56" t="s">
        <v>437</v>
      </c>
      <c r="D56" s="1">
        <v>8127</v>
      </c>
      <c r="E56" s="1">
        <v>4525</v>
      </c>
      <c r="F56" s="2">
        <v>0.55678602190230098</v>
      </c>
      <c r="G56" s="1">
        <v>375</v>
      </c>
      <c r="H56" s="2">
        <v>8.2872928176795604E-2</v>
      </c>
      <c r="I56" s="9">
        <v>4.6142488002953098E-2</v>
      </c>
    </row>
    <row r="57" spans="1:9" x14ac:dyDescent="0.35">
      <c r="A57" s="8">
        <v>45489</v>
      </c>
      <c r="B57" t="s">
        <v>564</v>
      </c>
      <c r="C57" t="s">
        <v>438</v>
      </c>
      <c r="D57" s="1">
        <v>4294</v>
      </c>
      <c r="E57" s="1">
        <v>2392</v>
      </c>
      <c r="F57" s="2">
        <v>0.55705635770842998</v>
      </c>
      <c r="G57" s="1">
        <v>220</v>
      </c>
      <c r="H57" s="2">
        <v>9.1973244147157199E-2</v>
      </c>
      <c r="I57" s="9">
        <v>5.12342803912436E-2</v>
      </c>
    </row>
    <row r="58" spans="1:9" x14ac:dyDescent="0.35">
      <c r="A58" s="8">
        <v>45489</v>
      </c>
      <c r="B58" t="s">
        <v>564</v>
      </c>
      <c r="C58" t="s">
        <v>439</v>
      </c>
      <c r="D58" s="1">
        <v>21567</v>
      </c>
      <c r="E58" s="1">
        <v>12991</v>
      </c>
      <c r="F58" s="2">
        <v>0.60235545045671601</v>
      </c>
      <c r="G58" s="1">
        <v>1179</v>
      </c>
      <c r="H58" s="2">
        <v>9.0755138172581004E-2</v>
      </c>
      <c r="I58" s="9">
        <v>5.4666852135206598E-2</v>
      </c>
    </row>
    <row r="59" spans="1:9" x14ac:dyDescent="0.35">
      <c r="A59" s="8">
        <v>45489</v>
      </c>
      <c r="B59" t="s">
        <v>564</v>
      </c>
      <c r="C59" t="s">
        <v>565</v>
      </c>
      <c r="D59" s="1">
        <v>13067</v>
      </c>
      <c r="E59" s="1">
        <v>7613</v>
      </c>
      <c r="F59" s="2">
        <v>0.58261268845182501</v>
      </c>
      <c r="G59" s="1">
        <v>617</v>
      </c>
      <c r="H59" s="2">
        <v>8.1045579929068703E-2</v>
      </c>
      <c r="I59" s="9">
        <v>4.7218183209611998E-2</v>
      </c>
    </row>
    <row r="60" spans="1:9" x14ac:dyDescent="0.35">
      <c r="A60" s="8">
        <v>45490</v>
      </c>
      <c r="B60" t="s">
        <v>566</v>
      </c>
      <c r="C60" t="s">
        <v>10</v>
      </c>
      <c r="D60" s="1">
        <v>65907</v>
      </c>
      <c r="E60" s="1">
        <v>32012</v>
      </c>
      <c r="F60" s="2">
        <v>0.48571471922557502</v>
      </c>
      <c r="G60" s="1">
        <v>1807</v>
      </c>
      <c r="H60" s="2">
        <v>5.6447582156691198E-2</v>
      </c>
      <c r="I60" s="9">
        <v>2.7417421518199901E-2</v>
      </c>
    </row>
    <row r="61" spans="1:9" x14ac:dyDescent="0.35">
      <c r="A61" s="8">
        <v>45490</v>
      </c>
      <c r="B61" t="s">
        <v>566</v>
      </c>
      <c r="C61" t="s">
        <v>11</v>
      </c>
      <c r="D61" s="1">
        <v>2014</v>
      </c>
      <c r="E61" s="1">
        <v>1008</v>
      </c>
      <c r="F61" s="2">
        <v>0.50049652432969205</v>
      </c>
      <c r="G61" s="1">
        <v>131</v>
      </c>
      <c r="H61" s="2">
        <v>0.129960317460317</v>
      </c>
      <c r="I61" s="9">
        <v>6.5044687189672296E-2</v>
      </c>
    </row>
    <row r="62" spans="1:9" x14ac:dyDescent="0.35">
      <c r="A62" s="8">
        <v>45490</v>
      </c>
      <c r="B62" t="s">
        <v>539</v>
      </c>
      <c r="C62" t="s">
        <v>567</v>
      </c>
      <c r="D62" s="1">
        <v>217630</v>
      </c>
      <c r="E62" s="1">
        <v>73664</v>
      </c>
      <c r="F62" s="2">
        <v>0.33848274594495198</v>
      </c>
      <c r="G62" s="1">
        <v>791</v>
      </c>
      <c r="H62" s="2">
        <v>1.0737945264987E-2</v>
      </c>
      <c r="I62" s="9">
        <v>3.6346091990993902E-3</v>
      </c>
    </row>
    <row r="63" spans="1:9" x14ac:dyDescent="0.35">
      <c r="A63" s="8">
        <v>45490</v>
      </c>
      <c r="B63" t="s">
        <v>539</v>
      </c>
      <c r="C63" t="s">
        <v>568</v>
      </c>
      <c r="D63" s="1">
        <v>151536</v>
      </c>
      <c r="E63" s="1">
        <v>48654</v>
      </c>
      <c r="F63" s="2">
        <v>0.32107222046246398</v>
      </c>
      <c r="G63" s="1">
        <v>576</v>
      </c>
      <c r="H63" s="2">
        <v>1.18386977432482E-2</v>
      </c>
      <c r="I63" s="9">
        <v>3.80107697180868E-3</v>
      </c>
    </row>
    <row r="64" spans="1:9" x14ac:dyDescent="0.35">
      <c r="A64" s="8">
        <v>45491</v>
      </c>
      <c r="B64" t="s">
        <v>569</v>
      </c>
      <c r="C64" t="s">
        <v>415</v>
      </c>
      <c r="D64" s="1">
        <v>193</v>
      </c>
      <c r="E64" s="1">
        <v>81</v>
      </c>
      <c r="F64" s="2">
        <v>0.419689119170984</v>
      </c>
      <c r="G64" s="1">
        <v>12</v>
      </c>
      <c r="H64" s="2">
        <v>0.148148148148148</v>
      </c>
      <c r="I64" s="9">
        <v>6.21761658031088E-2</v>
      </c>
    </row>
    <row r="65" spans="1:9" ht="14.15" customHeight="1" x14ac:dyDescent="0.35">
      <c r="A65" s="8">
        <v>45491</v>
      </c>
      <c r="B65" t="s">
        <v>571</v>
      </c>
      <c r="C65" t="s">
        <v>10</v>
      </c>
      <c r="D65" s="1">
        <v>221830</v>
      </c>
      <c r="E65" s="1">
        <v>91417</v>
      </c>
      <c r="F65" s="2">
        <v>0.41210386331875798</v>
      </c>
      <c r="G65" s="1">
        <v>2603</v>
      </c>
      <c r="H65" s="2">
        <v>2.8473916230022898E-2</v>
      </c>
      <c r="I65" s="9">
        <v>1.1734210882207099E-2</v>
      </c>
    </row>
    <row r="66" spans="1:9" ht="14.15" customHeight="1" x14ac:dyDescent="0.35">
      <c r="A66" s="8">
        <v>45491</v>
      </c>
      <c r="B66" t="s">
        <v>571</v>
      </c>
      <c r="C66" t="s">
        <v>11</v>
      </c>
      <c r="D66" s="1">
        <v>13118</v>
      </c>
      <c r="E66" s="1">
        <v>5921</v>
      </c>
      <c r="F66" s="2">
        <v>0.45136453727702402</v>
      </c>
      <c r="G66" s="1">
        <v>315</v>
      </c>
      <c r="H66" s="2">
        <v>5.3200472893092397E-2</v>
      </c>
      <c r="I66" s="9">
        <v>2.4012806830309499E-2</v>
      </c>
    </row>
    <row r="67" spans="1:9" ht="14.15" customHeight="1" x14ac:dyDescent="0.35">
      <c r="A67" s="8">
        <v>45491</v>
      </c>
      <c r="B67" t="s">
        <v>572</v>
      </c>
      <c r="C67" t="s">
        <v>325</v>
      </c>
      <c r="D67" s="1">
        <v>242008</v>
      </c>
      <c r="E67" s="1">
        <v>94483</v>
      </c>
      <c r="F67" s="2">
        <v>0.39041271362930202</v>
      </c>
      <c r="G67" s="1">
        <v>1377</v>
      </c>
      <c r="H67" s="2">
        <v>1.45740503582655E-2</v>
      </c>
      <c r="I67" s="9">
        <v>5.6898945489405302E-3</v>
      </c>
    </row>
    <row r="68" spans="1:9" ht="14.15" customHeight="1" x14ac:dyDescent="0.35">
      <c r="A68" s="8">
        <v>45491</v>
      </c>
      <c r="B68" t="s">
        <v>572</v>
      </c>
      <c r="C68" t="s">
        <v>327</v>
      </c>
      <c r="D68" s="1">
        <v>9977</v>
      </c>
      <c r="E68" s="1">
        <v>3615</v>
      </c>
      <c r="F68" s="2">
        <v>0.36233336674351002</v>
      </c>
      <c r="G68" s="1">
        <v>67</v>
      </c>
      <c r="H68" s="2">
        <v>1.8533886583679101E-2</v>
      </c>
      <c r="I68" s="9">
        <v>6.7154455247068296E-3</v>
      </c>
    </row>
    <row r="69" spans="1:9" ht="14.15" customHeight="1" x14ac:dyDescent="0.35">
      <c r="A69" s="8">
        <v>45491</v>
      </c>
      <c r="B69" t="s">
        <v>573</v>
      </c>
      <c r="C69" t="s">
        <v>52</v>
      </c>
      <c r="D69" s="1">
        <v>143032</v>
      </c>
      <c r="E69" s="1">
        <v>45352</v>
      </c>
      <c r="F69" s="2">
        <v>0.31707589909950201</v>
      </c>
      <c r="G69" s="1">
        <v>419</v>
      </c>
      <c r="H69" s="2">
        <v>9.23884282942318E-3</v>
      </c>
      <c r="I69" s="9">
        <v>2.9294143967783402E-3</v>
      </c>
    </row>
    <row r="70" spans="1:9" ht="14.15" customHeight="1" x14ac:dyDescent="0.35">
      <c r="A70" s="8">
        <v>45491</v>
      </c>
      <c r="B70" t="s">
        <v>573</v>
      </c>
      <c r="C70" t="s">
        <v>574</v>
      </c>
      <c r="D70" s="1">
        <v>35304</v>
      </c>
      <c r="E70" s="1">
        <v>10236</v>
      </c>
      <c r="F70" s="2">
        <v>0.28993881713120301</v>
      </c>
      <c r="G70" s="1">
        <v>64</v>
      </c>
      <c r="H70" s="2">
        <v>6.2524423602969897E-3</v>
      </c>
      <c r="I70" s="9">
        <v>1.81282574212554E-3</v>
      </c>
    </row>
    <row r="71" spans="1:9" ht="14.15" customHeight="1" x14ac:dyDescent="0.35">
      <c r="A71" s="8">
        <v>45491</v>
      </c>
      <c r="B71" t="s">
        <v>573</v>
      </c>
      <c r="C71" t="s">
        <v>575</v>
      </c>
      <c r="D71" s="1">
        <v>11817</v>
      </c>
      <c r="E71" s="1">
        <v>4389</v>
      </c>
      <c r="F71" s="2">
        <v>0.371414064483371</v>
      </c>
      <c r="G71" s="1">
        <v>47</v>
      </c>
      <c r="H71" s="2">
        <v>1.07085896559581E-2</v>
      </c>
      <c r="I71" s="9">
        <v>3.9773208090039796E-3</v>
      </c>
    </row>
    <row r="72" spans="1:9" ht="16" thickBot="1" x14ac:dyDescent="0.4">
      <c r="A72" s="36" t="s">
        <v>35</v>
      </c>
      <c r="B72" s="4"/>
      <c r="C72" s="4"/>
      <c r="D72" s="33">
        <f>SUM(D52:D71)</f>
        <v>1314917</v>
      </c>
      <c r="E72" s="33">
        <f>SUM(E52:E71)</f>
        <v>487140</v>
      </c>
      <c r="F72" s="34">
        <f>AVERAGE(F52:F71)</f>
        <v>0.40995293862363608</v>
      </c>
      <c r="G72" s="33">
        <f>SUM(G52:G71)</f>
        <v>11416</v>
      </c>
      <c r="H72" s="34">
        <f>AVERAGE(H52:H71)</f>
        <v>4.6491630142432558E-2</v>
      </c>
      <c r="I72" s="35">
        <f>AVERAGE(I52:I71)</f>
        <v>2.2217856323431116E-2</v>
      </c>
    </row>
    <row r="73" spans="1:9" ht="3" customHeight="1" thickBot="1" x14ac:dyDescent="0.4">
      <c r="A73" s="139"/>
      <c r="B73" s="138"/>
      <c r="C73" s="138"/>
      <c r="D73" s="138"/>
      <c r="E73" s="138"/>
      <c r="F73" s="138"/>
      <c r="G73" s="138"/>
      <c r="H73" s="138"/>
      <c r="I73" s="140"/>
    </row>
    <row r="74" spans="1:9" x14ac:dyDescent="0.35">
      <c r="A74" s="16" t="s">
        <v>38</v>
      </c>
      <c r="B74" s="17"/>
      <c r="C74" s="17"/>
      <c r="D74" s="17"/>
      <c r="E74" s="17"/>
      <c r="F74" s="17"/>
      <c r="G74" s="17"/>
      <c r="H74" s="17"/>
      <c r="I74" s="18"/>
    </row>
    <row r="75" spans="1:9" x14ac:dyDescent="0.35">
      <c r="A75" s="8">
        <v>45491</v>
      </c>
      <c r="B75" t="s">
        <v>542</v>
      </c>
      <c r="C75" t="s">
        <v>253</v>
      </c>
      <c r="D75" s="1">
        <v>434815</v>
      </c>
      <c r="E75" s="1">
        <v>137690</v>
      </c>
      <c r="F75" s="3">
        <v>0.31669999999999998</v>
      </c>
      <c r="G75" s="1">
        <v>1014</v>
      </c>
      <c r="H75" s="3">
        <v>7.4000000000000003E-3</v>
      </c>
      <c r="I75" s="11">
        <v>2.3E-3</v>
      </c>
    </row>
    <row r="76" spans="1:9" x14ac:dyDescent="0.35">
      <c r="A76" s="8">
        <v>45491</v>
      </c>
      <c r="B76" t="s">
        <v>544</v>
      </c>
      <c r="C76" t="s">
        <v>255</v>
      </c>
      <c r="D76" s="1">
        <v>21300</v>
      </c>
      <c r="E76" s="1">
        <v>6339</v>
      </c>
      <c r="F76" s="3">
        <v>0.29759999999999998</v>
      </c>
      <c r="G76">
        <v>68</v>
      </c>
      <c r="H76" s="3">
        <v>1.0699999999999999E-2</v>
      </c>
      <c r="I76" s="11">
        <v>3.2000000000000002E-3</v>
      </c>
    </row>
    <row r="77" spans="1:9" ht="14.15" customHeight="1" x14ac:dyDescent="0.35">
      <c r="A77" s="8">
        <v>45491</v>
      </c>
      <c r="B77" t="s">
        <v>557</v>
      </c>
      <c r="C77" t="s">
        <v>234</v>
      </c>
      <c r="D77" s="1">
        <v>720100</v>
      </c>
      <c r="E77" s="1">
        <v>246564</v>
      </c>
      <c r="F77" s="3">
        <v>0.34239999999999998</v>
      </c>
      <c r="G77" s="1">
        <v>2287</v>
      </c>
      <c r="H77" s="3">
        <v>9.2999999999999992E-3</v>
      </c>
      <c r="I77" s="11">
        <v>3.2000000000000002E-3</v>
      </c>
    </row>
    <row r="78" spans="1:9" ht="14.15" customHeight="1" x14ac:dyDescent="0.35">
      <c r="A78" s="8">
        <v>45491</v>
      </c>
      <c r="B78" t="s">
        <v>558</v>
      </c>
      <c r="C78" t="s">
        <v>235</v>
      </c>
      <c r="D78" s="1">
        <v>55695</v>
      </c>
      <c r="E78" s="1">
        <v>16788</v>
      </c>
      <c r="F78" s="3">
        <v>0.3014</v>
      </c>
      <c r="G78">
        <v>203</v>
      </c>
      <c r="H78" s="3">
        <v>1.21E-2</v>
      </c>
      <c r="I78" s="11">
        <v>3.5999999999999999E-3</v>
      </c>
    </row>
    <row r="79" spans="1:9" ht="14.15" customHeight="1" x14ac:dyDescent="0.35">
      <c r="A79" s="8">
        <v>45491</v>
      </c>
      <c r="B79" t="s">
        <v>570</v>
      </c>
      <c r="C79" t="s">
        <v>327</v>
      </c>
      <c r="D79" s="1">
        <v>63028</v>
      </c>
      <c r="E79" s="1">
        <v>23623</v>
      </c>
      <c r="F79" s="3">
        <v>0.37480000000000002</v>
      </c>
      <c r="G79">
        <v>582</v>
      </c>
      <c r="H79" s="3">
        <v>2.46E-2</v>
      </c>
      <c r="I79" s="11">
        <v>9.1999999999999998E-3</v>
      </c>
    </row>
    <row r="80" spans="1:9" ht="16" thickBot="1" x14ac:dyDescent="0.4">
      <c r="A80" s="36" t="s">
        <v>35</v>
      </c>
      <c r="B80" s="4"/>
      <c r="C80" s="4"/>
      <c r="D80" s="33">
        <f>SUM(D75:D79)</f>
        <v>1294938</v>
      </c>
      <c r="E80" s="33">
        <f>SUM(E75:E79)</f>
        <v>431004</v>
      </c>
      <c r="F80" s="34">
        <f>AVERAGE(F75:F79)</f>
        <v>0.32657999999999998</v>
      </c>
      <c r="G80" s="33">
        <f>SUM(G75:G79)</f>
        <v>4154</v>
      </c>
      <c r="H80" s="34">
        <f>AVERAGE(H75:H79)</f>
        <v>1.2819999999999998E-2</v>
      </c>
      <c r="I80" s="35">
        <f>AVERAGE(I75:I79)</f>
        <v>4.3E-3</v>
      </c>
    </row>
    <row r="85" spans="6:13" x14ac:dyDescent="0.35">
      <c r="F85" s="1"/>
      <c r="G85" s="1"/>
      <c r="H85" s="3"/>
      <c r="I85" s="1"/>
      <c r="J85" s="3"/>
      <c r="K85" s="1"/>
      <c r="L85" s="3"/>
      <c r="M85" s="3"/>
    </row>
    <row r="86" spans="6:13" x14ac:dyDescent="0.35">
      <c r="F86" s="1"/>
      <c r="G86" s="1"/>
      <c r="H86" s="3"/>
      <c r="I86" s="1"/>
      <c r="J86" s="3"/>
      <c r="K86" s="1"/>
      <c r="L86" s="3"/>
      <c r="M86" s="3"/>
    </row>
    <row r="87" spans="6:13" x14ac:dyDescent="0.35">
      <c r="F87" s="1"/>
      <c r="H87" s="3"/>
      <c r="I87" s="1"/>
      <c r="J87" s="3"/>
      <c r="L87" s="3"/>
      <c r="M87" s="3"/>
    </row>
    <row r="88" spans="6:13" x14ac:dyDescent="0.35">
      <c r="F88" s="1"/>
      <c r="H88" s="3"/>
      <c r="I88" s="1"/>
      <c r="J88" s="3"/>
      <c r="L88" s="3"/>
      <c r="M88" s="3"/>
    </row>
  </sheetData>
  <mergeCells count="3">
    <mergeCell ref="A37:I37"/>
    <mergeCell ref="A50:I50"/>
    <mergeCell ref="A73:I73"/>
  </mergeCells>
  <pageMargins left="0.7" right="0.7" top="0.75" bottom="0.75" header="0.3" footer="0.3"/>
  <ignoredErrors>
    <ignoredError sqref="F36:G36 F80:G80 F72:G72 F49:G49" formula="1"/>
  </ignoredErrors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D82F-6BD8-480A-AB19-F10F41AFEA33}">
  <dimension ref="A1:M70"/>
  <sheetViews>
    <sheetView workbookViewId="0">
      <selection activeCell="L19" sqref="L19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45492</v>
      </c>
      <c r="B2" t="s">
        <v>576</v>
      </c>
      <c r="C2" t="s">
        <v>10</v>
      </c>
      <c r="D2" s="1">
        <v>388404</v>
      </c>
      <c r="E2" s="1">
        <v>135031</v>
      </c>
      <c r="F2" s="2">
        <v>0.34765604885634499</v>
      </c>
      <c r="G2" s="1">
        <v>3274</v>
      </c>
      <c r="H2" s="2">
        <v>2.4246284186594198E-2</v>
      </c>
      <c r="I2" s="2">
        <v>8.4293673597594307E-3</v>
      </c>
    </row>
    <row r="3" spans="1:9" x14ac:dyDescent="0.35">
      <c r="A3" s="19">
        <v>45492</v>
      </c>
      <c r="B3" t="s">
        <v>576</v>
      </c>
      <c r="C3" t="s">
        <v>11</v>
      </c>
      <c r="D3" s="1">
        <v>21407</v>
      </c>
      <c r="E3" s="1">
        <v>6796</v>
      </c>
      <c r="F3" s="2">
        <v>0.31746624935768702</v>
      </c>
      <c r="G3" s="1">
        <v>252</v>
      </c>
      <c r="H3" s="2">
        <v>3.7080635668039999E-2</v>
      </c>
      <c r="I3" s="2">
        <v>1.17718503293315E-2</v>
      </c>
    </row>
    <row r="4" spans="1:9" x14ac:dyDescent="0.35">
      <c r="A4" s="19">
        <v>45492</v>
      </c>
      <c r="B4" t="s">
        <v>577</v>
      </c>
      <c r="C4" t="s">
        <v>524</v>
      </c>
      <c r="D4" s="1">
        <v>240520</v>
      </c>
      <c r="E4" s="1">
        <v>78251</v>
      </c>
      <c r="F4" s="2">
        <v>0.32534092798935599</v>
      </c>
      <c r="G4" s="1">
        <v>1023</v>
      </c>
      <c r="H4" s="2">
        <v>1.30733153569922E-2</v>
      </c>
      <c r="I4" s="2">
        <v>4.25328455014136E-3</v>
      </c>
    </row>
    <row r="5" spans="1:9" x14ac:dyDescent="0.35">
      <c r="A5" s="19">
        <v>45492</v>
      </c>
      <c r="B5" t="s">
        <v>577</v>
      </c>
      <c r="C5" t="s">
        <v>525</v>
      </c>
      <c r="D5" s="1">
        <v>15481</v>
      </c>
      <c r="E5" s="1">
        <v>4372</v>
      </c>
      <c r="F5" s="2">
        <v>0.28241069698339899</v>
      </c>
      <c r="G5" s="1">
        <v>79</v>
      </c>
      <c r="H5" s="2">
        <v>1.80695333943275E-2</v>
      </c>
      <c r="I5" s="2">
        <v>5.1030295200568399E-3</v>
      </c>
    </row>
    <row r="6" spans="1:9" x14ac:dyDescent="0.35">
      <c r="A6" s="19">
        <v>45492</v>
      </c>
      <c r="B6" t="s">
        <v>577</v>
      </c>
      <c r="C6" t="s">
        <v>526</v>
      </c>
      <c r="D6" s="1">
        <v>4347864</v>
      </c>
      <c r="E6" s="1">
        <v>1389730</v>
      </c>
      <c r="F6" s="2">
        <v>0.319635112781817</v>
      </c>
      <c r="G6" s="1">
        <v>19957</v>
      </c>
      <c r="H6" s="2">
        <v>1.43603433760515E-2</v>
      </c>
      <c r="I6" s="2">
        <v>4.5900699745898199E-3</v>
      </c>
    </row>
    <row r="7" spans="1:9" x14ac:dyDescent="0.35">
      <c r="A7" s="19">
        <v>45492</v>
      </c>
      <c r="B7" t="s">
        <v>577</v>
      </c>
      <c r="C7" t="s">
        <v>527</v>
      </c>
      <c r="D7" s="1">
        <v>279508</v>
      </c>
      <c r="E7" s="1">
        <v>78197</v>
      </c>
      <c r="F7" s="2">
        <v>0.27976658986504899</v>
      </c>
      <c r="G7" s="1">
        <v>1580</v>
      </c>
      <c r="H7" s="2">
        <v>2.02053787229689E-2</v>
      </c>
      <c r="I7" s="2">
        <v>5.6527899022568197E-3</v>
      </c>
    </row>
    <row r="8" spans="1:9" x14ac:dyDescent="0.35">
      <c r="A8" s="19">
        <v>45492</v>
      </c>
      <c r="B8" t="s">
        <v>577</v>
      </c>
      <c r="C8" t="s">
        <v>528</v>
      </c>
      <c r="D8" s="1">
        <v>239887</v>
      </c>
      <c r="E8" s="1">
        <v>81577</v>
      </c>
      <c r="F8" s="2">
        <v>0.34006428026529201</v>
      </c>
      <c r="G8" s="1">
        <v>919</v>
      </c>
      <c r="H8" s="2">
        <v>1.12654302070437E-2</v>
      </c>
      <c r="I8" s="2">
        <v>3.8309704152371701E-3</v>
      </c>
    </row>
    <row r="9" spans="1:9" x14ac:dyDescent="0.35">
      <c r="A9" s="19">
        <v>45492</v>
      </c>
      <c r="B9" t="s">
        <v>577</v>
      </c>
      <c r="C9" t="s">
        <v>529</v>
      </c>
      <c r="D9" s="1">
        <v>15532</v>
      </c>
      <c r="E9" s="1">
        <v>4837</v>
      </c>
      <c r="F9" s="2">
        <v>0.31142158125161001</v>
      </c>
      <c r="G9" s="1">
        <v>58</v>
      </c>
      <c r="H9" s="2">
        <v>1.19909034525532E-2</v>
      </c>
      <c r="I9" s="2">
        <v>3.7342261138295098E-3</v>
      </c>
    </row>
    <row r="10" spans="1:9" x14ac:dyDescent="0.35">
      <c r="A10" s="19">
        <v>45492</v>
      </c>
      <c r="B10" t="s">
        <v>578</v>
      </c>
      <c r="C10" t="s">
        <v>11</v>
      </c>
      <c r="D10" s="1">
        <v>12711</v>
      </c>
      <c r="E10" s="1">
        <v>4959</v>
      </c>
      <c r="F10" s="2">
        <v>0.39013452914798202</v>
      </c>
      <c r="G10" s="1">
        <v>210</v>
      </c>
      <c r="H10" s="2">
        <v>4.2347247428917101E-2</v>
      </c>
      <c r="I10" s="2">
        <v>1.6521123436393701E-2</v>
      </c>
    </row>
    <row r="11" spans="1:9" x14ac:dyDescent="0.35">
      <c r="A11" s="19">
        <v>45492</v>
      </c>
      <c r="B11" t="s">
        <v>578</v>
      </c>
      <c r="C11" t="s">
        <v>10</v>
      </c>
      <c r="D11" s="1">
        <v>357710</v>
      </c>
      <c r="E11" s="1">
        <v>140714</v>
      </c>
      <c r="F11" s="2">
        <v>0.39337452126023897</v>
      </c>
      <c r="G11" s="1">
        <v>2732</v>
      </c>
      <c r="H11" s="2">
        <v>1.9415267848259601E-2</v>
      </c>
      <c r="I11" s="2">
        <v>7.6374716949484198E-3</v>
      </c>
    </row>
    <row r="12" spans="1:9" x14ac:dyDescent="0.35">
      <c r="A12" s="19">
        <v>45492</v>
      </c>
      <c r="B12" t="s">
        <v>539</v>
      </c>
      <c r="C12" t="s">
        <v>579</v>
      </c>
      <c r="D12" s="1">
        <v>216815</v>
      </c>
      <c r="E12" s="1">
        <v>70281</v>
      </c>
      <c r="F12" s="2">
        <v>0.324151926757835</v>
      </c>
      <c r="G12" s="1">
        <v>789</v>
      </c>
      <c r="H12" s="2">
        <v>1.1226362743842601E-2</v>
      </c>
      <c r="I12" s="2">
        <v>3.63904711389895E-3</v>
      </c>
    </row>
    <row r="13" spans="1:9" x14ac:dyDescent="0.35">
      <c r="A13" s="19">
        <v>45492</v>
      </c>
      <c r="B13" t="s">
        <v>539</v>
      </c>
      <c r="C13" t="s">
        <v>580</v>
      </c>
      <c r="D13" s="1">
        <v>151110</v>
      </c>
      <c r="E13" s="1">
        <v>47035</v>
      </c>
      <c r="F13" s="2">
        <v>0.31126331811263303</v>
      </c>
      <c r="G13" s="1">
        <v>609</v>
      </c>
      <c r="H13" s="2">
        <v>1.29478048261933E-2</v>
      </c>
      <c r="I13" s="2">
        <v>4.03017669247568E-3</v>
      </c>
    </row>
    <row r="14" spans="1:9" x14ac:dyDescent="0.35">
      <c r="A14" s="19">
        <v>45493</v>
      </c>
      <c r="B14" t="s">
        <v>581</v>
      </c>
      <c r="C14" t="s">
        <v>10</v>
      </c>
      <c r="D14" s="1">
        <v>1220732</v>
      </c>
      <c r="E14" s="1">
        <v>350254</v>
      </c>
      <c r="F14" s="2">
        <v>0.28692128984904097</v>
      </c>
      <c r="G14" s="1">
        <v>6911</v>
      </c>
      <c r="H14" s="2">
        <v>1.9731394930536099E-2</v>
      </c>
      <c r="I14" s="2">
        <v>5.6613572839902598E-3</v>
      </c>
    </row>
    <row r="15" spans="1:9" x14ac:dyDescent="0.35">
      <c r="A15" s="19">
        <v>45493</v>
      </c>
      <c r="B15" t="s">
        <v>581</v>
      </c>
      <c r="C15" t="s">
        <v>11</v>
      </c>
      <c r="D15" s="1">
        <v>91736</v>
      </c>
      <c r="E15" s="1">
        <v>23099</v>
      </c>
      <c r="F15" s="2">
        <v>0.25179863957443099</v>
      </c>
      <c r="G15" s="1">
        <v>732</v>
      </c>
      <c r="H15" s="2">
        <v>3.1689683536083799E-2</v>
      </c>
      <c r="I15" s="2">
        <v>7.9794192029301499E-3</v>
      </c>
    </row>
    <row r="16" spans="1:9" x14ac:dyDescent="0.35">
      <c r="A16" s="19">
        <v>45495</v>
      </c>
      <c r="B16" t="s">
        <v>582</v>
      </c>
      <c r="C16" t="s">
        <v>583</v>
      </c>
      <c r="D16" s="1">
        <v>574</v>
      </c>
      <c r="E16" s="1">
        <v>227</v>
      </c>
      <c r="F16" s="2">
        <v>0.39547038327526102</v>
      </c>
      <c r="G16" s="1">
        <v>46</v>
      </c>
      <c r="H16" s="2">
        <v>0.20264317180616701</v>
      </c>
      <c r="I16" s="2">
        <v>8.0139372822299604E-2</v>
      </c>
    </row>
    <row r="17" spans="1:9" x14ac:dyDescent="0.35">
      <c r="A17" s="19">
        <v>45496</v>
      </c>
      <c r="B17" t="s">
        <v>584</v>
      </c>
      <c r="C17" t="s">
        <v>10</v>
      </c>
      <c r="D17" s="1">
        <v>1316889</v>
      </c>
      <c r="E17" s="1">
        <v>456718</v>
      </c>
      <c r="F17" s="2">
        <v>0.346815866789076</v>
      </c>
      <c r="G17" s="1">
        <v>11604</v>
      </c>
      <c r="H17" s="2">
        <v>2.54073629679583E-2</v>
      </c>
      <c r="I17" s="2">
        <v>8.8116766105571492E-3</v>
      </c>
    </row>
    <row r="18" spans="1:9" x14ac:dyDescent="0.35">
      <c r="A18" s="19">
        <v>45496</v>
      </c>
      <c r="B18" t="s">
        <v>584</v>
      </c>
      <c r="C18" t="s">
        <v>11</v>
      </c>
      <c r="D18" s="1">
        <v>91138</v>
      </c>
      <c r="E18" s="1">
        <v>31436</v>
      </c>
      <c r="F18" s="2">
        <v>0.34492747262393297</v>
      </c>
      <c r="G18" s="1">
        <v>1194</v>
      </c>
      <c r="H18" s="2">
        <v>3.7981931543453397E-2</v>
      </c>
      <c r="I18" s="2">
        <v>1.31010116526586E-2</v>
      </c>
    </row>
    <row r="19" spans="1:9" x14ac:dyDescent="0.35">
      <c r="A19" s="19">
        <v>45498</v>
      </c>
      <c r="B19" t="s">
        <v>557</v>
      </c>
      <c r="C19" t="s">
        <v>253</v>
      </c>
      <c r="D19" s="1">
        <v>702952</v>
      </c>
      <c r="E19" s="1">
        <v>170379</v>
      </c>
      <c r="F19" s="3">
        <v>0.2424</v>
      </c>
      <c r="G19" s="1">
        <v>2541</v>
      </c>
      <c r="H19" s="3">
        <v>1.49E-2</v>
      </c>
      <c r="I19" s="3">
        <v>3.5999999999999999E-3</v>
      </c>
    </row>
    <row r="20" spans="1:9" x14ac:dyDescent="0.35">
      <c r="A20" s="19">
        <v>45498</v>
      </c>
      <c r="B20" t="s">
        <v>558</v>
      </c>
      <c r="C20" t="s">
        <v>255</v>
      </c>
      <c r="D20" s="1">
        <v>54654</v>
      </c>
      <c r="E20" s="1">
        <v>12457</v>
      </c>
      <c r="F20" s="3">
        <v>0.22789999999999999</v>
      </c>
      <c r="G20">
        <v>208</v>
      </c>
      <c r="H20" s="3">
        <v>1.67E-2</v>
      </c>
      <c r="I20" s="3">
        <v>3.8E-3</v>
      </c>
    </row>
    <row r="21" spans="1:9" x14ac:dyDescent="0.35">
      <c r="A21" s="19">
        <v>45498</v>
      </c>
      <c r="B21" t="s">
        <v>585</v>
      </c>
      <c r="C21" t="s">
        <v>543</v>
      </c>
      <c r="D21" s="1">
        <v>1216926</v>
      </c>
      <c r="E21" s="1">
        <v>298077</v>
      </c>
      <c r="F21" s="3">
        <v>0.24490000000000001</v>
      </c>
      <c r="G21" s="1">
        <v>4536</v>
      </c>
      <c r="H21" s="3">
        <v>1.52E-2</v>
      </c>
      <c r="I21" s="3">
        <v>3.7000000000000002E-3</v>
      </c>
    </row>
    <row r="22" spans="1:9" x14ac:dyDescent="0.35">
      <c r="A22" s="19">
        <v>45498</v>
      </c>
      <c r="B22" t="s">
        <v>586</v>
      </c>
      <c r="C22" t="s">
        <v>545</v>
      </c>
      <c r="D22" s="1">
        <v>88626</v>
      </c>
      <c r="E22" s="1">
        <v>22073</v>
      </c>
      <c r="F22" s="3">
        <v>0.24909999999999999</v>
      </c>
      <c r="G22">
        <v>333</v>
      </c>
      <c r="H22" s="3">
        <v>1.5100000000000001E-2</v>
      </c>
      <c r="I22" s="3">
        <v>3.8E-3</v>
      </c>
    </row>
    <row r="23" spans="1:9" x14ac:dyDescent="0.35">
      <c r="A23" s="19">
        <v>45498</v>
      </c>
      <c r="B23" t="s">
        <v>570</v>
      </c>
      <c r="C23" t="s">
        <v>235</v>
      </c>
      <c r="D23" s="1">
        <v>58051</v>
      </c>
      <c r="E23" s="1">
        <v>15463</v>
      </c>
      <c r="F23" s="3">
        <v>0.26640000000000003</v>
      </c>
      <c r="G23">
        <v>348</v>
      </c>
      <c r="H23" s="3">
        <v>2.2499999999999999E-2</v>
      </c>
      <c r="I23" s="3">
        <v>6.0000000000000001E-3</v>
      </c>
    </row>
    <row r="24" spans="1:9" x14ac:dyDescent="0.35">
      <c r="A24" s="19">
        <v>45498</v>
      </c>
      <c r="B24" t="s">
        <v>587</v>
      </c>
      <c r="C24" t="s">
        <v>72</v>
      </c>
      <c r="D24" s="1">
        <v>472183</v>
      </c>
      <c r="E24" s="1">
        <v>113624</v>
      </c>
      <c r="F24" s="2">
        <v>0.240635516314649</v>
      </c>
      <c r="G24" s="1">
        <v>2866</v>
      </c>
      <c r="H24" s="2">
        <v>2.5223544321622202E-2</v>
      </c>
      <c r="I24" s="2">
        <v>6.0696806111189897E-3</v>
      </c>
    </row>
    <row r="25" spans="1:9" x14ac:dyDescent="0.35">
      <c r="A25" s="19">
        <v>45498</v>
      </c>
      <c r="B25" t="s">
        <v>587</v>
      </c>
      <c r="C25" t="s">
        <v>73</v>
      </c>
      <c r="D25" s="1">
        <v>24163</v>
      </c>
      <c r="E25" s="1">
        <v>5731</v>
      </c>
      <c r="F25" s="2">
        <v>0.23718081364068999</v>
      </c>
      <c r="G25" s="1">
        <v>208</v>
      </c>
      <c r="H25" s="2">
        <v>3.6293840516489297E-2</v>
      </c>
      <c r="I25" s="2">
        <v>8.6082026238463796E-3</v>
      </c>
    </row>
    <row r="26" spans="1:9" ht="14.15" customHeight="1" x14ac:dyDescent="0.35">
      <c r="A26" s="19">
        <v>45498</v>
      </c>
      <c r="B26" t="s">
        <v>588</v>
      </c>
      <c r="C26" t="s">
        <v>10</v>
      </c>
      <c r="D26" s="1">
        <v>75671</v>
      </c>
      <c r="E26" s="1">
        <v>20003</v>
      </c>
      <c r="F26" s="2">
        <v>0.26434168968297</v>
      </c>
      <c r="G26" s="1">
        <v>357</v>
      </c>
      <c r="H26" s="2">
        <v>1.7847322901564801E-2</v>
      </c>
      <c r="I26" s="2">
        <v>4.7177914921171897E-3</v>
      </c>
    </row>
    <row r="27" spans="1:9" ht="16" thickBot="1" x14ac:dyDescent="0.4">
      <c r="A27" s="37" t="s">
        <v>35</v>
      </c>
      <c r="D27" s="31">
        <f>SUM(D2:D26)</f>
        <v>11701244</v>
      </c>
      <c r="E27" s="31">
        <f>SUM(E2:E26)</f>
        <v>3561321</v>
      </c>
      <c r="F27" s="32">
        <f>AVERAGE(F2:F26)</f>
        <v>0.30165909817517184</v>
      </c>
      <c r="G27" s="31">
        <f>SUM(G2:G26)</f>
        <v>63366</v>
      </c>
      <c r="H27" s="32">
        <f>AVERAGE(H2:H26)</f>
        <v>2.8697870389426349E-2</v>
      </c>
      <c r="I27" s="32">
        <f>AVERAGE(I2:I26)</f>
        <v>9.4072767760974996E-3</v>
      </c>
    </row>
    <row r="28" spans="1:9" ht="15" thickBot="1" x14ac:dyDescent="0.4">
      <c r="A28" s="138" t="s">
        <v>302</v>
      </c>
      <c r="B28" s="138"/>
      <c r="C28" s="138"/>
      <c r="D28" s="138"/>
      <c r="E28" s="138"/>
      <c r="F28" s="138"/>
      <c r="G28" s="138"/>
      <c r="H28" s="138"/>
      <c r="I28" s="138"/>
    </row>
    <row r="29" spans="1:9" ht="15.5" x14ac:dyDescent="0.35">
      <c r="A29" s="38" t="s">
        <v>0</v>
      </c>
      <c r="B29" s="39" t="s">
        <v>1</v>
      </c>
      <c r="C29" s="39" t="s">
        <v>2</v>
      </c>
      <c r="D29" s="39" t="s">
        <v>3</v>
      </c>
      <c r="E29" s="39" t="s">
        <v>4</v>
      </c>
      <c r="F29" s="39" t="s">
        <v>5</v>
      </c>
      <c r="G29" s="39" t="s">
        <v>6</v>
      </c>
      <c r="H29" s="39" t="s">
        <v>7</v>
      </c>
      <c r="I29" s="40" t="s">
        <v>8</v>
      </c>
    </row>
    <row r="30" spans="1:9" x14ac:dyDescent="0.35">
      <c r="A30" s="5" t="s">
        <v>36</v>
      </c>
      <c r="B30" s="6"/>
      <c r="C30" s="6"/>
      <c r="D30" s="6"/>
      <c r="E30" s="6"/>
      <c r="F30" s="6"/>
      <c r="G30" s="6"/>
      <c r="H30" s="6"/>
      <c r="I30" s="7"/>
    </row>
    <row r="31" spans="1:9" x14ac:dyDescent="0.35">
      <c r="A31" s="28">
        <v>45492</v>
      </c>
      <c r="B31" t="s">
        <v>576</v>
      </c>
      <c r="C31" t="s">
        <v>10</v>
      </c>
      <c r="D31" s="1">
        <v>388404</v>
      </c>
      <c r="E31" s="1">
        <v>135031</v>
      </c>
      <c r="F31" s="2">
        <v>0.34765604885634499</v>
      </c>
      <c r="G31" s="1">
        <v>3274</v>
      </c>
      <c r="H31" s="2">
        <v>2.4246284186594198E-2</v>
      </c>
      <c r="I31" s="29">
        <v>8.4293673597594307E-3</v>
      </c>
    </row>
    <row r="32" spans="1:9" x14ac:dyDescent="0.35">
      <c r="A32" s="28">
        <v>45492</v>
      </c>
      <c r="B32" t="s">
        <v>576</v>
      </c>
      <c r="C32" t="s">
        <v>11</v>
      </c>
      <c r="D32" s="1">
        <v>21407</v>
      </c>
      <c r="E32" s="1">
        <v>6796</v>
      </c>
      <c r="F32" s="2">
        <v>0.31746624935768702</v>
      </c>
      <c r="G32" s="1">
        <v>252</v>
      </c>
      <c r="H32" s="2">
        <v>3.7080635668039999E-2</v>
      </c>
      <c r="I32" s="29">
        <v>1.17718503293315E-2</v>
      </c>
    </row>
    <row r="33" spans="1:9" x14ac:dyDescent="0.35">
      <c r="A33" s="28">
        <v>45492</v>
      </c>
      <c r="B33" t="s">
        <v>577</v>
      </c>
      <c r="C33" t="s">
        <v>524</v>
      </c>
      <c r="D33" s="1">
        <v>240520</v>
      </c>
      <c r="E33" s="1">
        <v>78251</v>
      </c>
      <c r="F33" s="2">
        <v>0.32534092798935599</v>
      </c>
      <c r="G33" s="1">
        <v>1023</v>
      </c>
      <c r="H33" s="2">
        <v>1.30733153569922E-2</v>
      </c>
      <c r="I33" s="29">
        <v>4.25328455014136E-3</v>
      </c>
    </row>
    <row r="34" spans="1:9" x14ac:dyDescent="0.35">
      <c r="A34" s="28">
        <v>45492</v>
      </c>
      <c r="B34" t="s">
        <v>577</v>
      </c>
      <c r="C34" t="s">
        <v>525</v>
      </c>
      <c r="D34" s="1">
        <v>15481</v>
      </c>
      <c r="E34" s="1">
        <v>4372</v>
      </c>
      <c r="F34" s="2">
        <v>0.28241069698339899</v>
      </c>
      <c r="G34" s="1">
        <v>79</v>
      </c>
      <c r="H34" s="2">
        <v>1.80695333943275E-2</v>
      </c>
      <c r="I34" s="29">
        <v>5.1030295200568399E-3</v>
      </c>
    </row>
    <row r="35" spans="1:9" x14ac:dyDescent="0.35">
      <c r="A35" s="28">
        <v>45492</v>
      </c>
      <c r="B35" t="s">
        <v>577</v>
      </c>
      <c r="C35" t="s">
        <v>526</v>
      </c>
      <c r="D35" s="1">
        <v>4347864</v>
      </c>
      <c r="E35" s="1">
        <v>1389730</v>
      </c>
      <c r="F35" s="2">
        <v>0.319635112781817</v>
      </c>
      <c r="G35" s="1">
        <v>19957</v>
      </c>
      <c r="H35" s="2">
        <v>1.43603433760515E-2</v>
      </c>
      <c r="I35" s="29">
        <v>4.5900699745898199E-3</v>
      </c>
    </row>
    <row r="36" spans="1:9" x14ac:dyDescent="0.35">
      <c r="A36" s="28">
        <v>45492</v>
      </c>
      <c r="B36" t="s">
        <v>577</v>
      </c>
      <c r="C36" t="s">
        <v>527</v>
      </c>
      <c r="D36" s="1">
        <v>279508</v>
      </c>
      <c r="E36" s="1">
        <v>78197</v>
      </c>
      <c r="F36" s="2">
        <v>0.27976658986504899</v>
      </c>
      <c r="G36" s="1">
        <v>1580</v>
      </c>
      <c r="H36" s="2">
        <v>2.02053787229689E-2</v>
      </c>
      <c r="I36" s="29">
        <v>5.6527899022568197E-3</v>
      </c>
    </row>
    <row r="37" spans="1:9" x14ac:dyDescent="0.35">
      <c r="A37" s="28">
        <v>45492</v>
      </c>
      <c r="B37" t="s">
        <v>577</v>
      </c>
      <c r="C37" t="s">
        <v>528</v>
      </c>
      <c r="D37" s="1">
        <v>239887</v>
      </c>
      <c r="E37" s="1">
        <v>81577</v>
      </c>
      <c r="F37" s="2">
        <v>0.34006428026529201</v>
      </c>
      <c r="G37" s="1">
        <v>919</v>
      </c>
      <c r="H37" s="2">
        <v>1.12654302070437E-2</v>
      </c>
      <c r="I37" s="29">
        <v>3.8309704152371701E-3</v>
      </c>
    </row>
    <row r="38" spans="1:9" x14ac:dyDescent="0.35">
      <c r="A38" s="28">
        <v>45492</v>
      </c>
      <c r="B38" t="s">
        <v>577</v>
      </c>
      <c r="C38" t="s">
        <v>529</v>
      </c>
      <c r="D38" s="1">
        <v>15532</v>
      </c>
      <c r="E38" s="1">
        <v>4837</v>
      </c>
      <c r="F38" s="2">
        <v>0.31142158125161001</v>
      </c>
      <c r="G38" s="1">
        <v>58</v>
      </c>
      <c r="H38" s="2">
        <v>1.19909034525532E-2</v>
      </c>
      <c r="I38" s="29">
        <v>3.7342261138295098E-3</v>
      </c>
    </row>
    <row r="39" spans="1:9" x14ac:dyDescent="0.35">
      <c r="A39" s="28">
        <v>45496</v>
      </c>
      <c r="B39" t="s">
        <v>584</v>
      </c>
      <c r="C39" t="s">
        <v>10</v>
      </c>
      <c r="D39" s="1">
        <v>1316889</v>
      </c>
      <c r="E39" s="1">
        <v>456718</v>
      </c>
      <c r="F39" s="2">
        <v>0.346815866789076</v>
      </c>
      <c r="G39" s="1">
        <v>11604</v>
      </c>
      <c r="H39" s="2">
        <v>2.54073629679583E-2</v>
      </c>
      <c r="I39" s="29">
        <v>8.8116766105571492E-3</v>
      </c>
    </row>
    <row r="40" spans="1:9" x14ac:dyDescent="0.35">
      <c r="A40" s="28">
        <v>45496</v>
      </c>
      <c r="B40" t="s">
        <v>584</v>
      </c>
      <c r="C40" t="s">
        <v>11</v>
      </c>
      <c r="D40" s="1">
        <v>91138</v>
      </c>
      <c r="E40" s="1">
        <v>31436</v>
      </c>
      <c r="F40" s="2">
        <v>0.34492747262393297</v>
      </c>
      <c r="G40" s="1">
        <v>1194</v>
      </c>
      <c r="H40" s="2">
        <v>3.7981931543453397E-2</v>
      </c>
      <c r="I40" s="29">
        <v>1.31010116526586E-2</v>
      </c>
    </row>
    <row r="41" spans="1:9" ht="16" thickBot="1" x14ac:dyDescent="0.4">
      <c r="A41" s="36" t="s">
        <v>35</v>
      </c>
      <c r="B41" s="4"/>
      <c r="C41" s="4"/>
      <c r="D41" s="33">
        <f>SUM(D31:D40)</f>
        <v>6956630</v>
      </c>
      <c r="E41" s="33">
        <f>SUM(E31:E40)</f>
        <v>2266945</v>
      </c>
      <c r="F41" s="34">
        <f>AVERAGE(F31:F40)</f>
        <v>0.32155048267635639</v>
      </c>
      <c r="G41" s="33">
        <f>SUM(G31:G40)</f>
        <v>39940</v>
      </c>
      <c r="H41" s="34">
        <f>AVERAGE(H31:H40)</f>
        <v>2.1368111887598292E-2</v>
      </c>
      <c r="I41" s="35">
        <f>AVERAGE(I31:I40)</f>
        <v>6.9278276428418207E-3</v>
      </c>
    </row>
    <row r="42" spans="1:9" ht="3" customHeight="1" thickBot="1" x14ac:dyDescent="0.4">
      <c r="A42" s="141"/>
      <c r="B42" s="142"/>
      <c r="C42" s="142"/>
      <c r="D42" s="142"/>
      <c r="E42" s="142"/>
      <c r="F42" s="142"/>
      <c r="G42" s="142"/>
      <c r="H42" s="142"/>
      <c r="I42" s="143"/>
    </row>
    <row r="43" spans="1:9" x14ac:dyDescent="0.35">
      <c r="A43" s="16" t="s">
        <v>37</v>
      </c>
      <c r="B43" s="17"/>
      <c r="C43" s="17"/>
      <c r="D43" s="17"/>
      <c r="E43" s="17"/>
      <c r="F43" s="17"/>
      <c r="G43" s="17"/>
      <c r="H43" s="17"/>
      <c r="I43" s="18"/>
    </row>
    <row r="44" spans="1:9" x14ac:dyDescent="0.35">
      <c r="A44" s="28">
        <v>45492</v>
      </c>
      <c r="B44" t="s">
        <v>578</v>
      </c>
      <c r="C44" t="s">
        <v>11</v>
      </c>
      <c r="D44" s="1">
        <v>12711</v>
      </c>
      <c r="E44" s="1">
        <v>4959</v>
      </c>
      <c r="F44" s="2">
        <v>0.39013452914798202</v>
      </c>
      <c r="G44" s="1">
        <v>210</v>
      </c>
      <c r="H44" s="2">
        <v>4.2347247428917101E-2</v>
      </c>
      <c r="I44" s="29">
        <v>1.6521123436393701E-2</v>
      </c>
    </row>
    <row r="45" spans="1:9" x14ac:dyDescent="0.35">
      <c r="A45" s="28">
        <v>45492</v>
      </c>
      <c r="B45" t="s">
        <v>578</v>
      </c>
      <c r="C45" t="s">
        <v>10</v>
      </c>
      <c r="D45" s="1">
        <v>357710</v>
      </c>
      <c r="E45" s="1">
        <v>140714</v>
      </c>
      <c r="F45" s="2">
        <v>0.39337452126023897</v>
      </c>
      <c r="G45" s="1">
        <v>2732</v>
      </c>
      <c r="H45" s="2">
        <v>1.9415267848259601E-2</v>
      </c>
      <c r="I45" s="29">
        <v>7.6374716949484198E-3</v>
      </c>
    </row>
    <row r="46" spans="1:9" x14ac:dyDescent="0.35">
      <c r="A46" s="28">
        <v>45492</v>
      </c>
      <c r="B46" t="s">
        <v>539</v>
      </c>
      <c r="C46" t="s">
        <v>579</v>
      </c>
      <c r="D46" s="1">
        <v>216815</v>
      </c>
      <c r="E46" s="1">
        <v>70281</v>
      </c>
      <c r="F46" s="2">
        <v>0.324151926757835</v>
      </c>
      <c r="G46" s="1">
        <v>789</v>
      </c>
      <c r="H46" s="2">
        <v>1.1226362743842601E-2</v>
      </c>
      <c r="I46" s="29">
        <v>3.63904711389895E-3</v>
      </c>
    </row>
    <row r="47" spans="1:9" x14ac:dyDescent="0.35">
      <c r="A47" s="28">
        <v>45492</v>
      </c>
      <c r="B47" t="s">
        <v>539</v>
      </c>
      <c r="C47" t="s">
        <v>580</v>
      </c>
      <c r="D47" s="1">
        <v>151110</v>
      </c>
      <c r="E47" s="1">
        <v>47035</v>
      </c>
      <c r="F47" s="2">
        <v>0.31126331811263303</v>
      </c>
      <c r="G47" s="1">
        <v>609</v>
      </c>
      <c r="H47" s="2">
        <v>1.29478048261933E-2</v>
      </c>
      <c r="I47" s="29">
        <v>4.03017669247568E-3</v>
      </c>
    </row>
    <row r="48" spans="1:9" x14ac:dyDescent="0.35">
      <c r="A48" s="28">
        <v>45493</v>
      </c>
      <c r="B48" t="s">
        <v>581</v>
      </c>
      <c r="C48" t="s">
        <v>10</v>
      </c>
      <c r="D48" s="1">
        <v>1220732</v>
      </c>
      <c r="E48" s="1">
        <v>350254</v>
      </c>
      <c r="F48" s="2">
        <v>0.28692128984904097</v>
      </c>
      <c r="G48" s="1">
        <v>6911</v>
      </c>
      <c r="H48" s="2">
        <v>1.9731394930536099E-2</v>
      </c>
      <c r="I48" s="29">
        <v>5.6613572839902598E-3</v>
      </c>
    </row>
    <row r="49" spans="1:9" x14ac:dyDescent="0.35">
      <c r="A49" s="28">
        <v>45493</v>
      </c>
      <c r="B49" t="s">
        <v>581</v>
      </c>
      <c r="C49" t="s">
        <v>11</v>
      </c>
      <c r="D49" s="1">
        <v>91736</v>
      </c>
      <c r="E49" s="1">
        <v>23099</v>
      </c>
      <c r="F49" s="2">
        <v>0.25179863957443099</v>
      </c>
      <c r="G49" s="1">
        <v>732</v>
      </c>
      <c r="H49" s="2">
        <v>3.1689683536083799E-2</v>
      </c>
      <c r="I49" s="29">
        <v>7.9794192029301499E-3</v>
      </c>
    </row>
    <row r="50" spans="1:9" x14ac:dyDescent="0.35">
      <c r="A50" s="28">
        <v>45495</v>
      </c>
      <c r="B50" t="s">
        <v>582</v>
      </c>
      <c r="C50" t="s">
        <v>583</v>
      </c>
      <c r="D50" s="1">
        <v>574</v>
      </c>
      <c r="E50" s="1">
        <v>227</v>
      </c>
      <c r="F50" s="2">
        <v>0.39547038327526102</v>
      </c>
      <c r="G50" s="1">
        <v>46</v>
      </c>
      <c r="H50" s="2">
        <v>0.20264317180616701</v>
      </c>
      <c r="I50" s="29">
        <v>8.0139372822299604E-2</v>
      </c>
    </row>
    <row r="51" spans="1:9" x14ac:dyDescent="0.35">
      <c r="A51" s="28">
        <v>45498</v>
      </c>
      <c r="B51" t="s">
        <v>587</v>
      </c>
      <c r="C51" t="s">
        <v>72</v>
      </c>
      <c r="D51" s="1">
        <v>472183</v>
      </c>
      <c r="E51" s="1">
        <v>113624</v>
      </c>
      <c r="F51" s="2">
        <v>0.240635516314649</v>
      </c>
      <c r="G51" s="1">
        <v>2866</v>
      </c>
      <c r="H51" s="2">
        <v>2.5223544321622202E-2</v>
      </c>
      <c r="I51" s="29">
        <v>6.0696806111189897E-3</v>
      </c>
    </row>
    <row r="52" spans="1:9" x14ac:dyDescent="0.35">
      <c r="A52" s="28">
        <v>45498</v>
      </c>
      <c r="B52" t="s">
        <v>587</v>
      </c>
      <c r="C52" t="s">
        <v>73</v>
      </c>
      <c r="D52" s="1">
        <v>24163</v>
      </c>
      <c r="E52" s="1">
        <v>5731</v>
      </c>
      <c r="F52" s="2">
        <v>0.23718081364068999</v>
      </c>
      <c r="G52" s="1">
        <v>208</v>
      </c>
      <c r="H52" s="2">
        <v>3.6293840516489297E-2</v>
      </c>
      <c r="I52" s="29">
        <v>8.6082026238463796E-3</v>
      </c>
    </row>
    <row r="53" spans="1:9" x14ac:dyDescent="0.35">
      <c r="A53" s="28">
        <v>45498</v>
      </c>
      <c r="B53" t="s">
        <v>588</v>
      </c>
      <c r="C53" t="s">
        <v>10</v>
      </c>
      <c r="D53" s="1">
        <v>75671</v>
      </c>
      <c r="E53" s="1">
        <v>20003</v>
      </c>
      <c r="F53" s="2">
        <v>0.26434168968297</v>
      </c>
      <c r="G53" s="1">
        <v>357</v>
      </c>
      <c r="H53" s="2">
        <v>1.7847322901564801E-2</v>
      </c>
      <c r="I53" s="29">
        <v>4.7177914921171897E-3</v>
      </c>
    </row>
    <row r="54" spans="1:9" ht="16" thickBot="1" x14ac:dyDescent="0.4">
      <c r="A54" s="36" t="s">
        <v>35</v>
      </c>
      <c r="B54" s="4"/>
      <c r="C54" s="4"/>
      <c r="D54" s="33">
        <f>SUM(D44:D53)</f>
        <v>2623405</v>
      </c>
      <c r="E54" s="33">
        <f>SUM(E44:E53)</f>
        <v>775927</v>
      </c>
      <c r="F54" s="34">
        <f>AVERAGE(F44:F53)</f>
        <v>0.30952726276157305</v>
      </c>
      <c r="G54" s="33">
        <f>SUM(G44:G53)</f>
        <v>15460</v>
      </c>
      <c r="H54" s="34">
        <f>AVERAGE(H44:H53)</f>
        <v>4.1936564085967583E-2</v>
      </c>
      <c r="I54" s="35">
        <f>AVERAGE(I44:I53)</f>
        <v>1.4500364297401929E-2</v>
      </c>
    </row>
    <row r="55" spans="1:9" ht="3" customHeight="1" thickBot="1" x14ac:dyDescent="0.4">
      <c r="A55" s="139"/>
      <c r="B55" s="138"/>
      <c r="C55" s="138"/>
      <c r="D55" s="138"/>
      <c r="E55" s="138"/>
      <c r="F55" s="138"/>
      <c r="G55" s="138"/>
      <c r="H55" s="138"/>
      <c r="I55" s="140"/>
    </row>
    <row r="56" spans="1:9" x14ac:dyDescent="0.35">
      <c r="A56" s="16" t="s">
        <v>38</v>
      </c>
      <c r="B56" s="17"/>
      <c r="C56" s="17"/>
      <c r="D56" s="17"/>
      <c r="E56" s="17"/>
      <c r="F56" s="17"/>
      <c r="G56" s="17"/>
      <c r="H56" s="17"/>
      <c r="I56" s="18"/>
    </row>
    <row r="57" spans="1:9" x14ac:dyDescent="0.35">
      <c r="A57" s="28">
        <v>45498</v>
      </c>
      <c r="B57" t="s">
        <v>557</v>
      </c>
      <c r="C57" t="s">
        <v>253</v>
      </c>
      <c r="D57" s="1">
        <v>702952</v>
      </c>
      <c r="E57" s="1">
        <v>170379</v>
      </c>
      <c r="F57" s="3">
        <v>0.2424</v>
      </c>
      <c r="G57" s="1">
        <v>2541</v>
      </c>
      <c r="H57" s="3">
        <v>1.49E-2</v>
      </c>
      <c r="I57" s="30">
        <v>3.5999999999999999E-3</v>
      </c>
    </row>
    <row r="58" spans="1:9" x14ac:dyDescent="0.35">
      <c r="A58" s="28">
        <v>45498</v>
      </c>
      <c r="B58" t="s">
        <v>558</v>
      </c>
      <c r="C58" t="s">
        <v>255</v>
      </c>
      <c r="D58" s="1">
        <v>54654</v>
      </c>
      <c r="E58" s="1">
        <v>12457</v>
      </c>
      <c r="F58" s="3">
        <v>0.22789999999999999</v>
      </c>
      <c r="G58">
        <v>208</v>
      </c>
      <c r="H58" s="3">
        <v>1.67E-2</v>
      </c>
      <c r="I58" s="30">
        <v>3.8E-3</v>
      </c>
    </row>
    <row r="59" spans="1:9" ht="14.15" customHeight="1" x14ac:dyDescent="0.35">
      <c r="A59" s="28">
        <v>45498</v>
      </c>
      <c r="B59" t="s">
        <v>585</v>
      </c>
      <c r="C59" t="s">
        <v>543</v>
      </c>
      <c r="D59" s="1">
        <v>1216926</v>
      </c>
      <c r="E59" s="1">
        <v>298077</v>
      </c>
      <c r="F59" s="3">
        <v>0.24490000000000001</v>
      </c>
      <c r="G59" s="1">
        <v>4536</v>
      </c>
      <c r="H59" s="3">
        <v>1.52E-2</v>
      </c>
      <c r="I59" s="30">
        <v>3.7000000000000002E-3</v>
      </c>
    </row>
    <row r="60" spans="1:9" ht="14.15" customHeight="1" x14ac:dyDescent="0.35">
      <c r="A60" s="28">
        <v>45498</v>
      </c>
      <c r="B60" t="s">
        <v>586</v>
      </c>
      <c r="C60" t="s">
        <v>545</v>
      </c>
      <c r="D60" s="1">
        <v>88626</v>
      </c>
      <c r="E60" s="1">
        <v>22073</v>
      </c>
      <c r="F60" s="3">
        <v>0.24909999999999999</v>
      </c>
      <c r="G60">
        <v>333</v>
      </c>
      <c r="H60" s="3">
        <v>1.5100000000000001E-2</v>
      </c>
      <c r="I60" s="30">
        <v>3.8E-3</v>
      </c>
    </row>
    <row r="61" spans="1:9" ht="14.15" customHeight="1" x14ac:dyDescent="0.35">
      <c r="A61" s="28">
        <v>45498</v>
      </c>
      <c r="B61" t="s">
        <v>570</v>
      </c>
      <c r="C61" t="s">
        <v>235</v>
      </c>
      <c r="D61" s="1">
        <v>58051</v>
      </c>
      <c r="E61" s="1">
        <v>15463</v>
      </c>
      <c r="F61" s="3">
        <v>0.26640000000000003</v>
      </c>
      <c r="G61">
        <v>348</v>
      </c>
      <c r="H61" s="3">
        <v>2.2499999999999999E-2</v>
      </c>
      <c r="I61" s="30">
        <v>6.0000000000000001E-3</v>
      </c>
    </row>
    <row r="62" spans="1:9" ht="16" thickBot="1" x14ac:dyDescent="0.4">
      <c r="A62" s="36" t="s">
        <v>35</v>
      </c>
      <c r="B62" s="4"/>
      <c r="C62" s="4"/>
      <c r="D62" s="33">
        <f>SUM(D57:D61)</f>
        <v>2121209</v>
      </c>
      <c r="E62" s="33">
        <f>SUM(E57:E61)</f>
        <v>518449</v>
      </c>
      <c r="F62" s="34">
        <f>AVERAGE(F57:F61)</f>
        <v>0.24614000000000003</v>
      </c>
      <c r="G62" s="33">
        <f>SUM(G57:G61)</f>
        <v>7966</v>
      </c>
      <c r="H62" s="34">
        <f>AVERAGE(H57:H61)</f>
        <v>1.6879999999999999E-2</v>
      </c>
      <c r="I62" s="35">
        <f>AVERAGE(I57:I61)</f>
        <v>4.1800000000000006E-3</v>
      </c>
    </row>
    <row r="67" spans="6:13" x14ac:dyDescent="0.35">
      <c r="F67" s="1"/>
      <c r="G67" s="1"/>
      <c r="H67" s="3"/>
      <c r="I67" s="1"/>
      <c r="J67" s="3"/>
      <c r="K67" s="1"/>
      <c r="L67" s="3"/>
      <c r="M67" s="3"/>
    </row>
    <row r="68" spans="6:13" x14ac:dyDescent="0.35">
      <c r="F68" s="1"/>
      <c r="G68" s="1"/>
      <c r="H68" s="3"/>
      <c r="I68" s="1"/>
      <c r="J68" s="3"/>
      <c r="K68" s="1"/>
      <c r="L68" s="3"/>
      <c r="M68" s="3"/>
    </row>
    <row r="69" spans="6:13" x14ac:dyDescent="0.35">
      <c r="F69" s="1"/>
      <c r="H69" s="3"/>
      <c r="I69" s="1"/>
      <c r="J69" s="3"/>
      <c r="L69" s="3"/>
      <c r="M69" s="3"/>
    </row>
    <row r="70" spans="6:13" x14ac:dyDescent="0.35">
      <c r="F70" s="1"/>
      <c r="H70" s="3"/>
      <c r="I70" s="1"/>
      <c r="J70" s="3"/>
      <c r="L70" s="3"/>
      <c r="M70" s="3"/>
    </row>
  </sheetData>
  <mergeCells count="3">
    <mergeCell ref="A28:I28"/>
    <mergeCell ref="A42:I42"/>
    <mergeCell ref="A55:I55"/>
  </mergeCells>
  <pageMargins left="0.7" right="0.7" top="0.75" bottom="0.75" header="0.3" footer="0.3"/>
  <ignoredErrors>
    <ignoredError sqref="F27:G27 F62:G62 F54:G54 F41:G41" formula="1"/>
  </ignoredErrors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57CB-A99B-48D3-ADDE-816764B31F40}">
  <dimension ref="A1:M84"/>
  <sheetViews>
    <sheetView workbookViewId="0">
      <selection activeCell="B21" sqref="B21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45499</v>
      </c>
      <c r="B2" t="s">
        <v>589</v>
      </c>
      <c r="C2" t="s">
        <v>10</v>
      </c>
      <c r="D2" s="1">
        <v>391753</v>
      </c>
      <c r="E2" s="1">
        <v>104675</v>
      </c>
      <c r="F2" s="2">
        <v>0.26719642223543899</v>
      </c>
      <c r="G2" s="1">
        <v>2507</v>
      </c>
      <c r="H2" s="2">
        <v>2.3950322426558399E-2</v>
      </c>
      <c r="I2" s="2">
        <v>6.3994404637615996E-3</v>
      </c>
    </row>
    <row r="3" spans="1:9" x14ac:dyDescent="0.35">
      <c r="A3" s="19">
        <v>45499</v>
      </c>
      <c r="B3" t="s">
        <v>590</v>
      </c>
      <c r="C3" t="s">
        <v>524</v>
      </c>
      <c r="D3" s="1">
        <v>240966</v>
      </c>
      <c r="E3" s="1">
        <v>61784</v>
      </c>
      <c r="F3" s="2">
        <v>0.25640131802826999</v>
      </c>
      <c r="G3" s="1">
        <v>956</v>
      </c>
      <c r="H3" s="2">
        <v>1.54732616858734E-2</v>
      </c>
      <c r="I3" s="2">
        <v>3.9673646904542503E-3</v>
      </c>
    </row>
    <row r="4" spans="1:9" x14ac:dyDescent="0.35">
      <c r="A4" s="19">
        <v>45499</v>
      </c>
      <c r="B4" t="s">
        <v>590</v>
      </c>
      <c r="C4" t="s">
        <v>525</v>
      </c>
      <c r="D4" s="1">
        <v>15451</v>
      </c>
      <c r="E4" s="1">
        <v>3567</v>
      </c>
      <c r="F4" s="2">
        <v>0.230858844087761</v>
      </c>
      <c r="G4" s="1">
        <v>68</v>
      </c>
      <c r="H4" s="2">
        <v>1.9063638912251199E-2</v>
      </c>
      <c r="I4" s="2">
        <v>4.4010096433887798E-3</v>
      </c>
    </row>
    <row r="5" spans="1:9" x14ac:dyDescent="0.35">
      <c r="A5" s="19">
        <v>45499</v>
      </c>
      <c r="B5" t="s">
        <v>590</v>
      </c>
      <c r="C5" t="s">
        <v>526</v>
      </c>
      <c r="D5" s="1">
        <v>4349935</v>
      </c>
      <c r="E5" s="1">
        <v>1066631</v>
      </c>
      <c r="F5" s="2">
        <v>0.245206192736213</v>
      </c>
      <c r="G5" s="1">
        <v>16165</v>
      </c>
      <c r="H5" s="2">
        <v>1.5155194251807801E-2</v>
      </c>
      <c r="I5" s="2">
        <v>3.7161474826635302E-3</v>
      </c>
    </row>
    <row r="6" spans="1:9" x14ac:dyDescent="0.35">
      <c r="A6" s="19">
        <v>45499</v>
      </c>
      <c r="B6" t="s">
        <v>590</v>
      </c>
      <c r="C6" t="s">
        <v>527</v>
      </c>
      <c r="D6" s="1">
        <v>279170</v>
      </c>
      <c r="E6" s="1">
        <v>63974</v>
      </c>
      <c r="F6" s="2">
        <v>0.22915786080166201</v>
      </c>
      <c r="G6" s="1">
        <v>1128</v>
      </c>
      <c r="H6" s="2">
        <v>1.7632163066245699E-2</v>
      </c>
      <c r="I6" s="2">
        <v>4.0405487695669299E-3</v>
      </c>
    </row>
    <row r="7" spans="1:9" x14ac:dyDescent="0.35">
      <c r="A7" s="19">
        <v>45499</v>
      </c>
      <c r="B7" t="s">
        <v>590</v>
      </c>
      <c r="C7" t="s">
        <v>528</v>
      </c>
      <c r="D7" s="1">
        <v>240675</v>
      </c>
      <c r="E7" s="1">
        <v>64962</v>
      </c>
      <c r="F7" s="2">
        <v>0.26991586163914</v>
      </c>
      <c r="G7" s="1">
        <v>868</v>
      </c>
      <c r="H7" s="2">
        <v>1.3361657584434E-2</v>
      </c>
      <c r="I7" s="2">
        <v>3.6065233198296501E-3</v>
      </c>
    </row>
    <row r="8" spans="1:9" x14ac:dyDescent="0.35">
      <c r="A8" s="19">
        <v>45499</v>
      </c>
      <c r="B8" t="s">
        <v>590</v>
      </c>
      <c r="C8" t="s">
        <v>529</v>
      </c>
      <c r="D8" s="1">
        <v>15237</v>
      </c>
      <c r="E8" s="1">
        <v>3858</v>
      </c>
      <c r="F8" s="2">
        <v>0.25319944871037597</v>
      </c>
      <c r="G8" s="1">
        <v>68</v>
      </c>
      <c r="H8" s="2">
        <v>1.7625712804561999E-2</v>
      </c>
      <c r="I8" s="2">
        <v>4.4628207652424997E-3</v>
      </c>
    </row>
    <row r="9" spans="1:9" x14ac:dyDescent="0.35">
      <c r="A9" s="19">
        <v>45502</v>
      </c>
      <c r="B9" t="s">
        <v>591</v>
      </c>
      <c r="C9" t="s">
        <v>10</v>
      </c>
      <c r="D9" s="1">
        <v>6444080</v>
      </c>
      <c r="E9" s="1">
        <v>2131162</v>
      </c>
      <c r="F9" s="2">
        <v>0.33071625429851897</v>
      </c>
      <c r="G9" s="1">
        <v>14257</v>
      </c>
      <c r="H9" s="2">
        <v>6.6897776893544503E-3</v>
      </c>
      <c r="I9" s="2">
        <v>2.2124182195130998E-3</v>
      </c>
    </row>
    <row r="10" spans="1:9" x14ac:dyDescent="0.35">
      <c r="A10" s="19">
        <v>45502</v>
      </c>
      <c r="B10" t="s">
        <v>591</v>
      </c>
      <c r="C10" t="s">
        <v>11</v>
      </c>
      <c r="D10" s="1">
        <v>417043</v>
      </c>
      <c r="E10" s="1">
        <v>129774</v>
      </c>
      <c r="F10" s="2">
        <v>0.31117654534424499</v>
      </c>
      <c r="G10" s="1">
        <v>1242</v>
      </c>
      <c r="H10" s="2">
        <v>9.5704840723103198E-3</v>
      </c>
      <c r="I10" s="2">
        <v>2.9781101708936499E-3</v>
      </c>
    </row>
    <row r="11" spans="1:9" x14ac:dyDescent="0.35">
      <c r="A11" s="19">
        <v>45503</v>
      </c>
      <c r="B11" t="s">
        <v>592</v>
      </c>
      <c r="C11" t="s">
        <v>10</v>
      </c>
      <c r="D11" s="1">
        <v>1339316</v>
      </c>
      <c r="E11" s="1">
        <v>449447</v>
      </c>
      <c r="F11" s="2">
        <v>0.335579504762132</v>
      </c>
      <c r="G11" s="1">
        <v>6478</v>
      </c>
      <c r="H11" s="2">
        <v>1.44132678602816E-2</v>
      </c>
      <c r="I11" s="2">
        <v>4.8367972905572704E-3</v>
      </c>
    </row>
    <row r="12" spans="1:9" x14ac:dyDescent="0.35">
      <c r="A12" s="19">
        <v>45503</v>
      </c>
      <c r="B12" t="s">
        <v>592</v>
      </c>
      <c r="C12" t="s">
        <v>11</v>
      </c>
      <c r="D12" s="1">
        <v>92210</v>
      </c>
      <c r="E12" s="1">
        <v>28251</v>
      </c>
      <c r="F12" s="2">
        <v>0.306376748725735</v>
      </c>
      <c r="G12" s="1">
        <v>641</v>
      </c>
      <c r="H12" s="2">
        <v>2.2689462319917902E-2</v>
      </c>
      <c r="I12" s="2">
        <v>6.9515236959115101E-3</v>
      </c>
    </row>
    <row r="13" spans="1:9" x14ac:dyDescent="0.35">
      <c r="A13" s="19">
        <v>45503</v>
      </c>
      <c r="B13" t="s">
        <v>593</v>
      </c>
      <c r="C13" t="s">
        <v>10</v>
      </c>
      <c r="D13" s="1">
        <v>172492</v>
      </c>
      <c r="E13" s="1">
        <v>58611</v>
      </c>
      <c r="F13" s="2">
        <v>0.33978967140505101</v>
      </c>
      <c r="G13" s="1">
        <v>681</v>
      </c>
      <c r="H13" s="2">
        <v>1.16189793724727E-2</v>
      </c>
      <c r="I13" s="2">
        <v>3.9480091830345803E-3</v>
      </c>
    </row>
    <row r="14" spans="1:9" x14ac:dyDescent="0.35">
      <c r="A14" s="19">
        <v>45503</v>
      </c>
      <c r="B14" t="s">
        <v>593</v>
      </c>
      <c r="C14" t="s">
        <v>11</v>
      </c>
      <c r="D14" s="1">
        <v>5857</v>
      </c>
      <c r="E14" s="1">
        <v>1875</v>
      </c>
      <c r="F14" s="2">
        <v>0.32012975926242099</v>
      </c>
      <c r="G14" s="1">
        <v>24</v>
      </c>
      <c r="H14" s="2">
        <v>1.2800000000000001E-2</v>
      </c>
      <c r="I14" s="2">
        <v>4.0976609185589897E-3</v>
      </c>
    </row>
    <row r="15" spans="1:9" x14ac:dyDescent="0.35">
      <c r="A15" s="19">
        <v>45503</v>
      </c>
      <c r="B15" t="s">
        <v>594</v>
      </c>
      <c r="C15" t="s">
        <v>74</v>
      </c>
      <c r="D15" s="1">
        <v>7128</v>
      </c>
      <c r="E15" s="1">
        <v>2562</v>
      </c>
      <c r="F15" s="2">
        <v>0.35942760942760899</v>
      </c>
      <c r="G15" s="1">
        <v>27</v>
      </c>
      <c r="H15" s="2">
        <v>1.0538641686182701E-2</v>
      </c>
      <c r="I15" s="2">
        <v>3.7878787878787902E-3</v>
      </c>
    </row>
    <row r="16" spans="1:9" x14ac:dyDescent="0.35">
      <c r="A16" s="19">
        <v>45503</v>
      </c>
      <c r="B16" t="s">
        <v>594</v>
      </c>
      <c r="C16" t="s">
        <v>72</v>
      </c>
      <c r="D16" s="1">
        <v>135376</v>
      </c>
      <c r="E16" s="1">
        <v>48848</v>
      </c>
      <c r="F16" s="2">
        <v>0.36083205294882398</v>
      </c>
      <c r="G16" s="1">
        <v>742</v>
      </c>
      <c r="H16" s="2">
        <v>1.51899770717327E-2</v>
      </c>
      <c r="I16" s="2">
        <v>5.4810306110388797E-3</v>
      </c>
    </row>
    <row r="17" spans="1:9" x14ac:dyDescent="0.35">
      <c r="A17" s="19">
        <v>45503</v>
      </c>
      <c r="B17" t="s">
        <v>594</v>
      </c>
      <c r="C17" t="s">
        <v>75</v>
      </c>
      <c r="D17" s="1">
        <v>771</v>
      </c>
      <c r="E17" s="1">
        <v>266</v>
      </c>
      <c r="F17" s="2">
        <v>0.34500648508430598</v>
      </c>
      <c r="G17" s="1">
        <v>9</v>
      </c>
      <c r="H17" s="2">
        <v>3.3834586466165398E-2</v>
      </c>
      <c r="I17" s="2">
        <v>1.1673151750972799E-2</v>
      </c>
    </row>
    <row r="18" spans="1:9" x14ac:dyDescent="0.35">
      <c r="A18" s="19">
        <v>45503</v>
      </c>
      <c r="B18" t="s">
        <v>594</v>
      </c>
      <c r="C18" t="s">
        <v>73</v>
      </c>
      <c r="D18" s="1">
        <v>14796</v>
      </c>
      <c r="E18" s="1">
        <v>5584</v>
      </c>
      <c r="F18" s="2">
        <v>0.377399297107326</v>
      </c>
      <c r="G18" s="1">
        <v>121</v>
      </c>
      <c r="H18" s="2">
        <v>2.1669054441260702E-2</v>
      </c>
      <c r="I18" s="2">
        <v>8.1778859151121902E-3</v>
      </c>
    </row>
    <row r="19" spans="1:9" x14ac:dyDescent="0.35">
      <c r="A19" s="19">
        <v>45504</v>
      </c>
      <c r="B19" t="s">
        <v>595</v>
      </c>
      <c r="C19" t="s">
        <v>596</v>
      </c>
      <c r="D19" s="1">
        <v>5475</v>
      </c>
      <c r="E19" s="1">
        <v>2509</v>
      </c>
      <c r="F19" s="2">
        <v>0.45826484018264801</v>
      </c>
      <c r="G19" s="1">
        <v>462</v>
      </c>
      <c r="H19" s="2">
        <v>0.18413710641689901</v>
      </c>
      <c r="I19" s="2">
        <v>8.4383561643835606E-2</v>
      </c>
    </row>
    <row r="20" spans="1:9" x14ac:dyDescent="0.35">
      <c r="A20" s="19">
        <v>45504</v>
      </c>
      <c r="B20" t="s">
        <v>595</v>
      </c>
      <c r="C20" t="s">
        <v>597</v>
      </c>
      <c r="D20" s="1">
        <v>34372</v>
      </c>
      <c r="E20" s="1">
        <v>16545</v>
      </c>
      <c r="F20" s="2">
        <v>0.48135109973234003</v>
      </c>
      <c r="G20" s="1">
        <v>2238</v>
      </c>
      <c r="H20" s="2">
        <v>0.13526745240253901</v>
      </c>
      <c r="I20" s="2">
        <v>6.5111136971953906E-2</v>
      </c>
    </row>
    <row r="21" spans="1:9" x14ac:dyDescent="0.35">
      <c r="A21" s="19">
        <v>45504</v>
      </c>
      <c r="B21" t="s">
        <v>595</v>
      </c>
      <c r="C21" t="s">
        <v>598</v>
      </c>
      <c r="D21" s="1">
        <v>2546</v>
      </c>
      <c r="E21" s="1">
        <v>1263</v>
      </c>
      <c r="F21" s="2">
        <v>0.49607227022780798</v>
      </c>
      <c r="G21" s="1">
        <v>216</v>
      </c>
      <c r="H21" s="2">
        <v>0.17102137767220901</v>
      </c>
      <c r="I21" s="2">
        <v>8.4838963079340093E-2</v>
      </c>
    </row>
    <row r="22" spans="1:9" x14ac:dyDescent="0.35">
      <c r="A22" s="19">
        <v>45504</v>
      </c>
      <c r="B22" t="s">
        <v>595</v>
      </c>
      <c r="C22" t="s">
        <v>599</v>
      </c>
      <c r="D22" s="1">
        <v>1627</v>
      </c>
      <c r="E22" s="1">
        <v>829</v>
      </c>
      <c r="F22" s="2">
        <v>0.50952673632452405</v>
      </c>
      <c r="G22" s="1">
        <v>164</v>
      </c>
      <c r="H22" s="2">
        <v>0.19782870928829899</v>
      </c>
      <c r="I22" s="2">
        <v>0.10079901659496</v>
      </c>
    </row>
    <row r="23" spans="1:9" x14ac:dyDescent="0.35">
      <c r="A23" s="19">
        <v>45505</v>
      </c>
      <c r="B23" t="s">
        <v>600</v>
      </c>
      <c r="C23" t="s">
        <v>543</v>
      </c>
      <c r="D23" s="1">
        <v>1293055</v>
      </c>
      <c r="E23" s="1">
        <v>420610</v>
      </c>
      <c r="F23" s="3">
        <v>0.32529999999999998</v>
      </c>
      <c r="G23" s="1">
        <v>4347</v>
      </c>
      <c r="H23" s="3">
        <v>1.03E-2</v>
      </c>
      <c r="I23" s="3">
        <v>3.3999999999999998E-3</v>
      </c>
    </row>
    <row r="24" spans="1:9" x14ac:dyDescent="0.35">
      <c r="A24" s="19">
        <v>45505</v>
      </c>
      <c r="B24" t="s">
        <v>601</v>
      </c>
      <c r="C24" t="s">
        <v>545</v>
      </c>
      <c r="D24" s="1">
        <v>42989</v>
      </c>
      <c r="E24" s="1">
        <v>12732</v>
      </c>
      <c r="F24" s="2">
        <v>0.29616878736420899</v>
      </c>
      <c r="G24" s="1">
        <v>144</v>
      </c>
      <c r="H24" s="2">
        <v>1.13100848256362E-2</v>
      </c>
      <c r="I24" s="2">
        <v>3.3496941077950202E-3</v>
      </c>
    </row>
    <row r="25" spans="1:9" x14ac:dyDescent="0.35">
      <c r="A25" s="19">
        <v>45505</v>
      </c>
      <c r="B25" t="s">
        <v>585</v>
      </c>
      <c r="C25" t="s">
        <v>234</v>
      </c>
      <c r="D25" s="1">
        <v>1088034</v>
      </c>
      <c r="E25" s="1">
        <v>352248</v>
      </c>
      <c r="F25" s="3">
        <v>0.32369999999999999</v>
      </c>
      <c r="G25" s="1">
        <v>3173</v>
      </c>
      <c r="H25" s="3">
        <v>8.9999999999999993E-3</v>
      </c>
      <c r="I25" s="3">
        <v>2.8999999999999998E-3</v>
      </c>
    </row>
    <row r="26" spans="1:9" x14ac:dyDescent="0.35">
      <c r="A26" s="19">
        <v>45505</v>
      </c>
      <c r="B26" t="s">
        <v>586</v>
      </c>
      <c r="C26" t="s">
        <v>235</v>
      </c>
      <c r="D26" s="1">
        <v>81844</v>
      </c>
      <c r="E26" s="1">
        <v>25535</v>
      </c>
      <c r="F26" s="3">
        <v>0.312</v>
      </c>
      <c r="G26">
        <v>288</v>
      </c>
      <c r="H26" s="3">
        <v>1.1299999999999999E-2</v>
      </c>
      <c r="I26" s="3">
        <v>3.5000000000000001E-3</v>
      </c>
    </row>
    <row r="27" spans="1:9" x14ac:dyDescent="0.35">
      <c r="A27" s="19">
        <v>45505</v>
      </c>
      <c r="B27" t="s">
        <v>570</v>
      </c>
      <c r="C27" t="s">
        <v>255</v>
      </c>
      <c r="D27" s="1">
        <v>40296</v>
      </c>
      <c r="E27" s="1">
        <v>14274</v>
      </c>
      <c r="F27" s="2">
        <v>0.35422870756402602</v>
      </c>
      <c r="G27" s="1">
        <v>270</v>
      </c>
      <c r="H27" s="2">
        <v>1.8915510718789399E-2</v>
      </c>
      <c r="I27" s="2">
        <v>6.70041691483026E-3</v>
      </c>
    </row>
    <row r="28" spans="1:9" x14ac:dyDescent="0.35">
      <c r="A28" s="19">
        <v>45505</v>
      </c>
      <c r="B28" t="s">
        <v>602</v>
      </c>
      <c r="C28" t="s">
        <v>84</v>
      </c>
      <c r="D28" s="1">
        <v>11174</v>
      </c>
      <c r="E28" s="1">
        <v>3551</v>
      </c>
      <c r="F28" s="2">
        <v>0.31779130123500998</v>
      </c>
      <c r="G28" s="1">
        <v>39</v>
      </c>
      <c r="H28" s="2">
        <v>1.09828217403548E-2</v>
      </c>
      <c r="I28" s="2">
        <v>3.4902452120995201E-3</v>
      </c>
    </row>
    <row r="29" spans="1:9" x14ac:dyDescent="0.35">
      <c r="A29" s="19">
        <v>45505</v>
      </c>
      <c r="B29" t="s">
        <v>602</v>
      </c>
      <c r="C29" t="s">
        <v>72</v>
      </c>
      <c r="D29" s="1">
        <v>211799</v>
      </c>
      <c r="E29" s="1">
        <v>67746</v>
      </c>
      <c r="F29" s="2">
        <v>0.31985986713818298</v>
      </c>
      <c r="G29" s="1">
        <v>676</v>
      </c>
      <c r="H29" s="2">
        <v>9.9784489121128896E-3</v>
      </c>
      <c r="I29" s="2">
        <v>3.1917053432735801E-3</v>
      </c>
    </row>
    <row r="30" spans="1:9" x14ac:dyDescent="0.35">
      <c r="A30" s="19">
        <v>45505</v>
      </c>
      <c r="B30" t="s">
        <v>602</v>
      </c>
      <c r="C30" t="s">
        <v>85</v>
      </c>
      <c r="D30" s="1">
        <v>583</v>
      </c>
      <c r="E30" s="1">
        <v>195</v>
      </c>
      <c r="F30" s="2">
        <v>0.33447684391080601</v>
      </c>
      <c r="G30" s="1">
        <v>4</v>
      </c>
      <c r="H30" s="2">
        <v>2.0512820512820499E-2</v>
      </c>
      <c r="I30" s="2">
        <v>6.8610634648370496E-3</v>
      </c>
    </row>
    <row r="31" spans="1:9" x14ac:dyDescent="0.35">
      <c r="A31" s="19">
        <v>45505</v>
      </c>
      <c r="B31" t="s">
        <v>602</v>
      </c>
      <c r="C31" t="s">
        <v>73</v>
      </c>
      <c r="D31" s="1">
        <v>12023</v>
      </c>
      <c r="E31" s="1">
        <v>3679</v>
      </c>
      <c r="F31" s="2">
        <v>0.30599683939116701</v>
      </c>
      <c r="G31" s="1">
        <v>48</v>
      </c>
      <c r="H31" s="2">
        <v>1.30470236477304E-2</v>
      </c>
      <c r="I31" s="2">
        <v>3.9923479996672997E-3</v>
      </c>
    </row>
    <row r="32" spans="1:9" x14ac:dyDescent="0.35">
      <c r="A32" s="19">
        <v>45505</v>
      </c>
      <c r="B32" t="s">
        <v>603</v>
      </c>
      <c r="C32" t="s">
        <v>10</v>
      </c>
      <c r="D32" s="1">
        <v>86950</v>
      </c>
      <c r="E32" s="1">
        <v>30473</v>
      </c>
      <c r="F32" s="2">
        <v>0.35046578493386998</v>
      </c>
      <c r="G32" s="1">
        <v>3253</v>
      </c>
      <c r="H32" s="2">
        <v>0.106750237915532</v>
      </c>
      <c r="I32" s="2">
        <v>3.74123059229442E-2</v>
      </c>
    </row>
    <row r="33" spans="1:9" x14ac:dyDescent="0.35">
      <c r="A33" s="19">
        <v>45505</v>
      </c>
      <c r="B33" t="s">
        <v>603</v>
      </c>
      <c r="C33" t="s">
        <v>11</v>
      </c>
      <c r="D33" s="1">
        <v>9592</v>
      </c>
      <c r="E33" s="1">
        <v>3239</v>
      </c>
      <c r="F33" s="2">
        <v>0.33767723102585501</v>
      </c>
      <c r="G33" s="1">
        <v>525</v>
      </c>
      <c r="H33" s="2">
        <v>0.16208706390861399</v>
      </c>
      <c r="I33" s="2">
        <v>5.4733110925771503E-2</v>
      </c>
    </row>
    <row r="34" spans="1:9" ht="16" thickBot="1" x14ac:dyDescent="0.4">
      <c r="A34" s="37" t="s">
        <v>35</v>
      </c>
      <c r="D34" s="31">
        <f>SUM(D2:D33)</f>
        <v>17084615</v>
      </c>
      <c r="E34" s="31">
        <f>SUM(E2:E33)</f>
        <v>5181259</v>
      </c>
      <c r="F34" s="32">
        <f>AVERAGE(F2:F33)</f>
        <v>0.33316406830110862</v>
      </c>
      <c r="G34" s="31">
        <f>SUM(G2:G33)</f>
        <v>61829</v>
      </c>
      <c r="H34" s="32">
        <f>AVERAGE(H2:H33)</f>
        <v>4.2303588739779602E-2</v>
      </c>
      <c r="I34" s="32">
        <f>AVERAGE(I2:I33)</f>
        <v>1.7168809058115221E-2</v>
      </c>
    </row>
    <row r="35" spans="1:9" ht="15" thickBot="1" x14ac:dyDescent="0.4">
      <c r="A35" s="138" t="s">
        <v>302</v>
      </c>
      <c r="B35" s="138"/>
      <c r="C35" s="138"/>
      <c r="D35" s="138"/>
      <c r="E35" s="138"/>
      <c r="F35" s="138"/>
      <c r="G35" s="138"/>
      <c r="H35" s="138"/>
      <c r="I35" s="138"/>
    </row>
    <row r="36" spans="1:9" ht="15.5" x14ac:dyDescent="0.35">
      <c r="A36" s="38" t="s">
        <v>0</v>
      </c>
      <c r="B36" s="39" t="s">
        <v>1</v>
      </c>
      <c r="C36" s="39" t="s">
        <v>2</v>
      </c>
      <c r="D36" s="39" t="s">
        <v>3</v>
      </c>
      <c r="E36" s="39" t="s">
        <v>4</v>
      </c>
      <c r="F36" s="39" t="s">
        <v>5</v>
      </c>
      <c r="G36" s="39" t="s">
        <v>6</v>
      </c>
      <c r="H36" s="39" t="s">
        <v>7</v>
      </c>
      <c r="I36" s="40" t="s">
        <v>8</v>
      </c>
    </row>
    <row r="37" spans="1:9" x14ac:dyDescent="0.35">
      <c r="A37" s="5" t="s">
        <v>36</v>
      </c>
      <c r="B37" s="6"/>
      <c r="C37" s="6"/>
      <c r="D37" s="6"/>
      <c r="E37" s="6"/>
      <c r="F37" s="6"/>
      <c r="G37" s="6"/>
      <c r="H37" s="6"/>
      <c r="I37" s="7"/>
    </row>
    <row r="38" spans="1:9" x14ac:dyDescent="0.35">
      <c r="A38" s="28">
        <v>45499</v>
      </c>
      <c r="B38" t="s">
        <v>589</v>
      </c>
      <c r="C38" t="s">
        <v>10</v>
      </c>
      <c r="D38" s="1">
        <v>391753</v>
      </c>
      <c r="E38" s="1">
        <v>104675</v>
      </c>
      <c r="F38" s="2">
        <v>0.26719642223543899</v>
      </c>
      <c r="G38" s="1">
        <v>2507</v>
      </c>
      <c r="H38" s="2">
        <v>2.3950322426558399E-2</v>
      </c>
      <c r="I38" s="29">
        <v>6.3994404637615996E-3</v>
      </c>
    </row>
    <row r="39" spans="1:9" x14ac:dyDescent="0.35">
      <c r="A39" s="28">
        <v>45499</v>
      </c>
      <c r="B39" t="s">
        <v>590</v>
      </c>
      <c r="C39" t="s">
        <v>524</v>
      </c>
      <c r="D39" s="1">
        <v>240966</v>
      </c>
      <c r="E39" s="1">
        <v>61784</v>
      </c>
      <c r="F39" s="2">
        <v>0.25640131802826999</v>
      </c>
      <c r="G39" s="1">
        <v>956</v>
      </c>
      <c r="H39" s="2">
        <v>1.54732616858734E-2</v>
      </c>
      <c r="I39" s="29">
        <v>3.9673646904542503E-3</v>
      </c>
    </row>
    <row r="40" spans="1:9" x14ac:dyDescent="0.35">
      <c r="A40" s="28">
        <v>45499</v>
      </c>
      <c r="B40" t="s">
        <v>590</v>
      </c>
      <c r="C40" t="s">
        <v>525</v>
      </c>
      <c r="D40" s="1">
        <v>15451</v>
      </c>
      <c r="E40" s="1">
        <v>3567</v>
      </c>
      <c r="F40" s="2">
        <v>0.230858844087761</v>
      </c>
      <c r="G40" s="1">
        <v>68</v>
      </c>
      <c r="H40" s="2">
        <v>1.9063638912251199E-2</v>
      </c>
      <c r="I40" s="29">
        <v>4.4010096433887798E-3</v>
      </c>
    </row>
    <row r="41" spans="1:9" x14ac:dyDescent="0.35">
      <c r="A41" s="28">
        <v>45499</v>
      </c>
      <c r="B41" t="s">
        <v>590</v>
      </c>
      <c r="C41" t="s">
        <v>526</v>
      </c>
      <c r="D41" s="1">
        <v>4349935</v>
      </c>
      <c r="E41" s="1">
        <v>1066631</v>
      </c>
      <c r="F41" s="2">
        <v>0.245206192736213</v>
      </c>
      <c r="G41" s="1">
        <v>16165</v>
      </c>
      <c r="H41" s="2">
        <v>1.5155194251807801E-2</v>
      </c>
      <c r="I41" s="29">
        <v>3.7161474826635302E-3</v>
      </c>
    </row>
    <row r="42" spans="1:9" x14ac:dyDescent="0.35">
      <c r="A42" s="28">
        <v>45499</v>
      </c>
      <c r="B42" t="s">
        <v>590</v>
      </c>
      <c r="C42" t="s">
        <v>527</v>
      </c>
      <c r="D42" s="1">
        <v>279170</v>
      </c>
      <c r="E42" s="1">
        <v>63974</v>
      </c>
      <c r="F42" s="2">
        <v>0.22915786080166201</v>
      </c>
      <c r="G42" s="1">
        <v>1128</v>
      </c>
      <c r="H42" s="2">
        <v>1.7632163066245699E-2</v>
      </c>
      <c r="I42" s="29">
        <v>4.0405487695669299E-3</v>
      </c>
    </row>
    <row r="43" spans="1:9" x14ac:dyDescent="0.35">
      <c r="A43" s="28">
        <v>45499</v>
      </c>
      <c r="B43" t="s">
        <v>590</v>
      </c>
      <c r="C43" t="s">
        <v>528</v>
      </c>
      <c r="D43" s="1">
        <v>240675</v>
      </c>
      <c r="E43" s="1">
        <v>64962</v>
      </c>
      <c r="F43" s="2">
        <v>0.26991586163914</v>
      </c>
      <c r="G43" s="1">
        <v>868</v>
      </c>
      <c r="H43" s="2">
        <v>1.3361657584434E-2</v>
      </c>
      <c r="I43" s="29">
        <v>3.6065233198296501E-3</v>
      </c>
    </row>
    <row r="44" spans="1:9" x14ac:dyDescent="0.35">
      <c r="A44" s="28">
        <v>45499</v>
      </c>
      <c r="B44" t="s">
        <v>590</v>
      </c>
      <c r="C44" t="s">
        <v>529</v>
      </c>
      <c r="D44" s="1">
        <v>15237</v>
      </c>
      <c r="E44" s="1">
        <v>3858</v>
      </c>
      <c r="F44" s="2">
        <v>0.25319944871037597</v>
      </c>
      <c r="G44" s="1">
        <v>68</v>
      </c>
      <c r="H44" s="2">
        <v>1.7625712804561999E-2</v>
      </c>
      <c r="I44" s="29">
        <v>4.4628207652424997E-3</v>
      </c>
    </row>
    <row r="45" spans="1:9" x14ac:dyDescent="0.35">
      <c r="A45" s="28">
        <v>45503</v>
      </c>
      <c r="B45" t="s">
        <v>592</v>
      </c>
      <c r="C45" t="s">
        <v>10</v>
      </c>
      <c r="D45" s="1">
        <v>1339316</v>
      </c>
      <c r="E45" s="1">
        <v>449447</v>
      </c>
      <c r="F45" s="2">
        <v>0.335579504762132</v>
      </c>
      <c r="G45" s="1">
        <v>6478</v>
      </c>
      <c r="H45" s="2">
        <v>1.44132678602816E-2</v>
      </c>
      <c r="I45" s="29">
        <v>4.8367972905572704E-3</v>
      </c>
    </row>
    <row r="46" spans="1:9" x14ac:dyDescent="0.35">
      <c r="A46" s="28">
        <v>45503</v>
      </c>
      <c r="B46" t="s">
        <v>592</v>
      </c>
      <c r="C46" t="s">
        <v>11</v>
      </c>
      <c r="D46" s="1">
        <v>92210</v>
      </c>
      <c r="E46" s="1">
        <v>28251</v>
      </c>
      <c r="F46" s="2">
        <v>0.306376748725735</v>
      </c>
      <c r="G46" s="1">
        <v>641</v>
      </c>
      <c r="H46" s="2">
        <v>2.2689462319917902E-2</v>
      </c>
      <c r="I46" s="29">
        <v>6.9515236959115101E-3</v>
      </c>
    </row>
    <row r="47" spans="1:9" ht="16" thickBot="1" x14ac:dyDescent="0.4">
      <c r="A47" s="36" t="s">
        <v>35</v>
      </c>
      <c r="B47" s="4"/>
      <c r="C47" s="4"/>
      <c r="D47" s="33">
        <f>SUM(D38:D46)</f>
        <v>6964713</v>
      </c>
      <c r="E47" s="33">
        <f>SUM(E38:E46)</f>
        <v>1847149</v>
      </c>
      <c r="F47" s="34">
        <f>AVERAGE(F38:F46)</f>
        <v>0.26598802241408087</v>
      </c>
      <c r="G47" s="33">
        <f>SUM(G38:G46)</f>
        <v>28879</v>
      </c>
      <c r="H47" s="34">
        <f>AVERAGE(H38:H46)</f>
        <v>1.7707186767992444E-2</v>
      </c>
      <c r="I47" s="35">
        <f>AVERAGE(I38:I46)</f>
        <v>4.7091306801528912E-3</v>
      </c>
    </row>
    <row r="48" spans="1:9" ht="3" customHeight="1" thickBot="1" x14ac:dyDescent="0.4">
      <c r="A48" s="141"/>
      <c r="B48" s="142"/>
      <c r="C48" s="142"/>
      <c r="D48" s="142"/>
      <c r="E48" s="142"/>
      <c r="F48" s="142"/>
      <c r="G48" s="142"/>
      <c r="H48" s="142"/>
      <c r="I48" s="143"/>
    </row>
    <row r="49" spans="1:9" x14ac:dyDescent="0.35">
      <c r="A49" s="16" t="s">
        <v>37</v>
      </c>
      <c r="B49" s="17"/>
      <c r="C49" s="17"/>
      <c r="D49" s="17"/>
      <c r="E49" s="17"/>
      <c r="F49" s="17"/>
      <c r="G49" s="17"/>
      <c r="H49" s="17"/>
      <c r="I49" s="18"/>
    </row>
    <row r="50" spans="1:9" x14ac:dyDescent="0.35">
      <c r="A50" s="28">
        <v>45502</v>
      </c>
      <c r="B50" t="s">
        <v>591</v>
      </c>
      <c r="C50" t="s">
        <v>10</v>
      </c>
      <c r="D50" s="1">
        <v>6444080</v>
      </c>
      <c r="E50" s="1">
        <v>2131162</v>
      </c>
      <c r="F50" s="2">
        <v>0.33071625429851897</v>
      </c>
      <c r="G50" s="1">
        <v>14257</v>
      </c>
      <c r="H50" s="2">
        <v>6.6897776893544503E-3</v>
      </c>
      <c r="I50" s="29">
        <v>2.2124182195130998E-3</v>
      </c>
    </row>
    <row r="51" spans="1:9" x14ac:dyDescent="0.35">
      <c r="A51" s="28">
        <v>45502</v>
      </c>
      <c r="B51" t="s">
        <v>591</v>
      </c>
      <c r="C51" t="s">
        <v>11</v>
      </c>
      <c r="D51" s="1">
        <v>417043</v>
      </c>
      <c r="E51" s="1">
        <v>129774</v>
      </c>
      <c r="F51" s="2">
        <v>0.31117654534424499</v>
      </c>
      <c r="G51" s="1">
        <v>1242</v>
      </c>
      <c r="H51" s="2">
        <v>9.5704840723103198E-3</v>
      </c>
      <c r="I51" s="29">
        <v>2.9781101708936499E-3</v>
      </c>
    </row>
    <row r="52" spans="1:9" x14ac:dyDescent="0.35">
      <c r="A52" s="28">
        <v>45503</v>
      </c>
      <c r="B52" t="s">
        <v>593</v>
      </c>
      <c r="C52" t="s">
        <v>10</v>
      </c>
      <c r="D52" s="1">
        <v>172492</v>
      </c>
      <c r="E52" s="1">
        <v>58611</v>
      </c>
      <c r="F52" s="2">
        <v>0.33978967140505101</v>
      </c>
      <c r="G52" s="1">
        <v>681</v>
      </c>
      <c r="H52" s="2">
        <v>1.16189793724727E-2</v>
      </c>
      <c r="I52" s="29">
        <v>3.9480091830345803E-3</v>
      </c>
    </row>
    <row r="53" spans="1:9" x14ac:dyDescent="0.35">
      <c r="A53" s="28">
        <v>45503</v>
      </c>
      <c r="B53" t="s">
        <v>593</v>
      </c>
      <c r="C53" t="s">
        <v>11</v>
      </c>
      <c r="D53" s="1">
        <v>5857</v>
      </c>
      <c r="E53" s="1">
        <v>1875</v>
      </c>
      <c r="F53" s="2">
        <v>0.32012975926242099</v>
      </c>
      <c r="G53" s="1">
        <v>24</v>
      </c>
      <c r="H53" s="2">
        <v>1.2800000000000001E-2</v>
      </c>
      <c r="I53" s="29">
        <v>4.0976609185589897E-3</v>
      </c>
    </row>
    <row r="54" spans="1:9" x14ac:dyDescent="0.35">
      <c r="A54" s="28">
        <v>45503</v>
      </c>
      <c r="B54" t="s">
        <v>594</v>
      </c>
      <c r="C54" t="s">
        <v>74</v>
      </c>
      <c r="D54" s="1">
        <v>7128</v>
      </c>
      <c r="E54" s="1">
        <v>2562</v>
      </c>
      <c r="F54" s="2">
        <v>0.35942760942760899</v>
      </c>
      <c r="G54" s="1">
        <v>27</v>
      </c>
      <c r="H54" s="2">
        <v>1.0538641686182701E-2</v>
      </c>
      <c r="I54" s="29">
        <v>3.7878787878787902E-3</v>
      </c>
    </row>
    <row r="55" spans="1:9" x14ac:dyDescent="0.35">
      <c r="A55" s="28">
        <v>45503</v>
      </c>
      <c r="B55" t="s">
        <v>594</v>
      </c>
      <c r="C55" t="s">
        <v>72</v>
      </c>
      <c r="D55" s="1">
        <v>135376</v>
      </c>
      <c r="E55" s="1">
        <v>48848</v>
      </c>
      <c r="F55" s="2">
        <v>0.36083205294882398</v>
      </c>
      <c r="G55" s="1">
        <v>742</v>
      </c>
      <c r="H55" s="2">
        <v>1.51899770717327E-2</v>
      </c>
      <c r="I55" s="29">
        <v>5.4810306110388797E-3</v>
      </c>
    </row>
    <row r="56" spans="1:9" x14ac:dyDescent="0.35">
      <c r="A56" s="28">
        <v>45503</v>
      </c>
      <c r="B56" t="s">
        <v>594</v>
      </c>
      <c r="C56" t="s">
        <v>75</v>
      </c>
      <c r="D56" s="1">
        <v>771</v>
      </c>
      <c r="E56" s="1">
        <v>266</v>
      </c>
      <c r="F56" s="2">
        <v>0.34500648508430598</v>
      </c>
      <c r="G56" s="1">
        <v>9</v>
      </c>
      <c r="H56" s="2">
        <v>3.3834586466165398E-2</v>
      </c>
      <c r="I56" s="29">
        <v>1.1673151750972799E-2</v>
      </c>
    </row>
    <row r="57" spans="1:9" x14ac:dyDescent="0.35">
      <c r="A57" s="28">
        <v>45503</v>
      </c>
      <c r="B57" t="s">
        <v>594</v>
      </c>
      <c r="C57" t="s">
        <v>73</v>
      </c>
      <c r="D57" s="1">
        <v>14796</v>
      </c>
      <c r="E57" s="1">
        <v>5584</v>
      </c>
      <c r="F57" s="2">
        <v>0.377399297107326</v>
      </c>
      <c r="G57" s="1">
        <v>121</v>
      </c>
      <c r="H57" s="2">
        <v>2.1669054441260702E-2</v>
      </c>
      <c r="I57" s="29">
        <v>8.1778859151121902E-3</v>
      </c>
    </row>
    <row r="58" spans="1:9" x14ac:dyDescent="0.35">
      <c r="A58" s="28">
        <v>45504</v>
      </c>
      <c r="B58" t="s">
        <v>595</v>
      </c>
      <c r="C58" t="s">
        <v>596</v>
      </c>
      <c r="D58" s="1">
        <v>5475</v>
      </c>
      <c r="E58" s="1">
        <v>2509</v>
      </c>
      <c r="F58" s="2">
        <v>0.45826484018264801</v>
      </c>
      <c r="G58" s="1">
        <v>462</v>
      </c>
      <c r="H58" s="2">
        <v>0.18413710641689901</v>
      </c>
      <c r="I58" s="29">
        <v>8.4383561643835606E-2</v>
      </c>
    </row>
    <row r="59" spans="1:9" x14ac:dyDescent="0.35">
      <c r="A59" s="28">
        <v>45504</v>
      </c>
      <c r="B59" t="s">
        <v>595</v>
      </c>
      <c r="C59" t="s">
        <v>597</v>
      </c>
      <c r="D59" s="1">
        <v>34372</v>
      </c>
      <c r="E59" s="1">
        <v>16545</v>
      </c>
      <c r="F59" s="2">
        <v>0.48135109973234003</v>
      </c>
      <c r="G59" s="1">
        <v>2238</v>
      </c>
      <c r="H59" s="2">
        <v>0.13526745240253901</v>
      </c>
      <c r="I59" s="29">
        <v>6.5111136971953906E-2</v>
      </c>
    </row>
    <row r="60" spans="1:9" x14ac:dyDescent="0.35">
      <c r="A60" s="28">
        <v>45504</v>
      </c>
      <c r="B60" t="s">
        <v>595</v>
      </c>
      <c r="C60" t="s">
        <v>598</v>
      </c>
      <c r="D60" s="1">
        <v>2546</v>
      </c>
      <c r="E60" s="1">
        <v>1263</v>
      </c>
      <c r="F60" s="2">
        <v>0.49607227022780798</v>
      </c>
      <c r="G60" s="1">
        <v>216</v>
      </c>
      <c r="H60" s="2">
        <v>0.17102137767220901</v>
      </c>
      <c r="I60" s="29">
        <v>8.4838963079340093E-2</v>
      </c>
    </row>
    <row r="61" spans="1:9" x14ac:dyDescent="0.35">
      <c r="A61" s="28">
        <v>45504</v>
      </c>
      <c r="B61" t="s">
        <v>595</v>
      </c>
      <c r="C61" t="s">
        <v>599</v>
      </c>
      <c r="D61" s="1">
        <v>1627</v>
      </c>
      <c r="E61" s="1">
        <v>829</v>
      </c>
      <c r="F61" s="2">
        <v>0.50952673632452405</v>
      </c>
      <c r="G61" s="1">
        <v>164</v>
      </c>
      <c r="H61" s="2">
        <v>0.19782870928829899</v>
      </c>
      <c r="I61" s="29">
        <v>0.10079901659496</v>
      </c>
    </row>
    <row r="62" spans="1:9" x14ac:dyDescent="0.35">
      <c r="A62" s="28">
        <v>45505</v>
      </c>
      <c r="B62" t="s">
        <v>602</v>
      </c>
      <c r="C62" t="s">
        <v>84</v>
      </c>
      <c r="D62" s="1">
        <v>11174</v>
      </c>
      <c r="E62" s="1">
        <v>3551</v>
      </c>
      <c r="F62" s="2">
        <v>0.31779130123500998</v>
      </c>
      <c r="G62" s="1">
        <v>39</v>
      </c>
      <c r="H62" s="2">
        <v>1.09828217403548E-2</v>
      </c>
      <c r="I62" s="29">
        <v>3.4902452120995201E-3</v>
      </c>
    </row>
    <row r="63" spans="1:9" x14ac:dyDescent="0.35">
      <c r="A63" s="28">
        <v>45505</v>
      </c>
      <c r="B63" t="s">
        <v>602</v>
      </c>
      <c r="C63" t="s">
        <v>72</v>
      </c>
      <c r="D63" s="1">
        <v>211799</v>
      </c>
      <c r="E63" s="1">
        <v>67746</v>
      </c>
      <c r="F63" s="2">
        <v>0.31985986713818298</v>
      </c>
      <c r="G63" s="1">
        <v>676</v>
      </c>
      <c r="H63" s="2">
        <v>9.9784489121128896E-3</v>
      </c>
      <c r="I63" s="29">
        <v>3.1917053432735801E-3</v>
      </c>
    </row>
    <row r="64" spans="1:9" x14ac:dyDescent="0.35">
      <c r="A64" s="28">
        <v>45505</v>
      </c>
      <c r="B64" t="s">
        <v>602</v>
      </c>
      <c r="C64" t="s">
        <v>85</v>
      </c>
      <c r="D64" s="1">
        <v>583</v>
      </c>
      <c r="E64" s="1">
        <v>195</v>
      </c>
      <c r="F64" s="2">
        <v>0.33447684391080601</v>
      </c>
      <c r="G64" s="1">
        <v>4</v>
      </c>
      <c r="H64" s="2">
        <v>2.0512820512820499E-2</v>
      </c>
      <c r="I64" s="29">
        <v>6.8610634648370496E-3</v>
      </c>
    </row>
    <row r="65" spans="1:9" x14ac:dyDescent="0.35">
      <c r="A65" s="28">
        <v>45505</v>
      </c>
      <c r="B65" t="s">
        <v>602</v>
      </c>
      <c r="C65" t="s">
        <v>73</v>
      </c>
      <c r="D65" s="1">
        <v>12023</v>
      </c>
      <c r="E65" s="1">
        <v>3679</v>
      </c>
      <c r="F65" s="2">
        <v>0.30599683939116701</v>
      </c>
      <c r="G65" s="1">
        <v>48</v>
      </c>
      <c r="H65" s="2">
        <v>1.30470236477304E-2</v>
      </c>
      <c r="I65" s="29">
        <v>3.9923479996672997E-3</v>
      </c>
    </row>
    <row r="66" spans="1:9" x14ac:dyDescent="0.35">
      <c r="A66" s="28">
        <v>45505</v>
      </c>
      <c r="B66" t="s">
        <v>603</v>
      </c>
      <c r="C66" t="s">
        <v>10</v>
      </c>
      <c r="D66" s="1">
        <v>86950</v>
      </c>
      <c r="E66" s="1">
        <v>30473</v>
      </c>
      <c r="F66" s="2">
        <v>0.35046578493386998</v>
      </c>
      <c r="G66" s="1">
        <v>3253</v>
      </c>
      <c r="H66" s="2">
        <v>0.106750237915532</v>
      </c>
      <c r="I66" s="29">
        <v>3.74123059229442E-2</v>
      </c>
    </row>
    <row r="67" spans="1:9" x14ac:dyDescent="0.35">
      <c r="A67" s="28">
        <v>45505</v>
      </c>
      <c r="B67" t="s">
        <v>603</v>
      </c>
      <c r="C67" t="s">
        <v>11</v>
      </c>
      <c r="D67" s="1">
        <v>9592</v>
      </c>
      <c r="E67" s="1">
        <v>3239</v>
      </c>
      <c r="F67" s="2">
        <v>0.33767723102585501</v>
      </c>
      <c r="G67" s="1">
        <v>525</v>
      </c>
      <c r="H67" s="2">
        <v>0.16208706390861399</v>
      </c>
      <c r="I67" s="29">
        <v>5.4733110925771503E-2</v>
      </c>
    </row>
    <row r="68" spans="1:9" ht="16" thickBot="1" x14ac:dyDescent="0.4">
      <c r="A68" s="36" t="s">
        <v>35</v>
      </c>
      <c r="B68" s="4"/>
      <c r="C68" s="4"/>
      <c r="D68" s="33">
        <f>SUM(D50:D67)</f>
        <v>7573684</v>
      </c>
      <c r="E68" s="33">
        <f>SUM(E50:E67)</f>
        <v>2508711</v>
      </c>
      <c r="F68" s="34">
        <f>AVERAGE(F50:F67)</f>
        <v>0.36977558272113947</v>
      </c>
      <c r="G68" s="33">
        <f>SUM(G50:G67)</f>
        <v>24728</v>
      </c>
      <c r="H68" s="34">
        <f>AVERAGE(H50:H67)</f>
        <v>6.2973586845366081E-2</v>
      </c>
      <c r="I68" s="35">
        <f>AVERAGE(I50:I67)</f>
        <v>2.7064977928649207E-2</v>
      </c>
    </row>
    <row r="69" spans="1:9" ht="3" customHeight="1" thickBot="1" x14ac:dyDescent="0.4">
      <c r="A69" s="139"/>
      <c r="B69" s="138"/>
      <c r="C69" s="138"/>
      <c r="D69" s="138"/>
      <c r="E69" s="138"/>
      <c r="F69" s="138"/>
      <c r="G69" s="138"/>
      <c r="H69" s="138"/>
      <c r="I69" s="140"/>
    </row>
    <row r="70" spans="1:9" x14ac:dyDescent="0.35">
      <c r="A70" s="16" t="s">
        <v>38</v>
      </c>
      <c r="B70" s="17"/>
      <c r="C70" s="17"/>
      <c r="D70" s="17"/>
      <c r="E70" s="17"/>
      <c r="F70" s="17"/>
      <c r="G70" s="17"/>
      <c r="H70" s="17"/>
      <c r="I70" s="18"/>
    </row>
    <row r="71" spans="1:9" x14ac:dyDescent="0.35">
      <c r="A71" s="8">
        <v>45505</v>
      </c>
      <c r="B71" t="s">
        <v>600</v>
      </c>
      <c r="C71" t="s">
        <v>543</v>
      </c>
      <c r="D71" s="1">
        <v>1293055</v>
      </c>
      <c r="E71" s="1">
        <v>420610</v>
      </c>
      <c r="F71" s="3">
        <v>0.32529999999999998</v>
      </c>
      <c r="G71" s="1">
        <v>4347</v>
      </c>
      <c r="H71" s="3">
        <v>1.03E-2</v>
      </c>
      <c r="I71" s="11">
        <v>3.3999999999999998E-3</v>
      </c>
    </row>
    <row r="72" spans="1:9" x14ac:dyDescent="0.35">
      <c r="A72" s="8">
        <v>45505</v>
      </c>
      <c r="B72" t="s">
        <v>601</v>
      </c>
      <c r="C72" t="s">
        <v>545</v>
      </c>
      <c r="D72" s="1">
        <v>42989</v>
      </c>
      <c r="E72" s="1">
        <v>12732</v>
      </c>
      <c r="F72" s="2">
        <v>0.29616878736420899</v>
      </c>
      <c r="G72" s="1">
        <v>144</v>
      </c>
      <c r="H72" s="2">
        <v>1.13100848256362E-2</v>
      </c>
      <c r="I72" s="9">
        <v>3.3496941077950202E-3</v>
      </c>
    </row>
    <row r="73" spans="1:9" x14ac:dyDescent="0.35">
      <c r="A73" s="8">
        <v>45505</v>
      </c>
      <c r="B73" t="s">
        <v>585</v>
      </c>
      <c r="C73" t="s">
        <v>234</v>
      </c>
      <c r="D73" s="1">
        <v>1088034</v>
      </c>
      <c r="E73" s="1">
        <v>352248</v>
      </c>
      <c r="F73" s="3">
        <v>0.32369999999999999</v>
      </c>
      <c r="G73" s="1">
        <v>3173</v>
      </c>
      <c r="H73" s="3">
        <v>8.9999999999999993E-3</v>
      </c>
      <c r="I73" s="11">
        <v>2.8999999999999998E-3</v>
      </c>
    </row>
    <row r="74" spans="1:9" x14ac:dyDescent="0.35">
      <c r="A74" s="8">
        <v>45505</v>
      </c>
      <c r="B74" t="s">
        <v>586</v>
      </c>
      <c r="C74" t="s">
        <v>235</v>
      </c>
      <c r="D74" s="1">
        <v>81844</v>
      </c>
      <c r="E74" s="1">
        <v>25535</v>
      </c>
      <c r="F74" s="3">
        <v>0.312</v>
      </c>
      <c r="G74">
        <v>288</v>
      </c>
      <c r="H74" s="3">
        <v>1.1299999999999999E-2</v>
      </c>
      <c r="I74" s="11">
        <v>3.5000000000000001E-3</v>
      </c>
    </row>
    <row r="75" spans="1:9" x14ac:dyDescent="0.35">
      <c r="A75" s="8">
        <v>45505</v>
      </c>
      <c r="B75" t="s">
        <v>570</v>
      </c>
      <c r="C75" t="s">
        <v>255</v>
      </c>
      <c r="D75" s="1">
        <v>40296</v>
      </c>
      <c r="E75" s="1">
        <v>14274</v>
      </c>
      <c r="F75" s="2">
        <v>0.35422870756402602</v>
      </c>
      <c r="G75" s="1">
        <v>270</v>
      </c>
      <c r="H75" s="2">
        <v>1.8915510718789399E-2</v>
      </c>
      <c r="I75" s="9">
        <v>6.70041691483026E-3</v>
      </c>
    </row>
    <row r="76" spans="1:9" ht="16" thickBot="1" x14ac:dyDescent="0.4">
      <c r="A76" s="36" t="s">
        <v>35</v>
      </c>
      <c r="B76" s="4"/>
      <c r="C76" s="4"/>
      <c r="D76" s="33">
        <f>SUM(D71:D75)</f>
        <v>2546218</v>
      </c>
      <c r="E76" s="33">
        <f>SUM(E71:E75)</f>
        <v>825399</v>
      </c>
      <c r="F76" s="34">
        <f>AVERAGE(F71:F75)</f>
        <v>0.32227949898564701</v>
      </c>
      <c r="G76" s="33">
        <f>SUM(G71:G75)</f>
        <v>8222</v>
      </c>
      <c r="H76" s="34">
        <f>AVERAGE(H71:H75)</f>
        <v>1.216511910888512E-2</v>
      </c>
      <c r="I76" s="35">
        <f>AVERAGE(I71:I75)</f>
        <v>3.9700222045250559E-3</v>
      </c>
    </row>
    <row r="81" spans="6:13" x14ac:dyDescent="0.35">
      <c r="F81" s="1"/>
      <c r="G81" s="1"/>
      <c r="H81" s="3"/>
      <c r="I81" s="1"/>
      <c r="J81" s="3"/>
      <c r="K81" s="1"/>
      <c r="L81" s="3"/>
      <c r="M81" s="3"/>
    </row>
    <row r="82" spans="6:13" x14ac:dyDescent="0.35">
      <c r="F82" s="1"/>
      <c r="G82" s="1"/>
      <c r="H82" s="3"/>
      <c r="I82" s="1"/>
      <c r="J82" s="3"/>
      <c r="K82" s="1"/>
      <c r="L82" s="3"/>
      <c r="M82" s="3"/>
    </row>
    <row r="83" spans="6:13" x14ac:dyDescent="0.35">
      <c r="F83" s="1"/>
      <c r="H83" s="3"/>
      <c r="I83" s="1"/>
      <c r="J83" s="3"/>
      <c r="L83" s="3"/>
      <c r="M83" s="3"/>
    </row>
    <row r="84" spans="6:13" x14ac:dyDescent="0.35">
      <c r="F84" s="1"/>
      <c r="H84" s="3"/>
      <c r="I84" s="1"/>
      <c r="J84" s="3"/>
      <c r="L84" s="3"/>
      <c r="M84" s="3"/>
    </row>
  </sheetData>
  <mergeCells count="3">
    <mergeCell ref="A35:I35"/>
    <mergeCell ref="A48:I48"/>
    <mergeCell ref="A69:I69"/>
  </mergeCells>
  <pageMargins left="0.7" right="0.7" top="0.75" bottom="0.75" header="0.3" footer="0.3"/>
  <ignoredErrors>
    <ignoredError sqref="F34:G34 F47:G47 F68:G68 F76:G76" formula="1"/>
  </ignoredErrors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484D-EAB3-4F80-BD90-453B0EB6768E}">
  <dimension ref="A1:I70"/>
  <sheetViews>
    <sheetView workbookViewId="0">
      <selection activeCell="K5" sqref="K5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45506</v>
      </c>
      <c r="B2" t="s">
        <v>604</v>
      </c>
      <c r="C2" t="s">
        <v>10</v>
      </c>
      <c r="D2" s="1">
        <v>396585</v>
      </c>
      <c r="E2" s="1">
        <v>130124</v>
      </c>
      <c r="F2" s="2">
        <v>0.32811124979512601</v>
      </c>
      <c r="G2" s="1">
        <v>3149</v>
      </c>
      <c r="H2" s="2">
        <v>2.4199993852018101E-2</v>
      </c>
      <c r="I2" s="2">
        <v>7.9402902278200103E-3</v>
      </c>
    </row>
    <row r="3" spans="1:9" x14ac:dyDescent="0.35">
      <c r="A3" s="19">
        <v>45506</v>
      </c>
      <c r="B3" t="s">
        <v>604</v>
      </c>
      <c r="C3" t="s">
        <v>11</v>
      </c>
      <c r="D3" s="1">
        <v>21896</v>
      </c>
      <c r="E3" s="1">
        <v>7027</v>
      </c>
      <c r="F3" s="2">
        <v>0.32092619656558302</v>
      </c>
      <c r="G3" s="1">
        <v>333</v>
      </c>
      <c r="H3" s="2">
        <v>4.7388643802476198E-2</v>
      </c>
      <c r="I3" s="2">
        <v>1.5208257215929799E-2</v>
      </c>
    </row>
    <row r="4" spans="1:9" x14ac:dyDescent="0.35">
      <c r="A4" s="19">
        <v>45506</v>
      </c>
      <c r="B4" t="s">
        <v>605</v>
      </c>
      <c r="C4" t="s">
        <v>104</v>
      </c>
      <c r="D4" s="1">
        <v>275995</v>
      </c>
      <c r="E4" s="1">
        <v>88204</v>
      </c>
      <c r="F4" s="2">
        <v>0.31958549973731398</v>
      </c>
      <c r="G4" s="1">
        <v>1636</v>
      </c>
      <c r="H4" s="2">
        <v>1.8547911659335201E-2</v>
      </c>
      <c r="I4" s="2">
        <v>5.9276436167321903E-3</v>
      </c>
    </row>
    <row r="5" spans="1:9" x14ac:dyDescent="0.35">
      <c r="A5" s="19">
        <v>45506</v>
      </c>
      <c r="B5" t="s">
        <v>606</v>
      </c>
      <c r="C5" t="s">
        <v>10</v>
      </c>
      <c r="D5" s="1">
        <v>4404914</v>
      </c>
      <c r="E5" s="1">
        <v>1328657</v>
      </c>
      <c r="F5" s="2">
        <v>0.301630633424398</v>
      </c>
      <c r="G5" s="1">
        <v>16133</v>
      </c>
      <c r="H5" s="2">
        <v>1.2142336208667901E-2</v>
      </c>
      <c r="I5" s="2">
        <v>3.6625005618724899E-3</v>
      </c>
    </row>
    <row r="6" spans="1:9" x14ac:dyDescent="0.35">
      <c r="A6" s="19">
        <v>45506</v>
      </c>
      <c r="B6" t="s">
        <v>606</v>
      </c>
      <c r="C6" t="s">
        <v>11</v>
      </c>
      <c r="D6" s="1">
        <v>281259</v>
      </c>
      <c r="E6" s="1">
        <v>74041</v>
      </c>
      <c r="F6" s="2">
        <v>0.26324846493801102</v>
      </c>
      <c r="G6" s="1">
        <v>977</v>
      </c>
      <c r="H6" s="2">
        <v>1.3195391742413E-2</v>
      </c>
      <c r="I6" s="2">
        <v>3.4736666204459202E-3</v>
      </c>
    </row>
    <row r="7" spans="1:9" x14ac:dyDescent="0.35">
      <c r="A7" s="19">
        <v>45506</v>
      </c>
      <c r="B7" t="s">
        <v>606</v>
      </c>
      <c r="C7" t="s">
        <v>528</v>
      </c>
      <c r="D7" s="1">
        <v>237607</v>
      </c>
      <c r="E7" s="1">
        <v>81748</v>
      </c>
      <c r="F7" s="2">
        <v>0.34404710298939001</v>
      </c>
      <c r="G7" s="1">
        <v>1015</v>
      </c>
      <c r="H7" s="2">
        <v>1.2416205901061799E-2</v>
      </c>
      <c r="I7" s="2">
        <v>4.2717596703800804E-3</v>
      </c>
    </row>
    <row r="8" spans="1:9" x14ac:dyDescent="0.35">
      <c r="A8" s="19">
        <v>45506</v>
      </c>
      <c r="B8" t="s">
        <v>606</v>
      </c>
      <c r="C8" t="s">
        <v>529</v>
      </c>
      <c r="D8" s="1">
        <v>15257</v>
      </c>
      <c r="E8" s="1">
        <v>4885</v>
      </c>
      <c r="F8" s="2">
        <v>0.32018090057023002</v>
      </c>
      <c r="G8" s="1">
        <v>65</v>
      </c>
      <c r="H8" s="2">
        <v>1.33060388945752E-2</v>
      </c>
      <c r="I8" s="2">
        <v>4.26033951628761E-3</v>
      </c>
    </row>
    <row r="9" spans="1:9" x14ac:dyDescent="0.35">
      <c r="A9" s="19">
        <v>45507</v>
      </c>
      <c r="B9" t="s">
        <v>607</v>
      </c>
      <c r="C9" t="s">
        <v>10</v>
      </c>
      <c r="D9" s="1">
        <v>63460</v>
      </c>
      <c r="E9" s="1">
        <v>21970</v>
      </c>
      <c r="F9" s="2">
        <v>0.34620233217774998</v>
      </c>
      <c r="G9" s="1">
        <v>1905</v>
      </c>
      <c r="H9" s="2">
        <v>8.67091488393264E-2</v>
      </c>
      <c r="I9" s="2">
        <v>3.00189095493224E-2</v>
      </c>
    </row>
    <row r="10" spans="1:9" x14ac:dyDescent="0.35">
      <c r="A10" s="19">
        <v>45507</v>
      </c>
      <c r="B10" t="s">
        <v>607</v>
      </c>
      <c r="C10" t="s">
        <v>11</v>
      </c>
      <c r="D10" s="1">
        <v>7049</v>
      </c>
      <c r="E10" s="1">
        <v>2469</v>
      </c>
      <c r="F10" s="2">
        <v>0.35026244857426603</v>
      </c>
      <c r="G10" s="1">
        <v>227</v>
      </c>
      <c r="H10" s="2">
        <v>9.1940056703118694E-2</v>
      </c>
      <c r="I10" s="2">
        <v>3.2203149382891198E-2</v>
      </c>
    </row>
    <row r="11" spans="1:9" x14ac:dyDescent="0.35">
      <c r="A11" s="19">
        <v>45509</v>
      </c>
      <c r="B11" t="s">
        <v>608</v>
      </c>
      <c r="C11" t="s">
        <v>10</v>
      </c>
      <c r="D11" s="1">
        <v>306071</v>
      </c>
      <c r="E11" s="1">
        <v>114073</v>
      </c>
      <c r="F11" s="2">
        <v>0.372701105299097</v>
      </c>
      <c r="G11" s="1">
        <v>1502</v>
      </c>
      <c r="H11" s="2">
        <v>1.31670070919499E-2</v>
      </c>
      <c r="I11" s="2">
        <v>4.9073580966507799E-3</v>
      </c>
    </row>
    <row r="12" spans="1:9" x14ac:dyDescent="0.35">
      <c r="A12" s="19">
        <v>45510</v>
      </c>
      <c r="B12" t="s">
        <v>609</v>
      </c>
      <c r="C12" t="s">
        <v>10</v>
      </c>
      <c r="D12" s="1">
        <v>335680</v>
      </c>
      <c r="E12" s="1">
        <v>114967</v>
      </c>
      <c r="F12" s="2">
        <v>0.342489871306006</v>
      </c>
      <c r="G12" s="1">
        <v>1594</v>
      </c>
      <c r="H12" s="2">
        <v>1.38648481738238E-2</v>
      </c>
      <c r="I12" s="2">
        <v>4.74857006673022E-3</v>
      </c>
    </row>
    <row r="13" spans="1:9" x14ac:dyDescent="0.35">
      <c r="A13" s="19">
        <v>45510</v>
      </c>
      <c r="B13" t="s">
        <v>609</v>
      </c>
      <c r="C13" t="s">
        <v>11</v>
      </c>
      <c r="D13" s="1">
        <v>21805</v>
      </c>
      <c r="E13" s="1">
        <v>7285</v>
      </c>
      <c r="F13" s="2">
        <v>0.33409768401742701</v>
      </c>
      <c r="G13" s="1">
        <v>216</v>
      </c>
      <c r="H13" s="2">
        <v>2.96499656829101E-2</v>
      </c>
      <c r="I13" s="2">
        <v>9.9059848658564608E-3</v>
      </c>
    </row>
    <row r="14" spans="1:9" x14ac:dyDescent="0.35">
      <c r="A14" s="19">
        <v>45510</v>
      </c>
      <c r="B14" t="s">
        <v>610</v>
      </c>
      <c r="C14" t="s">
        <v>10</v>
      </c>
      <c r="D14" s="1">
        <v>1375976</v>
      </c>
      <c r="E14" s="1">
        <v>466416</v>
      </c>
      <c r="F14" s="2">
        <v>0.33897102856445199</v>
      </c>
      <c r="G14" s="1">
        <v>5744</v>
      </c>
      <c r="H14" s="2">
        <v>1.23151864430037E-2</v>
      </c>
      <c r="I14" s="2">
        <v>4.17449141554795E-3</v>
      </c>
    </row>
    <row r="15" spans="1:9" x14ac:dyDescent="0.35">
      <c r="A15" s="19">
        <v>45510</v>
      </c>
      <c r="B15" t="s">
        <v>610</v>
      </c>
      <c r="C15" t="s">
        <v>11</v>
      </c>
      <c r="D15" s="1">
        <v>93206</v>
      </c>
      <c r="E15" s="1">
        <v>30493</v>
      </c>
      <c r="F15" s="2">
        <v>0.32715704997532302</v>
      </c>
      <c r="G15" s="1">
        <v>549</v>
      </c>
      <c r="H15" s="2">
        <v>1.8004132095890898E-2</v>
      </c>
      <c r="I15" s="2">
        <v>5.8901787438576901E-3</v>
      </c>
    </row>
    <row r="16" spans="1:9" x14ac:dyDescent="0.35">
      <c r="A16" s="19">
        <v>45511</v>
      </c>
      <c r="B16" t="s">
        <v>611</v>
      </c>
      <c r="C16" t="s">
        <v>84</v>
      </c>
      <c r="D16" s="1">
        <v>32892</v>
      </c>
      <c r="E16" s="1">
        <v>13606</v>
      </c>
      <c r="F16" s="2">
        <v>0.41365681624711198</v>
      </c>
      <c r="G16" s="1">
        <v>307</v>
      </c>
      <c r="H16" s="2">
        <v>2.2563574893429399E-2</v>
      </c>
      <c r="I16" s="2">
        <v>9.3335765535692596E-3</v>
      </c>
    </row>
    <row r="17" spans="1:9" x14ac:dyDescent="0.35">
      <c r="A17" s="19">
        <v>45511</v>
      </c>
      <c r="B17" t="s">
        <v>611</v>
      </c>
      <c r="C17" t="s">
        <v>72</v>
      </c>
      <c r="D17" s="1">
        <v>102275</v>
      </c>
      <c r="E17" s="1">
        <v>45607</v>
      </c>
      <c r="F17" s="2">
        <v>0.44592520166218502</v>
      </c>
      <c r="G17" s="1">
        <v>836</v>
      </c>
      <c r="H17" s="2">
        <v>1.8330519437805601E-2</v>
      </c>
      <c r="I17" s="2">
        <v>8.17404057687607E-3</v>
      </c>
    </row>
    <row r="18" spans="1:9" x14ac:dyDescent="0.35">
      <c r="A18" s="19">
        <v>45511</v>
      </c>
      <c r="B18" t="s">
        <v>611</v>
      </c>
      <c r="C18" t="s">
        <v>85</v>
      </c>
      <c r="D18" s="1">
        <v>1788</v>
      </c>
      <c r="E18" s="1">
        <v>719</v>
      </c>
      <c r="F18" s="2">
        <v>0.40212527964205802</v>
      </c>
      <c r="G18" s="1">
        <v>25</v>
      </c>
      <c r="H18" s="2">
        <v>3.4770514603616097E-2</v>
      </c>
      <c r="I18" s="2">
        <v>1.3982102908277399E-2</v>
      </c>
    </row>
    <row r="19" spans="1:9" x14ac:dyDescent="0.35">
      <c r="A19" s="19">
        <v>45511</v>
      </c>
      <c r="B19" t="s">
        <v>611</v>
      </c>
      <c r="C19" t="s">
        <v>73</v>
      </c>
      <c r="D19" s="1">
        <v>5585</v>
      </c>
      <c r="E19" s="1">
        <v>2776</v>
      </c>
      <c r="F19" s="2">
        <v>0.49704565801253398</v>
      </c>
      <c r="G19" s="1">
        <v>66</v>
      </c>
      <c r="H19" s="2">
        <v>2.37752161383285E-2</v>
      </c>
      <c r="I19" s="2">
        <v>1.18173679498657E-2</v>
      </c>
    </row>
    <row r="20" spans="1:9" x14ac:dyDescent="0.35">
      <c r="A20" s="19">
        <v>45511</v>
      </c>
      <c r="B20" t="s">
        <v>612</v>
      </c>
      <c r="C20" t="s">
        <v>316</v>
      </c>
      <c r="D20" s="1">
        <v>8315</v>
      </c>
      <c r="E20" s="1">
        <v>2397</v>
      </c>
      <c r="F20" s="2">
        <v>0.28827420324714398</v>
      </c>
      <c r="G20" s="1">
        <v>256</v>
      </c>
      <c r="H20" s="2">
        <v>0.106800166875261</v>
      </c>
      <c r="I20" s="2">
        <v>3.0787733012627799E-2</v>
      </c>
    </row>
    <row r="21" spans="1:9" x14ac:dyDescent="0.35">
      <c r="A21" s="19">
        <v>45511</v>
      </c>
      <c r="B21" t="s">
        <v>613</v>
      </c>
      <c r="C21" t="s">
        <v>318</v>
      </c>
      <c r="D21" s="1">
        <v>615</v>
      </c>
      <c r="E21" s="1">
        <v>147</v>
      </c>
      <c r="F21" s="2">
        <v>0.23902439024390201</v>
      </c>
      <c r="G21" s="1">
        <v>11</v>
      </c>
      <c r="H21" s="2">
        <v>7.4829931972789102E-2</v>
      </c>
      <c r="I21" s="2">
        <v>1.7886178861788601E-2</v>
      </c>
    </row>
    <row r="22" spans="1:9" x14ac:dyDescent="0.35">
      <c r="A22" s="19">
        <v>45512</v>
      </c>
      <c r="B22" t="s">
        <v>600</v>
      </c>
      <c r="C22" t="s">
        <v>234</v>
      </c>
      <c r="D22" s="1">
        <v>949978</v>
      </c>
      <c r="E22" s="1">
        <v>295109</v>
      </c>
      <c r="F22" s="3">
        <v>0.31059999999999999</v>
      </c>
      <c r="G22">
        <v>2629</v>
      </c>
      <c r="H22" s="3">
        <v>8.8999999999999999E-3</v>
      </c>
      <c r="I22" s="3">
        <v>2.8E-3</v>
      </c>
    </row>
    <row r="23" spans="1:9" x14ac:dyDescent="0.35">
      <c r="A23" s="19">
        <v>45512</v>
      </c>
      <c r="B23" t="s">
        <v>601</v>
      </c>
      <c r="C23" t="s">
        <v>235</v>
      </c>
      <c r="D23" s="1">
        <v>49612</v>
      </c>
      <c r="E23" s="1">
        <v>14409</v>
      </c>
      <c r="F23" s="3">
        <v>0.29039999999999999</v>
      </c>
      <c r="G23">
        <v>159</v>
      </c>
      <c r="H23" s="3">
        <v>1.0999999999999999E-2</v>
      </c>
      <c r="I23" s="3">
        <v>3.2000000000000002E-3</v>
      </c>
    </row>
    <row r="24" spans="1:9" x14ac:dyDescent="0.35">
      <c r="A24" s="19">
        <v>45512</v>
      </c>
      <c r="B24" t="s">
        <v>585</v>
      </c>
      <c r="C24" t="s">
        <v>253</v>
      </c>
      <c r="D24" s="1">
        <v>1074763</v>
      </c>
      <c r="E24" s="1">
        <v>356174</v>
      </c>
      <c r="F24" s="3">
        <v>0.33139999999999997</v>
      </c>
      <c r="G24" s="1">
        <v>3448</v>
      </c>
      <c r="H24" s="3">
        <v>9.7000000000000003E-3</v>
      </c>
      <c r="I24" s="3">
        <v>3.2000000000000002E-3</v>
      </c>
    </row>
    <row r="25" spans="1:9" x14ac:dyDescent="0.35">
      <c r="A25" s="19">
        <v>45512</v>
      </c>
      <c r="B25" t="s">
        <v>586</v>
      </c>
      <c r="C25" t="s">
        <v>255</v>
      </c>
      <c r="D25" s="1">
        <v>80966</v>
      </c>
      <c r="E25" s="1">
        <v>26660</v>
      </c>
      <c r="F25" s="3">
        <v>0.32929999999999998</v>
      </c>
      <c r="G25">
        <v>381</v>
      </c>
      <c r="H25" s="3">
        <v>1.43E-2</v>
      </c>
      <c r="I25" s="3">
        <v>4.7000000000000002E-3</v>
      </c>
    </row>
    <row r="26" spans="1:9" x14ac:dyDescent="0.35">
      <c r="A26" s="19">
        <v>45512</v>
      </c>
      <c r="B26" t="s">
        <v>614</v>
      </c>
      <c r="C26" t="s">
        <v>10</v>
      </c>
      <c r="D26" s="1">
        <v>880131</v>
      </c>
      <c r="E26" s="1">
        <v>247683</v>
      </c>
      <c r="F26" s="2">
        <v>0.28141606192714502</v>
      </c>
      <c r="G26" s="1">
        <v>3076</v>
      </c>
      <c r="H26" s="2">
        <v>1.24191002208468E-2</v>
      </c>
      <c r="I26" s="2">
        <v>3.49493427682924E-3</v>
      </c>
    </row>
    <row r="27" spans="1:9" x14ac:dyDescent="0.35">
      <c r="A27" s="19">
        <v>45512</v>
      </c>
      <c r="B27" t="s">
        <v>615</v>
      </c>
      <c r="C27" t="s">
        <v>10</v>
      </c>
      <c r="D27" s="1">
        <v>272279</v>
      </c>
      <c r="E27" s="1">
        <v>84746</v>
      </c>
      <c r="F27" s="2">
        <v>0.31124691952005101</v>
      </c>
      <c r="G27" s="1">
        <v>787</v>
      </c>
      <c r="H27" s="2">
        <v>9.2865739975928098E-3</v>
      </c>
      <c r="I27" s="2">
        <v>2.89041754964577E-3</v>
      </c>
    </row>
    <row r="28" spans="1:9" x14ac:dyDescent="0.35">
      <c r="A28" s="19">
        <v>45512</v>
      </c>
      <c r="B28" t="s">
        <v>616</v>
      </c>
      <c r="C28" t="s">
        <v>617</v>
      </c>
      <c r="D28" s="1">
        <v>539619</v>
      </c>
      <c r="E28" s="1">
        <v>195417</v>
      </c>
      <c r="F28" s="2">
        <v>0.362138842405475</v>
      </c>
      <c r="G28" s="1">
        <v>2069</v>
      </c>
      <c r="H28" s="2">
        <v>1.0587615202362099E-2</v>
      </c>
      <c r="I28" s="2">
        <v>3.8341867132180301E-3</v>
      </c>
    </row>
    <row r="29" spans="1:9" x14ac:dyDescent="0.35">
      <c r="A29" s="19">
        <v>45512</v>
      </c>
      <c r="B29" t="s">
        <v>616</v>
      </c>
      <c r="C29" t="s">
        <v>618</v>
      </c>
      <c r="D29" s="1">
        <v>77206</v>
      </c>
      <c r="E29" s="1">
        <v>28749</v>
      </c>
      <c r="F29" s="2">
        <v>0.37236743258296001</v>
      </c>
      <c r="G29" s="1">
        <v>317</v>
      </c>
      <c r="H29" s="2">
        <v>1.1026470485929901E-2</v>
      </c>
      <c r="I29" s="2">
        <v>4.1058985052975202E-3</v>
      </c>
    </row>
    <row r="30" spans="1:9" x14ac:dyDescent="0.35">
      <c r="A30" s="19">
        <v>45512</v>
      </c>
      <c r="B30" t="s">
        <v>616</v>
      </c>
      <c r="C30" t="s">
        <v>619</v>
      </c>
      <c r="D30" s="1">
        <v>49519</v>
      </c>
      <c r="E30" s="1">
        <v>19713</v>
      </c>
      <c r="F30" s="2">
        <v>0.39808962216522997</v>
      </c>
      <c r="G30" s="1">
        <v>272</v>
      </c>
      <c r="H30" s="2">
        <v>1.3798001318926599E-2</v>
      </c>
      <c r="I30" s="2">
        <v>5.4928411316868299E-3</v>
      </c>
    </row>
    <row r="31" spans="1:9" ht="16" thickBot="1" x14ac:dyDescent="0.4">
      <c r="A31" s="37" t="s">
        <v>35</v>
      </c>
      <c r="D31" s="31">
        <f>SUM(D2:D30)</f>
        <v>11962303</v>
      </c>
      <c r="E31" s="31">
        <f>SUM(E2:E30)</f>
        <v>3806271</v>
      </c>
      <c r="F31" s="32">
        <f>AVERAGE(F2:F30)</f>
        <v>0.34078006881345418</v>
      </c>
      <c r="G31" s="31">
        <f>SUM(G2:G30)</f>
        <v>49684</v>
      </c>
      <c r="H31" s="32">
        <f>AVERAGE(H2:H30)</f>
        <v>2.7204639732326164E-2</v>
      </c>
      <c r="I31" s="32">
        <f>AVERAGE(I2:I30)</f>
        <v>9.0445647444830028E-3</v>
      </c>
    </row>
    <row r="32" spans="1:9" ht="15" thickBot="1" x14ac:dyDescent="0.4">
      <c r="A32" s="138" t="s">
        <v>302</v>
      </c>
      <c r="B32" s="138"/>
      <c r="C32" s="138"/>
      <c r="D32" s="138"/>
      <c r="E32" s="138"/>
      <c r="F32" s="138"/>
      <c r="G32" s="138"/>
      <c r="H32" s="138"/>
      <c r="I32" s="138"/>
    </row>
    <row r="33" spans="1:9" ht="15.5" x14ac:dyDescent="0.35">
      <c r="A33" s="38" t="s">
        <v>0</v>
      </c>
      <c r="B33" s="39" t="s">
        <v>1</v>
      </c>
      <c r="C33" s="39" t="s">
        <v>2</v>
      </c>
      <c r="D33" s="39" t="s">
        <v>3</v>
      </c>
      <c r="E33" s="39" t="s">
        <v>4</v>
      </c>
      <c r="F33" s="39" t="s">
        <v>5</v>
      </c>
      <c r="G33" s="39" t="s">
        <v>6</v>
      </c>
      <c r="H33" s="39" t="s">
        <v>7</v>
      </c>
      <c r="I33" s="40" t="s">
        <v>8</v>
      </c>
    </row>
    <row r="34" spans="1:9" x14ac:dyDescent="0.35">
      <c r="A34" s="5" t="s">
        <v>36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8">
        <v>45506</v>
      </c>
      <c r="B35" t="s">
        <v>604</v>
      </c>
      <c r="C35" t="s">
        <v>10</v>
      </c>
      <c r="D35" s="1">
        <v>396585</v>
      </c>
      <c r="E35" s="1">
        <v>130124</v>
      </c>
      <c r="F35" s="2">
        <v>0.32811124979512601</v>
      </c>
      <c r="G35" s="1">
        <v>3149</v>
      </c>
      <c r="H35" s="2">
        <v>2.4199993852018101E-2</v>
      </c>
      <c r="I35" s="9">
        <v>7.9402902278200103E-3</v>
      </c>
    </row>
    <row r="36" spans="1:9" x14ac:dyDescent="0.35">
      <c r="A36" s="8">
        <v>45506</v>
      </c>
      <c r="B36" t="s">
        <v>604</v>
      </c>
      <c r="C36" t="s">
        <v>11</v>
      </c>
      <c r="D36" s="1">
        <v>21896</v>
      </c>
      <c r="E36" s="1">
        <v>7027</v>
      </c>
      <c r="F36" s="2">
        <v>0.32092619656558302</v>
      </c>
      <c r="G36" s="1">
        <v>333</v>
      </c>
      <c r="H36" s="2">
        <v>4.7388643802476198E-2</v>
      </c>
      <c r="I36" s="9">
        <v>1.5208257215929799E-2</v>
      </c>
    </row>
    <row r="37" spans="1:9" x14ac:dyDescent="0.35">
      <c r="A37" s="8">
        <v>45506</v>
      </c>
      <c r="B37" t="s">
        <v>606</v>
      </c>
      <c r="C37" t="s">
        <v>10</v>
      </c>
      <c r="D37" s="1">
        <v>4404914</v>
      </c>
      <c r="E37" s="1">
        <v>1328657</v>
      </c>
      <c r="F37" s="2">
        <v>0.301630633424398</v>
      </c>
      <c r="G37" s="1">
        <v>16133</v>
      </c>
      <c r="H37" s="2">
        <v>1.2142336208667901E-2</v>
      </c>
      <c r="I37" s="9">
        <v>3.6625005618724899E-3</v>
      </c>
    </row>
    <row r="38" spans="1:9" x14ac:dyDescent="0.35">
      <c r="A38" s="8">
        <v>45506</v>
      </c>
      <c r="B38" t="s">
        <v>606</v>
      </c>
      <c r="C38" t="s">
        <v>11</v>
      </c>
      <c r="D38" s="1">
        <v>281259</v>
      </c>
      <c r="E38" s="1">
        <v>74041</v>
      </c>
      <c r="F38" s="2">
        <v>0.26324846493801102</v>
      </c>
      <c r="G38" s="1">
        <v>977</v>
      </c>
      <c r="H38" s="2">
        <v>1.3195391742413E-2</v>
      </c>
      <c r="I38" s="9">
        <v>3.4736666204459202E-3</v>
      </c>
    </row>
    <row r="39" spans="1:9" x14ac:dyDescent="0.35">
      <c r="A39" s="8">
        <v>45506</v>
      </c>
      <c r="B39" t="s">
        <v>606</v>
      </c>
      <c r="C39" t="s">
        <v>528</v>
      </c>
      <c r="D39" s="1">
        <v>237607</v>
      </c>
      <c r="E39" s="1">
        <v>81748</v>
      </c>
      <c r="F39" s="2">
        <v>0.34404710298939001</v>
      </c>
      <c r="G39" s="1">
        <v>1015</v>
      </c>
      <c r="H39" s="2">
        <v>1.2416205901061799E-2</v>
      </c>
      <c r="I39" s="9">
        <v>4.2717596703800804E-3</v>
      </c>
    </row>
    <row r="40" spans="1:9" x14ac:dyDescent="0.35">
      <c r="A40" s="8">
        <v>45506</v>
      </c>
      <c r="B40" t="s">
        <v>606</v>
      </c>
      <c r="C40" t="s">
        <v>529</v>
      </c>
      <c r="D40" s="1">
        <v>15257</v>
      </c>
      <c r="E40" s="1">
        <v>4885</v>
      </c>
      <c r="F40" s="2">
        <v>0.32018090057023002</v>
      </c>
      <c r="G40" s="1">
        <v>65</v>
      </c>
      <c r="H40" s="2">
        <v>1.33060388945752E-2</v>
      </c>
      <c r="I40" s="9">
        <v>4.26033951628761E-3</v>
      </c>
    </row>
    <row r="41" spans="1:9" x14ac:dyDescent="0.35">
      <c r="A41" s="8">
        <v>45510</v>
      </c>
      <c r="B41" t="s">
        <v>610</v>
      </c>
      <c r="C41" t="s">
        <v>10</v>
      </c>
      <c r="D41" s="1">
        <v>1375976</v>
      </c>
      <c r="E41" s="1">
        <v>466416</v>
      </c>
      <c r="F41" s="2">
        <v>0.33897102856445199</v>
      </c>
      <c r="G41" s="1">
        <v>5744</v>
      </c>
      <c r="H41" s="2">
        <v>1.23151864430037E-2</v>
      </c>
      <c r="I41" s="9">
        <v>4.17449141554795E-3</v>
      </c>
    </row>
    <row r="42" spans="1:9" x14ac:dyDescent="0.35">
      <c r="A42" s="8">
        <v>45510</v>
      </c>
      <c r="B42" t="s">
        <v>610</v>
      </c>
      <c r="C42" t="s">
        <v>11</v>
      </c>
      <c r="D42" s="1">
        <v>93206</v>
      </c>
      <c r="E42" s="1">
        <v>30493</v>
      </c>
      <c r="F42" s="2">
        <v>0.32715704997532302</v>
      </c>
      <c r="G42" s="1">
        <v>549</v>
      </c>
      <c r="H42" s="2">
        <v>1.8004132095890898E-2</v>
      </c>
      <c r="I42" s="9">
        <v>5.8901787438576901E-3</v>
      </c>
    </row>
    <row r="43" spans="1:9" ht="16" thickBot="1" x14ac:dyDescent="0.4">
      <c r="A43" s="36" t="s">
        <v>35</v>
      </c>
      <c r="B43" s="4"/>
      <c r="C43" s="4"/>
      <c r="D43" s="33">
        <f>SUM(D35:D42)</f>
        <v>6826700</v>
      </c>
      <c r="E43" s="33">
        <f>SUM(E35:E42)</f>
        <v>2123391</v>
      </c>
      <c r="F43" s="34">
        <f>AVERAGE(F35:F42)</f>
        <v>0.31803407835281416</v>
      </c>
      <c r="G43" s="33">
        <f>SUM(G35:G42)</f>
        <v>27965</v>
      </c>
      <c r="H43" s="34">
        <f>AVERAGE(H35:H42)</f>
        <v>1.912099111751335E-2</v>
      </c>
      <c r="I43" s="35">
        <f>AVERAGE(I35:I42)</f>
        <v>6.1101854965176939E-3</v>
      </c>
    </row>
    <row r="44" spans="1:9" ht="3" customHeight="1" thickBot="1" x14ac:dyDescent="0.4">
      <c r="A44" s="141"/>
      <c r="B44" s="142"/>
      <c r="C44" s="142"/>
      <c r="D44" s="142"/>
      <c r="E44" s="142"/>
      <c r="F44" s="142"/>
      <c r="G44" s="142"/>
      <c r="H44" s="142"/>
      <c r="I44" s="143"/>
    </row>
    <row r="45" spans="1:9" x14ac:dyDescent="0.35">
      <c r="A45" s="16" t="s">
        <v>37</v>
      </c>
      <c r="B45" s="17"/>
      <c r="C45" s="17"/>
      <c r="D45" s="17"/>
      <c r="E45" s="17"/>
      <c r="F45" s="17"/>
      <c r="G45" s="17"/>
      <c r="H45" s="17"/>
      <c r="I45" s="18"/>
    </row>
    <row r="46" spans="1:9" x14ac:dyDescent="0.35">
      <c r="A46" s="8">
        <v>45506</v>
      </c>
      <c r="B46" t="s">
        <v>605</v>
      </c>
      <c r="C46" t="s">
        <v>104</v>
      </c>
      <c r="D46" s="1">
        <v>275995</v>
      </c>
      <c r="E46" s="1">
        <v>88204</v>
      </c>
      <c r="F46" s="2">
        <v>0.31958549973731398</v>
      </c>
      <c r="G46" s="1">
        <v>1636</v>
      </c>
      <c r="H46" s="2">
        <v>1.8547911659335201E-2</v>
      </c>
      <c r="I46" s="9">
        <v>5.9276436167321903E-3</v>
      </c>
    </row>
    <row r="47" spans="1:9" x14ac:dyDescent="0.35">
      <c r="A47" s="8">
        <v>45507</v>
      </c>
      <c r="B47" t="s">
        <v>607</v>
      </c>
      <c r="C47" t="s">
        <v>10</v>
      </c>
      <c r="D47" s="1">
        <v>63460</v>
      </c>
      <c r="E47" s="1">
        <v>21970</v>
      </c>
      <c r="F47" s="2">
        <v>0.34620233217774998</v>
      </c>
      <c r="G47" s="1">
        <v>1905</v>
      </c>
      <c r="H47" s="2">
        <v>8.67091488393264E-2</v>
      </c>
      <c r="I47" s="9">
        <v>3.00189095493224E-2</v>
      </c>
    </row>
    <row r="48" spans="1:9" x14ac:dyDescent="0.35">
      <c r="A48" s="8">
        <v>45507</v>
      </c>
      <c r="B48" t="s">
        <v>607</v>
      </c>
      <c r="C48" t="s">
        <v>11</v>
      </c>
      <c r="D48" s="1">
        <v>7049</v>
      </c>
      <c r="E48" s="1">
        <v>2469</v>
      </c>
      <c r="F48" s="2">
        <v>0.35026244857426603</v>
      </c>
      <c r="G48" s="1">
        <v>227</v>
      </c>
      <c r="H48" s="2">
        <v>9.1940056703118694E-2</v>
      </c>
      <c r="I48" s="9">
        <v>3.2203149382891198E-2</v>
      </c>
    </row>
    <row r="49" spans="1:9" x14ac:dyDescent="0.35">
      <c r="A49" s="8">
        <v>45509</v>
      </c>
      <c r="B49" t="s">
        <v>608</v>
      </c>
      <c r="C49" t="s">
        <v>10</v>
      </c>
      <c r="D49" s="1">
        <v>306071</v>
      </c>
      <c r="E49" s="1">
        <v>114073</v>
      </c>
      <c r="F49" s="2">
        <v>0.372701105299097</v>
      </c>
      <c r="G49" s="1">
        <v>1502</v>
      </c>
      <c r="H49" s="2">
        <v>1.31670070919499E-2</v>
      </c>
      <c r="I49" s="9">
        <v>4.9073580966507799E-3</v>
      </c>
    </row>
    <row r="50" spans="1:9" x14ac:dyDescent="0.35">
      <c r="A50" s="8">
        <v>45510</v>
      </c>
      <c r="B50" t="s">
        <v>609</v>
      </c>
      <c r="C50" t="s">
        <v>10</v>
      </c>
      <c r="D50" s="1">
        <v>335680</v>
      </c>
      <c r="E50" s="1">
        <v>114967</v>
      </c>
      <c r="F50" s="2">
        <v>0.342489871306006</v>
      </c>
      <c r="G50" s="1">
        <v>1594</v>
      </c>
      <c r="H50" s="2">
        <v>1.38648481738238E-2</v>
      </c>
      <c r="I50" s="9">
        <v>4.74857006673022E-3</v>
      </c>
    </row>
    <row r="51" spans="1:9" x14ac:dyDescent="0.35">
      <c r="A51" s="8">
        <v>45510</v>
      </c>
      <c r="B51" t="s">
        <v>609</v>
      </c>
      <c r="C51" t="s">
        <v>11</v>
      </c>
      <c r="D51" s="1">
        <v>21805</v>
      </c>
      <c r="E51" s="1">
        <v>7285</v>
      </c>
      <c r="F51" s="2">
        <v>0.33409768401742701</v>
      </c>
      <c r="G51" s="1">
        <v>216</v>
      </c>
      <c r="H51" s="2">
        <v>2.96499656829101E-2</v>
      </c>
      <c r="I51" s="9">
        <v>9.9059848658564608E-3</v>
      </c>
    </row>
    <row r="52" spans="1:9" x14ac:dyDescent="0.35">
      <c r="A52" s="8">
        <v>45511</v>
      </c>
      <c r="B52" t="s">
        <v>611</v>
      </c>
      <c r="C52" t="s">
        <v>84</v>
      </c>
      <c r="D52" s="1">
        <v>32892</v>
      </c>
      <c r="E52" s="1">
        <v>13606</v>
      </c>
      <c r="F52" s="2">
        <v>0.41365681624711198</v>
      </c>
      <c r="G52" s="1">
        <v>307</v>
      </c>
      <c r="H52" s="2">
        <v>2.2563574893429399E-2</v>
      </c>
      <c r="I52" s="9">
        <v>9.3335765535692596E-3</v>
      </c>
    </row>
    <row r="53" spans="1:9" x14ac:dyDescent="0.35">
      <c r="A53" s="8">
        <v>45511</v>
      </c>
      <c r="B53" t="s">
        <v>611</v>
      </c>
      <c r="C53" t="s">
        <v>72</v>
      </c>
      <c r="D53" s="1">
        <v>102275</v>
      </c>
      <c r="E53" s="1">
        <v>45607</v>
      </c>
      <c r="F53" s="2">
        <v>0.44592520166218502</v>
      </c>
      <c r="G53" s="1">
        <v>836</v>
      </c>
      <c r="H53" s="2">
        <v>1.8330519437805601E-2</v>
      </c>
      <c r="I53" s="9">
        <v>8.17404057687607E-3</v>
      </c>
    </row>
    <row r="54" spans="1:9" x14ac:dyDescent="0.35">
      <c r="A54" s="8">
        <v>45511</v>
      </c>
      <c r="B54" t="s">
        <v>611</v>
      </c>
      <c r="C54" t="s">
        <v>85</v>
      </c>
      <c r="D54" s="1">
        <v>1788</v>
      </c>
      <c r="E54" s="1">
        <v>719</v>
      </c>
      <c r="F54" s="2">
        <v>0.40212527964205802</v>
      </c>
      <c r="G54" s="1">
        <v>25</v>
      </c>
      <c r="H54" s="2">
        <v>3.4770514603616097E-2</v>
      </c>
      <c r="I54" s="9">
        <v>1.3982102908277399E-2</v>
      </c>
    </row>
    <row r="55" spans="1:9" x14ac:dyDescent="0.35">
      <c r="A55" s="8">
        <v>45511</v>
      </c>
      <c r="B55" t="s">
        <v>611</v>
      </c>
      <c r="C55" t="s">
        <v>73</v>
      </c>
      <c r="D55" s="1">
        <v>5585</v>
      </c>
      <c r="E55" s="1">
        <v>2776</v>
      </c>
      <c r="F55" s="2">
        <v>0.49704565801253398</v>
      </c>
      <c r="G55" s="1">
        <v>66</v>
      </c>
      <c r="H55" s="2">
        <v>2.37752161383285E-2</v>
      </c>
      <c r="I55" s="9">
        <v>1.18173679498657E-2</v>
      </c>
    </row>
    <row r="56" spans="1:9" x14ac:dyDescent="0.35">
      <c r="A56" s="8">
        <v>45511</v>
      </c>
      <c r="B56" t="s">
        <v>612</v>
      </c>
      <c r="C56" t="s">
        <v>316</v>
      </c>
      <c r="D56" s="1">
        <v>8315</v>
      </c>
      <c r="E56" s="1">
        <v>2397</v>
      </c>
      <c r="F56" s="2">
        <v>0.28827420324714398</v>
      </c>
      <c r="G56" s="1">
        <v>256</v>
      </c>
      <c r="H56" s="2">
        <v>0.106800166875261</v>
      </c>
      <c r="I56" s="9">
        <v>3.0787733012627799E-2</v>
      </c>
    </row>
    <row r="57" spans="1:9" x14ac:dyDescent="0.35">
      <c r="A57" s="8">
        <v>45511</v>
      </c>
      <c r="B57" t="s">
        <v>613</v>
      </c>
      <c r="C57" t="s">
        <v>318</v>
      </c>
      <c r="D57" s="1">
        <v>615</v>
      </c>
      <c r="E57" s="1">
        <v>147</v>
      </c>
      <c r="F57" s="2">
        <v>0.23902439024390201</v>
      </c>
      <c r="G57" s="1">
        <v>11</v>
      </c>
      <c r="H57" s="2">
        <v>7.4829931972789102E-2</v>
      </c>
      <c r="I57" s="9">
        <v>1.7886178861788601E-2</v>
      </c>
    </row>
    <row r="58" spans="1:9" x14ac:dyDescent="0.35">
      <c r="A58" s="8">
        <v>45512</v>
      </c>
      <c r="B58" t="s">
        <v>614</v>
      </c>
      <c r="C58" t="s">
        <v>10</v>
      </c>
      <c r="D58" s="1">
        <v>880131</v>
      </c>
      <c r="E58" s="1">
        <v>247683</v>
      </c>
      <c r="F58" s="2">
        <v>0.28141606192714502</v>
      </c>
      <c r="G58" s="1">
        <v>3076</v>
      </c>
      <c r="H58" s="2">
        <v>1.24191002208468E-2</v>
      </c>
      <c r="I58" s="9">
        <v>3.49493427682924E-3</v>
      </c>
    </row>
    <row r="59" spans="1:9" x14ac:dyDescent="0.35">
      <c r="A59" s="8">
        <v>45512</v>
      </c>
      <c r="B59" t="s">
        <v>615</v>
      </c>
      <c r="C59" t="s">
        <v>10</v>
      </c>
      <c r="D59" s="1">
        <v>272279</v>
      </c>
      <c r="E59" s="1">
        <v>84746</v>
      </c>
      <c r="F59" s="2">
        <v>0.31124691952005101</v>
      </c>
      <c r="G59" s="1">
        <v>787</v>
      </c>
      <c r="H59" s="2">
        <v>9.2865739975928098E-3</v>
      </c>
      <c r="I59" s="9">
        <v>2.89041754964577E-3</v>
      </c>
    </row>
    <row r="60" spans="1:9" x14ac:dyDescent="0.35">
      <c r="A60" s="8">
        <v>45512</v>
      </c>
      <c r="B60" t="s">
        <v>616</v>
      </c>
      <c r="C60" t="s">
        <v>617</v>
      </c>
      <c r="D60" s="1">
        <v>539619</v>
      </c>
      <c r="E60" s="1">
        <v>195417</v>
      </c>
      <c r="F60" s="2">
        <v>0.362138842405475</v>
      </c>
      <c r="G60" s="1">
        <v>2069</v>
      </c>
      <c r="H60" s="2">
        <v>1.0587615202362099E-2</v>
      </c>
      <c r="I60" s="9">
        <v>3.8341867132180301E-3</v>
      </c>
    </row>
    <row r="61" spans="1:9" x14ac:dyDescent="0.35">
      <c r="A61" s="8">
        <v>45512</v>
      </c>
      <c r="B61" t="s">
        <v>616</v>
      </c>
      <c r="C61" t="s">
        <v>618</v>
      </c>
      <c r="D61" s="1">
        <v>77206</v>
      </c>
      <c r="E61" s="1">
        <v>28749</v>
      </c>
      <c r="F61" s="2">
        <v>0.37236743258296001</v>
      </c>
      <c r="G61" s="1">
        <v>317</v>
      </c>
      <c r="H61" s="2">
        <v>1.1026470485929901E-2</v>
      </c>
      <c r="I61" s="9">
        <v>4.1058985052975202E-3</v>
      </c>
    </row>
    <row r="62" spans="1:9" x14ac:dyDescent="0.35">
      <c r="A62" s="8">
        <v>45512</v>
      </c>
      <c r="B62" t="s">
        <v>616</v>
      </c>
      <c r="C62" t="s">
        <v>619</v>
      </c>
      <c r="D62" s="1">
        <v>49519</v>
      </c>
      <c r="E62" s="1">
        <v>19713</v>
      </c>
      <c r="F62" s="2">
        <v>0.39808962216522997</v>
      </c>
      <c r="G62" s="1">
        <v>272</v>
      </c>
      <c r="H62" s="2">
        <v>1.3798001318926599E-2</v>
      </c>
      <c r="I62" s="9">
        <v>5.4928411316868299E-3</v>
      </c>
    </row>
    <row r="63" spans="1:9" ht="16" thickBot="1" x14ac:dyDescent="0.4">
      <c r="A63" s="36" t="s">
        <v>35</v>
      </c>
      <c r="B63" s="4"/>
      <c r="C63" s="4"/>
      <c r="D63" s="33">
        <f>SUM(D46:D62)</f>
        <v>2980284</v>
      </c>
      <c r="E63" s="33">
        <f>SUM(E46:E62)</f>
        <v>990528</v>
      </c>
      <c r="F63" s="34">
        <f>AVERAGE(F46:F62)</f>
        <v>0.35744996286868569</v>
      </c>
      <c r="G63" s="33">
        <f>SUM(G46:G62)</f>
        <v>15102</v>
      </c>
      <c r="H63" s="34">
        <f>AVERAGE(H46:H62)</f>
        <v>3.4827448429255996E-2</v>
      </c>
      <c r="I63" s="35">
        <f>AVERAGE(I46:I62)</f>
        <v>1.1735934918697968E-2</v>
      </c>
    </row>
    <row r="64" spans="1:9" ht="3" customHeight="1" thickBot="1" x14ac:dyDescent="0.4">
      <c r="A64" s="139"/>
      <c r="B64" s="138"/>
      <c r="C64" s="138"/>
      <c r="D64" s="138"/>
      <c r="E64" s="138"/>
      <c r="F64" s="138"/>
      <c r="G64" s="138"/>
      <c r="H64" s="138"/>
      <c r="I64" s="140"/>
    </row>
    <row r="65" spans="1:9" x14ac:dyDescent="0.35">
      <c r="A65" s="16" t="s">
        <v>38</v>
      </c>
      <c r="B65" s="17"/>
      <c r="C65" s="17"/>
      <c r="D65" s="17"/>
      <c r="E65" s="17"/>
      <c r="F65" s="17"/>
      <c r="G65" s="17"/>
      <c r="H65" s="17"/>
      <c r="I65" s="18"/>
    </row>
    <row r="66" spans="1:9" x14ac:dyDescent="0.35">
      <c r="A66" s="28">
        <v>45512</v>
      </c>
      <c r="B66" t="s">
        <v>600</v>
      </c>
      <c r="C66" t="s">
        <v>234</v>
      </c>
      <c r="D66" s="1">
        <v>949978</v>
      </c>
      <c r="E66" s="1">
        <v>295109</v>
      </c>
      <c r="F66" s="3">
        <v>0.31059999999999999</v>
      </c>
      <c r="G66">
        <v>2629</v>
      </c>
      <c r="H66" s="3">
        <v>8.8999999999999999E-3</v>
      </c>
      <c r="I66" s="30">
        <v>2.8E-3</v>
      </c>
    </row>
    <row r="67" spans="1:9" x14ac:dyDescent="0.35">
      <c r="A67" s="28">
        <v>45512</v>
      </c>
      <c r="B67" t="s">
        <v>601</v>
      </c>
      <c r="C67" t="s">
        <v>235</v>
      </c>
      <c r="D67" s="1">
        <v>49612</v>
      </c>
      <c r="E67" s="1">
        <v>14409</v>
      </c>
      <c r="F67" s="3">
        <v>0.29039999999999999</v>
      </c>
      <c r="G67">
        <v>159</v>
      </c>
      <c r="H67" s="3">
        <v>1.0999999999999999E-2</v>
      </c>
      <c r="I67" s="30">
        <v>3.2000000000000002E-3</v>
      </c>
    </row>
    <row r="68" spans="1:9" x14ac:dyDescent="0.35">
      <c r="A68" s="28">
        <v>45512</v>
      </c>
      <c r="B68" t="s">
        <v>585</v>
      </c>
      <c r="C68" t="s">
        <v>253</v>
      </c>
      <c r="D68" s="1">
        <v>1074763</v>
      </c>
      <c r="E68" s="1">
        <v>356174</v>
      </c>
      <c r="F68" s="3">
        <v>0.33139999999999997</v>
      </c>
      <c r="G68" s="1">
        <v>3448</v>
      </c>
      <c r="H68" s="3">
        <v>9.7000000000000003E-3</v>
      </c>
      <c r="I68" s="30">
        <v>3.2000000000000002E-3</v>
      </c>
    </row>
    <row r="69" spans="1:9" x14ac:dyDescent="0.35">
      <c r="A69" s="28">
        <v>45512</v>
      </c>
      <c r="B69" t="s">
        <v>586</v>
      </c>
      <c r="C69" t="s">
        <v>255</v>
      </c>
      <c r="D69" s="1">
        <v>80966</v>
      </c>
      <c r="E69" s="1">
        <v>26660</v>
      </c>
      <c r="F69" s="3">
        <v>0.32929999999999998</v>
      </c>
      <c r="G69">
        <v>381</v>
      </c>
      <c r="H69" s="3">
        <v>1.43E-2</v>
      </c>
      <c r="I69" s="30">
        <v>4.7000000000000002E-3</v>
      </c>
    </row>
    <row r="70" spans="1:9" ht="16" thickBot="1" x14ac:dyDescent="0.4">
      <c r="A70" s="36" t="s">
        <v>35</v>
      </c>
      <c r="B70" s="4"/>
      <c r="C70" s="4"/>
      <c r="D70" s="33">
        <f>SUM(D66:D69)</f>
        <v>2155319</v>
      </c>
      <c r="E70" s="33">
        <f>SUM(E66:E69)</f>
        <v>692352</v>
      </c>
      <c r="F70" s="34">
        <f>AVERAGE(F66:F69)</f>
        <v>0.31542499999999996</v>
      </c>
      <c r="G70" s="33">
        <f>SUM(G66:G69)</f>
        <v>6617</v>
      </c>
      <c r="H70" s="34">
        <f>AVERAGE(H66:H69)</f>
        <v>1.0975E-2</v>
      </c>
      <c r="I70" s="35">
        <f>AVERAGE(I66:I69)</f>
        <v>3.4749999999999998E-3</v>
      </c>
    </row>
  </sheetData>
  <mergeCells count="3">
    <mergeCell ref="A32:I32"/>
    <mergeCell ref="A44:I44"/>
    <mergeCell ref="A64:I64"/>
  </mergeCells>
  <pageMargins left="0.7" right="0.7" top="0.75" bottom="0.75" header="0.3" footer="0.3"/>
  <ignoredErrors>
    <ignoredError sqref="F31:G31 F43:G43 F70:G70 F63:G63" formula="1"/>
  </ignoredErrors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933C-30D2-4334-BA71-FACC2DB6B336}">
  <dimension ref="A1:I60"/>
  <sheetViews>
    <sheetView workbookViewId="0">
      <selection activeCell="K24" sqref="K24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45513</v>
      </c>
      <c r="B2" t="s">
        <v>620</v>
      </c>
      <c r="C2" t="s">
        <v>10</v>
      </c>
      <c r="D2" s="1">
        <v>396410</v>
      </c>
      <c r="E2" s="1">
        <v>137902</v>
      </c>
      <c r="F2" s="2">
        <v>0.34787719785070997</v>
      </c>
      <c r="G2" s="1">
        <v>2875</v>
      </c>
      <c r="H2" s="2">
        <v>2.0848138533161201E-2</v>
      </c>
      <c r="I2" s="2">
        <v>7.2525920133195403E-3</v>
      </c>
    </row>
    <row r="3" spans="1:9" x14ac:dyDescent="0.35">
      <c r="A3" s="19">
        <v>45513</v>
      </c>
      <c r="B3" t="s">
        <v>621</v>
      </c>
      <c r="C3" t="s">
        <v>10</v>
      </c>
      <c r="D3" s="1">
        <v>71583</v>
      </c>
      <c r="E3" s="1">
        <v>24046</v>
      </c>
      <c r="F3" s="2">
        <v>0.33591774583350797</v>
      </c>
      <c r="G3" s="1">
        <v>215</v>
      </c>
      <c r="H3" s="2">
        <v>8.9411960409215702E-3</v>
      </c>
      <c r="I3" s="2">
        <v>3.00350641912186E-3</v>
      </c>
    </row>
    <row r="4" spans="1:9" x14ac:dyDescent="0.35">
      <c r="A4" s="19">
        <v>45513</v>
      </c>
      <c r="B4" t="s">
        <v>622</v>
      </c>
      <c r="C4" t="s">
        <v>623</v>
      </c>
      <c r="D4" s="1">
        <v>7939</v>
      </c>
      <c r="E4" s="1">
        <v>2270</v>
      </c>
      <c r="F4" s="2">
        <v>0.28593021791157602</v>
      </c>
      <c r="G4" s="1">
        <v>181</v>
      </c>
      <c r="H4" s="2">
        <v>7.9735682819383299E-2</v>
      </c>
      <c r="I4" s="2">
        <v>2.2798841163874501E-2</v>
      </c>
    </row>
    <row r="5" spans="1:9" x14ac:dyDescent="0.35">
      <c r="A5" s="19">
        <v>45513</v>
      </c>
      <c r="B5" t="s">
        <v>624</v>
      </c>
      <c r="C5" t="s">
        <v>625</v>
      </c>
      <c r="D5" s="1">
        <v>588</v>
      </c>
      <c r="E5" s="1">
        <v>141</v>
      </c>
      <c r="F5" s="2">
        <v>0.23979591836734701</v>
      </c>
      <c r="G5" s="1">
        <v>4</v>
      </c>
      <c r="H5" s="2">
        <v>2.8368794326241099E-2</v>
      </c>
      <c r="I5" s="2">
        <v>6.8027210884353704E-3</v>
      </c>
    </row>
    <row r="6" spans="1:9" x14ac:dyDescent="0.35">
      <c r="A6" s="19">
        <v>45513</v>
      </c>
      <c r="B6" t="s">
        <v>626</v>
      </c>
      <c r="C6" t="s">
        <v>10</v>
      </c>
      <c r="D6" s="1">
        <v>196521</v>
      </c>
      <c r="E6" s="1">
        <v>68424</v>
      </c>
      <c r="F6" s="2">
        <v>0.34817653075243898</v>
      </c>
      <c r="G6" s="1">
        <v>663</v>
      </c>
      <c r="H6" s="2">
        <v>9.6895826025955797E-3</v>
      </c>
      <c r="I6" s="2">
        <v>3.3736852550109099E-3</v>
      </c>
    </row>
    <row r="7" spans="1:9" x14ac:dyDescent="0.35">
      <c r="A7" s="19">
        <v>45513</v>
      </c>
      <c r="B7" t="s">
        <v>626</v>
      </c>
      <c r="C7" t="s">
        <v>11</v>
      </c>
      <c r="D7" s="1">
        <v>8808</v>
      </c>
      <c r="E7" s="1">
        <v>3314</v>
      </c>
      <c r="F7" s="2">
        <v>0.37624886466848301</v>
      </c>
      <c r="G7" s="1">
        <v>53</v>
      </c>
      <c r="H7" s="2">
        <v>1.5992757996379E-2</v>
      </c>
      <c r="I7" s="2">
        <v>6.0172570390554002E-3</v>
      </c>
    </row>
    <row r="8" spans="1:9" x14ac:dyDescent="0.35">
      <c r="A8" s="19">
        <v>45513</v>
      </c>
      <c r="B8" t="s">
        <v>627</v>
      </c>
      <c r="C8" t="s">
        <v>10</v>
      </c>
      <c r="D8" s="1">
        <v>73172</v>
      </c>
      <c r="E8" s="1">
        <v>34016</v>
      </c>
      <c r="F8" s="2">
        <v>0.46487727546055901</v>
      </c>
      <c r="G8" s="1">
        <v>1342</v>
      </c>
      <c r="H8" s="2">
        <v>3.9452022577610497E-2</v>
      </c>
      <c r="I8" s="2">
        <v>1.8340348767288E-2</v>
      </c>
    </row>
    <row r="9" spans="1:9" x14ac:dyDescent="0.35">
      <c r="A9" s="19">
        <v>45513</v>
      </c>
      <c r="B9" t="s">
        <v>628</v>
      </c>
      <c r="C9" t="s">
        <v>10</v>
      </c>
      <c r="D9" s="1">
        <v>4469717</v>
      </c>
      <c r="E9" s="1">
        <v>1408499</v>
      </c>
      <c r="F9" s="2">
        <v>0.31512039800282698</v>
      </c>
      <c r="G9" s="1">
        <v>17882</v>
      </c>
      <c r="H9" s="2">
        <v>1.2695784661544E-2</v>
      </c>
      <c r="I9" s="2">
        <v>4.0007007155039099E-3</v>
      </c>
    </row>
    <row r="10" spans="1:9" x14ac:dyDescent="0.35">
      <c r="A10" s="19">
        <v>45513</v>
      </c>
      <c r="B10" t="s">
        <v>628</v>
      </c>
      <c r="C10" t="s">
        <v>11</v>
      </c>
      <c r="D10" s="1">
        <v>288763</v>
      </c>
      <c r="E10" s="1">
        <v>81791</v>
      </c>
      <c r="F10" s="2">
        <v>0.28324612225250501</v>
      </c>
      <c r="G10" s="1">
        <v>1285</v>
      </c>
      <c r="H10" s="2">
        <v>1.5710775024146899E-2</v>
      </c>
      <c r="I10" s="2">
        <v>4.4500161031711099E-3</v>
      </c>
    </row>
    <row r="11" spans="1:9" x14ac:dyDescent="0.35">
      <c r="A11" s="19">
        <v>45513</v>
      </c>
      <c r="B11" t="s">
        <v>628</v>
      </c>
      <c r="C11" t="s">
        <v>528</v>
      </c>
      <c r="D11" s="1">
        <v>197843</v>
      </c>
      <c r="E11" s="1">
        <v>72660</v>
      </c>
      <c r="F11" s="2">
        <v>0.36726090890251401</v>
      </c>
      <c r="G11" s="1">
        <v>786</v>
      </c>
      <c r="H11" s="2">
        <v>1.08175061932287E-2</v>
      </c>
      <c r="I11" s="2">
        <v>3.9728471565837597E-3</v>
      </c>
    </row>
    <row r="12" spans="1:9" x14ac:dyDescent="0.35">
      <c r="A12" s="19">
        <v>45513</v>
      </c>
      <c r="B12" t="s">
        <v>628</v>
      </c>
      <c r="C12" t="s">
        <v>529</v>
      </c>
      <c r="D12" s="1">
        <v>11586</v>
      </c>
      <c r="E12" s="1">
        <v>4095</v>
      </c>
      <c r="F12" s="2">
        <v>0.35344381149663401</v>
      </c>
      <c r="G12" s="1">
        <v>56</v>
      </c>
      <c r="H12" s="2">
        <v>1.3675213675213699E-2</v>
      </c>
      <c r="I12" s="2">
        <v>4.8334196443984099E-3</v>
      </c>
    </row>
    <row r="13" spans="1:9" x14ac:dyDescent="0.35">
      <c r="A13" s="19">
        <v>45516</v>
      </c>
      <c r="B13" t="s">
        <v>629</v>
      </c>
      <c r="C13" t="s">
        <v>72</v>
      </c>
      <c r="D13" s="1">
        <v>147189</v>
      </c>
      <c r="E13" s="1">
        <v>53820</v>
      </c>
      <c r="F13" s="2">
        <v>0.36565232456229702</v>
      </c>
      <c r="G13" s="1">
        <v>780</v>
      </c>
      <c r="H13" s="2">
        <v>1.4492753623188401E-2</v>
      </c>
      <c r="I13" s="2">
        <v>5.2993090516275003E-3</v>
      </c>
    </row>
    <row r="14" spans="1:9" x14ac:dyDescent="0.35">
      <c r="A14" s="19">
        <v>45516</v>
      </c>
      <c r="B14" t="s">
        <v>629</v>
      </c>
      <c r="C14" t="s">
        <v>73</v>
      </c>
      <c r="D14" s="1">
        <v>15889</v>
      </c>
      <c r="E14" s="1">
        <v>6192</v>
      </c>
      <c r="F14" s="2">
        <v>0.389703568506514</v>
      </c>
      <c r="G14" s="1">
        <v>105</v>
      </c>
      <c r="H14" s="2">
        <v>1.6957364341085301E-2</v>
      </c>
      <c r="I14" s="2">
        <v>6.6083453961860404E-3</v>
      </c>
    </row>
    <row r="15" spans="1:9" x14ac:dyDescent="0.35">
      <c r="A15" s="19">
        <v>45517</v>
      </c>
      <c r="B15" t="s">
        <v>630</v>
      </c>
      <c r="C15" t="s">
        <v>10</v>
      </c>
      <c r="D15" s="1">
        <v>1386559</v>
      </c>
      <c r="E15" s="1">
        <v>477462</v>
      </c>
      <c r="F15" s="2">
        <v>0.34435029450603999</v>
      </c>
      <c r="G15" s="1">
        <v>6447</v>
      </c>
      <c r="H15" s="2">
        <v>1.3502645236689001E-2</v>
      </c>
      <c r="I15" s="2">
        <v>4.6496398638644302E-3</v>
      </c>
    </row>
    <row r="16" spans="1:9" x14ac:dyDescent="0.35">
      <c r="A16" s="19">
        <v>45517</v>
      </c>
      <c r="B16" t="s">
        <v>630</v>
      </c>
      <c r="C16" t="s">
        <v>11</v>
      </c>
      <c r="D16" s="1">
        <v>93595</v>
      </c>
      <c r="E16" s="1">
        <v>32446</v>
      </c>
      <c r="F16" s="2">
        <v>0.34666381751161901</v>
      </c>
      <c r="G16" s="1">
        <v>619</v>
      </c>
      <c r="H16" s="2">
        <v>1.9077852431732701E-2</v>
      </c>
      <c r="I16" s="2">
        <v>6.6136011539077904E-3</v>
      </c>
    </row>
    <row r="17" spans="1:9" x14ac:dyDescent="0.35">
      <c r="A17" s="19">
        <v>45519</v>
      </c>
      <c r="B17" t="s">
        <v>600</v>
      </c>
      <c r="C17" t="s">
        <v>253</v>
      </c>
      <c r="D17" s="1">
        <v>921798</v>
      </c>
      <c r="E17" s="1">
        <v>288290</v>
      </c>
      <c r="F17" s="3">
        <v>0.31269999999999998</v>
      </c>
      <c r="G17" s="1">
        <v>2608</v>
      </c>
      <c r="H17" s="3">
        <v>8.9999999999999993E-3</v>
      </c>
      <c r="I17" s="3">
        <v>2.8E-3</v>
      </c>
    </row>
    <row r="18" spans="1:9" x14ac:dyDescent="0.35">
      <c r="A18" s="19">
        <v>45519</v>
      </c>
      <c r="B18" t="s">
        <v>601</v>
      </c>
      <c r="C18" t="s">
        <v>255</v>
      </c>
      <c r="D18" s="1">
        <v>48177</v>
      </c>
      <c r="E18" s="1">
        <v>14255</v>
      </c>
      <c r="F18" s="3">
        <v>0.2959</v>
      </c>
      <c r="G18">
        <v>158</v>
      </c>
      <c r="H18" s="3">
        <v>1.11E-2</v>
      </c>
      <c r="I18" s="3">
        <v>3.3E-3</v>
      </c>
    </row>
    <row r="19" spans="1:9" x14ac:dyDescent="0.35">
      <c r="A19" s="19">
        <v>45519</v>
      </c>
      <c r="B19" t="s">
        <v>631</v>
      </c>
      <c r="C19" t="s">
        <v>543</v>
      </c>
      <c r="D19" s="1">
        <v>341887</v>
      </c>
      <c r="E19" s="1">
        <v>127151</v>
      </c>
      <c r="F19" s="3">
        <v>0.37190000000000001</v>
      </c>
      <c r="G19" s="1">
        <v>1615</v>
      </c>
      <c r="H19" s="3">
        <v>1.2699999999999999E-2</v>
      </c>
      <c r="I19" s="3">
        <v>4.7000000000000002E-3</v>
      </c>
    </row>
    <row r="20" spans="1:9" x14ac:dyDescent="0.35">
      <c r="A20" s="19">
        <v>45519</v>
      </c>
      <c r="B20" t="s">
        <v>632</v>
      </c>
      <c r="C20" t="s">
        <v>545</v>
      </c>
      <c r="D20" s="1">
        <v>18994</v>
      </c>
      <c r="E20" s="1">
        <v>6583</v>
      </c>
      <c r="F20" s="3">
        <v>0.34660000000000002</v>
      </c>
      <c r="G20">
        <v>102</v>
      </c>
      <c r="H20" s="3">
        <v>1.55E-2</v>
      </c>
      <c r="I20" s="3">
        <v>5.4000000000000003E-3</v>
      </c>
    </row>
    <row r="21" spans="1:9" x14ac:dyDescent="0.35">
      <c r="A21" s="19">
        <v>45519</v>
      </c>
      <c r="B21" t="s">
        <v>633</v>
      </c>
      <c r="C21" t="s">
        <v>545</v>
      </c>
      <c r="D21" s="1">
        <v>15326</v>
      </c>
      <c r="E21" s="1">
        <v>7208</v>
      </c>
      <c r="F21" s="3">
        <v>0.4703</v>
      </c>
      <c r="G21">
        <v>232</v>
      </c>
      <c r="H21" s="3">
        <v>3.2199999999999999E-2</v>
      </c>
      <c r="I21" s="3">
        <v>1.5100000000000001E-2</v>
      </c>
    </row>
    <row r="22" spans="1:9" x14ac:dyDescent="0.35">
      <c r="A22" s="19">
        <v>45519</v>
      </c>
      <c r="B22" t="s">
        <v>634</v>
      </c>
      <c r="C22" t="s">
        <v>316</v>
      </c>
      <c r="D22" s="1">
        <v>8171</v>
      </c>
      <c r="E22" s="1">
        <v>2141</v>
      </c>
      <c r="F22" s="2">
        <v>0.26202423204014202</v>
      </c>
      <c r="G22" s="1">
        <v>205</v>
      </c>
      <c r="H22" s="2">
        <v>9.5749649696403594E-2</v>
      </c>
      <c r="I22" s="2">
        <v>2.5088728429812801E-2</v>
      </c>
    </row>
    <row r="23" spans="1:9" x14ac:dyDescent="0.35">
      <c r="A23" s="19">
        <v>45519</v>
      </c>
      <c r="B23" t="s">
        <v>635</v>
      </c>
      <c r="C23" t="s">
        <v>318</v>
      </c>
      <c r="D23" s="1">
        <v>608</v>
      </c>
      <c r="E23" s="1">
        <v>132</v>
      </c>
      <c r="F23" s="2">
        <v>0.217105263157895</v>
      </c>
      <c r="G23" s="1">
        <v>11</v>
      </c>
      <c r="H23" s="2">
        <v>8.3333333333333301E-2</v>
      </c>
      <c r="I23" s="2">
        <v>1.8092105263157899E-2</v>
      </c>
    </row>
    <row r="24" spans="1:9" x14ac:dyDescent="0.35">
      <c r="A24" s="19">
        <v>45519</v>
      </c>
      <c r="B24" t="s">
        <v>636</v>
      </c>
      <c r="C24" t="s">
        <v>10</v>
      </c>
      <c r="D24" s="1">
        <v>528</v>
      </c>
      <c r="E24" s="1">
        <v>193</v>
      </c>
      <c r="F24" s="2">
        <v>0.36553030303030298</v>
      </c>
      <c r="G24" s="1">
        <v>12</v>
      </c>
      <c r="H24" s="2">
        <v>6.21761658031088E-2</v>
      </c>
      <c r="I24" s="2">
        <v>2.27272727272727E-2</v>
      </c>
    </row>
    <row r="25" spans="1:9" x14ac:dyDescent="0.35">
      <c r="A25" s="19">
        <v>45519</v>
      </c>
      <c r="B25" t="s">
        <v>637</v>
      </c>
      <c r="C25" t="s">
        <v>10</v>
      </c>
      <c r="D25" s="1">
        <v>41913</v>
      </c>
      <c r="E25" s="1">
        <v>12083</v>
      </c>
      <c r="F25" s="2">
        <v>0.28828764345191199</v>
      </c>
      <c r="G25" s="1">
        <v>395</v>
      </c>
      <c r="H25" s="2">
        <v>3.2690556980882197E-2</v>
      </c>
      <c r="I25" s="2">
        <v>9.4242836351489997E-3</v>
      </c>
    </row>
    <row r="26" spans="1:9" ht="16" thickBot="1" x14ac:dyDescent="0.4">
      <c r="A26" s="37" t="s">
        <v>35</v>
      </c>
      <c r="D26" s="31">
        <f>SUM(D2:D25)</f>
        <v>8763564</v>
      </c>
      <c r="E26" s="31">
        <f>SUM(E2:E25)</f>
        <v>2865114</v>
      </c>
      <c r="F26" s="32">
        <f>AVERAGE(F2:F25)</f>
        <v>0.33727551826107599</v>
      </c>
      <c r="G26" s="31">
        <f>SUM(G2:G25)</f>
        <v>38631</v>
      </c>
      <c r="H26" s="32">
        <f>AVERAGE(H2:H25)</f>
        <v>2.8100323995702035E-2</v>
      </c>
      <c r="I26" s="32">
        <f>AVERAGE(I2:I25)</f>
        <v>8.9437175369475406E-3</v>
      </c>
    </row>
    <row r="27" spans="1:9" ht="15" thickBot="1" x14ac:dyDescent="0.4">
      <c r="A27" s="138" t="s">
        <v>302</v>
      </c>
      <c r="B27" s="138"/>
      <c r="C27" s="138"/>
      <c r="D27" s="138"/>
      <c r="E27" s="138"/>
      <c r="F27" s="138"/>
      <c r="G27" s="138"/>
      <c r="H27" s="138"/>
      <c r="I27" s="138"/>
    </row>
    <row r="28" spans="1:9" ht="15.5" x14ac:dyDescent="0.35">
      <c r="A28" s="38" t="s">
        <v>0</v>
      </c>
      <c r="B28" s="39" t="s">
        <v>1</v>
      </c>
      <c r="C28" s="39" t="s">
        <v>2</v>
      </c>
      <c r="D28" s="39" t="s">
        <v>3</v>
      </c>
      <c r="E28" s="39" t="s">
        <v>4</v>
      </c>
      <c r="F28" s="39" t="s">
        <v>5</v>
      </c>
      <c r="G28" s="39" t="s">
        <v>6</v>
      </c>
      <c r="H28" s="39" t="s">
        <v>7</v>
      </c>
      <c r="I28" s="40" t="s">
        <v>8</v>
      </c>
    </row>
    <row r="29" spans="1:9" x14ac:dyDescent="0.35">
      <c r="A29" s="5" t="s">
        <v>36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8">
        <v>45513</v>
      </c>
      <c r="B30" t="s">
        <v>620</v>
      </c>
      <c r="C30" t="s">
        <v>10</v>
      </c>
      <c r="D30" s="1">
        <v>396410</v>
      </c>
      <c r="E30" s="1">
        <v>137902</v>
      </c>
      <c r="F30" s="2">
        <v>0.34787719785070997</v>
      </c>
      <c r="G30" s="1">
        <v>2875</v>
      </c>
      <c r="H30" s="2">
        <v>2.0848138533161201E-2</v>
      </c>
      <c r="I30" s="9">
        <v>7.2525920133195403E-3</v>
      </c>
    </row>
    <row r="31" spans="1:9" x14ac:dyDescent="0.35">
      <c r="A31" s="8">
        <v>45513</v>
      </c>
      <c r="B31" t="s">
        <v>628</v>
      </c>
      <c r="C31" t="s">
        <v>10</v>
      </c>
      <c r="D31" s="1">
        <v>4469717</v>
      </c>
      <c r="E31" s="1">
        <v>1408499</v>
      </c>
      <c r="F31" s="2">
        <v>0.31512039800282698</v>
      </c>
      <c r="G31" s="1">
        <v>17882</v>
      </c>
      <c r="H31" s="2">
        <v>1.2695784661544E-2</v>
      </c>
      <c r="I31" s="9">
        <v>4.0007007155039099E-3</v>
      </c>
    </row>
    <row r="32" spans="1:9" x14ac:dyDescent="0.35">
      <c r="A32" s="8">
        <v>45513</v>
      </c>
      <c r="B32" t="s">
        <v>628</v>
      </c>
      <c r="C32" t="s">
        <v>11</v>
      </c>
      <c r="D32" s="1">
        <v>288763</v>
      </c>
      <c r="E32" s="1">
        <v>81791</v>
      </c>
      <c r="F32" s="2">
        <v>0.28324612225250501</v>
      </c>
      <c r="G32" s="1">
        <v>1285</v>
      </c>
      <c r="H32" s="2">
        <v>1.5710775024146899E-2</v>
      </c>
      <c r="I32" s="9">
        <v>4.4500161031711099E-3</v>
      </c>
    </row>
    <row r="33" spans="1:9" x14ac:dyDescent="0.35">
      <c r="A33" s="8">
        <v>45513</v>
      </c>
      <c r="B33" t="s">
        <v>628</v>
      </c>
      <c r="C33" t="s">
        <v>528</v>
      </c>
      <c r="D33" s="1">
        <v>197843</v>
      </c>
      <c r="E33" s="1">
        <v>72660</v>
      </c>
      <c r="F33" s="2">
        <v>0.36726090890251401</v>
      </c>
      <c r="G33" s="1">
        <v>786</v>
      </c>
      <c r="H33" s="2">
        <v>1.08175061932287E-2</v>
      </c>
      <c r="I33" s="9">
        <v>3.9728471565837597E-3</v>
      </c>
    </row>
    <row r="34" spans="1:9" x14ac:dyDescent="0.35">
      <c r="A34" s="8">
        <v>45513</v>
      </c>
      <c r="B34" t="s">
        <v>628</v>
      </c>
      <c r="C34" t="s">
        <v>529</v>
      </c>
      <c r="D34" s="1">
        <v>11586</v>
      </c>
      <c r="E34" s="1">
        <v>4095</v>
      </c>
      <c r="F34" s="2">
        <v>0.35344381149663401</v>
      </c>
      <c r="G34" s="1">
        <v>56</v>
      </c>
      <c r="H34" s="2">
        <v>1.3675213675213699E-2</v>
      </c>
      <c r="I34" s="9">
        <v>4.8334196443984099E-3</v>
      </c>
    </row>
    <row r="35" spans="1:9" x14ac:dyDescent="0.35">
      <c r="A35" s="8">
        <v>45517</v>
      </c>
      <c r="B35" t="s">
        <v>630</v>
      </c>
      <c r="C35" t="s">
        <v>10</v>
      </c>
      <c r="D35" s="1">
        <v>1386559</v>
      </c>
      <c r="E35" s="1">
        <v>477462</v>
      </c>
      <c r="F35" s="2">
        <v>0.34435029450603999</v>
      </c>
      <c r="G35" s="1">
        <v>6447</v>
      </c>
      <c r="H35" s="2">
        <v>1.3502645236689001E-2</v>
      </c>
      <c r="I35" s="9">
        <v>4.6496398638644302E-3</v>
      </c>
    </row>
    <row r="36" spans="1:9" x14ac:dyDescent="0.35">
      <c r="A36" s="8">
        <v>45517</v>
      </c>
      <c r="B36" t="s">
        <v>630</v>
      </c>
      <c r="C36" t="s">
        <v>11</v>
      </c>
      <c r="D36" s="1">
        <v>93595</v>
      </c>
      <c r="E36" s="1">
        <v>32446</v>
      </c>
      <c r="F36" s="2">
        <v>0.34666381751161901</v>
      </c>
      <c r="G36" s="1">
        <v>619</v>
      </c>
      <c r="H36" s="2">
        <v>1.9077852431732701E-2</v>
      </c>
      <c r="I36" s="9">
        <v>6.6136011539077904E-3</v>
      </c>
    </row>
    <row r="37" spans="1:9" ht="16" thickBot="1" x14ac:dyDescent="0.4">
      <c r="A37" s="36" t="s">
        <v>35</v>
      </c>
      <c r="B37" s="4"/>
      <c r="C37" s="4"/>
      <c r="D37" s="33">
        <f>SUM(D30:D36)</f>
        <v>6844473</v>
      </c>
      <c r="E37" s="33">
        <f>SUM(E30:E36)</f>
        <v>2214855</v>
      </c>
      <c r="F37" s="34">
        <f>AVERAGE(F30:F36)</f>
        <v>0.33685179293183559</v>
      </c>
      <c r="G37" s="33">
        <f>SUM(G30:G36)</f>
        <v>29950</v>
      </c>
      <c r="H37" s="34">
        <f>AVERAGE(H30:H36)</f>
        <v>1.5189702250816599E-2</v>
      </c>
      <c r="I37" s="35">
        <f>AVERAGE(I30:I36)</f>
        <v>5.110402378678422E-3</v>
      </c>
    </row>
    <row r="38" spans="1:9" ht="3" customHeight="1" thickBot="1" x14ac:dyDescent="0.4">
      <c r="A38" s="141"/>
      <c r="B38" s="142"/>
      <c r="C38" s="142"/>
      <c r="D38" s="142"/>
      <c r="E38" s="142"/>
      <c r="F38" s="142"/>
      <c r="G38" s="142"/>
      <c r="H38" s="142"/>
      <c r="I38" s="143"/>
    </row>
    <row r="39" spans="1:9" x14ac:dyDescent="0.35">
      <c r="A39" s="16" t="s">
        <v>37</v>
      </c>
      <c r="B39" s="17"/>
      <c r="C39" s="17"/>
      <c r="D39" s="17"/>
      <c r="E39" s="17"/>
      <c r="F39" s="17"/>
      <c r="G39" s="17"/>
      <c r="H39" s="17"/>
      <c r="I39" s="18"/>
    </row>
    <row r="40" spans="1:9" x14ac:dyDescent="0.35">
      <c r="A40" s="8">
        <v>45513</v>
      </c>
      <c r="B40" t="s">
        <v>621</v>
      </c>
      <c r="C40" t="s">
        <v>10</v>
      </c>
      <c r="D40" s="1">
        <v>71583</v>
      </c>
      <c r="E40" s="1">
        <v>24046</v>
      </c>
      <c r="F40" s="2">
        <v>0.33591774583350797</v>
      </c>
      <c r="G40" s="1">
        <v>215</v>
      </c>
      <c r="H40" s="2">
        <v>8.9411960409215702E-3</v>
      </c>
      <c r="I40" s="9">
        <v>3.00350641912186E-3</v>
      </c>
    </row>
    <row r="41" spans="1:9" x14ac:dyDescent="0.35">
      <c r="A41" s="8">
        <v>45513</v>
      </c>
      <c r="B41" t="s">
        <v>622</v>
      </c>
      <c r="C41" t="s">
        <v>623</v>
      </c>
      <c r="D41" s="1">
        <v>7939</v>
      </c>
      <c r="E41" s="1">
        <v>2270</v>
      </c>
      <c r="F41" s="2">
        <v>0.28593021791157602</v>
      </c>
      <c r="G41" s="1">
        <v>181</v>
      </c>
      <c r="H41" s="2">
        <v>7.9735682819383299E-2</v>
      </c>
      <c r="I41" s="9">
        <v>2.2798841163874501E-2</v>
      </c>
    </row>
    <row r="42" spans="1:9" x14ac:dyDescent="0.35">
      <c r="A42" s="8">
        <v>45513</v>
      </c>
      <c r="B42" t="s">
        <v>624</v>
      </c>
      <c r="C42" t="s">
        <v>625</v>
      </c>
      <c r="D42" s="1">
        <v>588</v>
      </c>
      <c r="E42" s="1">
        <v>141</v>
      </c>
      <c r="F42" s="2">
        <v>0.23979591836734701</v>
      </c>
      <c r="G42" s="1">
        <v>4</v>
      </c>
      <c r="H42" s="2">
        <v>2.8368794326241099E-2</v>
      </c>
      <c r="I42" s="9">
        <v>6.8027210884353704E-3</v>
      </c>
    </row>
    <row r="43" spans="1:9" x14ac:dyDescent="0.35">
      <c r="A43" s="8">
        <v>45513</v>
      </c>
      <c r="B43" t="s">
        <v>626</v>
      </c>
      <c r="C43" t="s">
        <v>10</v>
      </c>
      <c r="D43" s="1">
        <v>196521</v>
      </c>
      <c r="E43" s="1">
        <v>68424</v>
      </c>
      <c r="F43" s="2">
        <v>0.34817653075243898</v>
      </c>
      <c r="G43" s="1">
        <v>663</v>
      </c>
      <c r="H43" s="2">
        <v>9.6895826025955797E-3</v>
      </c>
      <c r="I43" s="9">
        <v>3.3736852550109099E-3</v>
      </c>
    </row>
    <row r="44" spans="1:9" x14ac:dyDescent="0.35">
      <c r="A44" s="8">
        <v>45513</v>
      </c>
      <c r="B44" t="s">
        <v>626</v>
      </c>
      <c r="C44" t="s">
        <v>11</v>
      </c>
      <c r="D44" s="1">
        <v>8808</v>
      </c>
      <c r="E44" s="1">
        <v>3314</v>
      </c>
      <c r="F44" s="2">
        <v>0.37624886466848301</v>
      </c>
      <c r="G44" s="1">
        <v>53</v>
      </c>
      <c r="H44" s="2">
        <v>1.5992757996379E-2</v>
      </c>
      <c r="I44" s="9">
        <v>6.0172570390554002E-3</v>
      </c>
    </row>
    <row r="45" spans="1:9" x14ac:dyDescent="0.35">
      <c r="A45" s="8">
        <v>45513</v>
      </c>
      <c r="B45" t="s">
        <v>627</v>
      </c>
      <c r="C45" t="s">
        <v>10</v>
      </c>
      <c r="D45" s="1">
        <v>73172</v>
      </c>
      <c r="E45" s="1">
        <v>34016</v>
      </c>
      <c r="F45" s="2">
        <v>0.46487727546055901</v>
      </c>
      <c r="G45" s="1">
        <v>1342</v>
      </c>
      <c r="H45" s="2">
        <v>3.9452022577610497E-2</v>
      </c>
      <c r="I45" s="9">
        <v>1.8340348767288E-2</v>
      </c>
    </row>
    <row r="46" spans="1:9" x14ac:dyDescent="0.35">
      <c r="A46" s="8">
        <v>45516</v>
      </c>
      <c r="B46" t="s">
        <v>629</v>
      </c>
      <c r="C46" t="s">
        <v>72</v>
      </c>
      <c r="D46" s="1">
        <v>147189</v>
      </c>
      <c r="E46" s="1">
        <v>53820</v>
      </c>
      <c r="F46" s="2">
        <v>0.36565232456229702</v>
      </c>
      <c r="G46" s="1">
        <v>780</v>
      </c>
      <c r="H46" s="2">
        <v>1.4492753623188401E-2</v>
      </c>
      <c r="I46" s="9">
        <v>5.2993090516275003E-3</v>
      </c>
    </row>
    <row r="47" spans="1:9" x14ac:dyDescent="0.35">
      <c r="A47" s="8">
        <v>45516</v>
      </c>
      <c r="B47" t="s">
        <v>629</v>
      </c>
      <c r="C47" t="s">
        <v>73</v>
      </c>
      <c r="D47" s="1">
        <v>15889</v>
      </c>
      <c r="E47" s="1">
        <v>6192</v>
      </c>
      <c r="F47" s="2">
        <v>0.389703568506514</v>
      </c>
      <c r="G47" s="1">
        <v>105</v>
      </c>
      <c r="H47" s="2">
        <v>1.6957364341085301E-2</v>
      </c>
      <c r="I47" s="9">
        <v>6.6083453961860404E-3</v>
      </c>
    </row>
    <row r="48" spans="1:9" x14ac:dyDescent="0.35">
      <c r="A48" s="8">
        <v>45519</v>
      </c>
      <c r="B48" t="s">
        <v>634</v>
      </c>
      <c r="C48" t="s">
        <v>316</v>
      </c>
      <c r="D48" s="1">
        <v>8171</v>
      </c>
      <c r="E48" s="1">
        <v>2141</v>
      </c>
      <c r="F48" s="2">
        <v>0.26202423204014202</v>
      </c>
      <c r="G48" s="1">
        <v>205</v>
      </c>
      <c r="H48" s="2">
        <v>9.5749649696403594E-2</v>
      </c>
      <c r="I48" s="9">
        <v>2.5088728429812801E-2</v>
      </c>
    </row>
    <row r="49" spans="1:9" x14ac:dyDescent="0.35">
      <c r="A49" s="8">
        <v>45519</v>
      </c>
      <c r="B49" t="s">
        <v>635</v>
      </c>
      <c r="C49" t="s">
        <v>318</v>
      </c>
      <c r="D49" s="1">
        <v>608</v>
      </c>
      <c r="E49" s="1">
        <v>132</v>
      </c>
      <c r="F49" s="2">
        <v>0.217105263157895</v>
      </c>
      <c r="G49" s="1">
        <v>11</v>
      </c>
      <c r="H49" s="2">
        <v>8.3333333333333301E-2</v>
      </c>
      <c r="I49" s="9">
        <v>1.8092105263157899E-2</v>
      </c>
    </row>
    <row r="50" spans="1:9" x14ac:dyDescent="0.35">
      <c r="A50" s="8">
        <v>45519</v>
      </c>
      <c r="B50" t="s">
        <v>636</v>
      </c>
      <c r="C50" t="s">
        <v>10</v>
      </c>
      <c r="D50" s="1">
        <v>528</v>
      </c>
      <c r="E50" s="1">
        <v>193</v>
      </c>
      <c r="F50" s="2">
        <v>0.36553030303030298</v>
      </c>
      <c r="G50" s="1">
        <v>12</v>
      </c>
      <c r="H50" s="2">
        <v>6.21761658031088E-2</v>
      </c>
      <c r="I50" s="9">
        <v>2.27272727272727E-2</v>
      </c>
    </row>
    <row r="51" spans="1:9" x14ac:dyDescent="0.35">
      <c r="A51" s="8">
        <v>45519</v>
      </c>
      <c r="B51" t="s">
        <v>637</v>
      </c>
      <c r="C51" t="s">
        <v>10</v>
      </c>
      <c r="D51" s="1">
        <v>41913</v>
      </c>
      <c r="E51" s="1">
        <v>12083</v>
      </c>
      <c r="F51" s="2">
        <v>0.28828764345191199</v>
      </c>
      <c r="G51" s="1">
        <v>395</v>
      </c>
      <c r="H51" s="2">
        <v>3.2690556980882197E-2</v>
      </c>
      <c r="I51" s="9">
        <v>9.4242836351489997E-3</v>
      </c>
    </row>
    <row r="52" spans="1:9" ht="16" thickBot="1" x14ac:dyDescent="0.4">
      <c r="A52" s="36" t="s">
        <v>35</v>
      </c>
      <c r="B52" s="4"/>
      <c r="C52" s="4"/>
      <c r="D52" s="33">
        <f>SUM(D40:D51)</f>
        <v>572909</v>
      </c>
      <c r="E52" s="33">
        <f>SUM(E40:E51)</f>
        <v>206772</v>
      </c>
      <c r="F52" s="34">
        <f>AVERAGE(F40:F51)</f>
        <v>0.32827082397858126</v>
      </c>
      <c r="G52" s="33">
        <f>SUM(G40:G51)</f>
        <v>3966</v>
      </c>
      <c r="H52" s="34">
        <f>AVERAGE(H40:H51)</f>
        <v>4.0631655011761053E-2</v>
      </c>
      <c r="I52" s="35">
        <f>AVERAGE(I40:I51)</f>
        <v>1.2298033686332664E-2</v>
      </c>
    </row>
    <row r="53" spans="1:9" ht="3" customHeight="1" thickBot="1" x14ac:dyDescent="0.4">
      <c r="A53" s="139"/>
      <c r="B53" s="138"/>
      <c r="C53" s="138"/>
      <c r="D53" s="138"/>
      <c r="E53" s="138"/>
      <c r="F53" s="138"/>
      <c r="G53" s="138"/>
      <c r="H53" s="138"/>
      <c r="I53" s="140"/>
    </row>
    <row r="54" spans="1:9" x14ac:dyDescent="0.35">
      <c r="A54" s="16" t="s">
        <v>38</v>
      </c>
      <c r="B54" s="17"/>
      <c r="C54" s="17"/>
      <c r="D54" s="17"/>
      <c r="E54" s="17"/>
      <c r="F54" s="17"/>
      <c r="G54" s="17"/>
      <c r="H54" s="17"/>
      <c r="I54" s="18"/>
    </row>
    <row r="55" spans="1:9" x14ac:dyDescent="0.35">
      <c r="A55" s="28">
        <v>45519</v>
      </c>
      <c r="B55" t="s">
        <v>600</v>
      </c>
      <c r="C55" t="s">
        <v>253</v>
      </c>
      <c r="D55" s="1">
        <v>921798</v>
      </c>
      <c r="E55" s="1">
        <v>288290</v>
      </c>
      <c r="F55" s="3">
        <v>0.31269999999999998</v>
      </c>
      <c r="G55" s="1">
        <v>2608</v>
      </c>
      <c r="H55" s="3">
        <v>8.9999999999999993E-3</v>
      </c>
      <c r="I55" s="30">
        <v>2.8E-3</v>
      </c>
    </row>
    <row r="56" spans="1:9" x14ac:dyDescent="0.35">
      <c r="A56" s="28">
        <v>45519</v>
      </c>
      <c r="B56" t="s">
        <v>601</v>
      </c>
      <c r="C56" t="s">
        <v>255</v>
      </c>
      <c r="D56" s="1">
        <v>48177</v>
      </c>
      <c r="E56" s="1">
        <v>14255</v>
      </c>
      <c r="F56" s="3">
        <v>0.2959</v>
      </c>
      <c r="G56">
        <v>158</v>
      </c>
      <c r="H56" s="3">
        <v>1.11E-2</v>
      </c>
      <c r="I56" s="30">
        <v>3.3E-3</v>
      </c>
    </row>
    <row r="57" spans="1:9" x14ac:dyDescent="0.35">
      <c r="A57" s="28">
        <v>45519</v>
      </c>
      <c r="B57" t="s">
        <v>631</v>
      </c>
      <c r="C57" t="s">
        <v>543</v>
      </c>
      <c r="D57" s="1">
        <v>341887</v>
      </c>
      <c r="E57" s="1">
        <v>127151</v>
      </c>
      <c r="F57" s="3">
        <v>0.37190000000000001</v>
      </c>
      <c r="G57" s="1">
        <v>1615</v>
      </c>
      <c r="H57" s="3">
        <v>1.2699999999999999E-2</v>
      </c>
      <c r="I57" s="30">
        <v>4.7000000000000002E-3</v>
      </c>
    </row>
    <row r="58" spans="1:9" x14ac:dyDescent="0.35">
      <c r="A58" s="28">
        <v>45519</v>
      </c>
      <c r="B58" t="s">
        <v>632</v>
      </c>
      <c r="C58" t="s">
        <v>545</v>
      </c>
      <c r="D58" s="1">
        <v>18994</v>
      </c>
      <c r="E58" s="1">
        <v>6583</v>
      </c>
      <c r="F58" s="3">
        <v>0.34660000000000002</v>
      </c>
      <c r="G58">
        <v>102</v>
      </c>
      <c r="H58" s="3">
        <v>1.55E-2</v>
      </c>
      <c r="I58" s="30">
        <v>5.4000000000000003E-3</v>
      </c>
    </row>
    <row r="59" spans="1:9" x14ac:dyDescent="0.35">
      <c r="A59" s="28">
        <v>45519</v>
      </c>
      <c r="B59" t="s">
        <v>633</v>
      </c>
      <c r="C59" t="s">
        <v>545</v>
      </c>
      <c r="D59" s="1">
        <v>15326</v>
      </c>
      <c r="E59" s="1">
        <v>7208</v>
      </c>
      <c r="F59" s="3">
        <v>0.4703</v>
      </c>
      <c r="G59">
        <v>232</v>
      </c>
      <c r="H59" s="3">
        <v>3.2199999999999999E-2</v>
      </c>
      <c r="I59" s="30">
        <v>1.5100000000000001E-2</v>
      </c>
    </row>
    <row r="60" spans="1:9" ht="16" thickBot="1" x14ac:dyDescent="0.4">
      <c r="A60" s="36" t="s">
        <v>35</v>
      </c>
      <c r="B60" s="4"/>
      <c r="C60" s="4"/>
      <c r="D60" s="33">
        <f>SUM(D55:D59)</f>
        <v>1346182</v>
      </c>
      <c r="E60" s="33">
        <f>SUM(E55:E59)</f>
        <v>443487</v>
      </c>
      <c r="F60" s="34">
        <f>AVERAGE(F55:F59)</f>
        <v>0.35948000000000002</v>
      </c>
      <c r="G60" s="33">
        <f>SUM(G55:G59)</f>
        <v>4715</v>
      </c>
      <c r="H60" s="34">
        <f>AVERAGE(H55:H59)</f>
        <v>1.6099999999999996E-2</v>
      </c>
      <c r="I60" s="35">
        <f>AVERAGE(I55:I59)</f>
        <v>6.2599999999999999E-3</v>
      </c>
    </row>
  </sheetData>
  <mergeCells count="3">
    <mergeCell ref="A27:I27"/>
    <mergeCell ref="A38:I38"/>
    <mergeCell ref="A53:I53"/>
  </mergeCells>
  <phoneticPr fontId="6" type="noConversion"/>
  <pageMargins left="0.7" right="0.7" top="0.75" bottom="0.75" header="0.3" footer="0.3"/>
  <ignoredErrors>
    <ignoredError sqref="F26:G26 F60:G60 F37:G37 F52" formula="1"/>
  </ignoredErrors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7DB1-D112-4DEE-B91C-E5E2C963DBE1}">
  <dimension ref="A1:I78"/>
  <sheetViews>
    <sheetView topLeftCell="A33" workbookViewId="0">
      <selection activeCell="L28" sqref="L28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45520</v>
      </c>
      <c r="B2" t="s">
        <v>638</v>
      </c>
      <c r="C2" t="s">
        <v>10</v>
      </c>
      <c r="D2" s="1">
        <v>394317</v>
      </c>
      <c r="E2" s="1">
        <v>137127</v>
      </c>
      <c r="F2" s="2">
        <v>0.34775827570203699</v>
      </c>
      <c r="G2" s="1">
        <v>3707</v>
      </c>
      <c r="H2" s="2">
        <v>2.7033334062584301E-2</v>
      </c>
      <c r="I2" s="2">
        <v>9.4010656400814602E-3</v>
      </c>
    </row>
    <row r="3" spans="1:9" x14ac:dyDescent="0.35">
      <c r="A3" s="19">
        <v>45520</v>
      </c>
      <c r="B3" t="s">
        <v>638</v>
      </c>
      <c r="C3" t="s">
        <v>11</v>
      </c>
      <c r="D3" s="1">
        <v>21906</v>
      </c>
      <c r="E3" s="1">
        <v>7065</v>
      </c>
      <c r="F3" s="2">
        <v>0.32251437962202101</v>
      </c>
      <c r="G3" s="1">
        <v>359</v>
      </c>
      <c r="H3" s="2">
        <v>5.0813871196036801E-2</v>
      </c>
      <c r="I3" s="2">
        <v>1.6388204144983098E-2</v>
      </c>
    </row>
    <row r="4" spans="1:9" ht="15" customHeight="1" x14ac:dyDescent="0.35">
      <c r="A4" s="19">
        <v>45520</v>
      </c>
      <c r="B4" t="s">
        <v>639</v>
      </c>
      <c r="C4" t="s">
        <v>85</v>
      </c>
      <c r="D4" s="1">
        <v>1032</v>
      </c>
      <c r="E4" s="1">
        <v>374</v>
      </c>
      <c r="F4" s="2">
        <v>0.362403100775194</v>
      </c>
      <c r="G4" s="1">
        <v>10</v>
      </c>
      <c r="H4" s="2">
        <v>2.6737967914438499E-2</v>
      </c>
      <c r="I4" s="2">
        <v>9.6899224806201497E-3</v>
      </c>
    </row>
    <row r="5" spans="1:9" ht="15" customHeight="1" x14ac:dyDescent="0.35">
      <c r="A5" s="19">
        <v>45520</v>
      </c>
      <c r="B5" t="s">
        <v>639</v>
      </c>
      <c r="C5" t="s">
        <v>73</v>
      </c>
      <c r="D5" s="1">
        <v>20526</v>
      </c>
      <c r="E5" s="1">
        <v>7521</v>
      </c>
      <c r="F5" s="2">
        <v>0.36641332943583699</v>
      </c>
      <c r="G5" s="1">
        <v>248</v>
      </c>
      <c r="H5" s="2">
        <v>3.2974338518813998E-2</v>
      </c>
      <c r="I5" s="2">
        <v>1.2082237162622999E-2</v>
      </c>
    </row>
    <row r="6" spans="1:9" x14ac:dyDescent="0.35">
      <c r="A6" s="19">
        <v>45520</v>
      </c>
      <c r="B6" t="s">
        <v>640</v>
      </c>
      <c r="C6" t="s">
        <v>10</v>
      </c>
      <c r="D6" s="1">
        <v>4367175</v>
      </c>
      <c r="E6" s="1">
        <v>1432182</v>
      </c>
      <c r="F6" s="2">
        <v>0.32794243418227997</v>
      </c>
      <c r="G6" s="1">
        <v>17270</v>
      </c>
      <c r="H6" s="2">
        <v>1.20585232882413E-2</v>
      </c>
      <c r="I6" s="2">
        <v>3.9545014797895701E-3</v>
      </c>
    </row>
    <row r="7" spans="1:9" x14ac:dyDescent="0.35">
      <c r="A7" s="19">
        <v>45520</v>
      </c>
      <c r="B7" t="s">
        <v>640</v>
      </c>
      <c r="C7" t="s">
        <v>11</v>
      </c>
      <c r="D7" s="1">
        <v>281198</v>
      </c>
      <c r="E7" s="1">
        <v>80870</v>
      </c>
      <c r="F7" s="2">
        <v>0.28759095014900499</v>
      </c>
      <c r="G7" s="1">
        <v>1383</v>
      </c>
      <c r="H7" s="2">
        <v>1.7101520959564701E-2</v>
      </c>
      <c r="I7" s="2">
        <v>4.9182426617543499E-3</v>
      </c>
    </row>
    <row r="8" spans="1:9" x14ac:dyDescent="0.35">
      <c r="A8" s="19">
        <v>45520</v>
      </c>
      <c r="B8" t="s">
        <v>640</v>
      </c>
      <c r="C8" t="s">
        <v>528</v>
      </c>
      <c r="D8" s="1">
        <v>240903</v>
      </c>
      <c r="E8" s="1">
        <v>88690</v>
      </c>
      <c r="F8" s="2">
        <v>0.36815647791849798</v>
      </c>
      <c r="G8" s="1">
        <v>843</v>
      </c>
      <c r="H8" s="2">
        <v>9.5050174766038997E-3</v>
      </c>
      <c r="I8" s="2">
        <v>3.4993337567402602E-3</v>
      </c>
    </row>
    <row r="9" spans="1:9" x14ac:dyDescent="0.35">
      <c r="A9" s="19">
        <v>45520</v>
      </c>
      <c r="B9" t="s">
        <v>640</v>
      </c>
      <c r="C9" t="s">
        <v>529</v>
      </c>
      <c r="D9" s="1">
        <v>15171</v>
      </c>
      <c r="E9" s="1">
        <v>5189</v>
      </c>
      <c r="F9" s="2">
        <v>0.34203414409069899</v>
      </c>
      <c r="G9" s="1">
        <v>74</v>
      </c>
      <c r="H9" s="2">
        <v>1.42609365966468E-2</v>
      </c>
      <c r="I9" s="2">
        <v>4.8777272427657998E-3</v>
      </c>
    </row>
    <row r="10" spans="1:9" ht="15" customHeight="1" x14ac:dyDescent="0.35">
      <c r="A10" s="19">
        <v>45521</v>
      </c>
      <c r="B10" t="s">
        <v>641</v>
      </c>
      <c r="C10" t="s">
        <v>10</v>
      </c>
      <c r="D10" s="1">
        <v>1261820</v>
      </c>
      <c r="E10" s="1">
        <v>350472</v>
      </c>
      <c r="F10" s="2">
        <v>0.27775118479656402</v>
      </c>
      <c r="G10" s="1">
        <v>6095</v>
      </c>
      <c r="H10" s="2">
        <v>1.7390832933871999E-2</v>
      </c>
      <c r="I10" s="2">
        <v>4.8303244519820598E-3</v>
      </c>
    </row>
    <row r="11" spans="1:9" ht="15" customHeight="1" x14ac:dyDescent="0.35">
      <c r="A11" s="19">
        <v>45521</v>
      </c>
      <c r="B11" t="s">
        <v>641</v>
      </c>
      <c r="C11" t="s">
        <v>11</v>
      </c>
      <c r="D11" s="1">
        <v>94044</v>
      </c>
      <c r="E11" s="1">
        <v>24014</v>
      </c>
      <c r="F11" s="2">
        <v>0.25534856024839397</v>
      </c>
      <c r="G11" s="1">
        <v>696</v>
      </c>
      <c r="H11" s="2">
        <v>2.8983093195635901E-2</v>
      </c>
      <c r="I11" s="2">
        <v>7.4007911190506603E-3</v>
      </c>
    </row>
    <row r="12" spans="1:9" ht="15" customHeight="1" x14ac:dyDescent="0.35">
      <c r="A12" s="19">
        <v>45523</v>
      </c>
      <c r="B12" t="s">
        <v>642</v>
      </c>
      <c r="C12" t="s">
        <v>10</v>
      </c>
      <c r="D12" s="1">
        <v>6318255</v>
      </c>
      <c r="E12" s="1">
        <v>2161418</v>
      </c>
      <c r="F12" s="2">
        <v>0.34209097290312002</v>
      </c>
      <c r="G12" s="1">
        <v>15272</v>
      </c>
      <c r="H12" s="2">
        <v>7.0657318482588698E-3</v>
      </c>
      <c r="I12" s="2">
        <v>2.4171230822434401E-3</v>
      </c>
    </row>
    <row r="13" spans="1:9" ht="15" customHeight="1" x14ac:dyDescent="0.35">
      <c r="A13" s="19">
        <v>45523</v>
      </c>
      <c r="B13" t="s">
        <v>642</v>
      </c>
      <c r="C13" t="s">
        <v>11</v>
      </c>
      <c r="D13" s="1">
        <v>419502</v>
      </c>
      <c r="E13" s="1">
        <v>139542</v>
      </c>
      <c r="F13" s="2">
        <v>0.33263726990574499</v>
      </c>
      <c r="G13" s="1">
        <v>1627</v>
      </c>
      <c r="H13" s="2">
        <v>1.1659572028493201E-2</v>
      </c>
      <c r="I13" s="2">
        <v>3.8784082078273802E-3</v>
      </c>
    </row>
    <row r="14" spans="1:9" x14ac:dyDescent="0.35">
      <c r="A14" s="19">
        <v>45524</v>
      </c>
      <c r="B14" t="s">
        <v>643</v>
      </c>
      <c r="C14" t="s">
        <v>10</v>
      </c>
      <c r="D14" s="1">
        <v>1385818</v>
      </c>
      <c r="E14" s="1">
        <v>418347</v>
      </c>
      <c r="F14" s="2">
        <v>0.301877302791564</v>
      </c>
      <c r="G14" s="1">
        <v>9406</v>
      </c>
      <c r="H14" s="2">
        <v>2.2483727623240999E-2</v>
      </c>
      <c r="I14" s="2">
        <v>6.7873270516041802E-3</v>
      </c>
    </row>
    <row r="15" spans="1:9" x14ac:dyDescent="0.35">
      <c r="A15" s="19">
        <v>45524</v>
      </c>
      <c r="B15" t="s">
        <v>643</v>
      </c>
      <c r="C15" t="s">
        <v>11</v>
      </c>
      <c r="D15" s="1">
        <v>93837</v>
      </c>
      <c r="E15" s="1">
        <v>29059</v>
      </c>
      <c r="F15" s="2">
        <v>0.30967528799940303</v>
      </c>
      <c r="G15" s="1">
        <v>1076</v>
      </c>
      <c r="H15" s="2">
        <v>3.7028115213875203E-2</v>
      </c>
      <c r="I15" s="2">
        <v>1.1466692242931901E-2</v>
      </c>
    </row>
    <row r="16" spans="1:9" ht="15" customHeight="1" x14ac:dyDescent="0.35">
      <c r="A16" s="19">
        <v>45524</v>
      </c>
      <c r="B16" t="s">
        <v>644</v>
      </c>
      <c r="C16" t="s">
        <v>10</v>
      </c>
      <c r="D16" s="1">
        <v>206562</v>
      </c>
      <c r="E16" s="1">
        <v>67646</v>
      </c>
      <c r="F16" s="2">
        <v>0.32748521025164401</v>
      </c>
      <c r="G16" s="1">
        <v>1097</v>
      </c>
      <c r="H16" s="2">
        <v>1.6216775566921901E-2</v>
      </c>
      <c r="I16" s="2">
        <v>5.3107541561371397E-3</v>
      </c>
    </row>
    <row r="17" spans="1:9" ht="15" customHeight="1" x14ac:dyDescent="0.35">
      <c r="A17" s="19">
        <v>45524</v>
      </c>
      <c r="B17" t="s">
        <v>645</v>
      </c>
      <c r="C17" t="s">
        <v>10</v>
      </c>
      <c r="D17" s="1">
        <v>6496406</v>
      </c>
      <c r="E17" s="1">
        <v>2169911</v>
      </c>
      <c r="F17" s="2">
        <v>0.33401714732730697</v>
      </c>
      <c r="G17" s="1">
        <v>11436</v>
      </c>
      <c r="H17" s="2">
        <v>5.2702622365617801E-3</v>
      </c>
      <c r="I17" s="2">
        <v>1.7603579579231999E-3</v>
      </c>
    </row>
    <row r="18" spans="1:9" ht="15" customHeight="1" x14ac:dyDescent="0.35">
      <c r="A18" s="19">
        <v>45524</v>
      </c>
      <c r="B18" t="s">
        <v>645</v>
      </c>
      <c r="C18" t="s">
        <v>11</v>
      </c>
      <c r="D18" s="1">
        <v>419326</v>
      </c>
      <c r="E18" s="1">
        <v>132774</v>
      </c>
      <c r="F18" s="2">
        <v>0.31663669793907401</v>
      </c>
      <c r="G18" s="1">
        <v>1158</v>
      </c>
      <c r="H18" s="2">
        <v>8.7215870577070798E-3</v>
      </c>
      <c r="I18" s="2">
        <v>2.7615745267405298E-3</v>
      </c>
    </row>
    <row r="19" spans="1:9" ht="15" customHeight="1" x14ac:dyDescent="0.35">
      <c r="A19" s="19">
        <v>45524</v>
      </c>
      <c r="B19" t="s">
        <v>646</v>
      </c>
      <c r="C19" t="s">
        <v>316</v>
      </c>
      <c r="D19" s="1">
        <v>801</v>
      </c>
      <c r="E19" s="1">
        <v>217</v>
      </c>
      <c r="F19" s="2">
        <v>0.27091136079900102</v>
      </c>
      <c r="G19" s="1">
        <v>28</v>
      </c>
      <c r="H19" s="2">
        <v>0.12903225806451599</v>
      </c>
      <c r="I19" s="2">
        <v>3.4956304619225997E-2</v>
      </c>
    </row>
    <row r="20" spans="1:9" ht="15" customHeight="1" x14ac:dyDescent="0.35">
      <c r="A20" s="19">
        <v>45525</v>
      </c>
      <c r="B20" t="s">
        <v>647</v>
      </c>
      <c r="C20" t="s">
        <v>10</v>
      </c>
      <c r="D20" s="1">
        <v>227740</v>
      </c>
      <c r="E20" s="1">
        <v>76195</v>
      </c>
      <c r="F20" s="2">
        <v>0.33457012382541501</v>
      </c>
      <c r="G20" s="1">
        <v>950</v>
      </c>
      <c r="H20" s="2">
        <v>1.2468009711923401E-2</v>
      </c>
      <c r="I20" s="2">
        <v>4.1714235531746698E-3</v>
      </c>
    </row>
    <row r="21" spans="1:9" ht="15" customHeight="1" x14ac:dyDescent="0.35">
      <c r="A21" s="19">
        <v>45525</v>
      </c>
      <c r="B21" t="s">
        <v>647</v>
      </c>
      <c r="C21" t="s">
        <v>11</v>
      </c>
      <c r="D21" s="1">
        <v>9897</v>
      </c>
      <c r="E21" s="1">
        <v>3156</v>
      </c>
      <c r="F21" s="2">
        <v>0.31888451045771399</v>
      </c>
      <c r="G21" s="1">
        <v>66</v>
      </c>
      <c r="H21" s="2">
        <v>2.0912547528517102E-2</v>
      </c>
      <c r="I21" s="2">
        <v>6.6686874810548604E-3</v>
      </c>
    </row>
    <row r="22" spans="1:9" ht="15" customHeight="1" x14ac:dyDescent="0.35">
      <c r="A22" s="19">
        <v>45525</v>
      </c>
      <c r="B22" t="s">
        <v>648</v>
      </c>
      <c r="C22" t="s">
        <v>10</v>
      </c>
      <c r="D22" s="1">
        <v>136083</v>
      </c>
      <c r="E22" s="1">
        <v>61539</v>
      </c>
      <c r="F22" s="2">
        <v>0.45221666189017001</v>
      </c>
      <c r="G22" s="1">
        <v>1919</v>
      </c>
      <c r="H22" s="2">
        <v>3.1183477144574999E-2</v>
      </c>
      <c r="I22" s="2">
        <v>1.41016879404481E-2</v>
      </c>
    </row>
    <row r="23" spans="1:9" ht="15" customHeight="1" x14ac:dyDescent="0.35">
      <c r="A23" s="19">
        <v>45525</v>
      </c>
      <c r="B23" t="s">
        <v>648</v>
      </c>
      <c r="C23" t="s">
        <v>11</v>
      </c>
      <c r="D23" s="1">
        <v>7412</v>
      </c>
      <c r="E23" s="1">
        <v>3541</v>
      </c>
      <c r="F23" s="2">
        <v>0.477738801942795</v>
      </c>
      <c r="G23" s="1">
        <v>162</v>
      </c>
      <c r="H23" s="2">
        <v>4.5749788195425002E-2</v>
      </c>
      <c r="I23" s="2">
        <v>2.1856449001619E-2</v>
      </c>
    </row>
    <row r="24" spans="1:9" x14ac:dyDescent="0.35">
      <c r="A24" s="19">
        <v>45525</v>
      </c>
      <c r="B24" t="s">
        <v>649</v>
      </c>
      <c r="C24" t="s">
        <v>10</v>
      </c>
      <c r="D24" s="1">
        <v>93273</v>
      </c>
      <c r="E24" s="1">
        <v>38793</v>
      </c>
      <c r="F24" s="2">
        <v>0.41590814061947201</v>
      </c>
      <c r="G24" s="1">
        <v>1789</v>
      </c>
      <c r="H24" s="2">
        <v>4.6116567421957598E-2</v>
      </c>
      <c r="I24" s="2">
        <v>1.9180255808218898E-2</v>
      </c>
    </row>
    <row r="25" spans="1:9" x14ac:dyDescent="0.35">
      <c r="A25" s="19">
        <v>45526</v>
      </c>
      <c r="B25" t="s">
        <v>631</v>
      </c>
      <c r="C25" t="s">
        <v>234</v>
      </c>
      <c r="D25" s="1">
        <v>280609</v>
      </c>
      <c r="E25" s="1">
        <v>108823</v>
      </c>
      <c r="F25" s="3">
        <v>0.38779999999999998</v>
      </c>
      <c r="G25" s="1">
        <v>1064</v>
      </c>
      <c r="H25" s="3">
        <v>9.7999999999999997E-3</v>
      </c>
      <c r="I25" s="3">
        <v>3.8E-3</v>
      </c>
    </row>
    <row r="26" spans="1:9" x14ac:dyDescent="0.35">
      <c r="A26" s="19">
        <v>45526</v>
      </c>
      <c r="B26" t="s">
        <v>632</v>
      </c>
      <c r="C26" t="s">
        <v>235</v>
      </c>
      <c r="D26" s="1">
        <v>15835</v>
      </c>
      <c r="E26" s="1">
        <v>5577</v>
      </c>
      <c r="F26" s="3">
        <v>0.35220000000000001</v>
      </c>
      <c r="G26">
        <v>64</v>
      </c>
      <c r="H26" s="3">
        <v>1.15E-2</v>
      </c>
      <c r="I26" s="3">
        <v>4.0000000000000001E-3</v>
      </c>
    </row>
    <row r="27" spans="1:9" x14ac:dyDescent="0.35">
      <c r="A27" s="19">
        <v>45526</v>
      </c>
      <c r="B27" t="s">
        <v>633</v>
      </c>
      <c r="C27" t="s">
        <v>235</v>
      </c>
      <c r="D27" s="1">
        <v>13941</v>
      </c>
      <c r="E27" s="1">
        <v>6734</v>
      </c>
      <c r="F27" s="3">
        <v>0.48299999999999998</v>
      </c>
      <c r="G27">
        <v>167</v>
      </c>
      <c r="H27" s="3">
        <v>2.4799999999999999E-2</v>
      </c>
      <c r="I27" s="3">
        <v>1.2E-2</v>
      </c>
    </row>
    <row r="28" spans="1:9" x14ac:dyDescent="0.35">
      <c r="A28" s="19">
        <v>45526</v>
      </c>
      <c r="B28" t="s">
        <v>650</v>
      </c>
      <c r="C28" t="s">
        <v>10</v>
      </c>
      <c r="D28" s="1">
        <v>233102</v>
      </c>
      <c r="E28" s="1">
        <v>76368</v>
      </c>
      <c r="F28" s="2">
        <v>0.32761623666892598</v>
      </c>
      <c r="G28" s="1">
        <v>1765</v>
      </c>
      <c r="H28" s="2">
        <v>2.3111774565262901E-2</v>
      </c>
      <c r="I28" s="2">
        <v>7.5717926058120498E-3</v>
      </c>
    </row>
    <row r="29" spans="1:9" x14ac:dyDescent="0.35">
      <c r="A29" s="19">
        <v>45526</v>
      </c>
      <c r="B29" t="s">
        <v>651</v>
      </c>
      <c r="C29" t="s">
        <v>10</v>
      </c>
      <c r="D29" s="1">
        <v>137837</v>
      </c>
      <c r="E29" s="1">
        <v>72341</v>
      </c>
      <c r="F29" s="2">
        <v>0.524830052888557</v>
      </c>
      <c r="G29" s="1">
        <v>8390</v>
      </c>
      <c r="H29" s="2">
        <v>0.115978490759044</v>
      </c>
      <c r="I29" s="2">
        <v>6.0868997439004001E-2</v>
      </c>
    </row>
    <row r="30" spans="1:9" x14ac:dyDescent="0.35">
      <c r="A30" s="19">
        <v>45526</v>
      </c>
      <c r="B30" t="s">
        <v>651</v>
      </c>
      <c r="C30" t="s">
        <v>11</v>
      </c>
      <c r="D30" s="1">
        <v>6237</v>
      </c>
      <c r="E30" s="1">
        <v>3962</v>
      </c>
      <c r="F30" s="2">
        <v>0.63524130190796901</v>
      </c>
      <c r="G30" s="1">
        <v>504</v>
      </c>
      <c r="H30" s="2">
        <v>0.12720848056537101</v>
      </c>
      <c r="I30" s="2">
        <v>8.0808080808080801E-2</v>
      </c>
    </row>
    <row r="31" spans="1:9" x14ac:dyDescent="0.35">
      <c r="A31" s="19">
        <v>45526</v>
      </c>
      <c r="B31" t="s">
        <v>652</v>
      </c>
      <c r="C31" t="s">
        <v>10</v>
      </c>
      <c r="D31" s="1">
        <v>41551</v>
      </c>
      <c r="E31" s="1">
        <v>20003</v>
      </c>
      <c r="F31" s="2">
        <v>0.481408389689779</v>
      </c>
      <c r="G31" s="1">
        <v>1199</v>
      </c>
      <c r="H31" s="2">
        <v>5.9941008848672699E-2</v>
      </c>
      <c r="I31" s="2">
        <v>2.8856104546220299E-2</v>
      </c>
    </row>
    <row r="32" spans="1:9" x14ac:dyDescent="0.35">
      <c r="A32" s="19">
        <v>45526</v>
      </c>
      <c r="B32" t="s">
        <v>653</v>
      </c>
      <c r="C32" t="s">
        <v>654</v>
      </c>
      <c r="D32" s="1">
        <v>975125</v>
      </c>
      <c r="E32" s="1">
        <v>346274</v>
      </c>
      <c r="F32" s="2">
        <v>0.35510729393667501</v>
      </c>
      <c r="G32" s="1">
        <v>3494</v>
      </c>
      <c r="H32" s="2">
        <v>1.00902753310962E-2</v>
      </c>
      <c r="I32" s="2">
        <v>3.5831303679015498E-3</v>
      </c>
    </row>
    <row r="33" spans="1:9" x14ac:dyDescent="0.35">
      <c r="A33" s="19">
        <v>45526</v>
      </c>
      <c r="B33" t="s">
        <v>653</v>
      </c>
      <c r="C33" t="s">
        <v>618</v>
      </c>
      <c r="D33" s="1">
        <v>325565</v>
      </c>
      <c r="E33" s="1">
        <v>121311</v>
      </c>
      <c r="F33" s="2">
        <v>0.37261683534778001</v>
      </c>
      <c r="G33" s="1">
        <v>1473</v>
      </c>
      <c r="H33" s="2">
        <v>1.21423448821624E-2</v>
      </c>
      <c r="I33" s="2">
        <v>4.5244421236926603E-3</v>
      </c>
    </row>
    <row r="34" spans="1:9" x14ac:dyDescent="0.35">
      <c r="A34" s="19">
        <v>45526</v>
      </c>
      <c r="B34" t="s">
        <v>653</v>
      </c>
      <c r="C34" t="s">
        <v>619</v>
      </c>
      <c r="D34" s="1">
        <v>67599</v>
      </c>
      <c r="E34" s="1">
        <v>26711</v>
      </c>
      <c r="F34" s="2">
        <v>0.39513898134587799</v>
      </c>
      <c r="G34" s="1">
        <v>442</v>
      </c>
      <c r="H34" s="2">
        <v>1.65474897982105E-2</v>
      </c>
      <c r="I34" s="2">
        <v>6.5385582626961902E-3</v>
      </c>
    </row>
    <row r="35" spans="1:9" ht="16" thickBot="1" x14ac:dyDescent="0.4">
      <c r="A35" s="37" t="s">
        <v>35</v>
      </c>
      <c r="D35" s="31">
        <f>SUM(D2:D34)</f>
        <v>24610405</v>
      </c>
      <c r="E35" s="31">
        <f>SUM(E2:E34)</f>
        <v>8223746</v>
      </c>
      <c r="F35" s="32">
        <f>AVERAGE(F2:F34)</f>
        <v>0.3668945884048036</v>
      </c>
      <c r="G35" s="31">
        <f>SUM(G2:G34)</f>
        <v>95233</v>
      </c>
      <c r="H35" s="32">
        <f>AVERAGE(H2:H34)</f>
        <v>3.1572355167703979E-2</v>
      </c>
      <c r="I35" s="32">
        <f>AVERAGE(I2:I34)</f>
        <v>1.2876075815846889E-2</v>
      </c>
    </row>
    <row r="36" spans="1:9" ht="15" thickBot="1" x14ac:dyDescent="0.4">
      <c r="A36" s="138" t="s">
        <v>302</v>
      </c>
      <c r="B36" s="138"/>
      <c r="C36" s="138"/>
      <c r="D36" s="138"/>
      <c r="E36" s="138"/>
      <c r="F36" s="138"/>
      <c r="G36" s="138"/>
      <c r="H36" s="138"/>
      <c r="I36" s="138"/>
    </row>
    <row r="37" spans="1:9" ht="15.5" x14ac:dyDescent="0.35">
      <c r="A37" s="38" t="s">
        <v>0</v>
      </c>
      <c r="B37" s="39" t="s">
        <v>1</v>
      </c>
      <c r="C37" s="39" t="s">
        <v>2</v>
      </c>
      <c r="D37" s="39" t="s">
        <v>3</v>
      </c>
      <c r="E37" s="39" t="s">
        <v>4</v>
      </c>
      <c r="F37" s="39" t="s">
        <v>5</v>
      </c>
      <c r="G37" s="39" t="s">
        <v>6</v>
      </c>
      <c r="H37" s="39" t="s">
        <v>7</v>
      </c>
      <c r="I37" s="40" t="s">
        <v>8</v>
      </c>
    </row>
    <row r="38" spans="1:9" x14ac:dyDescent="0.35">
      <c r="A38" s="5" t="s">
        <v>36</v>
      </c>
      <c r="B38" s="6"/>
      <c r="C38" s="6"/>
      <c r="D38" s="6"/>
      <c r="E38" s="6"/>
      <c r="F38" s="6"/>
      <c r="G38" s="6"/>
      <c r="H38" s="6"/>
      <c r="I38" s="7"/>
    </row>
    <row r="39" spans="1:9" x14ac:dyDescent="0.35">
      <c r="A39" s="8">
        <v>45520</v>
      </c>
      <c r="B39" t="s">
        <v>638</v>
      </c>
      <c r="C39" t="s">
        <v>10</v>
      </c>
      <c r="D39" s="1">
        <v>394317</v>
      </c>
      <c r="E39" s="1">
        <v>137127</v>
      </c>
      <c r="F39" s="2">
        <v>0.34775827570203699</v>
      </c>
      <c r="G39" s="1">
        <v>3707</v>
      </c>
      <c r="H39" s="2">
        <v>2.7033334062584301E-2</v>
      </c>
      <c r="I39" s="9">
        <v>9.4010656400814602E-3</v>
      </c>
    </row>
    <row r="40" spans="1:9" x14ac:dyDescent="0.35">
      <c r="A40" s="8">
        <v>45520</v>
      </c>
      <c r="B40" t="s">
        <v>638</v>
      </c>
      <c r="C40" t="s">
        <v>11</v>
      </c>
      <c r="D40" s="1">
        <v>21906</v>
      </c>
      <c r="E40" s="1">
        <v>7065</v>
      </c>
      <c r="F40" s="2">
        <v>0.32251437962202101</v>
      </c>
      <c r="G40" s="1">
        <v>359</v>
      </c>
      <c r="H40" s="2">
        <v>5.0813871196036801E-2</v>
      </c>
      <c r="I40" s="9">
        <v>1.6388204144983098E-2</v>
      </c>
    </row>
    <row r="41" spans="1:9" x14ac:dyDescent="0.35">
      <c r="A41" s="8">
        <v>45520</v>
      </c>
      <c r="B41" t="s">
        <v>640</v>
      </c>
      <c r="C41" t="s">
        <v>10</v>
      </c>
      <c r="D41" s="1">
        <v>4367175</v>
      </c>
      <c r="E41" s="1">
        <v>1432182</v>
      </c>
      <c r="F41" s="2">
        <v>0.32794243418227997</v>
      </c>
      <c r="G41" s="1">
        <v>17270</v>
      </c>
      <c r="H41" s="2">
        <v>1.20585232882413E-2</v>
      </c>
      <c r="I41" s="9">
        <v>3.9545014797895701E-3</v>
      </c>
    </row>
    <row r="42" spans="1:9" x14ac:dyDescent="0.35">
      <c r="A42" s="8">
        <v>45520</v>
      </c>
      <c r="B42" t="s">
        <v>640</v>
      </c>
      <c r="C42" t="s">
        <v>11</v>
      </c>
      <c r="D42" s="1">
        <v>281198</v>
      </c>
      <c r="E42" s="1">
        <v>80870</v>
      </c>
      <c r="F42" s="2">
        <v>0.28759095014900499</v>
      </c>
      <c r="G42" s="1">
        <v>1383</v>
      </c>
      <c r="H42" s="2">
        <v>1.7101520959564701E-2</v>
      </c>
      <c r="I42" s="9">
        <v>4.9182426617543499E-3</v>
      </c>
    </row>
    <row r="43" spans="1:9" x14ac:dyDescent="0.35">
      <c r="A43" s="8">
        <v>45520</v>
      </c>
      <c r="B43" t="s">
        <v>640</v>
      </c>
      <c r="C43" t="s">
        <v>528</v>
      </c>
      <c r="D43" s="1">
        <v>240903</v>
      </c>
      <c r="E43" s="1">
        <v>88690</v>
      </c>
      <c r="F43" s="2">
        <v>0.36815647791849798</v>
      </c>
      <c r="G43" s="1">
        <v>843</v>
      </c>
      <c r="H43" s="2">
        <v>9.5050174766038997E-3</v>
      </c>
      <c r="I43" s="9">
        <v>3.4993337567402602E-3</v>
      </c>
    </row>
    <row r="44" spans="1:9" x14ac:dyDescent="0.35">
      <c r="A44" s="8">
        <v>45520</v>
      </c>
      <c r="B44" t="s">
        <v>640</v>
      </c>
      <c r="C44" t="s">
        <v>529</v>
      </c>
      <c r="D44" s="1">
        <v>15171</v>
      </c>
      <c r="E44" s="1">
        <v>5189</v>
      </c>
      <c r="F44" s="2">
        <v>0.34203414409069899</v>
      </c>
      <c r="G44" s="1">
        <v>74</v>
      </c>
      <c r="H44" s="2">
        <v>1.42609365966468E-2</v>
      </c>
      <c r="I44" s="9">
        <v>4.8777272427657998E-3</v>
      </c>
    </row>
    <row r="45" spans="1:9" x14ac:dyDescent="0.35">
      <c r="A45" s="8">
        <v>45524</v>
      </c>
      <c r="B45" t="s">
        <v>643</v>
      </c>
      <c r="C45" t="s">
        <v>10</v>
      </c>
      <c r="D45" s="1">
        <v>1385818</v>
      </c>
      <c r="E45" s="1">
        <v>418347</v>
      </c>
      <c r="F45" s="2">
        <v>0.301877302791564</v>
      </c>
      <c r="G45" s="1">
        <v>9406</v>
      </c>
      <c r="H45" s="2">
        <v>2.2483727623240999E-2</v>
      </c>
      <c r="I45" s="9">
        <v>6.7873270516041802E-3</v>
      </c>
    </row>
    <row r="46" spans="1:9" x14ac:dyDescent="0.35">
      <c r="A46" s="8">
        <v>45524</v>
      </c>
      <c r="B46" t="s">
        <v>643</v>
      </c>
      <c r="C46" t="s">
        <v>11</v>
      </c>
      <c r="D46" s="1">
        <v>93837</v>
      </c>
      <c r="E46" s="1">
        <v>29059</v>
      </c>
      <c r="F46" s="2">
        <v>0.30967528799940303</v>
      </c>
      <c r="G46" s="1">
        <v>1076</v>
      </c>
      <c r="H46" s="2">
        <v>3.7028115213875203E-2</v>
      </c>
      <c r="I46" s="9">
        <v>1.1466692242931901E-2</v>
      </c>
    </row>
    <row r="47" spans="1:9" ht="16" thickBot="1" x14ac:dyDescent="0.4">
      <c r="A47" s="36" t="s">
        <v>35</v>
      </c>
      <c r="B47" s="4"/>
      <c r="C47" s="4"/>
      <c r="D47" s="33">
        <f>SUM(D39:D46)</f>
        <v>6800325</v>
      </c>
      <c r="E47" s="33">
        <f>SUM(E39:E46)</f>
        <v>2198529</v>
      </c>
      <c r="F47" s="34">
        <f>AVERAGE(F39:F46)</f>
        <v>0.32594365655693835</v>
      </c>
      <c r="G47" s="33">
        <f>SUM(G39:G46)</f>
        <v>34118</v>
      </c>
      <c r="H47" s="34">
        <f>AVERAGE(H39:H46)</f>
        <v>2.378563080209925E-2</v>
      </c>
      <c r="I47" s="35">
        <f>AVERAGE(I39:I46)</f>
        <v>7.6616367775813269E-3</v>
      </c>
    </row>
    <row r="48" spans="1:9" ht="3" customHeight="1" thickBot="1" x14ac:dyDescent="0.4">
      <c r="A48" s="141"/>
      <c r="B48" s="142"/>
      <c r="C48" s="142"/>
      <c r="D48" s="142"/>
      <c r="E48" s="142"/>
      <c r="F48" s="142"/>
      <c r="G48" s="142"/>
      <c r="H48" s="142"/>
      <c r="I48" s="143"/>
    </row>
    <row r="49" spans="1:9" x14ac:dyDescent="0.35">
      <c r="A49" s="16" t="s">
        <v>37</v>
      </c>
      <c r="B49" s="17"/>
      <c r="C49" s="17"/>
      <c r="D49" s="17"/>
      <c r="E49" s="17"/>
      <c r="F49" s="17"/>
      <c r="G49" s="17"/>
      <c r="H49" s="17"/>
      <c r="I49" s="18"/>
    </row>
    <row r="50" spans="1:9" ht="15" customHeight="1" x14ac:dyDescent="0.35">
      <c r="A50" s="8">
        <v>45520</v>
      </c>
      <c r="B50" t="s">
        <v>639</v>
      </c>
      <c r="C50" t="s">
        <v>85</v>
      </c>
      <c r="D50" s="1">
        <v>1032</v>
      </c>
      <c r="E50" s="1">
        <v>374</v>
      </c>
      <c r="F50" s="2">
        <v>0.362403100775194</v>
      </c>
      <c r="G50" s="1">
        <v>10</v>
      </c>
      <c r="H50" s="2">
        <v>2.6737967914438499E-2</v>
      </c>
      <c r="I50" s="9">
        <v>9.6899224806201497E-3</v>
      </c>
    </row>
    <row r="51" spans="1:9" ht="15" customHeight="1" x14ac:dyDescent="0.35">
      <c r="A51" s="8">
        <v>45520</v>
      </c>
      <c r="B51" t="s">
        <v>639</v>
      </c>
      <c r="C51" t="s">
        <v>73</v>
      </c>
      <c r="D51" s="1">
        <v>20526</v>
      </c>
      <c r="E51" s="1">
        <v>7521</v>
      </c>
      <c r="F51" s="2">
        <v>0.36641332943583699</v>
      </c>
      <c r="G51" s="1">
        <v>248</v>
      </c>
      <c r="H51" s="2">
        <v>3.2974338518813998E-2</v>
      </c>
      <c r="I51" s="9">
        <v>1.2082237162622999E-2</v>
      </c>
    </row>
    <row r="52" spans="1:9" ht="15" customHeight="1" x14ac:dyDescent="0.35">
      <c r="A52" s="8">
        <v>45521</v>
      </c>
      <c r="B52" t="s">
        <v>641</v>
      </c>
      <c r="C52" t="s">
        <v>10</v>
      </c>
      <c r="D52" s="1">
        <v>1261820</v>
      </c>
      <c r="E52" s="1">
        <v>350472</v>
      </c>
      <c r="F52" s="2">
        <v>0.27775118479656402</v>
      </c>
      <c r="G52" s="1">
        <v>6095</v>
      </c>
      <c r="H52" s="2">
        <v>1.7390832933871999E-2</v>
      </c>
      <c r="I52" s="9">
        <v>4.8303244519820598E-3</v>
      </c>
    </row>
    <row r="53" spans="1:9" ht="15" customHeight="1" x14ac:dyDescent="0.35">
      <c r="A53" s="8">
        <v>45521</v>
      </c>
      <c r="B53" t="s">
        <v>641</v>
      </c>
      <c r="C53" t="s">
        <v>11</v>
      </c>
      <c r="D53" s="1">
        <v>94044</v>
      </c>
      <c r="E53" s="1">
        <v>24014</v>
      </c>
      <c r="F53" s="2">
        <v>0.25534856024839397</v>
      </c>
      <c r="G53" s="1">
        <v>696</v>
      </c>
      <c r="H53" s="2">
        <v>2.8983093195635901E-2</v>
      </c>
      <c r="I53" s="9">
        <v>7.4007911190506603E-3</v>
      </c>
    </row>
    <row r="54" spans="1:9" ht="15" customHeight="1" x14ac:dyDescent="0.35">
      <c r="A54" s="8">
        <v>45523</v>
      </c>
      <c r="B54" t="s">
        <v>642</v>
      </c>
      <c r="C54" t="s">
        <v>10</v>
      </c>
      <c r="D54" s="1">
        <v>6318255</v>
      </c>
      <c r="E54" s="1">
        <v>2161418</v>
      </c>
      <c r="F54" s="2">
        <v>0.34209097290312002</v>
      </c>
      <c r="G54" s="1">
        <v>15272</v>
      </c>
      <c r="H54" s="2">
        <v>7.0657318482588698E-3</v>
      </c>
      <c r="I54" s="9">
        <v>2.4171230822434401E-3</v>
      </c>
    </row>
    <row r="55" spans="1:9" ht="15" customHeight="1" x14ac:dyDescent="0.35">
      <c r="A55" s="8">
        <v>45523</v>
      </c>
      <c r="B55" t="s">
        <v>642</v>
      </c>
      <c r="C55" t="s">
        <v>11</v>
      </c>
      <c r="D55" s="1">
        <v>419502</v>
      </c>
      <c r="E55" s="1">
        <v>139542</v>
      </c>
      <c r="F55" s="2">
        <v>0.33263726990574499</v>
      </c>
      <c r="G55" s="1">
        <v>1627</v>
      </c>
      <c r="H55" s="2">
        <v>1.1659572028493201E-2</v>
      </c>
      <c r="I55" s="9">
        <v>3.8784082078273802E-3</v>
      </c>
    </row>
    <row r="56" spans="1:9" ht="15" customHeight="1" x14ac:dyDescent="0.35">
      <c r="A56" s="8">
        <v>45524</v>
      </c>
      <c r="B56" t="s">
        <v>644</v>
      </c>
      <c r="C56" t="s">
        <v>10</v>
      </c>
      <c r="D56" s="1">
        <v>206562</v>
      </c>
      <c r="E56" s="1">
        <v>67646</v>
      </c>
      <c r="F56" s="2">
        <v>0.32748521025164401</v>
      </c>
      <c r="G56" s="1">
        <v>1097</v>
      </c>
      <c r="H56" s="2">
        <v>1.6216775566921901E-2</v>
      </c>
      <c r="I56" s="9">
        <v>5.3107541561371397E-3</v>
      </c>
    </row>
    <row r="57" spans="1:9" ht="15" customHeight="1" x14ac:dyDescent="0.35">
      <c r="A57" s="8">
        <v>45524</v>
      </c>
      <c r="B57" t="s">
        <v>645</v>
      </c>
      <c r="C57" t="s">
        <v>10</v>
      </c>
      <c r="D57" s="1">
        <v>6496406</v>
      </c>
      <c r="E57" s="1">
        <v>2169911</v>
      </c>
      <c r="F57" s="2">
        <v>0.33401714732730697</v>
      </c>
      <c r="G57" s="1">
        <v>11436</v>
      </c>
      <c r="H57" s="2">
        <v>5.2702622365617801E-3</v>
      </c>
      <c r="I57" s="9">
        <v>1.7603579579231999E-3</v>
      </c>
    </row>
    <row r="58" spans="1:9" ht="15" customHeight="1" x14ac:dyDescent="0.35">
      <c r="A58" s="8">
        <v>45524</v>
      </c>
      <c r="B58" t="s">
        <v>645</v>
      </c>
      <c r="C58" t="s">
        <v>11</v>
      </c>
      <c r="D58" s="1">
        <v>419326</v>
      </c>
      <c r="E58" s="1">
        <v>132774</v>
      </c>
      <c r="F58" s="2">
        <v>0.31663669793907401</v>
      </c>
      <c r="G58" s="1">
        <v>1158</v>
      </c>
      <c r="H58" s="2">
        <v>8.7215870577070798E-3</v>
      </c>
      <c r="I58" s="9">
        <v>2.7615745267405298E-3</v>
      </c>
    </row>
    <row r="59" spans="1:9" ht="15" customHeight="1" x14ac:dyDescent="0.35">
      <c r="A59" s="8">
        <v>45524</v>
      </c>
      <c r="B59" t="s">
        <v>646</v>
      </c>
      <c r="C59" t="s">
        <v>316</v>
      </c>
      <c r="D59" s="1">
        <v>801</v>
      </c>
      <c r="E59" s="1">
        <v>217</v>
      </c>
      <c r="F59" s="2">
        <v>0.27091136079900102</v>
      </c>
      <c r="G59" s="1">
        <v>28</v>
      </c>
      <c r="H59" s="2">
        <v>0.12903225806451599</v>
      </c>
      <c r="I59" s="9">
        <v>3.4956304619225997E-2</v>
      </c>
    </row>
    <row r="60" spans="1:9" ht="15" customHeight="1" x14ac:dyDescent="0.35">
      <c r="A60" s="8">
        <v>45525</v>
      </c>
      <c r="B60" t="s">
        <v>647</v>
      </c>
      <c r="C60" t="s">
        <v>10</v>
      </c>
      <c r="D60" s="1">
        <v>227740</v>
      </c>
      <c r="E60" s="1">
        <v>76195</v>
      </c>
      <c r="F60" s="2">
        <v>0.33457012382541501</v>
      </c>
      <c r="G60" s="1">
        <v>950</v>
      </c>
      <c r="H60" s="2">
        <v>1.2468009711923401E-2</v>
      </c>
      <c r="I60" s="9">
        <v>4.1714235531746698E-3</v>
      </c>
    </row>
    <row r="61" spans="1:9" ht="15" customHeight="1" x14ac:dyDescent="0.35">
      <c r="A61" s="8">
        <v>45525</v>
      </c>
      <c r="B61" t="s">
        <v>647</v>
      </c>
      <c r="C61" t="s">
        <v>11</v>
      </c>
      <c r="D61" s="1">
        <v>9897</v>
      </c>
      <c r="E61" s="1">
        <v>3156</v>
      </c>
      <c r="F61" s="2">
        <v>0.31888451045771399</v>
      </c>
      <c r="G61" s="1">
        <v>66</v>
      </c>
      <c r="H61" s="2">
        <v>2.0912547528517102E-2</v>
      </c>
      <c r="I61" s="9">
        <v>6.6686874810548604E-3</v>
      </c>
    </row>
    <row r="62" spans="1:9" ht="15" customHeight="1" x14ac:dyDescent="0.35">
      <c r="A62" s="8">
        <v>45525</v>
      </c>
      <c r="B62" t="s">
        <v>648</v>
      </c>
      <c r="C62" t="s">
        <v>10</v>
      </c>
      <c r="D62" s="1">
        <v>136083</v>
      </c>
      <c r="E62" s="1">
        <v>61539</v>
      </c>
      <c r="F62" s="2">
        <v>0.45221666189017001</v>
      </c>
      <c r="G62" s="1">
        <v>1919</v>
      </c>
      <c r="H62" s="2">
        <v>3.1183477144574999E-2</v>
      </c>
      <c r="I62" s="9">
        <v>1.41016879404481E-2</v>
      </c>
    </row>
    <row r="63" spans="1:9" ht="15" customHeight="1" x14ac:dyDescent="0.35">
      <c r="A63" s="8">
        <v>45525</v>
      </c>
      <c r="B63" t="s">
        <v>648</v>
      </c>
      <c r="C63" t="s">
        <v>11</v>
      </c>
      <c r="D63" s="1">
        <v>7412</v>
      </c>
      <c r="E63" s="1">
        <v>3541</v>
      </c>
      <c r="F63" s="2">
        <v>0.477738801942795</v>
      </c>
      <c r="G63" s="1">
        <v>162</v>
      </c>
      <c r="H63" s="2">
        <v>4.5749788195425002E-2</v>
      </c>
      <c r="I63" s="9">
        <v>2.1856449001619E-2</v>
      </c>
    </row>
    <row r="64" spans="1:9" x14ac:dyDescent="0.35">
      <c r="A64" s="8">
        <v>45525</v>
      </c>
      <c r="B64" t="s">
        <v>649</v>
      </c>
      <c r="C64" t="s">
        <v>10</v>
      </c>
      <c r="D64" s="1">
        <v>93273</v>
      </c>
      <c r="E64" s="1">
        <v>38793</v>
      </c>
      <c r="F64" s="2">
        <v>0.41590814061947201</v>
      </c>
      <c r="G64" s="1">
        <v>1789</v>
      </c>
      <c r="H64" s="2">
        <v>4.6116567421957598E-2</v>
      </c>
      <c r="I64" s="9">
        <v>1.9180255808218898E-2</v>
      </c>
    </row>
    <row r="65" spans="1:9" x14ac:dyDescent="0.35">
      <c r="A65" s="8">
        <v>45526</v>
      </c>
      <c r="B65" t="s">
        <v>650</v>
      </c>
      <c r="C65" t="s">
        <v>10</v>
      </c>
      <c r="D65" s="1">
        <v>233102</v>
      </c>
      <c r="E65" s="1">
        <v>76368</v>
      </c>
      <c r="F65" s="2">
        <v>0.32761623666892598</v>
      </c>
      <c r="G65" s="1">
        <v>1765</v>
      </c>
      <c r="H65" s="2">
        <v>2.3111774565262901E-2</v>
      </c>
      <c r="I65" s="9">
        <v>7.5717926058120498E-3</v>
      </c>
    </row>
    <row r="66" spans="1:9" x14ac:dyDescent="0.35">
      <c r="A66" s="8">
        <v>45526</v>
      </c>
      <c r="B66" t="s">
        <v>651</v>
      </c>
      <c r="C66" t="s">
        <v>10</v>
      </c>
      <c r="D66" s="1">
        <v>137837</v>
      </c>
      <c r="E66" s="1">
        <v>72341</v>
      </c>
      <c r="F66" s="2">
        <v>0.524830052888557</v>
      </c>
      <c r="G66" s="1">
        <v>8390</v>
      </c>
      <c r="H66" s="2">
        <v>0.115978490759044</v>
      </c>
      <c r="I66" s="9">
        <v>6.0868997439004001E-2</v>
      </c>
    </row>
    <row r="67" spans="1:9" x14ac:dyDescent="0.35">
      <c r="A67" s="8">
        <v>45526</v>
      </c>
      <c r="B67" t="s">
        <v>651</v>
      </c>
      <c r="C67" t="s">
        <v>11</v>
      </c>
      <c r="D67" s="1">
        <v>6237</v>
      </c>
      <c r="E67" s="1">
        <v>3962</v>
      </c>
      <c r="F67" s="2">
        <v>0.63524130190796901</v>
      </c>
      <c r="G67" s="1">
        <v>504</v>
      </c>
      <c r="H67" s="2">
        <v>0.12720848056537101</v>
      </c>
      <c r="I67" s="9">
        <v>8.0808080808080801E-2</v>
      </c>
    </row>
    <row r="68" spans="1:9" x14ac:dyDescent="0.35">
      <c r="A68" s="8">
        <v>45526</v>
      </c>
      <c r="B68" t="s">
        <v>652</v>
      </c>
      <c r="C68" t="s">
        <v>10</v>
      </c>
      <c r="D68" s="1">
        <v>41551</v>
      </c>
      <c r="E68" s="1">
        <v>20003</v>
      </c>
      <c r="F68" s="2">
        <v>0.481408389689779</v>
      </c>
      <c r="G68" s="1">
        <v>1199</v>
      </c>
      <c r="H68" s="2">
        <v>5.9941008848672699E-2</v>
      </c>
      <c r="I68" s="9">
        <v>2.8856104546220299E-2</v>
      </c>
    </row>
    <row r="69" spans="1:9" x14ac:dyDescent="0.35">
      <c r="A69" s="8">
        <v>45526</v>
      </c>
      <c r="B69" t="s">
        <v>653</v>
      </c>
      <c r="C69" t="s">
        <v>654</v>
      </c>
      <c r="D69" s="1">
        <v>975125</v>
      </c>
      <c r="E69" s="1">
        <v>346274</v>
      </c>
      <c r="F69" s="2">
        <v>0.35510729393667501</v>
      </c>
      <c r="G69" s="1">
        <v>3494</v>
      </c>
      <c r="H69" s="2">
        <v>1.00902753310962E-2</v>
      </c>
      <c r="I69" s="9">
        <v>3.5831303679015498E-3</v>
      </c>
    </row>
    <row r="70" spans="1:9" x14ac:dyDescent="0.35">
      <c r="A70" s="8">
        <v>45526</v>
      </c>
      <c r="B70" t="s">
        <v>653</v>
      </c>
      <c r="C70" t="s">
        <v>618</v>
      </c>
      <c r="D70" s="1">
        <v>325565</v>
      </c>
      <c r="E70" s="1">
        <v>121311</v>
      </c>
      <c r="F70" s="2">
        <v>0.37261683534778001</v>
      </c>
      <c r="G70" s="1">
        <v>1473</v>
      </c>
      <c r="H70" s="2">
        <v>1.21423448821624E-2</v>
      </c>
      <c r="I70" s="9">
        <v>4.5244421236926603E-3</v>
      </c>
    </row>
    <row r="71" spans="1:9" x14ac:dyDescent="0.35">
      <c r="A71" s="8">
        <v>45526</v>
      </c>
      <c r="B71" t="s">
        <v>653</v>
      </c>
      <c r="C71" t="s">
        <v>619</v>
      </c>
      <c r="D71" s="1">
        <v>67599</v>
      </c>
      <c r="E71" s="1">
        <v>26711</v>
      </c>
      <c r="F71" s="2">
        <v>0.39513898134587799</v>
      </c>
      <c r="G71" s="1">
        <v>442</v>
      </c>
      <c r="H71" s="2">
        <v>1.65474897982105E-2</v>
      </c>
      <c r="I71" s="9">
        <v>6.5385582626961902E-3</v>
      </c>
    </row>
    <row r="72" spans="1:9" ht="16" thickBot="1" x14ac:dyDescent="0.4">
      <c r="A72" s="36" t="s">
        <v>35</v>
      </c>
      <c r="B72" s="4"/>
      <c r="C72" s="4"/>
      <c r="D72" s="33">
        <f>SUM(D50:D71)</f>
        <v>17499695</v>
      </c>
      <c r="E72" s="33">
        <f>SUM(E50:E71)</f>
        <v>5904083</v>
      </c>
      <c r="F72" s="34">
        <f>AVERAGE(F50:F71)</f>
        <v>0.37622600749559143</v>
      </c>
      <c r="G72" s="33">
        <f>SUM(G50:G71)</f>
        <v>59820</v>
      </c>
      <c r="H72" s="34">
        <f>AVERAGE(H50:H71)</f>
        <v>3.6613757914428953E-2</v>
      </c>
      <c r="I72" s="35">
        <f>AVERAGE(I50:I71)</f>
        <v>1.562806398646803E-2</v>
      </c>
    </row>
    <row r="73" spans="1:9" ht="3" customHeight="1" thickBot="1" x14ac:dyDescent="0.4">
      <c r="A73" s="139"/>
      <c r="B73" s="138"/>
      <c r="C73" s="138"/>
      <c r="D73" s="138"/>
      <c r="E73" s="138"/>
      <c r="F73" s="138"/>
      <c r="G73" s="138"/>
      <c r="H73" s="138"/>
      <c r="I73" s="140"/>
    </row>
    <row r="74" spans="1:9" x14ac:dyDescent="0.35">
      <c r="A74" s="16" t="s">
        <v>38</v>
      </c>
      <c r="B74" s="17"/>
      <c r="C74" s="17"/>
      <c r="D74" s="17"/>
      <c r="E74" s="17"/>
      <c r="F74" s="17"/>
      <c r="G74" s="17"/>
      <c r="H74" s="17"/>
      <c r="I74" s="18"/>
    </row>
    <row r="75" spans="1:9" x14ac:dyDescent="0.35">
      <c r="A75" s="28">
        <v>45526</v>
      </c>
      <c r="B75" t="s">
        <v>631</v>
      </c>
      <c r="C75" t="s">
        <v>234</v>
      </c>
      <c r="D75" s="1">
        <v>280609</v>
      </c>
      <c r="E75" s="1">
        <v>108823</v>
      </c>
      <c r="F75" s="3">
        <v>0.38779999999999998</v>
      </c>
      <c r="G75" s="1">
        <v>1064</v>
      </c>
      <c r="H75" s="3">
        <v>9.7999999999999997E-3</v>
      </c>
      <c r="I75" s="30">
        <v>3.8E-3</v>
      </c>
    </row>
    <row r="76" spans="1:9" x14ac:dyDescent="0.35">
      <c r="A76" s="28">
        <v>45526</v>
      </c>
      <c r="B76" t="s">
        <v>632</v>
      </c>
      <c r="C76" t="s">
        <v>235</v>
      </c>
      <c r="D76" s="1">
        <v>15835</v>
      </c>
      <c r="E76" s="1">
        <v>5577</v>
      </c>
      <c r="F76" s="3">
        <v>0.35220000000000001</v>
      </c>
      <c r="G76">
        <v>64</v>
      </c>
      <c r="H76" s="3">
        <v>1.15E-2</v>
      </c>
      <c r="I76" s="30">
        <v>4.0000000000000001E-3</v>
      </c>
    </row>
    <row r="77" spans="1:9" x14ac:dyDescent="0.35">
      <c r="A77" s="28">
        <v>45526</v>
      </c>
      <c r="B77" t="s">
        <v>633</v>
      </c>
      <c r="C77" t="s">
        <v>235</v>
      </c>
      <c r="D77" s="1">
        <v>13941</v>
      </c>
      <c r="E77" s="1">
        <v>6734</v>
      </c>
      <c r="F77" s="3">
        <v>0.48299999999999998</v>
      </c>
      <c r="G77">
        <v>167</v>
      </c>
      <c r="H77" s="3">
        <v>2.4799999999999999E-2</v>
      </c>
      <c r="I77" s="30">
        <v>1.2E-2</v>
      </c>
    </row>
    <row r="78" spans="1:9" ht="16" thickBot="1" x14ac:dyDescent="0.4">
      <c r="A78" s="36" t="s">
        <v>35</v>
      </c>
      <c r="B78" s="4"/>
      <c r="C78" s="4"/>
      <c r="D78" s="33">
        <f>SUM(D75:D77)</f>
        <v>310385</v>
      </c>
      <c r="E78" s="33">
        <f>SUM(E75:E77)</f>
        <v>121134</v>
      </c>
      <c r="F78" s="34">
        <f>AVERAGE(F75:F77)</f>
        <v>0.40766666666666662</v>
      </c>
      <c r="G78" s="33">
        <f>SUM(G75:G77)</f>
        <v>1295</v>
      </c>
      <c r="H78" s="34">
        <f>AVERAGE(H75:H77)</f>
        <v>1.5366666666666667E-2</v>
      </c>
      <c r="I78" s="35">
        <f>AVERAGE(I75:I77)</f>
        <v>6.5999999999999991E-3</v>
      </c>
    </row>
  </sheetData>
  <mergeCells count="3">
    <mergeCell ref="A36:I36"/>
    <mergeCell ref="A48:I48"/>
    <mergeCell ref="A73:I73"/>
  </mergeCells>
  <pageMargins left="0.7" right="0.7" top="0.75" bottom="0.75" header="0.3" footer="0.3"/>
  <ignoredErrors>
    <ignoredError sqref="F35:G35 F47:G47 F72:G72 F78:G78" formula="1"/>
  </ignoredErrors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8EA1-FC7D-4748-9CD1-BAEE7370F9EB}">
  <dimension ref="A1:I58"/>
  <sheetViews>
    <sheetView topLeftCell="A18" workbookViewId="0">
      <selection activeCell="K26" sqref="K26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45527</v>
      </c>
      <c r="B2" t="s">
        <v>655</v>
      </c>
      <c r="C2" t="s">
        <v>10</v>
      </c>
      <c r="D2" s="1">
        <v>392505</v>
      </c>
      <c r="E2" s="1">
        <v>138893</v>
      </c>
      <c r="F2" s="2">
        <v>0.35386300811454602</v>
      </c>
      <c r="G2" s="1">
        <v>3422</v>
      </c>
      <c r="H2" s="2">
        <v>2.4637670724946499E-2</v>
      </c>
      <c r="I2" s="2">
        <v>8.7183602756652802E-3</v>
      </c>
    </row>
    <row r="3" spans="1:9" x14ac:dyDescent="0.35">
      <c r="A3" s="19">
        <v>45527</v>
      </c>
      <c r="B3" t="s">
        <v>656</v>
      </c>
      <c r="C3" t="s">
        <v>85</v>
      </c>
      <c r="D3" s="1">
        <v>897</v>
      </c>
      <c r="E3" s="1">
        <v>439</v>
      </c>
      <c r="F3" s="2">
        <v>0.48940914158305499</v>
      </c>
      <c r="G3" s="1">
        <v>16</v>
      </c>
      <c r="H3" s="2">
        <v>3.6446469248291598E-2</v>
      </c>
      <c r="I3" s="2">
        <v>1.78372352285396E-2</v>
      </c>
    </row>
    <row r="4" spans="1:9" ht="15" customHeight="1" x14ac:dyDescent="0.35">
      <c r="A4" s="19">
        <v>45527</v>
      </c>
      <c r="B4" t="s">
        <v>656</v>
      </c>
      <c r="C4" t="s">
        <v>73</v>
      </c>
      <c r="D4" s="1">
        <v>17110</v>
      </c>
      <c r="E4" s="1">
        <v>8524</v>
      </c>
      <c r="F4" s="2">
        <v>0.49818819403857401</v>
      </c>
      <c r="G4" s="1">
        <v>384</v>
      </c>
      <c r="H4" s="2">
        <v>4.5049272641952097E-2</v>
      </c>
      <c r="I4" s="2">
        <v>2.24430157802455E-2</v>
      </c>
    </row>
    <row r="5" spans="1:9" ht="15" customHeight="1" x14ac:dyDescent="0.35">
      <c r="A5" s="19">
        <v>45527</v>
      </c>
      <c r="B5" t="s">
        <v>657</v>
      </c>
      <c r="C5" t="s">
        <v>10</v>
      </c>
      <c r="D5" s="1">
        <v>4340756</v>
      </c>
      <c r="E5" s="1">
        <v>1331098</v>
      </c>
      <c r="F5" s="2">
        <v>0.306651191635743</v>
      </c>
      <c r="G5" s="1">
        <v>14276</v>
      </c>
      <c r="H5" s="2">
        <v>1.07249804296904E-2</v>
      </c>
      <c r="I5" s="2">
        <v>3.28882802903457E-3</v>
      </c>
    </row>
    <row r="6" spans="1:9" ht="15" customHeight="1" x14ac:dyDescent="0.35">
      <c r="A6" s="19">
        <v>45527</v>
      </c>
      <c r="B6" t="s">
        <v>657</v>
      </c>
      <c r="C6" t="s">
        <v>11</v>
      </c>
      <c r="D6" s="1">
        <v>279656</v>
      </c>
      <c r="E6" s="1">
        <v>77426</v>
      </c>
      <c r="F6" s="2">
        <v>0.27686157278942702</v>
      </c>
      <c r="G6" s="1">
        <v>1030</v>
      </c>
      <c r="H6" s="2">
        <v>1.3303024823702599E-2</v>
      </c>
      <c r="I6" s="2">
        <v>3.6830963755471002E-3</v>
      </c>
    </row>
    <row r="7" spans="1:9" ht="15" customHeight="1" x14ac:dyDescent="0.35">
      <c r="A7" s="19">
        <v>45527</v>
      </c>
      <c r="B7" t="s">
        <v>657</v>
      </c>
      <c r="C7" t="s">
        <v>528</v>
      </c>
      <c r="D7" s="1">
        <v>240747</v>
      </c>
      <c r="E7" s="1">
        <v>87663</v>
      </c>
      <c r="F7" s="2">
        <v>0.36412914802676699</v>
      </c>
      <c r="G7" s="1">
        <v>748</v>
      </c>
      <c r="H7" s="2">
        <v>8.5326762716311302E-3</v>
      </c>
      <c r="I7" s="2">
        <v>3.1069961411772499E-3</v>
      </c>
    </row>
    <row r="8" spans="1:9" x14ac:dyDescent="0.35">
      <c r="A8" s="19">
        <v>45527</v>
      </c>
      <c r="B8" t="s">
        <v>657</v>
      </c>
      <c r="C8" t="s">
        <v>529</v>
      </c>
      <c r="D8" s="1">
        <v>15066</v>
      </c>
      <c r="E8" s="1">
        <v>5079</v>
      </c>
      <c r="F8" s="2">
        <v>0.33711668657905203</v>
      </c>
      <c r="G8" s="1">
        <v>64</v>
      </c>
      <c r="H8" s="2">
        <v>1.26009056900965E-2</v>
      </c>
      <c r="I8" s="2">
        <v>4.2479755741404498E-3</v>
      </c>
    </row>
    <row r="9" spans="1:9" ht="15" customHeight="1" x14ac:dyDescent="0.35">
      <c r="A9" s="19">
        <v>45530</v>
      </c>
      <c r="B9" t="s">
        <v>658</v>
      </c>
      <c r="C9" t="s">
        <v>316</v>
      </c>
      <c r="D9" s="1">
        <v>2216</v>
      </c>
      <c r="E9" s="1">
        <v>1045</v>
      </c>
      <c r="F9" s="2">
        <v>0.47157039711191301</v>
      </c>
      <c r="G9" s="1">
        <v>61</v>
      </c>
      <c r="H9" s="2">
        <v>5.8373205741626799E-2</v>
      </c>
      <c r="I9" s="2">
        <v>2.7527075812274399E-2</v>
      </c>
    </row>
    <row r="10" spans="1:9" x14ac:dyDescent="0.35">
      <c r="A10" s="19">
        <v>45530</v>
      </c>
      <c r="B10" t="s">
        <v>659</v>
      </c>
      <c r="C10" t="s">
        <v>318</v>
      </c>
      <c r="D10" s="1">
        <v>148</v>
      </c>
      <c r="E10" s="1">
        <v>51</v>
      </c>
      <c r="F10" s="2">
        <v>0.34459459459459502</v>
      </c>
      <c r="G10" s="1">
        <v>3</v>
      </c>
      <c r="H10" s="2">
        <v>5.8823529411764698E-2</v>
      </c>
      <c r="I10" s="2">
        <v>2.0270270270270299E-2</v>
      </c>
    </row>
    <row r="11" spans="1:9" x14ac:dyDescent="0.35">
      <c r="A11" s="19">
        <v>45530</v>
      </c>
      <c r="B11" t="s">
        <v>660</v>
      </c>
      <c r="C11" t="s">
        <v>10</v>
      </c>
      <c r="D11" s="1">
        <v>241435</v>
      </c>
      <c r="E11" s="1">
        <v>92080</v>
      </c>
      <c r="F11" s="2">
        <v>0.38138629444778099</v>
      </c>
      <c r="G11" s="1">
        <v>10110</v>
      </c>
      <c r="H11" s="2">
        <v>0.10979582971329301</v>
      </c>
      <c r="I11" s="2">
        <v>4.1874624640172303E-2</v>
      </c>
    </row>
    <row r="12" spans="1:9" x14ac:dyDescent="0.35">
      <c r="A12" s="19">
        <v>45530</v>
      </c>
      <c r="B12" t="s">
        <v>660</v>
      </c>
      <c r="C12" t="s">
        <v>11</v>
      </c>
      <c r="D12" s="1">
        <v>67317</v>
      </c>
      <c r="E12" s="1">
        <v>25332</v>
      </c>
      <c r="F12" s="2">
        <v>0.37630910468380901</v>
      </c>
      <c r="G12" s="1">
        <v>4227</v>
      </c>
      <c r="H12" s="2">
        <v>0.166864045476078</v>
      </c>
      <c r="I12" s="2">
        <v>6.2792459557021299E-2</v>
      </c>
    </row>
    <row r="13" spans="1:9" x14ac:dyDescent="0.35">
      <c r="A13" s="19">
        <v>45531</v>
      </c>
      <c r="B13" t="s">
        <v>661</v>
      </c>
      <c r="C13" t="s">
        <v>10</v>
      </c>
      <c r="D13" s="1">
        <v>1384372</v>
      </c>
      <c r="E13" s="1">
        <v>399688</v>
      </c>
      <c r="F13" s="2">
        <v>0.28871430511452101</v>
      </c>
      <c r="G13" s="1">
        <v>8910</v>
      </c>
      <c r="H13" s="2">
        <v>2.2292388062688899E-2</v>
      </c>
      <c r="I13" s="2">
        <v>6.4361313288624697E-3</v>
      </c>
    </row>
    <row r="14" spans="1:9" ht="15" customHeight="1" x14ac:dyDescent="0.35">
      <c r="A14" s="19">
        <v>45531</v>
      </c>
      <c r="B14" t="s">
        <v>661</v>
      </c>
      <c r="C14" t="s">
        <v>11</v>
      </c>
      <c r="D14" s="1">
        <v>94097</v>
      </c>
      <c r="E14" s="1">
        <v>27622</v>
      </c>
      <c r="F14" s="2">
        <v>0.293548147124776</v>
      </c>
      <c r="G14" s="1">
        <v>842</v>
      </c>
      <c r="H14" s="2">
        <v>3.0482948374484099E-2</v>
      </c>
      <c r="I14" s="2">
        <v>8.9482130142300009E-3</v>
      </c>
    </row>
    <row r="15" spans="1:9" ht="15" customHeight="1" x14ac:dyDescent="0.35">
      <c r="A15" s="19">
        <v>45531</v>
      </c>
      <c r="B15" t="s">
        <v>662</v>
      </c>
      <c r="C15" t="s">
        <v>316</v>
      </c>
      <c r="D15" s="1">
        <v>801</v>
      </c>
      <c r="E15" s="1">
        <v>186</v>
      </c>
      <c r="F15" s="2">
        <v>0.23220973782771501</v>
      </c>
      <c r="G15" s="1">
        <v>30</v>
      </c>
      <c r="H15" s="2">
        <v>0.16129032258064499</v>
      </c>
      <c r="I15" s="2">
        <v>3.7453183520599301E-2</v>
      </c>
    </row>
    <row r="16" spans="1:9" ht="15" customHeight="1" x14ac:dyDescent="0.35">
      <c r="A16" s="19">
        <v>45532</v>
      </c>
      <c r="B16" t="s">
        <v>663</v>
      </c>
      <c r="C16" t="s">
        <v>10</v>
      </c>
      <c r="D16" s="1">
        <v>105193</v>
      </c>
      <c r="E16" s="1">
        <v>44422</v>
      </c>
      <c r="F16" s="2">
        <v>0.42229045658931702</v>
      </c>
      <c r="G16" s="1">
        <v>932</v>
      </c>
      <c r="H16" s="2">
        <v>2.09805952005763E-2</v>
      </c>
      <c r="I16" s="2">
        <v>8.8599051267669905E-3</v>
      </c>
    </row>
    <row r="17" spans="1:9" ht="15" customHeight="1" x14ac:dyDescent="0.35">
      <c r="A17" s="19">
        <v>45532</v>
      </c>
      <c r="B17" t="s">
        <v>663</v>
      </c>
      <c r="C17" t="s">
        <v>11</v>
      </c>
      <c r="D17" s="1">
        <v>3668</v>
      </c>
      <c r="E17" s="1">
        <v>1480</v>
      </c>
      <c r="F17" s="2">
        <v>0.40348964013086203</v>
      </c>
      <c r="G17" s="1">
        <v>28</v>
      </c>
      <c r="H17" s="2">
        <v>1.8918918918918899E-2</v>
      </c>
      <c r="I17" s="2">
        <v>7.63358778625954E-3</v>
      </c>
    </row>
    <row r="18" spans="1:9" x14ac:dyDescent="0.35">
      <c r="A18" s="19">
        <v>45533</v>
      </c>
      <c r="B18" t="s">
        <v>631</v>
      </c>
      <c r="C18" t="s">
        <v>253</v>
      </c>
      <c r="D18" s="1">
        <v>96758</v>
      </c>
      <c r="E18" s="1">
        <v>36691</v>
      </c>
      <c r="F18" s="2">
        <v>0.37920378676698602</v>
      </c>
      <c r="G18" s="1">
        <v>367</v>
      </c>
      <c r="H18" s="2">
        <v>1.0002452917609201E-2</v>
      </c>
      <c r="I18" s="2">
        <v>3.7929680233158999E-3</v>
      </c>
    </row>
    <row r="19" spans="1:9" x14ac:dyDescent="0.35">
      <c r="A19" s="19">
        <v>45533</v>
      </c>
      <c r="B19" t="s">
        <v>632</v>
      </c>
      <c r="C19" t="s">
        <v>255</v>
      </c>
      <c r="D19" s="1">
        <v>4629</v>
      </c>
      <c r="E19" s="1">
        <v>1402</v>
      </c>
      <c r="F19" s="2">
        <v>0.30287319075394298</v>
      </c>
      <c r="G19" s="1">
        <v>11</v>
      </c>
      <c r="H19" s="2">
        <v>7.8459343794579205E-3</v>
      </c>
      <c r="I19" s="2">
        <v>2.3763231799524701E-3</v>
      </c>
    </row>
    <row r="20" spans="1:9" ht="15" customHeight="1" x14ac:dyDescent="0.35">
      <c r="A20" s="19">
        <v>45533</v>
      </c>
      <c r="B20" t="s">
        <v>633</v>
      </c>
      <c r="C20" t="s">
        <v>255</v>
      </c>
      <c r="D20" s="1">
        <v>10067</v>
      </c>
      <c r="E20" s="1">
        <v>4916</v>
      </c>
      <c r="F20" s="2">
        <v>0.488328201052945</v>
      </c>
      <c r="G20" s="1">
        <v>150</v>
      </c>
      <c r="H20" s="2">
        <v>3.0512611879576899E-2</v>
      </c>
      <c r="I20" s="2">
        <v>1.4900168868580499E-2</v>
      </c>
    </row>
    <row r="21" spans="1:9" ht="15" customHeight="1" x14ac:dyDescent="0.35">
      <c r="A21" s="19">
        <v>45533</v>
      </c>
      <c r="B21" t="s">
        <v>664</v>
      </c>
      <c r="C21" t="s">
        <v>543</v>
      </c>
      <c r="D21" s="1">
        <v>37338</v>
      </c>
      <c r="E21" s="1">
        <v>14524</v>
      </c>
      <c r="F21" s="2">
        <v>0.38898709089935202</v>
      </c>
      <c r="G21" s="1">
        <v>112</v>
      </c>
      <c r="H21" s="2">
        <v>7.7113742770586599E-3</v>
      </c>
      <c r="I21" s="2">
        <v>2.9996250468691402E-3</v>
      </c>
    </row>
    <row r="22" spans="1:9" ht="15" customHeight="1" x14ac:dyDescent="0.35">
      <c r="A22" s="19">
        <v>45533</v>
      </c>
      <c r="B22" t="s">
        <v>665</v>
      </c>
      <c r="C22" t="s">
        <v>545</v>
      </c>
      <c r="D22" s="1">
        <v>15186</v>
      </c>
      <c r="E22" s="1">
        <v>5203</v>
      </c>
      <c r="F22" s="2">
        <v>0.34261820097458201</v>
      </c>
      <c r="G22" s="1">
        <v>65</v>
      </c>
      <c r="H22" s="2">
        <v>1.24927926196425E-2</v>
      </c>
      <c r="I22" s="2">
        <v>4.2802581324904504E-3</v>
      </c>
    </row>
    <row r="23" spans="1:9" ht="15" customHeight="1" x14ac:dyDescent="0.35">
      <c r="A23" s="19">
        <v>45533</v>
      </c>
      <c r="B23" t="s">
        <v>666</v>
      </c>
      <c r="C23" t="s">
        <v>10</v>
      </c>
      <c r="D23" s="1">
        <v>541523</v>
      </c>
      <c r="E23" s="1">
        <v>164419</v>
      </c>
      <c r="F23" s="2">
        <v>0.30362329947204503</v>
      </c>
      <c r="G23" s="1">
        <v>4846</v>
      </c>
      <c r="H23" s="2">
        <v>2.9473479342411801E-2</v>
      </c>
      <c r="I23" s="2">
        <v>8.94883504486421E-3</v>
      </c>
    </row>
    <row r="24" spans="1:9" ht="15" customHeight="1" x14ac:dyDescent="0.35">
      <c r="A24" s="19">
        <v>45533</v>
      </c>
      <c r="B24" t="s">
        <v>666</v>
      </c>
      <c r="C24" t="s">
        <v>11</v>
      </c>
      <c r="D24" s="1">
        <v>119655</v>
      </c>
      <c r="E24" s="1">
        <v>35113</v>
      </c>
      <c r="F24" s="2">
        <v>0.29345200785591902</v>
      </c>
      <c r="G24" s="1">
        <v>1662</v>
      </c>
      <c r="H24" s="2">
        <v>4.7332896647965098E-2</v>
      </c>
      <c r="I24" s="2">
        <v>1.38899335589821E-2</v>
      </c>
    </row>
    <row r="25" spans="1:9" ht="16" thickBot="1" x14ac:dyDescent="0.4">
      <c r="A25" s="37" t="s">
        <v>35</v>
      </c>
      <c r="D25" s="31">
        <f>SUM(D2:D24)</f>
        <v>8011140</v>
      </c>
      <c r="E25" s="31">
        <f>SUM(E2:E24)</f>
        <v>2503296</v>
      </c>
      <c r="F25" s="32">
        <f>AVERAGE(F2:F24)</f>
        <v>0.36258336513774891</v>
      </c>
      <c r="G25" s="31">
        <f>SUM(G2:G24)</f>
        <v>52296</v>
      </c>
      <c r="H25" s="32">
        <f>AVERAGE(H2:H24)</f>
        <v>4.1064709798874291E-2</v>
      </c>
      <c r="I25" s="32">
        <f>AVERAGE(I2:I24)</f>
        <v>1.462213349199396E-2</v>
      </c>
    </row>
    <row r="26" spans="1:9" ht="15" thickBot="1" x14ac:dyDescent="0.4">
      <c r="A26" s="138" t="s">
        <v>302</v>
      </c>
      <c r="B26" s="138"/>
      <c r="C26" s="138"/>
      <c r="D26" s="138"/>
      <c r="E26" s="138"/>
      <c r="F26" s="138"/>
      <c r="G26" s="138"/>
      <c r="H26" s="138"/>
      <c r="I26" s="138"/>
    </row>
    <row r="27" spans="1:9" ht="15.5" x14ac:dyDescent="0.35">
      <c r="A27" s="38" t="s">
        <v>0</v>
      </c>
      <c r="B27" s="39" t="s">
        <v>1</v>
      </c>
      <c r="C27" s="39" t="s">
        <v>2</v>
      </c>
      <c r="D27" s="39" t="s">
        <v>3</v>
      </c>
      <c r="E27" s="39" t="s">
        <v>4</v>
      </c>
      <c r="F27" s="39" t="s">
        <v>5</v>
      </c>
      <c r="G27" s="39" t="s">
        <v>6</v>
      </c>
      <c r="H27" s="39" t="s">
        <v>7</v>
      </c>
      <c r="I27" s="40" t="s">
        <v>8</v>
      </c>
    </row>
    <row r="28" spans="1:9" x14ac:dyDescent="0.35">
      <c r="A28" s="5" t="s">
        <v>36</v>
      </c>
      <c r="B28" s="6"/>
      <c r="C28" s="6"/>
      <c r="D28" s="6"/>
      <c r="E28" s="6"/>
      <c r="F28" s="6"/>
      <c r="G28" s="6"/>
      <c r="H28" s="6"/>
      <c r="I28" s="7"/>
    </row>
    <row r="29" spans="1:9" x14ac:dyDescent="0.35">
      <c r="A29" s="8">
        <v>45527</v>
      </c>
      <c r="B29" t="s">
        <v>655</v>
      </c>
      <c r="C29" t="s">
        <v>10</v>
      </c>
      <c r="D29" s="1">
        <v>392505</v>
      </c>
      <c r="E29" s="1">
        <v>138893</v>
      </c>
      <c r="F29" s="2">
        <v>0.35386300811454602</v>
      </c>
      <c r="G29" s="1">
        <v>3422</v>
      </c>
      <c r="H29" s="2">
        <v>2.4637670724946499E-2</v>
      </c>
      <c r="I29" s="9">
        <v>8.7183602756652802E-3</v>
      </c>
    </row>
    <row r="30" spans="1:9" ht="15" customHeight="1" x14ac:dyDescent="0.35">
      <c r="A30" s="8">
        <v>45527</v>
      </c>
      <c r="B30" t="s">
        <v>657</v>
      </c>
      <c r="C30" t="s">
        <v>10</v>
      </c>
      <c r="D30" s="1">
        <v>4340756</v>
      </c>
      <c r="E30" s="1">
        <v>1331098</v>
      </c>
      <c r="F30" s="2">
        <v>0.306651191635743</v>
      </c>
      <c r="G30" s="1">
        <v>14276</v>
      </c>
      <c r="H30" s="2">
        <v>1.07249804296904E-2</v>
      </c>
      <c r="I30" s="9">
        <v>3.28882802903457E-3</v>
      </c>
    </row>
    <row r="31" spans="1:9" ht="15" customHeight="1" x14ac:dyDescent="0.35">
      <c r="A31" s="8">
        <v>45527</v>
      </c>
      <c r="B31" t="s">
        <v>657</v>
      </c>
      <c r="C31" t="s">
        <v>11</v>
      </c>
      <c r="D31" s="1">
        <v>279656</v>
      </c>
      <c r="E31" s="1">
        <v>77426</v>
      </c>
      <c r="F31" s="2">
        <v>0.27686157278942702</v>
      </c>
      <c r="G31" s="1">
        <v>1030</v>
      </c>
      <c r="H31" s="2">
        <v>1.3303024823702599E-2</v>
      </c>
      <c r="I31" s="9">
        <v>3.6830963755471002E-3</v>
      </c>
    </row>
    <row r="32" spans="1:9" ht="15" customHeight="1" x14ac:dyDescent="0.35">
      <c r="A32" s="8">
        <v>45527</v>
      </c>
      <c r="B32" t="s">
        <v>657</v>
      </c>
      <c r="C32" t="s">
        <v>528</v>
      </c>
      <c r="D32" s="1">
        <v>240747</v>
      </c>
      <c r="E32" s="1">
        <v>87663</v>
      </c>
      <c r="F32" s="2">
        <v>0.36412914802676699</v>
      </c>
      <c r="G32" s="1">
        <v>748</v>
      </c>
      <c r="H32" s="2">
        <v>8.5326762716311302E-3</v>
      </c>
      <c r="I32" s="9">
        <v>3.1069961411772499E-3</v>
      </c>
    </row>
    <row r="33" spans="1:9" x14ac:dyDescent="0.35">
      <c r="A33" s="8">
        <v>45527</v>
      </c>
      <c r="B33" t="s">
        <v>657</v>
      </c>
      <c r="C33" t="s">
        <v>529</v>
      </c>
      <c r="D33" s="1">
        <v>15066</v>
      </c>
      <c r="E33" s="1">
        <v>5079</v>
      </c>
      <c r="F33" s="2">
        <v>0.33711668657905203</v>
      </c>
      <c r="G33" s="1">
        <v>64</v>
      </c>
      <c r="H33" s="2">
        <v>1.26009056900965E-2</v>
      </c>
      <c r="I33" s="9">
        <v>4.2479755741404498E-3</v>
      </c>
    </row>
    <row r="34" spans="1:9" x14ac:dyDescent="0.35">
      <c r="A34" s="8">
        <v>45531</v>
      </c>
      <c r="B34" t="s">
        <v>661</v>
      </c>
      <c r="C34" t="s">
        <v>10</v>
      </c>
      <c r="D34" s="1">
        <v>1384372</v>
      </c>
      <c r="E34" s="1">
        <v>399688</v>
      </c>
      <c r="F34" s="2">
        <v>0.28871430511452101</v>
      </c>
      <c r="G34" s="1">
        <v>8910</v>
      </c>
      <c r="H34" s="2">
        <v>2.2292388062688899E-2</v>
      </c>
      <c r="I34" s="9">
        <v>6.4361313288624697E-3</v>
      </c>
    </row>
    <row r="35" spans="1:9" ht="15" customHeight="1" x14ac:dyDescent="0.35">
      <c r="A35" s="8">
        <v>45531</v>
      </c>
      <c r="B35" t="s">
        <v>661</v>
      </c>
      <c r="C35" t="s">
        <v>11</v>
      </c>
      <c r="D35" s="1">
        <v>94097</v>
      </c>
      <c r="E35" s="1">
        <v>27622</v>
      </c>
      <c r="F35" s="2">
        <v>0.293548147124776</v>
      </c>
      <c r="G35" s="1">
        <v>842</v>
      </c>
      <c r="H35" s="2">
        <v>3.0482948374484099E-2</v>
      </c>
      <c r="I35" s="9">
        <v>8.9482130142300009E-3</v>
      </c>
    </row>
    <row r="36" spans="1:9" ht="16" thickBot="1" x14ac:dyDescent="0.4">
      <c r="A36" s="36" t="s">
        <v>35</v>
      </c>
      <c r="B36" s="4"/>
      <c r="C36" s="4"/>
      <c r="D36" s="33">
        <f>SUM(D29:D35)</f>
        <v>6747199</v>
      </c>
      <c r="E36" s="33">
        <f>SUM(E29:E35)</f>
        <v>2067469</v>
      </c>
      <c r="F36" s="34">
        <f>AVERAGE(F29:F35)</f>
        <v>0.31726915134069028</v>
      </c>
      <c r="G36" s="33">
        <f>SUM(G29:G35)</f>
        <v>29292</v>
      </c>
      <c r="H36" s="34">
        <f>AVERAGE(H29:H35)</f>
        <v>1.7510656339605728E-2</v>
      </c>
      <c r="I36" s="35">
        <f>AVERAGE(I29:I35)</f>
        <v>5.4899429626653036E-3</v>
      </c>
    </row>
    <row r="37" spans="1:9" ht="3" customHeight="1" thickBot="1" x14ac:dyDescent="0.4">
      <c r="A37" s="141"/>
      <c r="B37" s="142"/>
      <c r="C37" s="142"/>
      <c r="D37" s="142"/>
      <c r="E37" s="142"/>
      <c r="F37" s="142"/>
      <c r="G37" s="142"/>
      <c r="H37" s="142"/>
      <c r="I37" s="143"/>
    </row>
    <row r="38" spans="1:9" x14ac:dyDescent="0.35">
      <c r="A38" s="16" t="s">
        <v>37</v>
      </c>
      <c r="B38" s="17"/>
      <c r="C38" s="17"/>
      <c r="D38" s="17"/>
      <c r="E38" s="17"/>
      <c r="F38" s="17"/>
      <c r="G38" s="17"/>
      <c r="H38" s="17"/>
      <c r="I38" s="18"/>
    </row>
    <row r="39" spans="1:9" x14ac:dyDescent="0.35">
      <c r="A39" s="8">
        <v>45527</v>
      </c>
      <c r="B39" t="s">
        <v>656</v>
      </c>
      <c r="C39" t="s">
        <v>85</v>
      </c>
      <c r="D39" s="1">
        <v>897</v>
      </c>
      <c r="E39" s="1">
        <v>439</v>
      </c>
      <c r="F39" s="2">
        <v>0.48940914158305499</v>
      </c>
      <c r="G39" s="1">
        <v>16</v>
      </c>
      <c r="H39" s="2">
        <v>3.6446469248291598E-2</v>
      </c>
      <c r="I39" s="9">
        <v>1.78372352285396E-2</v>
      </c>
    </row>
    <row r="40" spans="1:9" ht="15" customHeight="1" x14ac:dyDescent="0.35">
      <c r="A40" s="8">
        <v>45527</v>
      </c>
      <c r="B40" t="s">
        <v>656</v>
      </c>
      <c r="C40" t="s">
        <v>73</v>
      </c>
      <c r="D40" s="1">
        <v>17110</v>
      </c>
      <c r="E40" s="1">
        <v>8524</v>
      </c>
      <c r="F40" s="2">
        <v>0.49818819403857401</v>
      </c>
      <c r="G40" s="1">
        <v>384</v>
      </c>
      <c r="H40" s="2">
        <v>4.5049272641952097E-2</v>
      </c>
      <c r="I40" s="9">
        <v>2.24430157802455E-2</v>
      </c>
    </row>
    <row r="41" spans="1:9" ht="15" customHeight="1" x14ac:dyDescent="0.35">
      <c r="A41" s="8">
        <v>45530</v>
      </c>
      <c r="B41" t="s">
        <v>658</v>
      </c>
      <c r="C41" t="s">
        <v>316</v>
      </c>
      <c r="D41" s="1">
        <v>2216</v>
      </c>
      <c r="E41" s="1">
        <v>1045</v>
      </c>
      <c r="F41" s="2">
        <v>0.47157039711191301</v>
      </c>
      <c r="G41" s="1">
        <v>61</v>
      </c>
      <c r="H41" s="2">
        <v>5.8373205741626799E-2</v>
      </c>
      <c r="I41" s="9">
        <v>2.7527075812274399E-2</v>
      </c>
    </row>
    <row r="42" spans="1:9" x14ac:dyDescent="0.35">
      <c r="A42" s="8">
        <v>45530</v>
      </c>
      <c r="B42" t="s">
        <v>659</v>
      </c>
      <c r="C42" t="s">
        <v>318</v>
      </c>
      <c r="D42" s="1">
        <v>148</v>
      </c>
      <c r="E42" s="1">
        <v>51</v>
      </c>
      <c r="F42" s="2">
        <v>0.34459459459459502</v>
      </c>
      <c r="G42" s="1">
        <v>3</v>
      </c>
      <c r="H42" s="2">
        <v>5.8823529411764698E-2</v>
      </c>
      <c r="I42" s="9">
        <v>2.0270270270270299E-2</v>
      </c>
    </row>
    <row r="43" spans="1:9" x14ac:dyDescent="0.35">
      <c r="A43" s="8">
        <v>45530</v>
      </c>
      <c r="B43" t="s">
        <v>660</v>
      </c>
      <c r="C43" t="s">
        <v>10</v>
      </c>
      <c r="D43" s="1">
        <v>241435</v>
      </c>
      <c r="E43" s="1">
        <v>92080</v>
      </c>
      <c r="F43" s="2">
        <v>0.38138629444778099</v>
      </c>
      <c r="G43" s="1">
        <v>10110</v>
      </c>
      <c r="H43" s="2">
        <v>0.10979582971329301</v>
      </c>
      <c r="I43" s="9">
        <v>4.1874624640172303E-2</v>
      </c>
    </row>
    <row r="44" spans="1:9" x14ac:dyDescent="0.35">
      <c r="A44" s="8">
        <v>45530</v>
      </c>
      <c r="B44" t="s">
        <v>660</v>
      </c>
      <c r="C44" t="s">
        <v>11</v>
      </c>
      <c r="D44" s="1">
        <v>67317</v>
      </c>
      <c r="E44" s="1">
        <v>25332</v>
      </c>
      <c r="F44" s="2">
        <v>0.37630910468380901</v>
      </c>
      <c r="G44" s="1">
        <v>4227</v>
      </c>
      <c r="H44" s="2">
        <v>0.166864045476078</v>
      </c>
      <c r="I44" s="9">
        <v>6.2792459557021299E-2</v>
      </c>
    </row>
    <row r="45" spans="1:9" ht="15" customHeight="1" x14ac:dyDescent="0.35">
      <c r="A45" s="8">
        <v>45531</v>
      </c>
      <c r="B45" t="s">
        <v>662</v>
      </c>
      <c r="C45" t="s">
        <v>316</v>
      </c>
      <c r="D45" s="1">
        <v>801</v>
      </c>
      <c r="E45" s="1">
        <v>186</v>
      </c>
      <c r="F45" s="2">
        <v>0.23220973782771501</v>
      </c>
      <c r="G45" s="1">
        <v>30</v>
      </c>
      <c r="H45" s="2">
        <v>0.16129032258064499</v>
      </c>
      <c r="I45" s="9">
        <v>3.7453183520599301E-2</v>
      </c>
    </row>
    <row r="46" spans="1:9" ht="15" customHeight="1" x14ac:dyDescent="0.35">
      <c r="A46" s="8">
        <v>45532</v>
      </c>
      <c r="B46" t="s">
        <v>663</v>
      </c>
      <c r="C46" t="s">
        <v>10</v>
      </c>
      <c r="D46" s="1">
        <v>105193</v>
      </c>
      <c r="E46" s="1">
        <v>44422</v>
      </c>
      <c r="F46" s="2">
        <v>0.42229045658931702</v>
      </c>
      <c r="G46" s="1">
        <v>932</v>
      </c>
      <c r="H46" s="2">
        <v>2.09805952005763E-2</v>
      </c>
      <c r="I46" s="9">
        <v>8.8599051267669905E-3</v>
      </c>
    </row>
    <row r="47" spans="1:9" ht="15" customHeight="1" x14ac:dyDescent="0.35">
      <c r="A47" s="8">
        <v>45532</v>
      </c>
      <c r="B47" t="s">
        <v>663</v>
      </c>
      <c r="C47" t="s">
        <v>11</v>
      </c>
      <c r="D47" s="1">
        <v>3668</v>
      </c>
      <c r="E47" s="1">
        <v>1480</v>
      </c>
      <c r="F47" s="2">
        <v>0.40348964013086203</v>
      </c>
      <c r="G47" s="1">
        <v>28</v>
      </c>
      <c r="H47" s="2">
        <v>1.8918918918918899E-2</v>
      </c>
      <c r="I47" s="9">
        <v>7.63358778625954E-3</v>
      </c>
    </row>
    <row r="48" spans="1:9" ht="15" customHeight="1" x14ac:dyDescent="0.35">
      <c r="A48" s="8">
        <v>45533</v>
      </c>
      <c r="B48" t="s">
        <v>666</v>
      </c>
      <c r="C48" t="s">
        <v>10</v>
      </c>
      <c r="D48" s="1">
        <v>541523</v>
      </c>
      <c r="E48" s="1">
        <v>164419</v>
      </c>
      <c r="F48" s="2">
        <v>0.30362329947204503</v>
      </c>
      <c r="G48" s="1">
        <v>4846</v>
      </c>
      <c r="H48" s="2">
        <v>2.9473479342411801E-2</v>
      </c>
      <c r="I48" s="9">
        <v>8.94883504486421E-3</v>
      </c>
    </row>
    <row r="49" spans="1:9" ht="15" customHeight="1" x14ac:dyDescent="0.35">
      <c r="A49" s="8">
        <v>45533</v>
      </c>
      <c r="B49" t="s">
        <v>666</v>
      </c>
      <c r="C49" t="s">
        <v>11</v>
      </c>
      <c r="D49" s="1">
        <v>119655</v>
      </c>
      <c r="E49" s="1">
        <v>35113</v>
      </c>
      <c r="F49" s="2">
        <v>0.29345200785591902</v>
      </c>
      <c r="G49" s="1">
        <v>1662</v>
      </c>
      <c r="H49" s="2">
        <v>4.7332896647965098E-2</v>
      </c>
      <c r="I49" s="9">
        <v>1.38899335589821E-2</v>
      </c>
    </row>
    <row r="50" spans="1:9" ht="16" thickBot="1" x14ac:dyDescent="0.4">
      <c r="A50" s="36" t="s">
        <v>35</v>
      </c>
      <c r="B50" s="4"/>
      <c r="C50" s="4"/>
      <c r="D50" s="33">
        <f>SUM(D39:D49)</f>
        <v>1099963</v>
      </c>
      <c r="E50" s="33">
        <f>SUM(E39:E49)</f>
        <v>373091</v>
      </c>
      <c r="F50" s="34">
        <f>AVERAGE(F39:F49)</f>
        <v>0.38332026075778047</v>
      </c>
      <c r="G50" s="33">
        <f>SUM(G39:G49)</f>
        <v>22299</v>
      </c>
      <c r="H50" s="34">
        <f>AVERAGE(H39:H49)</f>
        <v>6.8486233174865768E-2</v>
      </c>
      <c r="I50" s="35">
        <f>AVERAGE(I39:I49)</f>
        <v>2.4502738756908681E-2</v>
      </c>
    </row>
    <row r="51" spans="1:9" ht="3" customHeight="1" thickBot="1" x14ac:dyDescent="0.4">
      <c r="A51" s="139"/>
      <c r="B51" s="138"/>
      <c r="C51" s="138"/>
      <c r="D51" s="138"/>
      <c r="E51" s="138"/>
      <c r="F51" s="138"/>
      <c r="G51" s="138"/>
      <c r="H51" s="138"/>
      <c r="I51" s="140"/>
    </row>
    <row r="52" spans="1:9" x14ac:dyDescent="0.35">
      <c r="A52" s="16" t="s">
        <v>38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35">
      <c r="A53" s="8">
        <v>45533</v>
      </c>
      <c r="B53" t="s">
        <v>631</v>
      </c>
      <c r="C53" t="s">
        <v>253</v>
      </c>
      <c r="D53" s="1">
        <v>96758</v>
      </c>
      <c r="E53" s="1">
        <v>36691</v>
      </c>
      <c r="F53" s="2">
        <v>0.37920378676698602</v>
      </c>
      <c r="G53" s="1">
        <v>367</v>
      </c>
      <c r="H53" s="2">
        <v>1.0002452917609201E-2</v>
      </c>
      <c r="I53" s="9">
        <v>3.7929680233158999E-3</v>
      </c>
    </row>
    <row r="54" spans="1:9" x14ac:dyDescent="0.35">
      <c r="A54" s="8">
        <v>45533</v>
      </c>
      <c r="B54" t="s">
        <v>632</v>
      </c>
      <c r="C54" t="s">
        <v>255</v>
      </c>
      <c r="D54" s="1">
        <v>4629</v>
      </c>
      <c r="E54" s="1">
        <v>1402</v>
      </c>
      <c r="F54" s="2">
        <v>0.30287319075394298</v>
      </c>
      <c r="G54" s="1">
        <v>11</v>
      </c>
      <c r="H54" s="2">
        <v>7.8459343794579205E-3</v>
      </c>
      <c r="I54" s="9">
        <v>2.3763231799524701E-3</v>
      </c>
    </row>
    <row r="55" spans="1:9" ht="15" customHeight="1" x14ac:dyDescent="0.35">
      <c r="A55" s="8">
        <v>45533</v>
      </c>
      <c r="B55" t="s">
        <v>633</v>
      </c>
      <c r="C55" t="s">
        <v>255</v>
      </c>
      <c r="D55" s="1">
        <v>10067</v>
      </c>
      <c r="E55" s="1">
        <v>4916</v>
      </c>
      <c r="F55" s="2">
        <v>0.488328201052945</v>
      </c>
      <c r="G55" s="1">
        <v>150</v>
      </c>
      <c r="H55" s="2">
        <v>3.0512611879576899E-2</v>
      </c>
      <c r="I55" s="9">
        <v>1.4900168868580499E-2</v>
      </c>
    </row>
    <row r="56" spans="1:9" ht="15" customHeight="1" x14ac:dyDescent="0.35">
      <c r="A56" s="8">
        <v>45533</v>
      </c>
      <c r="B56" t="s">
        <v>664</v>
      </c>
      <c r="C56" t="s">
        <v>543</v>
      </c>
      <c r="D56" s="1">
        <v>37338</v>
      </c>
      <c r="E56" s="1">
        <v>14524</v>
      </c>
      <c r="F56" s="2">
        <v>0.38898709089935202</v>
      </c>
      <c r="G56" s="1">
        <v>112</v>
      </c>
      <c r="H56" s="2">
        <v>7.7113742770586599E-3</v>
      </c>
      <c r="I56" s="9">
        <v>2.9996250468691402E-3</v>
      </c>
    </row>
    <row r="57" spans="1:9" ht="15" customHeight="1" x14ac:dyDescent="0.35">
      <c r="A57" s="8">
        <v>45533</v>
      </c>
      <c r="B57" t="s">
        <v>665</v>
      </c>
      <c r="C57" t="s">
        <v>545</v>
      </c>
      <c r="D57" s="1">
        <v>15186</v>
      </c>
      <c r="E57" s="1">
        <v>5203</v>
      </c>
      <c r="F57" s="2">
        <v>0.34261820097458201</v>
      </c>
      <c r="G57" s="1">
        <v>65</v>
      </c>
      <c r="H57" s="2">
        <v>1.24927926196425E-2</v>
      </c>
      <c r="I57" s="9">
        <v>4.2802581324904504E-3</v>
      </c>
    </row>
    <row r="58" spans="1:9" ht="16" thickBot="1" x14ac:dyDescent="0.4">
      <c r="A58" s="36" t="s">
        <v>35</v>
      </c>
      <c r="B58" s="4"/>
      <c r="C58" s="4"/>
      <c r="D58" s="33">
        <f>SUM(D53:D57)</f>
        <v>163978</v>
      </c>
      <c r="E58" s="33">
        <f>SUM(E53:E57)</f>
        <v>62736</v>
      </c>
      <c r="F58" s="34">
        <f>AVERAGE(F53:F57)</f>
        <v>0.3804020940895616</v>
      </c>
      <c r="G58" s="33">
        <f>SUM(G53:G57)</f>
        <v>705</v>
      </c>
      <c r="H58" s="34">
        <f>AVERAGE(H53:H57)</f>
        <v>1.3713033214669035E-2</v>
      </c>
      <c r="I58" s="35">
        <f>AVERAGE(I53:I57)</f>
        <v>5.6698686502416919E-3</v>
      </c>
    </row>
  </sheetData>
  <mergeCells count="3">
    <mergeCell ref="A26:I26"/>
    <mergeCell ref="A37:I37"/>
    <mergeCell ref="A51:I51"/>
  </mergeCells>
  <pageMargins left="0.7" right="0.7" top="0.75" bottom="0.75" header="0.3" footer="0.3"/>
  <ignoredErrors>
    <ignoredError sqref="F25:G25 F36:G36 F50:G50 F58:G58" formula="1"/>
  </ignoredErrors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A3AA-55E2-46F8-A92F-56BF2ABE4CA5}">
  <dimension ref="A1:I74"/>
  <sheetViews>
    <sheetView topLeftCell="A15" workbookViewId="0">
      <selection activeCell="K28" sqref="K28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45534</v>
      </c>
      <c r="B2" t="s">
        <v>667</v>
      </c>
      <c r="C2" t="s">
        <v>10</v>
      </c>
      <c r="D2" s="1">
        <v>390517</v>
      </c>
      <c r="E2" s="1">
        <v>137774</v>
      </c>
      <c r="F2" s="2">
        <v>0.35279898186250502</v>
      </c>
      <c r="G2" s="1">
        <v>3196</v>
      </c>
      <c r="H2" s="2">
        <v>2.3197410251571401E-2</v>
      </c>
      <c r="I2" s="2">
        <v>8.1840227186012401E-3</v>
      </c>
    </row>
    <row r="3" spans="1:9" x14ac:dyDescent="0.35">
      <c r="A3" s="19">
        <v>45534</v>
      </c>
      <c r="B3" t="s">
        <v>667</v>
      </c>
      <c r="C3" t="s">
        <v>11</v>
      </c>
      <c r="D3" s="1">
        <v>21748</v>
      </c>
      <c r="E3" s="1">
        <v>7322</v>
      </c>
      <c r="F3" s="2">
        <v>0.33667463674820702</v>
      </c>
      <c r="G3" s="1">
        <v>357</v>
      </c>
      <c r="H3" s="2">
        <v>4.8757170172084099E-2</v>
      </c>
      <c r="I3" s="2">
        <v>1.6415302556556901E-2</v>
      </c>
    </row>
    <row r="4" spans="1:9" x14ac:dyDescent="0.35">
      <c r="A4" s="19">
        <v>45534</v>
      </c>
      <c r="B4" t="s">
        <v>668</v>
      </c>
      <c r="C4" t="s">
        <v>10</v>
      </c>
      <c r="D4" s="1">
        <v>2405401</v>
      </c>
      <c r="E4" s="1">
        <v>773136</v>
      </c>
      <c r="F4" s="2">
        <v>0.32141667854964701</v>
      </c>
      <c r="G4" s="1">
        <v>9926</v>
      </c>
      <c r="H4" s="2">
        <v>1.28386208894683E-2</v>
      </c>
      <c r="I4" s="2">
        <v>4.1265468834510302E-3</v>
      </c>
    </row>
    <row r="5" spans="1:9" x14ac:dyDescent="0.35">
      <c r="A5" s="19">
        <v>45534</v>
      </c>
      <c r="B5" t="s">
        <v>668</v>
      </c>
      <c r="C5" t="s">
        <v>464</v>
      </c>
      <c r="D5" s="1">
        <v>2410751</v>
      </c>
      <c r="E5" s="1">
        <v>775714</v>
      </c>
      <c r="F5" s="2">
        <v>0.32177275877931799</v>
      </c>
      <c r="G5" s="1">
        <v>10274</v>
      </c>
      <c r="H5" s="2">
        <v>1.3244572097448301E-2</v>
      </c>
      <c r="I5" s="2">
        <v>4.2617425026475197E-3</v>
      </c>
    </row>
    <row r="6" spans="1:9" x14ac:dyDescent="0.35">
      <c r="A6" s="19">
        <v>45534</v>
      </c>
      <c r="B6" t="s">
        <v>668</v>
      </c>
      <c r="C6" t="s">
        <v>11</v>
      </c>
      <c r="D6" s="1">
        <v>154742</v>
      </c>
      <c r="E6" s="1">
        <v>44944</v>
      </c>
      <c r="F6" s="2">
        <v>0.290444740277365</v>
      </c>
      <c r="G6" s="1">
        <v>870</v>
      </c>
      <c r="H6" s="2">
        <v>1.9357422570309701E-2</v>
      </c>
      <c r="I6" s="2">
        <v>5.6222615708728099E-3</v>
      </c>
    </row>
    <row r="7" spans="1:9" x14ac:dyDescent="0.35">
      <c r="A7" s="19">
        <v>45534</v>
      </c>
      <c r="B7" t="s">
        <v>668</v>
      </c>
      <c r="C7" t="s">
        <v>466</v>
      </c>
      <c r="D7" s="1">
        <v>154575</v>
      </c>
      <c r="E7" s="1">
        <v>45161</v>
      </c>
      <c r="F7" s="2">
        <v>0.29216238072133299</v>
      </c>
      <c r="G7" s="1">
        <v>898</v>
      </c>
      <c r="H7" s="2">
        <v>1.9884413542658502E-2</v>
      </c>
      <c r="I7" s="2">
        <v>5.8094775998706102E-3</v>
      </c>
    </row>
    <row r="8" spans="1:9" x14ac:dyDescent="0.35">
      <c r="A8" s="19">
        <v>45534</v>
      </c>
      <c r="B8" t="s">
        <v>669</v>
      </c>
      <c r="C8" t="s">
        <v>10</v>
      </c>
      <c r="D8" s="1">
        <v>56210</v>
      </c>
      <c r="E8" s="1">
        <v>18687</v>
      </c>
      <c r="F8" s="2">
        <v>0.33244974203878302</v>
      </c>
      <c r="G8" s="1">
        <v>246</v>
      </c>
      <c r="H8" s="2">
        <v>1.31642318189115E-2</v>
      </c>
      <c r="I8" s="2">
        <v>4.3764454723358801E-3</v>
      </c>
    </row>
    <row r="9" spans="1:9" x14ac:dyDescent="0.35">
      <c r="A9" s="19">
        <v>45534</v>
      </c>
      <c r="B9" t="s">
        <v>670</v>
      </c>
      <c r="C9" t="s">
        <v>10</v>
      </c>
      <c r="D9" s="1">
        <v>254728</v>
      </c>
      <c r="E9" s="1">
        <v>84126</v>
      </c>
      <c r="F9" s="2">
        <v>0.330258157721177</v>
      </c>
      <c r="G9" s="1">
        <v>1204</v>
      </c>
      <c r="H9" s="2">
        <v>1.4311865535030799E-2</v>
      </c>
      <c r="I9" s="2">
        <v>4.7266103451524804E-3</v>
      </c>
    </row>
    <row r="10" spans="1:9" x14ac:dyDescent="0.35">
      <c r="A10" s="19">
        <v>45534</v>
      </c>
      <c r="B10" t="s">
        <v>671</v>
      </c>
      <c r="C10" t="s">
        <v>10</v>
      </c>
      <c r="D10" s="1">
        <v>114863</v>
      </c>
      <c r="E10" s="1">
        <v>38910</v>
      </c>
      <c r="F10" s="2">
        <v>0.33875138208126199</v>
      </c>
      <c r="G10" s="1">
        <v>417</v>
      </c>
      <c r="H10" s="2">
        <v>1.0717039321511201E-2</v>
      </c>
      <c r="I10" s="2">
        <v>3.6304118819811401E-3</v>
      </c>
    </row>
    <row r="11" spans="1:9" x14ac:dyDescent="0.35">
      <c r="A11" s="19">
        <v>45534</v>
      </c>
      <c r="B11" t="s">
        <v>672</v>
      </c>
      <c r="C11" t="s">
        <v>673</v>
      </c>
      <c r="D11" s="1">
        <v>10985</v>
      </c>
      <c r="E11" s="1">
        <v>3952</v>
      </c>
      <c r="F11" s="2">
        <v>0.35976331360946701</v>
      </c>
      <c r="G11" s="1">
        <v>57</v>
      </c>
      <c r="H11" s="2">
        <v>1.44230769230769E-2</v>
      </c>
      <c r="I11" s="2">
        <v>5.1888939462904002E-3</v>
      </c>
    </row>
    <row r="12" spans="1:9" x14ac:dyDescent="0.35">
      <c r="A12" s="19">
        <v>45534</v>
      </c>
      <c r="B12" t="s">
        <v>672</v>
      </c>
      <c r="C12" t="s">
        <v>674</v>
      </c>
      <c r="D12" s="1">
        <v>230819</v>
      </c>
      <c r="E12" s="1">
        <v>91117</v>
      </c>
      <c r="F12" s="2">
        <v>0.39475519779567497</v>
      </c>
      <c r="G12" s="1">
        <v>689</v>
      </c>
      <c r="H12" s="2">
        <v>7.5617063775146199E-3</v>
      </c>
      <c r="I12" s="2">
        <v>2.9850228967286101E-3</v>
      </c>
    </row>
    <row r="13" spans="1:9" x14ac:dyDescent="0.35">
      <c r="A13" s="19">
        <v>45536</v>
      </c>
      <c r="B13" t="s">
        <v>675</v>
      </c>
      <c r="C13" t="s">
        <v>104</v>
      </c>
      <c r="D13" s="1">
        <v>253057</v>
      </c>
      <c r="E13" s="1">
        <v>86298</v>
      </c>
      <c r="F13" s="2">
        <v>0.34102198318955801</v>
      </c>
      <c r="G13" s="1">
        <v>1824</v>
      </c>
      <c r="H13" s="2">
        <v>2.11360634081902E-2</v>
      </c>
      <c r="I13" s="2">
        <v>7.2078622602812798E-3</v>
      </c>
    </row>
    <row r="14" spans="1:9" x14ac:dyDescent="0.35">
      <c r="A14" s="19">
        <v>45538</v>
      </c>
      <c r="B14" t="s">
        <v>676</v>
      </c>
      <c r="C14" t="s">
        <v>10</v>
      </c>
      <c r="D14" s="1">
        <v>1371385</v>
      </c>
      <c r="E14" s="1">
        <v>408583</v>
      </c>
      <c r="F14" s="2">
        <v>0.29793456979622801</v>
      </c>
      <c r="G14" s="1">
        <v>9832</v>
      </c>
      <c r="H14" s="2">
        <v>2.40636541412638E-2</v>
      </c>
      <c r="I14" s="2">
        <v>7.1693944443026597E-3</v>
      </c>
    </row>
    <row r="15" spans="1:9" x14ac:dyDescent="0.35">
      <c r="A15" s="19">
        <v>45538</v>
      </c>
      <c r="B15" t="s">
        <v>676</v>
      </c>
      <c r="C15" t="s">
        <v>11</v>
      </c>
      <c r="D15" s="1">
        <v>93362</v>
      </c>
      <c r="E15" s="1">
        <v>28591</v>
      </c>
      <c r="F15" s="2">
        <v>0.30623808401705199</v>
      </c>
      <c r="G15" s="1">
        <v>1228</v>
      </c>
      <c r="H15" s="2">
        <v>4.2950578853485397E-2</v>
      </c>
      <c r="I15" s="2">
        <v>1.31531029755147E-2</v>
      </c>
    </row>
    <row r="16" spans="1:9" x14ac:dyDescent="0.35">
      <c r="A16" s="19">
        <v>45539</v>
      </c>
      <c r="B16" t="s">
        <v>677</v>
      </c>
      <c r="C16" t="s">
        <v>678</v>
      </c>
      <c r="D16" s="1">
        <v>55875</v>
      </c>
      <c r="E16" s="1">
        <v>25647</v>
      </c>
      <c r="F16" s="2">
        <v>0.45900671140939597</v>
      </c>
      <c r="G16" s="1">
        <v>296</v>
      </c>
      <c r="H16" s="2">
        <v>1.15413108745662E-2</v>
      </c>
      <c r="I16" s="2">
        <v>5.2975391498881396E-3</v>
      </c>
    </row>
    <row r="17" spans="1:9" x14ac:dyDescent="0.35">
      <c r="A17" s="19">
        <v>45539</v>
      </c>
      <c r="B17" t="s">
        <v>677</v>
      </c>
      <c r="C17" t="s">
        <v>679</v>
      </c>
      <c r="D17" s="1">
        <v>66</v>
      </c>
      <c r="E17" s="1">
        <v>28</v>
      </c>
      <c r="F17" s="2">
        <v>0.42424242424242398</v>
      </c>
      <c r="G17" s="1">
        <v>0</v>
      </c>
      <c r="H17" s="2">
        <v>0</v>
      </c>
      <c r="I17" s="2">
        <v>0</v>
      </c>
    </row>
    <row r="18" spans="1:9" ht="15" customHeight="1" x14ac:dyDescent="0.35">
      <c r="A18" s="19">
        <v>45539</v>
      </c>
      <c r="B18" t="s">
        <v>677</v>
      </c>
      <c r="C18" t="s">
        <v>680</v>
      </c>
      <c r="D18" s="1">
        <v>55662</v>
      </c>
      <c r="E18" s="1">
        <v>25688</v>
      </c>
      <c r="F18" s="2">
        <v>0.46149976644748703</v>
      </c>
      <c r="G18" s="1">
        <v>321</v>
      </c>
      <c r="H18" s="2">
        <v>1.2496107131734701E-2</v>
      </c>
      <c r="I18" s="2">
        <v>5.7669505227983201E-3</v>
      </c>
    </row>
    <row r="19" spans="1:9" ht="15" customHeight="1" x14ac:dyDescent="0.35">
      <c r="A19" s="19">
        <v>45539</v>
      </c>
      <c r="B19" t="s">
        <v>677</v>
      </c>
      <c r="C19" t="s">
        <v>681</v>
      </c>
      <c r="D19" s="1">
        <v>77</v>
      </c>
      <c r="E19" s="1">
        <v>26</v>
      </c>
      <c r="F19" s="2">
        <v>0.337662337662338</v>
      </c>
      <c r="G19" s="1">
        <v>0</v>
      </c>
      <c r="H19" s="2">
        <v>0</v>
      </c>
      <c r="I19" s="2">
        <v>0</v>
      </c>
    </row>
    <row r="20" spans="1:9" ht="15" customHeight="1" x14ac:dyDescent="0.35">
      <c r="A20" s="19">
        <v>45539</v>
      </c>
      <c r="B20" t="s">
        <v>682</v>
      </c>
      <c r="C20" t="s">
        <v>10</v>
      </c>
      <c r="D20" s="1">
        <v>55297</v>
      </c>
      <c r="E20" s="1">
        <v>18702</v>
      </c>
      <c r="F20" s="2">
        <v>0.33821002947718698</v>
      </c>
      <c r="G20" s="1">
        <v>195</v>
      </c>
      <c r="H20" s="2">
        <v>1.0426692332370899E-2</v>
      </c>
      <c r="I20" s="2">
        <v>3.5264119210807101E-3</v>
      </c>
    </row>
    <row r="21" spans="1:9" ht="15" customHeight="1" x14ac:dyDescent="0.35">
      <c r="A21" s="19">
        <v>45539</v>
      </c>
      <c r="B21" t="s">
        <v>683</v>
      </c>
      <c r="C21" t="s">
        <v>10</v>
      </c>
      <c r="D21" s="1">
        <v>86818</v>
      </c>
      <c r="E21" s="1">
        <v>32597</v>
      </c>
      <c r="F21" s="2">
        <v>0.37546361353636298</v>
      </c>
      <c r="G21" s="1">
        <v>3254</v>
      </c>
      <c r="H21" s="2">
        <v>9.9825137282572002E-2</v>
      </c>
      <c r="I21" s="2">
        <v>3.7480706765878002E-2</v>
      </c>
    </row>
    <row r="22" spans="1:9" x14ac:dyDescent="0.35">
      <c r="A22" s="19">
        <v>45539</v>
      </c>
      <c r="B22" t="s">
        <v>683</v>
      </c>
      <c r="C22" t="s">
        <v>11</v>
      </c>
      <c r="D22" s="1">
        <v>9611</v>
      </c>
      <c r="E22" s="1">
        <v>3417</v>
      </c>
      <c r="F22" s="2">
        <v>0.35553012173551102</v>
      </c>
      <c r="G22" s="1">
        <v>506</v>
      </c>
      <c r="H22" s="2">
        <v>0.14808311384255199</v>
      </c>
      <c r="I22" s="2">
        <v>5.2648007491416099E-2</v>
      </c>
    </row>
    <row r="23" spans="1:9" ht="15" customHeight="1" x14ac:dyDescent="0.35">
      <c r="A23" s="19">
        <v>45540</v>
      </c>
      <c r="B23" t="s">
        <v>664</v>
      </c>
      <c r="C23" t="s">
        <v>234</v>
      </c>
      <c r="D23" s="1">
        <v>388217</v>
      </c>
      <c r="E23" s="1">
        <v>129176</v>
      </c>
      <c r="F23" s="3">
        <v>0.3327</v>
      </c>
      <c r="G23">
        <v>837</v>
      </c>
      <c r="H23" s="3">
        <v>6.4999999999999997E-3</v>
      </c>
      <c r="I23" s="3">
        <v>2.2000000000000001E-3</v>
      </c>
    </row>
    <row r="24" spans="1:9" x14ac:dyDescent="0.35">
      <c r="A24" s="19">
        <v>45540</v>
      </c>
      <c r="B24" t="s">
        <v>665</v>
      </c>
      <c r="C24" t="s">
        <v>235</v>
      </c>
      <c r="D24" s="1">
        <v>21822</v>
      </c>
      <c r="E24" s="1">
        <v>6973</v>
      </c>
      <c r="F24" s="3">
        <v>0.31950000000000001</v>
      </c>
      <c r="G24">
        <v>85</v>
      </c>
      <c r="H24" s="3">
        <v>1.2200000000000001E-2</v>
      </c>
      <c r="I24" s="3">
        <v>3.8999999999999998E-3</v>
      </c>
    </row>
    <row r="25" spans="1:9" x14ac:dyDescent="0.35">
      <c r="A25" s="19">
        <v>45540</v>
      </c>
      <c r="B25" t="s">
        <v>684</v>
      </c>
      <c r="C25" t="s">
        <v>10</v>
      </c>
      <c r="D25" s="1">
        <v>6459600</v>
      </c>
      <c r="E25" s="1">
        <v>2165193</v>
      </c>
      <c r="F25" s="2">
        <v>0.33518994984209499</v>
      </c>
      <c r="G25" s="1">
        <v>101884</v>
      </c>
      <c r="H25" s="2">
        <v>4.7055389519548602E-2</v>
      </c>
      <c r="I25" s="2">
        <v>1.5772493652857801E-2</v>
      </c>
    </row>
    <row r="26" spans="1:9" x14ac:dyDescent="0.35">
      <c r="A26" s="19">
        <v>45540</v>
      </c>
      <c r="B26" t="s">
        <v>684</v>
      </c>
      <c r="C26" t="s">
        <v>11</v>
      </c>
      <c r="D26" s="1">
        <v>417206</v>
      </c>
      <c r="E26" s="1">
        <v>137653</v>
      </c>
      <c r="F26" s="2">
        <v>0.329940125501551</v>
      </c>
      <c r="G26" s="1">
        <v>8797</v>
      </c>
      <c r="H26" s="2">
        <v>6.39070706777186E-2</v>
      </c>
      <c r="I26" s="2">
        <v>2.1085506919843001E-2</v>
      </c>
    </row>
    <row r="27" spans="1:9" x14ac:dyDescent="0.35">
      <c r="A27" s="19">
        <v>45540</v>
      </c>
      <c r="B27" t="s">
        <v>685</v>
      </c>
      <c r="C27" t="s">
        <v>74</v>
      </c>
      <c r="D27" s="1">
        <v>512</v>
      </c>
      <c r="E27" s="1">
        <v>200</v>
      </c>
      <c r="F27" s="2">
        <v>0.390625</v>
      </c>
      <c r="G27" s="1">
        <v>1</v>
      </c>
      <c r="H27" s="2">
        <v>5.0000000000000001E-3</v>
      </c>
      <c r="I27" s="2">
        <v>1.953125E-3</v>
      </c>
    </row>
    <row r="28" spans="1:9" ht="15" customHeight="1" x14ac:dyDescent="0.35">
      <c r="A28" s="19">
        <v>45540</v>
      </c>
      <c r="B28" t="s">
        <v>685</v>
      </c>
      <c r="C28" t="s">
        <v>72</v>
      </c>
      <c r="D28" s="1">
        <v>9892</v>
      </c>
      <c r="E28" s="1">
        <v>4081</v>
      </c>
      <c r="F28" s="2">
        <v>0.41255560048524098</v>
      </c>
      <c r="G28" s="1">
        <v>47</v>
      </c>
      <c r="H28" s="2">
        <v>1.15167851016908E-2</v>
      </c>
      <c r="I28" s="2">
        <v>4.7513141932875097E-3</v>
      </c>
    </row>
    <row r="29" spans="1:9" ht="15" customHeight="1" x14ac:dyDescent="0.35">
      <c r="A29" s="19">
        <v>45540</v>
      </c>
      <c r="B29" t="s">
        <v>685</v>
      </c>
      <c r="C29" t="s">
        <v>75</v>
      </c>
      <c r="D29" s="1">
        <v>161</v>
      </c>
      <c r="E29" s="1">
        <v>48</v>
      </c>
      <c r="F29" s="2">
        <v>0.29813664596273298</v>
      </c>
      <c r="G29" s="1">
        <v>0</v>
      </c>
      <c r="H29" s="2">
        <v>0</v>
      </c>
      <c r="I29" s="2">
        <v>0</v>
      </c>
    </row>
    <row r="30" spans="1:9" ht="15" customHeight="1" x14ac:dyDescent="0.35">
      <c r="A30" s="19">
        <v>45540</v>
      </c>
      <c r="B30" t="s">
        <v>685</v>
      </c>
      <c r="C30" t="s">
        <v>73</v>
      </c>
      <c r="D30" s="1">
        <v>3053</v>
      </c>
      <c r="E30" s="1">
        <v>983</v>
      </c>
      <c r="F30" s="2">
        <v>0.32197838191942402</v>
      </c>
      <c r="G30" s="1">
        <v>8</v>
      </c>
      <c r="H30" s="2">
        <v>8.1383519837232993E-3</v>
      </c>
      <c r="I30" s="2">
        <v>2.6203734032099598E-3</v>
      </c>
    </row>
    <row r="31" spans="1:9" ht="15" customHeight="1" x14ac:dyDescent="0.35">
      <c r="A31" s="19">
        <v>45540</v>
      </c>
      <c r="B31" t="s">
        <v>686</v>
      </c>
      <c r="C31" t="s">
        <v>355</v>
      </c>
      <c r="D31" s="1">
        <v>801647</v>
      </c>
      <c r="E31" s="1">
        <v>281491</v>
      </c>
      <c r="F31" s="2">
        <v>0.35114083879812402</v>
      </c>
      <c r="G31" s="1">
        <v>4807</v>
      </c>
      <c r="H31" s="2">
        <v>1.7076922530382899E-2</v>
      </c>
      <c r="I31" s="2">
        <v>5.9964049014092202E-3</v>
      </c>
    </row>
    <row r="32" spans="1:9" x14ac:dyDescent="0.35">
      <c r="A32" s="19">
        <v>45540</v>
      </c>
      <c r="B32" t="s">
        <v>686</v>
      </c>
      <c r="C32" t="s">
        <v>356</v>
      </c>
      <c r="D32" s="1">
        <v>41102</v>
      </c>
      <c r="E32" s="1">
        <v>14566</v>
      </c>
      <c r="F32" s="2">
        <v>0.354386647851686</v>
      </c>
      <c r="G32" s="1">
        <v>512</v>
      </c>
      <c r="H32" s="2">
        <v>3.5150350130440801E-2</v>
      </c>
      <c r="I32" s="2">
        <v>1.245681475354E-2</v>
      </c>
    </row>
    <row r="33" spans="1:9" ht="16" thickBot="1" x14ac:dyDescent="0.4">
      <c r="A33" s="37" t="s">
        <v>35</v>
      </c>
      <c r="D33" s="31">
        <f>SUM(D2:D32)</f>
        <v>16329761</v>
      </c>
      <c r="E33" s="31">
        <f>SUM(E2:E32)</f>
        <v>5390784</v>
      </c>
      <c r="F33" s="32">
        <f>AVERAGE(F2:F32)</f>
        <v>0.3488455097438431</v>
      </c>
      <c r="G33" s="31">
        <f>SUM(G2:G32)</f>
        <v>162568</v>
      </c>
      <c r="H33" s="32">
        <f>AVERAGE(H2:H32)</f>
        <v>2.498467926805889E-2</v>
      </c>
      <c r="I33" s="32">
        <f>AVERAGE(I2:I32)</f>
        <v>8.6552498945095483E-3</v>
      </c>
    </row>
    <row r="34" spans="1:9" ht="15" thickBot="1" x14ac:dyDescent="0.4">
      <c r="A34" s="138" t="s">
        <v>302</v>
      </c>
      <c r="B34" s="138"/>
      <c r="C34" s="138"/>
      <c r="D34" s="138"/>
      <c r="E34" s="138"/>
      <c r="F34" s="138"/>
      <c r="G34" s="138"/>
      <c r="H34" s="138"/>
      <c r="I34" s="138"/>
    </row>
    <row r="35" spans="1:9" ht="15.5" x14ac:dyDescent="0.35">
      <c r="A35" s="38" t="s">
        <v>0</v>
      </c>
      <c r="B35" s="39" t="s">
        <v>1</v>
      </c>
      <c r="C35" s="39" t="s">
        <v>2</v>
      </c>
      <c r="D35" s="39" t="s">
        <v>3</v>
      </c>
      <c r="E35" s="39" t="s">
        <v>4</v>
      </c>
      <c r="F35" s="39" t="s">
        <v>5</v>
      </c>
      <c r="G35" s="39" t="s">
        <v>6</v>
      </c>
      <c r="H35" s="39" t="s">
        <v>7</v>
      </c>
      <c r="I35" s="40" t="s">
        <v>8</v>
      </c>
    </row>
    <row r="36" spans="1:9" x14ac:dyDescent="0.35">
      <c r="A36" s="5" t="s">
        <v>36</v>
      </c>
      <c r="B36" s="6"/>
      <c r="C36" s="6"/>
      <c r="D36" s="6"/>
      <c r="E36" s="6"/>
      <c r="F36" s="6"/>
      <c r="G36" s="6"/>
      <c r="H36" s="6"/>
      <c r="I36" s="7"/>
    </row>
    <row r="37" spans="1:9" x14ac:dyDescent="0.35">
      <c r="A37" s="28">
        <v>45534</v>
      </c>
      <c r="B37" t="s">
        <v>667</v>
      </c>
      <c r="C37" t="s">
        <v>10</v>
      </c>
      <c r="D37" s="1">
        <v>390517</v>
      </c>
      <c r="E37" s="1">
        <v>137774</v>
      </c>
      <c r="F37" s="2">
        <v>0.35279898186250502</v>
      </c>
      <c r="G37" s="1">
        <v>3196</v>
      </c>
      <c r="H37" s="2">
        <v>2.3197410251571401E-2</v>
      </c>
      <c r="I37" s="29">
        <v>8.1840227186012401E-3</v>
      </c>
    </row>
    <row r="38" spans="1:9" x14ac:dyDescent="0.35">
      <c r="A38" s="28">
        <v>45534</v>
      </c>
      <c r="B38" t="s">
        <v>667</v>
      </c>
      <c r="C38" t="s">
        <v>11</v>
      </c>
      <c r="D38" s="1">
        <v>21748</v>
      </c>
      <c r="E38" s="1">
        <v>7322</v>
      </c>
      <c r="F38" s="2">
        <v>0.33667463674820702</v>
      </c>
      <c r="G38" s="1">
        <v>357</v>
      </c>
      <c r="H38" s="2">
        <v>4.8757170172084099E-2</v>
      </c>
      <c r="I38" s="29">
        <v>1.6415302556556901E-2</v>
      </c>
    </row>
    <row r="39" spans="1:9" ht="15" customHeight="1" x14ac:dyDescent="0.35">
      <c r="A39" s="28">
        <v>45534</v>
      </c>
      <c r="B39" t="s">
        <v>668</v>
      </c>
      <c r="C39" t="s">
        <v>10</v>
      </c>
      <c r="D39" s="1">
        <v>2405401</v>
      </c>
      <c r="E39" s="1">
        <v>773136</v>
      </c>
      <c r="F39" s="2">
        <v>0.32141667854964701</v>
      </c>
      <c r="G39" s="1">
        <v>9926</v>
      </c>
      <c r="H39" s="2">
        <v>1.28386208894683E-2</v>
      </c>
      <c r="I39" s="29">
        <v>4.1265468834510302E-3</v>
      </c>
    </row>
    <row r="40" spans="1:9" ht="15" customHeight="1" x14ac:dyDescent="0.35">
      <c r="A40" s="28">
        <v>45534</v>
      </c>
      <c r="B40" t="s">
        <v>668</v>
      </c>
      <c r="C40" t="s">
        <v>464</v>
      </c>
      <c r="D40" s="1">
        <v>2410751</v>
      </c>
      <c r="E40" s="1">
        <v>775714</v>
      </c>
      <c r="F40" s="2">
        <v>0.32177275877931799</v>
      </c>
      <c r="G40" s="1">
        <v>10274</v>
      </c>
      <c r="H40" s="2">
        <v>1.3244572097448301E-2</v>
      </c>
      <c r="I40" s="29">
        <v>4.2617425026475197E-3</v>
      </c>
    </row>
    <row r="41" spans="1:9" ht="15" customHeight="1" x14ac:dyDescent="0.35">
      <c r="A41" s="28">
        <v>45534</v>
      </c>
      <c r="B41" t="s">
        <v>668</v>
      </c>
      <c r="C41" t="s">
        <v>11</v>
      </c>
      <c r="D41" s="1">
        <v>154742</v>
      </c>
      <c r="E41" s="1">
        <v>44944</v>
      </c>
      <c r="F41" s="2">
        <v>0.290444740277365</v>
      </c>
      <c r="G41" s="1">
        <v>870</v>
      </c>
      <c r="H41" s="2">
        <v>1.9357422570309701E-2</v>
      </c>
      <c r="I41" s="29">
        <v>5.6222615708728099E-3</v>
      </c>
    </row>
    <row r="42" spans="1:9" x14ac:dyDescent="0.35">
      <c r="A42" s="28">
        <v>45534</v>
      </c>
      <c r="B42" t="s">
        <v>668</v>
      </c>
      <c r="C42" t="s">
        <v>466</v>
      </c>
      <c r="D42" s="1">
        <v>154575</v>
      </c>
      <c r="E42" s="1">
        <v>45161</v>
      </c>
      <c r="F42" s="2">
        <v>0.29216238072133299</v>
      </c>
      <c r="G42" s="1">
        <v>898</v>
      </c>
      <c r="H42" s="2">
        <v>1.9884413542658502E-2</v>
      </c>
      <c r="I42" s="29">
        <v>5.8094775998706102E-3</v>
      </c>
    </row>
    <row r="43" spans="1:9" x14ac:dyDescent="0.35">
      <c r="A43" s="28">
        <v>45538</v>
      </c>
      <c r="B43" t="s">
        <v>676</v>
      </c>
      <c r="C43" t="s">
        <v>10</v>
      </c>
      <c r="D43" s="1">
        <v>1371385</v>
      </c>
      <c r="E43" s="1">
        <v>408583</v>
      </c>
      <c r="F43" s="2">
        <v>0.29793456979622801</v>
      </c>
      <c r="G43" s="1">
        <v>9832</v>
      </c>
      <c r="H43" s="2">
        <v>2.40636541412638E-2</v>
      </c>
      <c r="I43" s="29">
        <v>7.1693944443026597E-3</v>
      </c>
    </row>
    <row r="44" spans="1:9" ht="15" customHeight="1" x14ac:dyDescent="0.35">
      <c r="A44" s="28">
        <v>45538</v>
      </c>
      <c r="B44" t="s">
        <v>676</v>
      </c>
      <c r="C44" t="s">
        <v>11</v>
      </c>
      <c r="D44" s="1">
        <v>93362</v>
      </c>
      <c r="E44" s="1">
        <v>28591</v>
      </c>
      <c r="F44" s="2">
        <v>0.30623808401705199</v>
      </c>
      <c r="G44" s="1">
        <v>1228</v>
      </c>
      <c r="H44" s="2">
        <v>4.2950578853485397E-2</v>
      </c>
      <c r="I44" s="29">
        <v>1.31531029755147E-2</v>
      </c>
    </row>
    <row r="45" spans="1:9" ht="16" thickBot="1" x14ac:dyDescent="0.4">
      <c r="A45" s="36" t="s">
        <v>35</v>
      </c>
      <c r="B45" s="4"/>
      <c r="C45" s="4"/>
      <c r="D45" s="33">
        <f>SUM(D37:D44)</f>
        <v>7002481</v>
      </c>
      <c r="E45" s="33">
        <f>SUM(E37:E44)</f>
        <v>2221225</v>
      </c>
      <c r="F45" s="34">
        <f>AVERAGE(F37:F44)</f>
        <v>0.3149303538439569</v>
      </c>
      <c r="G45" s="33">
        <f>SUM(G37:G44)</f>
        <v>36581</v>
      </c>
      <c r="H45" s="34">
        <f>AVERAGE(H37:H44)</f>
        <v>2.5536730314786184E-2</v>
      </c>
      <c r="I45" s="35">
        <f>AVERAGE(I37:I44)</f>
        <v>8.0927314064771841E-3</v>
      </c>
    </row>
    <row r="46" spans="1:9" ht="3" customHeight="1" thickBot="1" x14ac:dyDescent="0.4">
      <c r="A46" s="141"/>
      <c r="B46" s="142"/>
      <c r="C46" s="142"/>
      <c r="D46" s="142"/>
      <c r="E46" s="142"/>
      <c r="F46" s="142"/>
      <c r="G46" s="142"/>
      <c r="H46" s="142"/>
      <c r="I46" s="143"/>
    </row>
    <row r="47" spans="1:9" x14ac:dyDescent="0.35">
      <c r="A47" s="16" t="s">
        <v>37</v>
      </c>
      <c r="B47" s="17"/>
      <c r="C47" s="17"/>
      <c r="D47" s="17"/>
      <c r="E47" s="17"/>
      <c r="F47" s="17"/>
      <c r="G47" s="17"/>
      <c r="H47" s="17"/>
      <c r="I47" s="18"/>
    </row>
    <row r="48" spans="1:9" x14ac:dyDescent="0.35">
      <c r="A48" s="8">
        <v>45534</v>
      </c>
      <c r="B48" t="s">
        <v>669</v>
      </c>
      <c r="C48" t="s">
        <v>10</v>
      </c>
      <c r="D48" s="1">
        <v>56210</v>
      </c>
      <c r="E48" s="1">
        <v>18687</v>
      </c>
      <c r="F48" s="2">
        <v>0.33244974203878302</v>
      </c>
      <c r="G48" s="1">
        <v>246</v>
      </c>
      <c r="H48" s="2">
        <v>1.31642318189115E-2</v>
      </c>
      <c r="I48" s="9">
        <v>4.3764454723358801E-3</v>
      </c>
    </row>
    <row r="49" spans="1:9" x14ac:dyDescent="0.35">
      <c r="A49" s="8">
        <v>45534</v>
      </c>
      <c r="B49" t="s">
        <v>670</v>
      </c>
      <c r="C49" t="s">
        <v>10</v>
      </c>
      <c r="D49" s="1">
        <v>254728</v>
      </c>
      <c r="E49" s="1">
        <v>84126</v>
      </c>
      <c r="F49" s="2">
        <v>0.330258157721177</v>
      </c>
      <c r="G49" s="1">
        <v>1204</v>
      </c>
      <c r="H49" s="2">
        <v>1.4311865535030799E-2</v>
      </c>
      <c r="I49" s="9">
        <v>4.7266103451524804E-3</v>
      </c>
    </row>
    <row r="50" spans="1:9" x14ac:dyDescent="0.35">
      <c r="A50" s="8">
        <v>45534</v>
      </c>
      <c r="B50" t="s">
        <v>671</v>
      </c>
      <c r="C50" t="s">
        <v>10</v>
      </c>
      <c r="D50" s="1">
        <v>114863</v>
      </c>
      <c r="E50" s="1">
        <v>38910</v>
      </c>
      <c r="F50" s="2">
        <v>0.33875138208126199</v>
      </c>
      <c r="G50" s="1">
        <v>417</v>
      </c>
      <c r="H50" s="2">
        <v>1.0717039321511201E-2</v>
      </c>
      <c r="I50" s="9">
        <v>3.6304118819811401E-3</v>
      </c>
    </row>
    <row r="51" spans="1:9" x14ac:dyDescent="0.35">
      <c r="A51" s="8">
        <v>45534</v>
      </c>
      <c r="B51" t="s">
        <v>672</v>
      </c>
      <c r="C51" t="s">
        <v>673</v>
      </c>
      <c r="D51" s="1">
        <v>10985</v>
      </c>
      <c r="E51" s="1">
        <v>3952</v>
      </c>
      <c r="F51" s="2">
        <v>0.35976331360946701</v>
      </c>
      <c r="G51" s="1">
        <v>57</v>
      </c>
      <c r="H51" s="2">
        <v>1.44230769230769E-2</v>
      </c>
      <c r="I51" s="9">
        <v>5.1888939462904002E-3</v>
      </c>
    </row>
    <row r="52" spans="1:9" x14ac:dyDescent="0.35">
      <c r="A52" s="8">
        <v>45534</v>
      </c>
      <c r="B52" t="s">
        <v>672</v>
      </c>
      <c r="C52" t="s">
        <v>674</v>
      </c>
      <c r="D52" s="1">
        <v>230819</v>
      </c>
      <c r="E52" s="1">
        <v>91117</v>
      </c>
      <c r="F52" s="2">
        <v>0.39475519779567497</v>
      </c>
      <c r="G52" s="1">
        <v>689</v>
      </c>
      <c r="H52" s="2">
        <v>7.5617063775146199E-3</v>
      </c>
      <c r="I52" s="9">
        <v>2.9850228967286101E-3</v>
      </c>
    </row>
    <row r="53" spans="1:9" x14ac:dyDescent="0.35">
      <c r="A53" s="8">
        <v>45536</v>
      </c>
      <c r="B53" t="s">
        <v>675</v>
      </c>
      <c r="C53" t="s">
        <v>104</v>
      </c>
      <c r="D53" s="1">
        <v>253057</v>
      </c>
      <c r="E53" s="1">
        <v>86298</v>
      </c>
      <c r="F53" s="2">
        <v>0.34102198318955801</v>
      </c>
      <c r="G53" s="1">
        <v>1824</v>
      </c>
      <c r="H53" s="2">
        <v>2.11360634081902E-2</v>
      </c>
      <c r="I53" s="9">
        <v>7.2078622602812798E-3</v>
      </c>
    </row>
    <row r="54" spans="1:9" x14ac:dyDescent="0.35">
      <c r="A54" s="8">
        <v>45539</v>
      </c>
      <c r="B54" t="s">
        <v>677</v>
      </c>
      <c r="C54" t="s">
        <v>678</v>
      </c>
      <c r="D54" s="1">
        <v>55875</v>
      </c>
      <c r="E54" s="1">
        <v>25647</v>
      </c>
      <c r="F54" s="2">
        <v>0.45900671140939597</v>
      </c>
      <c r="G54" s="1">
        <v>296</v>
      </c>
      <c r="H54" s="2">
        <v>1.15413108745662E-2</v>
      </c>
      <c r="I54" s="9">
        <v>5.2975391498881396E-3</v>
      </c>
    </row>
    <row r="55" spans="1:9" x14ac:dyDescent="0.35">
      <c r="A55" s="8">
        <v>45539</v>
      </c>
      <c r="B55" t="s">
        <v>677</v>
      </c>
      <c r="C55" t="s">
        <v>679</v>
      </c>
      <c r="D55" s="1">
        <v>66</v>
      </c>
      <c r="E55" s="1">
        <v>28</v>
      </c>
      <c r="F55" s="2">
        <v>0.42424242424242398</v>
      </c>
      <c r="G55" s="1">
        <v>0</v>
      </c>
      <c r="H55" s="2">
        <v>0</v>
      </c>
      <c r="I55" s="9">
        <v>0</v>
      </c>
    </row>
    <row r="56" spans="1:9" ht="15" customHeight="1" x14ac:dyDescent="0.35">
      <c r="A56" s="8">
        <v>45539</v>
      </c>
      <c r="B56" t="s">
        <v>677</v>
      </c>
      <c r="C56" t="s">
        <v>680</v>
      </c>
      <c r="D56" s="1">
        <v>55662</v>
      </c>
      <c r="E56" s="1">
        <v>25688</v>
      </c>
      <c r="F56" s="2">
        <v>0.46149976644748703</v>
      </c>
      <c r="G56" s="1">
        <v>321</v>
      </c>
      <c r="H56" s="2">
        <v>1.2496107131734701E-2</v>
      </c>
      <c r="I56" s="9">
        <v>5.7669505227983201E-3</v>
      </c>
    </row>
    <row r="57" spans="1:9" ht="15" customHeight="1" x14ac:dyDescent="0.35">
      <c r="A57" s="8">
        <v>45539</v>
      </c>
      <c r="B57" t="s">
        <v>677</v>
      </c>
      <c r="C57" t="s">
        <v>681</v>
      </c>
      <c r="D57" s="1">
        <v>77</v>
      </c>
      <c r="E57" s="1">
        <v>26</v>
      </c>
      <c r="F57" s="2">
        <v>0.337662337662338</v>
      </c>
      <c r="G57" s="1">
        <v>0</v>
      </c>
      <c r="H57" s="2">
        <v>0</v>
      </c>
      <c r="I57" s="9">
        <v>0</v>
      </c>
    </row>
    <row r="58" spans="1:9" ht="15" customHeight="1" x14ac:dyDescent="0.35">
      <c r="A58" s="8">
        <v>45539</v>
      </c>
      <c r="B58" t="s">
        <v>682</v>
      </c>
      <c r="C58" t="s">
        <v>10</v>
      </c>
      <c r="D58" s="1">
        <v>55297</v>
      </c>
      <c r="E58" s="1">
        <v>18702</v>
      </c>
      <c r="F58" s="2">
        <v>0.33821002947718698</v>
      </c>
      <c r="G58" s="1">
        <v>195</v>
      </c>
      <c r="H58" s="2">
        <v>1.0426692332370899E-2</v>
      </c>
      <c r="I58" s="9">
        <v>3.5264119210807101E-3</v>
      </c>
    </row>
    <row r="59" spans="1:9" ht="15" customHeight="1" x14ac:dyDescent="0.35">
      <c r="A59" s="8">
        <v>45539</v>
      </c>
      <c r="B59" t="s">
        <v>683</v>
      </c>
      <c r="C59" t="s">
        <v>10</v>
      </c>
      <c r="D59" s="1">
        <v>86818</v>
      </c>
      <c r="E59" s="1">
        <v>32597</v>
      </c>
      <c r="F59" s="2">
        <v>0.37546361353636298</v>
      </c>
      <c r="G59" s="1">
        <v>3254</v>
      </c>
      <c r="H59" s="2">
        <v>9.9825137282572002E-2</v>
      </c>
      <c r="I59" s="9">
        <v>3.7480706765878002E-2</v>
      </c>
    </row>
    <row r="60" spans="1:9" x14ac:dyDescent="0.35">
      <c r="A60" s="8">
        <v>45539</v>
      </c>
      <c r="B60" t="s">
        <v>683</v>
      </c>
      <c r="C60" t="s">
        <v>11</v>
      </c>
      <c r="D60" s="1">
        <v>9611</v>
      </c>
      <c r="E60" s="1">
        <v>3417</v>
      </c>
      <c r="F60" s="2">
        <v>0.35553012173551102</v>
      </c>
      <c r="G60" s="1">
        <v>506</v>
      </c>
      <c r="H60" s="2">
        <v>0.14808311384255199</v>
      </c>
      <c r="I60" s="9">
        <v>5.2648007491416099E-2</v>
      </c>
    </row>
    <row r="61" spans="1:9" x14ac:dyDescent="0.35">
      <c r="A61" s="8">
        <v>45540</v>
      </c>
      <c r="B61" t="s">
        <v>684</v>
      </c>
      <c r="C61" t="s">
        <v>10</v>
      </c>
      <c r="D61" s="1">
        <v>6459600</v>
      </c>
      <c r="E61" s="1">
        <v>2165193</v>
      </c>
      <c r="F61" s="2">
        <v>0.33518994984209499</v>
      </c>
      <c r="G61" s="1">
        <v>101884</v>
      </c>
      <c r="H61" s="2">
        <v>4.7055389519548602E-2</v>
      </c>
      <c r="I61" s="9">
        <v>1.5772493652857801E-2</v>
      </c>
    </row>
    <row r="62" spans="1:9" x14ac:dyDescent="0.35">
      <c r="A62" s="8">
        <v>45540</v>
      </c>
      <c r="B62" t="s">
        <v>684</v>
      </c>
      <c r="C62" t="s">
        <v>11</v>
      </c>
      <c r="D62" s="1">
        <v>417206</v>
      </c>
      <c r="E62" s="1">
        <v>137653</v>
      </c>
      <c r="F62" s="2">
        <v>0.329940125501551</v>
      </c>
      <c r="G62" s="1">
        <v>8797</v>
      </c>
      <c r="H62" s="2">
        <v>6.39070706777186E-2</v>
      </c>
      <c r="I62" s="9">
        <v>2.1085506919843001E-2</v>
      </c>
    </row>
    <row r="63" spans="1:9" x14ac:dyDescent="0.35">
      <c r="A63" s="8">
        <v>45540</v>
      </c>
      <c r="B63" t="s">
        <v>685</v>
      </c>
      <c r="C63" t="s">
        <v>74</v>
      </c>
      <c r="D63" s="1">
        <v>512</v>
      </c>
      <c r="E63" s="1">
        <v>200</v>
      </c>
      <c r="F63" s="2">
        <v>0.390625</v>
      </c>
      <c r="G63" s="1">
        <v>1</v>
      </c>
      <c r="H63" s="2">
        <v>5.0000000000000001E-3</v>
      </c>
      <c r="I63" s="9">
        <v>1.953125E-3</v>
      </c>
    </row>
    <row r="64" spans="1:9" ht="15" customHeight="1" x14ac:dyDescent="0.35">
      <c r="A64" s="8">
        <v>45540</v>
      </c>
      <c r="B64" t="s">
        <v>685</v>
      </c>
      <c r="C64" t="s">
        <v>72</v>
      </c>
      <c r="D64" s="1">
        <v>9892</v>
      </c>
      <c r="E64" s="1">
        <v>4081</v>
      </c>
      <c r="F64" s="2">
        <v>0.41255560048524098</v>
      </c>
      <c r="G64" s="1">
        <v>47</v>
      </c>
      <c r="H64" s="2">
        <v>1.15167851016908E-2</v>
      </c>
      <c r="I64" s="9">
        <v>4.7513141932875097E-3</v>
      </c>
    </row>
    <row r="65" spans="1:9" ht="15" customHeight="1" x14ac:dyDescent="0.35">
      <c r="A65" s="8">
        <v>45540</v>
      </c>
      <c r="B65" t="s">
        <v>685</v>
      </c>
      <c r="C65" t="s">
        <v>75</v>
      </c>
      <c r="D65" s="1">
        <v>161</v>
      </c>
      <c r="E65" s="1">
        <v>48</v>
      </c>
      <c r="F65" s="2">
        <v>0.29813664596273298</v>
      </c>
      <c r="G65" s="1">
        <v>0</v>
      </c>
      <c r="H65" s="2">
        <v>0</v>
      </c>
      <c r="I65" s="9">
        <v>0</v>
      </c>
    </row>
    <row r="66" spans="1:9" ht="15" customHeight="1" x14ac:dyDescent="0.35">
      <c r="A66" s="8">
        <v>45540</v>
      </c>
      <c r="B66" t="s">
        <v>685</v>
      </c>
      <c r="C66" t="s">
        <v>73</v>
      </c>
      <c r="D66" s="1">
        <v>3053</v>
      </c>
      <c r="E66" s="1">
        <v>983</v>
      </c>
      <c r="F66" s="2">
        <v>0.32197838191942402</v>
      </c>
      <c r="G66" s="1">
        <v>8</v>
      </c>
      <c r="H66" s="2">
        <v>8.1383519837232993E-3</v>
      </c>
      <c r="I66" s="9">
        <v>2.6203734032099598E-3</v>
      </c>
    </row>
    <row r="67" spans="1:9" ht="15" customHeight="1" x14ac:dyDescent="0.35">
      <c r="A67" s="8">
        <v>45540</v>
      </c>
      <c r="B67" t="s">
        <v>686</v>
      </c>
      <c r="C67" t="s">
        <v>355</v>
      </c>
      <c r="D67" s="1">
        <v>801647</v>
      </c>
      <c r="E67" s="1">
        <v>281491</v>
      </c>
      <c r="F67" s="2">
        <v>0.35114083879812402</v>
      </c>
      <c r="G67" s="1">
        <v>4807</v>
      </c>
      <c r="H67" s="2">
        <v>1.7076922530382899E-2</v>
      </c>
      <c r="I67" s="9">
        <v>5.9964049014092202E-3</v>
      </c>
    </row>
    <row r="68" spans="1:9" x14ac:dyDescent="0.35">
      <c r="A68" s="8">
        <v>45540</v>
      </c>
      <c r="B68" t="s">
        <v>686</v>
      </c>
      <c r="C68" t="s">
        <v>356</v>
      </c>
      <c r="D68" s="1">
        <v>41102</v>
      </c>
      <c r="E68" s="1">
        <v>14566</v>
      </c>
      <c r="F68" s="2">
        <v>0.354386647851686</v>
      </c>
      <c r="G68" s="1">
        <v>512</v>
      </c>
      <c r="H68" s="2">
        <v>3.5150350130440801E-2</v>
      </c>
      <c r="I68" s="9">
        <v>1.245681475354E-2</v>
      </c>
    </row>
    <row r="69" spans="1:9" ht="16" thickBot="1" x14ac:dyDescent="0.4">
      <c r="A69" s="36" t="s">
        <v>35</v>
      </c>
      <c r="B69" s="4"/>
      <c r="C69" s="4"/>
      <c r="D69" s="33">
        <f>SUM(D48:D68)</f>
        <v>8917241</v>
      </c>
      <c r="E69" s="33">
        <f>SUM(E48:E68)</f>
        <v>3033410</v>
      </c>
      <c r="F69" s="34">
        <f>AVERAGE(F48:F68)</f>
        <v>0.36393180815749915</v>
      </c>
      <c r="G69" s="33">
        <f>SUM(G48:G68)</f>
        <v>125065</v>
      </c>
      <c r="H69" s="34">
        <f>AVERAGE(H48:H68)</f>
        <v>2.6263391180549333E-2</v>
      </c>
      <c r="I69" s="35">
        <f>AVERAGE(I48:I68)</f>
        <v>9.4033759751418339E-3</v>
      </c>
    </row>
    <row r="70" spans="1:9" ht="3" customHeight="1" thickBot="1" x14ac:dyDescent="0.4">
      <c r="A70" s="139"/>
      <c r="B70" s="138"/>
      <c r="C70" s="138"/>
      <c r="D70" s="138"/>
      <c r="E70" s="138"/>
      <c r="F70" s="138"/>
      <c r="G70" s="138"/>
      <c r="H70" s="138"/>
      <c r="I70" s="140"/>
    </row>
    <row r="71" spans="1:9" x14ac:dyDescent="0.35">
      <c r="A71" s="16" t="s">
        <v>38</v>
      </c>
      <c r="B71" s="17"/>
      <c r="C71" s="17"/>
      <c r="D71" s="17"/>
      <c r="E71" s="17"/>
      <c r="F71" s="17"/>
      <c r="G71" s="17"/>
      <c r="H71" s="17"/>
      <c r="I71" s="18"/>
    </row>
    <row r="72" spans="1:9" x14ac:dyDescent="0.35">
      <c r="A72" s="8">
        <v>45540</v>
      </c>
      <c r="B72" t="s">
        <v>664</v>
      </c>
      <c r="C72" t="s">
        <v>234</v>
      </c>
      <c r="D72" s="1">
        <v>388217</v>
      </c>
      <c r="E72" s="1">
        <v>129176</v>
      </c>
      <c r="F72" s="3">
        <v>0.3327</v>
      </c>
      <c r="G72">
        <v>837</v>
      </c>
      <c r="H72" s="3">
        <v>6.4999999999999997E-3</v>
      </c>
      <c r="I72" s="11">
        <v>2.2000000000000001E-3</v>
      </c>
    </row>
    <row r="73" spans="1:9" x14ac:dyDescent="0.35">
      <c r="A73" s="8">
        <v>45540</v>
      </c>
      <c r="B73" t="s">
        <v>665</v>
      </c>
      <c r="C73" t="s">
        <v>235</v>
      </c>
      <c r="D73" s="1">
        <v>21822</v>
      </c>
      <c r="E73" s="1">
        <v>6973</v>
      </c>
      <c r="F73" s="3">
        <v>0.31950000000000001</v>
      </c>
      <c r="G73">
        <v>85</v>
      </c>
      <c r="H73" s="3">
        <v>1.2200000000000001E-2</v>
      </c>
      <c r="I73" s="11">
        <v>3.8999999999999998E-3</v>
      </c>
    </row>
    <row r="74" spans="1:9" ht="16" thickBot="1" x14ac:dyDescent="0.4">
      <c r="A74" s="36" t="s">
        <v>35</v>
      </c>
      <c r="B74" s="4"/>
      <c r="C74" s="4"/>
      <c r="D74" s="33">
        <f>SUM(D72:D73)</f>
        <v>410039</v>
      </c>
      <c r="E74" s="33">
        <f>SUM(E72:E73)</f>
        <v>136149</v>
      </c>
      <c r="F74" s="34">
        <f>AVERAGE(F72:F73)</f>
        <v>0.3261</v>
      </c>
      <c r="G74" s="33">
        <f>SUM(G72:G73)</f>
        <v>922</v>
      </c>
      <c r="H74" s="34">
        <f>AVERAGE(H72:H73)</f>
        <v>9.3500000000000007E-3</v>
      </c>
      <c r="I74" s="35">
        <f>AVERAGE(I72:I73)</f>
        <v>3.0499999999999998E-3</v>
      </c>
    </row>
  </sheetData>
  <mergeCells count="3">
    <mergeCell ref="A34:I34"/>
    <mergeCell ref="A46:I46"/>
    <mergeCell ref="A70:I70"/>
  </mergeCells>
  <pageMargins left="0.7" right="0.7" top="0.75" bottom="0.75" header="0.3" footer="0.3"/>
  <ignoredErrors>
    <ignoredError sqref="F33:G33 F45:G45 F69:G69 F74:G74" formula="1"/>
  </ignoredErrors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829A-B7F3-4C0E-A0F2-00624F3F2735}">
  <dimension ref="A1:I60"/>
  <sheetViews>
    <sheetView topLeftCell="A18" workbookViewId="0">
      <selection activeCell="B9" sqref="B9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45541</v>
      </c>
      <c r="B2" t="s">
        <v>687</v>
      </c>
      <c r="C2" t="s">
        <v>10</v>
      </c>
      <c r="D2" s="1">
        <v>254111</v>
      </c>
      <c r="E2" s="1">
        <v>89749</v>
      </c>
      <c r="F2" s="2">
        <v>0.35318817367213501</v>
      </c>
      <c r="G2" s="1">
        <v>987</v>
      </c>
      <c r="H2" s="2">
        <v>1.09973370176826E-2</v>
      </c>
      <c r="I2" s="2">
        <v>3.8841293765323002E-3</v>
      </c>
    </row>
    <row r="3" spans="1:9" x14ac:dyDescent="0.35">
      <c r="A3" s="19">
        <v>45541</v>
      </c>
      <c r="B3" t="s">
        <v>688</v>
      </c>
      <c r="C3" t="s">
        <v>10</v>
      </c>
      <c r="D3" s="1">
        <v>389137</v>
      </c>
      <c r="E3" s="1">
        <v>141922</v>
      </c>
      <c r="F3" s="2">
        <v>0.36470960098885502</v>
      </c>
      <c r="G3" s="1">
        <v>3126</v>
      </c>
      <c r="H3" s="2">
        <v>2.2026183396513601E-2</v>
      </c>
      <c r="I3" s="2">
        <v>8.0331605578498107E-3</v>
      </c>
    </row>
    <row r="4" spans="1:9" x14ac:dyDescent="0.35">
      <c r="A4" s="19">
        <v>45541</v>
      </c>
      <c r="B4" t="s">
        <v>689</v>
      </c>
      <c r="C4" t="s">
        <v>10</v>
      </c>
      <c r="D4" s="1">
        <v>2402981</v>
      </c>
      <c r="E4" s="1">
        <v>788178</v>
      </c>
      <c r="F4" s="2">
        <v>0.328000096546748</v>
      </c>
      <c r="G4" s="1">
        <v>10892</v>
      </c>
      <c r="H4" s="2">
        <v>1.3819213426408799E-2</v>
      </c>
      <c r="I4" s="2">
        <v>4.5327033380621797E-3</v>
      </c>
    </row>
    <row r="5" spans="1:9" x14ac:dyDescent="0.35">
      <c r="A5" s="19">
        <v>45541</v>
      </c>
      <c r="B5" t="s">
        <v>689</v>
      </c>
      <c r="C5" t="s">
        <v>690</v>
      </c>
      <c r="D5" s="1">
        <v>2400502</v>
      </c>
      <c r="E5" s="1">
        <v>785938</v>
      </c>
      <c r="F5" s="2">
        <v>0.32740568431103201</v>
      </c>
      <c r="G5" s="1">
        <v>11085</v>
      </c>
      <c r="H5" s="2">
        <v>1.4104165977469E-2</v>
      </c>
      <c r="I5" s="2">
        <v>4.6177841134896003E-3</v>
      </c>
    </row>
    <row r="6" spans="1:9" x14ac:dyDescent="0.35">
      <c r="A6" s="19">
        <v>45541</v>
      </c>
      <c r="B6" t="s">
        <v>689</v>
      </c>
      <c r="C6" t="s">
        <v>11</v>
      </c>
      <c r="D6" s="1">
        <v>308515</v>
      </c>
      <c r="E6" s="1">
        <v>89792</v>
      </c>
      <c r="F6" s="2">
        <v>0.29104581624880499</v>
      </c>
      <c r="G6" s="1">
        <v>1509</v>
      </c>
      <c r="H6" s="2">
        <v>1.6805506058446201E-2</v>
      </c>
      <c r="I6" s="2">
        <v>4.8911722282546999E-3</v>
      </c>
    </row>
    <row r="7" spans="1:9" x14ac:dyDescent="0.35">
      <c r="A7" s="19">
        <v>45542</v>
      </c>
      <c r="B7" t="s">
        <v>691</v>
      </c>
      <c r="C7" t="s">
        <v>10</v>
      </c>
      <c r="D7" s="1">
        <v>63699</v>
      </c>
      <c r="E7" s="1">
        <v>25784</v>
      </c>
      <c r="F7" s="2">
        <v>0.40477872494073702</v>
      </c>
      <c r="G7" s="1">
        <v>1946</v>
      </c>
      <c r="H7" s="2">
        <v>7.5473161650636097E-2</v>
      </c>
      <c r="I7" s="2">
        <v>3.0549930140190602E-2</v>
      </c>
    </row>
    <row r="8" spans="1:9" x14ac:dyDescent="0.35">
      <c r="A8" s="19">
        <v>45542</v>
      </c>
      <c r="B8" t="s">
        <v>691</v>
      </c>
      <c r="C8" t="s">
        <v>11</v>
      </c>
      <c r="D8" s="1">
        <v>7023</v>
      </c>
      <c r="E8" s="1">
        <v>3294</v>
      </c>
      <c r="F8" s="2">
        <v>0.46903032891926499</v>
      </c>
      <c r="G8" s="1">
        <v>299</v>
      </c>
      <c r="H8" s="2">
        <v>9.0771098967820305E-2</v>
      </c>
      <c r="I8" s="2">
        <v>4.2574398405239897E-2</v>
      </c>
    </row>
    <row r="9" spans="1:9" x14ac:dyDescent="0.35">
      <c r="A9" s="19">
        <v>45544</v>
      </c>
      <c r="B9" t="s">
        <v>692</v>
      </c>
      <c r="C9" t="s">
        <v>10</v>
      </c>
      <c r="D9" s="1">
        <v>302363</v>
      </c>
      <c r="E9" s="1">
        <v>120489</v>
      </c>
      <c r="F9" s="2">
        <v>0.39849121751007899</v>
      </c>
      <c r="G9" s="1">
        <v>1089</v>
      </c>
      <c r="H9" s="2">
        <v>9.0381694594527297E-3</v>
      </c>
      <c r="I9" s="2">
        <v>3.6016311519597301E-3</v>
      </c>
    </row>
    <row r="10" spans="1:9" x14ac:dyDescent="0.35">
      <c r="A10" s="19">
        <v>45544</v>
      </c>
      <c r="B10" t="s">
        <v>692</v>
      </c>
      <c r="C10" t="s">
        <v>11</v>
      </c>
      <c r="D10" s="1">
        <v>19629</v>
      </c>
      <c r="E10" s="1">
        <v>6535</v>
      </c>
      <c r="F10" s="2">
        <v>0.33292577309083499</v>
      </c>
      <c r="G10" s="1">
        <v>130</v>
      </c>
      <c r="H10" s="2">
        <v>1.9892884468247898E-2</v>
      </c>
      <c r="I10" s="2">
        <v>6.6228539405980896E-3</v>
      </c>
    </row>
    <row r="11" spans="1:9" x14ac:dyDescent="0.35">
      <c r="A11" s="19">
        <v>45544</v>
      </c>
      <c r="B11" t="s">
        <v>693</v>
      </c>
      <c r="C11" t="s">
        <v>10</v>
      </c>
      <c r="D11" s="1">
        <v>6456320</v>
      </c>
      <c r="E11" s="1">
        <v>2077272</v>
      </c>
      <c r="F11" s="2">
        <v>0.321742416732752</v>
      </c>
      <c r="G11" s="1">
        <v>19324</v>
      </c>
      <c r="H11" s="2">
        <v>9.3025853138154306E-3</v>
      </c>
      <c r="I11" s="2">
        <v>2.9930362807295799E-3</v>
      </c>
    </row>
    <row r="12" spans="1:9" x14ac:dyDescent="0.35">
      <c r="A12" s="19">
        <v>45544</v>
      </c>
      <c r="B12" t="s">
        <v>693</v>
      </c>
      <c r="C12" t="s">
        <v>11</v>
      </c>
      <c r="D12" s="1">
        <v>417010</v>
      </c>
      <c r="E12" s="1">
        <v>123704</v>
      </c>
      <c r="F12" s="2">
        <v>0.29664516438454702</v>
      </c>
      <c r="G12" s="1">
        <v>1547</v>
      </c>
      <c r="H12" s="2">
        <v>1.2505658669081E-2</v>
      </c>
      <c r="I12" s="2">
        <v>3.7097431716265799E-3</v>
      </c>
    </row>
    <row r="13" spans="1:9" x14ac:dyDescent="0.35">
      <c r="A13" s="19">
        <v>45545</v>
      </c>
      <c r="B13" t="s">
        <v>694</v>
      </c>
      <c r="C13" t="s">
        <v>10</v>
      </c>
      <c r="D13" s="1">
        <v>1366347</v>
      </c>
      <c r="E13" s="1">
        <v>408752</v>
      </c>
      <c r="F13" s="2">
        <v>0.299156802774112</v>
      </c>
      <c r="G13" s="1">
        <v>8933</v>
      </c>
      <c r="H13" s="2">
        <v>2.18543273182761E-2</v>
      </c>
      <c r="I13" s="2">
        <v>6.5378706873144201E-3</v>
      </c>
    </row>
    <row r="14" spans="1:9" x14ac:dyDescent="0.35">
      <c r="A14" s="19">
        <v>45545</v>
      </c>
      <c r="B14" t="s">
        <v>694</v>
      </c>
      <c r="C14" t="s">
        <v>11</v>
      </c>
      <c r="D14" s="1">
        <v>93028</v>
      </c>
      <c r="E14" s="1">
        <v>27748</v>
      </c>
      <c r="F14" s="2">
        <v>0.29827578793481502</v>
      </c>
      <c r="G14" s="1">
        <v>732</v>
      </c>
      <c r="H14" s="2">
        <v>2.6380279659795301E-2</v>
      </c>
      <c r="I14" s="2">
        <v>7.8685987014662194E-3</v>
      </c>
    </row>
    <row r="15" spans="1:9" x14ac:dyDescent="0.35">
      <c r="A15" s="19">
        <v>45546</v>
      </c>
      <c r="B15" t="s">
        <v>677</v>
      </c>
      <c r="C15" t="s">
        <v>695</v>
      </c>
      <c r="D15" s="1">
        <v>55215</v>
      </c>
      <c r="E15" s="1">
        <v>22608</v>
      </c>
      <c r="F15" s="2">
        <v>0.40945395273023599</v>
      </c>
      <c r="G15" s="1">
        <v>351</v>
      </c>
      <c r="H15" s="2">
        <v>1.5525477707006401E-2</v>
      </c>
      <c r="I15" s="2">
        <v>6.3569682151589204E-3</v>
      </c>
    </row>
    <row r="16" spans="1:9" x14ac:dyDescent="0.35">
      <c r="A16" s="19">
        <v>45546</v>
      </c>
      <c r="B16" t="s">
        <v>677</v>
      </c>
      <c r="C16" t="s">
        <v>696</v>
      </c>
      <c r="D16" s="1">
        <v>65</v>
      </c>
      <c r="E16" s="1">
        <v>22</v>
      </c>
      <c r="F16" s="2">
        <v>0.33846153846153798</v>
      </c>
      <c r="G16" s="1">
        <v>0</v>
      </c>
      <c r="H16" s="2">
        <v>0</v>
      </c>
      <c r="I16" s="2">
        <v>0</v>
      </c>
    </row>
    <row r="17" spans="1:9" x14ac:dyDescent="0.35">
      <c r="A17" s="19">
        <v>45546</v>
      </c>
      <c r="B17" t="s">
        <v>677</v>
      </c>
      <c r="C17" t="s">
        <v>697</v>
      </c>
      <c r="D17" s="1">
        <v>55028</v>
      </c>
      <c r="E17" s="1">
        <v>26069</v>
      </c>
      <c r="F17" s="2">
        <v>0.47374064112815301</v>
      </c>
      <c r="G17" s="1">
        <v>505</v>
      </c>
      <c r="H17" s="2">
        <v>1.9371667497794301E-2</v>
      </c>
      <c r="I17" s="2">
        <v>9.1771461801264803E-3</v>
      </c>
    </row>
    <row r="18" spans="1:9" ht="15" customHeight="1" x14ac:dyDescent="0.35">
      <c r="A18" s="19">
        <v>45546</v>
      </c>
      <c r="B18" t="s">
        <v>677</v>
      </c>
      <c r="C18" t="s">
        <v>698</v>
      </c>
      <c r="D18" s="1">
        <v>77</v>
      </c>
      <c r="E18" s="1">
        <v>23</v>
      </c>
      <c r="F18" s="2">
        <v>0.29870129870129902</v>
      </c>
      <c r="G18" s="1">
        <v>1</v>
      </c>
      <c r="H18" s="2">
        <v>4.3478260869565202E-2</v>
      </c>
      <c r="I18" s="2">
        <v>1.2987012987013E-2</v>
      </c>
    </row>
    <row r="19" spans="1:9" ht="15" customHeight="1" x14ac:dyDescent="0.35">
      <c r="A19" s="19">
        <v>45547</v>
      </c>
      <c r="B19" t="s">
        <v>699</v>
      </c>
      <c r="C19" t="s">
        <v>543</v>
      </c>
      <c r="D19" s="1">
        <v>170445</v>
      </c>
      <c r="E19" s="1">
        <v>58981</v>
      </c>
      <c r="F19" s="3">
        <v>0.34599999999999997</v>
      </c>
      <c r="G19">
        <v>197</v>
      </c>
      <c r="H19" s="3">
        <v>3.3E-3</v>
      </c>
      <c r="I19" s="3">
        <v>1.1999999999999999E-3</v>
      </c>
    </row>
    <row r="20" spans="1:9" ht="15" customHeight="1" x14ac:dyDescent="0.35">
      <c r="A20" s="19">
        <v>45547</v>
      </c>
      <c r="B20" t="s">
        <v>700</v>
      </c>
      <c r="C20" t="s">
        <v>545</v>
      </c>
      <c r="D20" s="1">
        <v>13218</v>
      </c>
      <c r="E20" s="1">
        <v>4088</v>
      </c>
      <c r="F20" s="3">
        <v>0.30930000000000002</v>
      </c>
      <c r="G20">
        <v>27</v>
      </c>
      <c r="H20" s="3">
        <v>6.6E-3</v>
      </c>
      <c r="I20" s="3">
        <v>2E-3</v>
      </c>
    </row>
    <row r="21" spans="1:9" ht="15" customHeight="1" x14ac:dyDescent="0.35">
      <c r="A21" s="19">
        <v>45547</v>
      </c>
      <c r="B21" t="s">
        <v>664</v>
      </c>
      <c r="C21" t="s">
        <v>253</v>
      </c>
      <c r="D21" s="1">
        <v>385530</v>
      </c>
      <c r="E21" s="1">
        <v>126118</v>
      </c>
      <c r="F21" s="3">
        <v>0.3271</v>
      </c>
      <c r="G21">
        <v>822</v>
      </c>
      <c r="H21" s="3">
        <v>6.4999999999999997E-3</v>
      </c>
      <c r="I21" s="3">
        <v>2.0999999999999999E-3</v>
      </c>
    </row>
    <row r="22" spans="1:9" x14ac:dyDescent="0.35">
      <c r="A22" s="19">
        <v>45547</v>
      </c>
      <c r="B22" t="s">
        <v>665</v>
      </c>
      <c r="C22" t="s">
        <v>255</v>
      </c>
      <c r="D22" s="1">
        <v>21679</v>
      </c>
      <c r="E22" s="1">
        <v>6882</v>
      </c>
      <c r="F22" s="3">
        <v>0.3175</v>
      </c>
      <c r="G22">
        <v>63</v>
      </c>
      <c r="H22" s="3">
        <v>9.1999999999999998E-3</v>
      </c>
      <c r="I22" s="3">
        <v>2.8999999999999998E-3</v>
      </c>
    </row>
    <row r="23" spans="1:9" ht="15" customHeight="1" x14ac:dyDescent="0.35">
      <c r="A23" s="19">
        <v>45547</v>
      </c>
      <c r="B23" t="s">
        <v>701</v>
      </c>
      <c r="C23" t="s">
        <v>10</v>
      </c>
      <c r="D23" s="1">
        <v>1282137</v>
      </c>
      <c r="E23" s="1">
        <v>347001</v>
      </c>
      <c r="F23" s="2">
        <v>0.27064268483009202</v>
      </c>
      <c r="G23" s="1">
        <v>4223</v>
      </c>
      <c r="H23" s="2">
        <v>1.2169993746415701E-2</v>
      </c>
      <c r="I23" s="2">
        <v>3.2937197818953801E-3</v>
      </c>
    </row>
    <row r="24" spans="1:9" x14ac:dyDescent="0.35">
      <c r="A24" s="19">
        <v>45547</v>
      </c>
      <c r="B24" t="s">
        <v>702</v>
      </c>
      <c r="C24" t="s">
        <v>10</v>
      </c>
      <c r="D24" s="1">
        <v>363512</v>
      </c>
      <c r="E24" s="1">
        <v>117443</v>
      </c>
      <c r="F24" s="2">
        <v>0.32307874293008199</v>
      </c>
      <c r="G24" s="1">
        <v>949</v>
      </c>
      <c r="H24" s="2">
        <v>8.0805156544025598E-3</v>
      </c>
      <c r="I24" s="2">
        <v>2.6106428398512301E-3</v>
      </c>
    </row>
    <row r="25" spans="1:9" x14ac:dyDescent="0.35">
      <c r="A25" s="19">
        <v>45547</v>
      </c>
      <c r="B25" t="s">
        <v>702</v>
      </c>
      <c r="C25" t="s">
        <v>11</v>
      </c>
      <c r="D25" s="1">
        <v>17993</v>
      </c>
      <c r="E25" s="1">
        <v>5263</v>
      </c>
      <c r="F25" s="2">
        <v>0.292502639915523</v>
      </c>
      <c r="G25" s="1">
        <v>54</v>
      </c>
      <c r="H25" s="2">
        <v>1.0260307809234301E-2</v>
      </c>
      <c r="I25" s="2">
        <v>3.0011671205468801E-3</v>
      </c>
    </row>
    <row r="26" spans="1:9" ht="16" thickBot="1" x14ac:dyDescent="0.4">
      <c r="A26" s="37" t="s">
        <v>35</v>
      </c>
      <c r="D26" s="31">
        <f>SUM(D2:D25)</f>
        <v>16845564</v>
      </c>
      <c r="E26" s="31">
        <f>SUM(E2:E25)</f>
        <v>5403655</v>
      </c>
      <c r="F26" s="32">
        <f>AVERAGE(F2:F25)</f>
        <v>0.34132821194798496</v>
      </c>
      <c r="G26" s="31">
        <f>SUM(G2:G25)</f>
        <v>68791</v>
      </c>
      <c r="H26" s="32">
        <f>AVERAGE(H2:H25)</f>
        <v>1.9894033111169312E-2</v>
      </c>
      <c r="I26" s="32">
        <f>AVERAGE(I2:I25)</f>
        <v>7.3351528840793984E-3</v>
      </c>
    </row>
    <row r="27" spans="1:9" ht="15" thickBot="1" x14ac:dyDescent="0.4">
      <c r="A27" s="138" t="s">
        <v>302</v>
      </c>
      <c r="B27" s="138"/>
      <c r="C27" s="138"/>
      <c r="D27" s="138"/>
      <c r="E27" s="138"/>
      <c r="F27" s="138"/>
      <c r="G27" s="138"/>
      <c r="H27" s="138"/>
      <c r="I27" s="138"/>
    </row>
    <row r="28" spans="1:9" ht="15.5" x14ac:dyDescent="0.35">
      <c r="A28" s="38" t="s">
        <v>0</v>
      </c>
      <c r="B28" s="39" t="s">
        <v>1</v>
      </c>
      <c r="C28" s="39" t="s">
        <v>2</v>
      </c>
      <c r="D28" s="39" t="s">
        <v>3</v>
      </c>
      <c r="E28" s="39" t="s">
        <v>4</v>
      </c>
      <c r="F28" s="39" t="s">
        <v>5</v>
      </c>
      <c r="G28" s="39" t="s">
        <v>6</v>
      </c>
      <c r="H28" s="39" t="s">
        <v>7</v>
      </c>
      <c r="I28" s="40" t="s">
        <v>8</v>
      </c>
    </row>
    <row r="29" spans="1:9" x14ac:dyDescent="0.35">
      <c r="A29" s="5" t="s">
        <v>36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8">
        <v>45541</v>
      </c>
      <c r="B30" t="s">
        <v>688</v>
      </c>
      <c r="C30" t="s">
        <v>10</v>
      </c>
      <c r="D30" s="1">
        <v>389137</v>
      </c>
      <c r="E30" s="1">
        <v>141922</v>
      </c>
      <c r="F30" s="2">
        <v>0.36470960098885502</v>
      </c>
      <c r="G30" s="1">
        <v>3126</v>
      </c>
      <c r="H30" s="2">
        <v>2.2026183396513601E-2</v>
      </c>
      <c r="I30" s="9">
        <v>8.0331605578498107E-3</v>
      </c>
    </row>
    <row r="31" spans="1:9" x14ac:dyDescent="0.35">
      <c r="A31" s="8">
        <v>45541</v>
      </c>
      <c r="B31" t="s">
        <v>689</v>
      </c>
      <c r="C31" t="s">
        <v>10</v>
      </c>
      <c r="D31" s="1">
        <v>2402981</v>
      </c>
      <c r="E31" s="1">
        <v>788178</v>
      </c>
      <c r="F31" s="2">
        <v>0.328000096546748</v>
      </c>
      <c r="G31" s="1">
        <v>10892</v>
      </c>
      <c r="H31" s="2">
        <v>1.3819213426408799E-2</v>
      </c>
      <c r="I31" s="9">
        <v>4.5327033380621797E-3</v>
      </c>
    </row>
    <row r="32" spans="1:9" x14ac:dyDescent="0.35">
      <c r="A32" s="8">
        <v>45541</v>
      </c>
      <c r="B32" t="s">
        <v>689</v>
      </c>
      <c r="C32" t="s">
        <v>690</v>
      </c>
      <c r="D32" s="1">
        <v>2400502</v>
      </c>
      <c r="E32" s="1">
        <v>785938</v>
      </c>
      <c r="F32" s="2">
        <v>0.32740568431103201</v>
      </c>
      <c r="G32" s="1">
        <v>11085</v>
      </c>
      <c r="H32" s="2">
        <v>1.4104165977469E-2</v>
      </c>
      <c r="I32" s="9">
        <v>4.6177841134896003E-3</v>
      </c>
    </row>
    <row r="33" spans="1:9" x14ac:dyDescent="0.35">
      <c r="A33" s="8">
        <v>45541</v>
      </c>
      <c r="B33" t="s">
        <v>689</v>
      </c>
      <c r="C33" t="s">
        <v>11</v>
      </c>
      <c r="D33" s="1">
        <v>308515</v>
      </c>
      <c r="E33" s="1">
        <v>89792</v>
      </c>
      <c r="F33" s="2">
        <v>0.29104581624880499</v>
      </c>
      <c r="G33" s="1">
        <v>1509</v>
      </c>
      <c r="H33" s="2">
        <v>1.6805506058446201E-2</v>
      </c>
      <c r="I33" s="9">
        <v>4.8911722282546999E-3</v>
      </c>
    </row>
    <row r="34" spans="1:9" x14ac:dyDescent="0.35">
      <c r="A34" s="8">
        <v>45545</v>
      </c>
      <c r="B34" t="s">
        <v>694</v>
      </c>
      <c r="C34" t="s">
        <v>10</v>
      </c>
      <c r="D34" s="1">
        <v>1366347</v>
      </c>
      <c r="E34" s="1">
        <v>408752</v>
      </c>
      <c r="F34" s="2">
        <v>0.299156802774112</v>
      </c>
      <c r="G34" s="1">
        <v>8933</v>
      </c>
      <c r="H34" s="2">
        <v>2.18543273182761E-2</v>
      </c>
      <c r="I34" s="9">
        <v>6.5378706873144201E-3</v>
      </c>
    </row>
    <row r="35" spans="1:9" x14ac:dyDescent="0.35">
      <c r="A35" s="8">
        <v>45545</v>
      </c>
      <c r="B35" t="s">
        <v>694</v>
      </c>
      <c r="C35" t="s">
        <v>11</v>
      </c>
      <c r="D35" s="1">
        <v>93028</v>
      </c>
      <c r="E35" s="1">
        <v>27748</v>
      </c>
      <c r="F35" s="2">
        <v>0.29827578793481502</v>
      </c>
      <c r="G35" s="1">
        <v>732</v>
      </c>
      <c r="H35" s="2">
        <v>2.6380279659795301E-2</v>
      </c>
      <c r="I35" s="9">
        <v>7.8685987014662194E-3</v>
      </c>
    </row>
    <row r="36" spans="1:9" ht="16" thickBot="1" x14ac:dyDescent="0.4">
      <c r="A36" s="36" t="s">
        <v>35</v>
      </c>
      <c r="B36" s="4"/>
      <c r="C36" s="4"/>
      <c r="D36" s="33">
        <f>SUM(D30:D35)</f>
        <v>6960510</v>
      </c>
      <c r="E36" s="33">
        <f>SUM(E30:E35)</f>
        <v>2242330</v>
      </c>
      <c r="F36" s="34">
        <f>AVERAGE(F30:F35)</f>
        <v>0.31809896480072786</v>
      </c>
      <c r="G36" s="33">
        <f>SUM(G30:G35)</f>
        <v>36277</v>
      </c>
      <c r="H36" s="34">
        <f>AVERAGE(H30:H35)</f>
        <v>1.9164945972818166E-2</v>
      </c>
      <c r="I36" s="35">
        <f>AVERAGE(I30:I35)</f>
        <v>6.0802149377394881E-3</v>
      </c>
    </row>
    <row r="37" spans="1:9" ht="3" customHeight="1" thickBot="1" x14ac:dyDescent="0.4">
      <c r="A37" s="141"/>
      <c r="B37" s="142"/>
      <c r="C37" s="142"/>
      <c r="D37" s="142"/>
      <c r="E37" s="142"/>
      <c r="F37" s="142"/>
      <c r="G37" s="142"/>
      <c r="H37" s="142"/>
      <c r="I37" s="143"/>
    </row>
    <row r="38" spans="1:9" x14ac:dyDescent="0.35">
      <c r="A38" s="16" t="s">
        <v>37</v>
      </c>
      <c r="B38" s="17"/>
      <c r="C38" s="17"/>
      <c r="D38" s="17"/>
      <c r="E38" s="17"/>
      <c r="F38" s="17"/>
      <c r="G38" s="17"/>
      <c r="H38" s="17"/>
      <c r="I38" s="18"/>
    </row>
    <row r="39" spans="1:9" x14ac:dyDescent="0.35">
      <c r="A39" s="8">
        <v>45541</v>
      </c>
      <c r="B39" t="s">
        <v>687</v>
      </c>
      <c r="C39" t="s">
        <v>10</v>
      </c>
      <c r="D39" s="1">
        <v>254111</v>
      </c>
      <c r="E39" s="1">
        <v>89749</v>
      </c>
      <c r="F39" s="2">
        <v>0.35318817367213501</v>
      </c>
      <c r="G39" s="1">
        <v>987</v>
      </c>
      <c r="H39" s="2">
        <v>1.09973370176826E-2</v>
      </c>
      <c r="I39" s="9">
        <v>3.8841293765323002E-3</v>
      </c>
    </row>
    <row r="40" spans="1:9" x14ac:dyDescent="0.35">
      <c r="A40" s="8">
        <v>45542</v>
      </c>
      <c r="B40" t="s">
        <v>691</v>
      </c>
      <c r="C40" t="s">
        <v>10</v>
      </c>
      <c r="D40" s="1">
        <v>63699</v>
      </c>
      <c r="E40" s="1">
        <v>25784</v>
      </c>
      <c r="F40" s="2">
        <v>0.40477872494073702</v>
      </c>
      <c r="G40" s="1">
        <v>1946</v>
      </c>
      <c r="H40" s="2">
        <v>7.5473161650636097E-2</v>
      </c>
      <c r="I40" s="9">
        <v>3.0549930140190602E-2</v>
      </c>
    </row>
    <row r="41" spans="1:9" x14ac:dyDescent="0.35">
      <c r="A41" s="8">
        <v>45542</v>
      </c>
      <c r="B41" t="s">
        <v>691</v>
      </c>
      <c r="C41" t="s">
        <v>11</v>
      </c>
      <c r="D41" s="1">
        <v>7023</v>
      </c>
      <c r="E41" s="1">
        <v>3294</v>
      </c>
      <c r="F41" s="2">
        <v>0.46903032891926499</v>
      </c>
      <c r="G41" s="1">
        <v>299</v>
      </c>
      <c r="H41" s="2">
        <v>9.0771098967820305E-2</v>
      </c>
      <c r="I41" s="9">
        <v>4.2574398405239897E-2</v>
      </c>
    </row>
    <row r="42" spans="1:9" x14ac:dyDescent="0.35">
      <c r="A42" s="8">
        <v>45544</v>
      </c>
      <c r="B42" t="s">
        <v>692</v>
      </c>
      <c r="C42" t="s">
        <v>10</v>
      </c>
      <c r="D42" s="1">
        <v>302363</v>
      </c>
      <c r="E42" s="1">
        <v>120489</v>
      </c>
      <c r="F42" s="2">
        <v>0.39849121751007899</v>
      </c>
      <c r="G42" s="1">
        <v>1089</v>
      </c>
      <c r="H42" s="2">
        <v>9.0381694594527297E-3</v>
      </c>
      <c r="I42" s="9">
        <v>3.6016311519597301E-3</v>
      </c>
    </row>
    <row r="43" spans="1:9" x14ac:dyDescent="0.35">
      <c r="A43" s="8">
        <v>45544</v>
      </c>
      <c r="B43" t="s">
        <v>692</v>
      </c>
      <c r="C43" t="s">
        <v>11</v>
      </c>
      <c r="D43" s="1">
        <v>19629</v>
      </c>
      <c r="E43" s="1">
        <v>6535</v>
      </c>
      <c r="F43" s="2">
        <v>0.33292577309083499</v>
      </c>
      <c r="G43" s="1">
        <v>130</v>
      </c>
      <c r="H43" s="2">
        <v>1.9892884468247898E-2</v>
      </c>
      <c r="I43" s="9">
        <v>6.6228539405980896E-3</v>
      </c>
    </row>
    <row r="44" spans="1:9" x14ac:dyDescent="0.35">
      <c r="A44" s="8">
        <v>45544</v>
      </c>
      <c r="B44" t="s">
        <v>693</v>
      </c>
      <c r="C44" t="s">
        <v>10</v>
      </c>
      <c r="D44" s="1">
        <v>6456320</v>
      </c>
      <c r="E44" s="1">
        <v>2077272</v>
      </c>
      <c r="F44" s="2">
        <v>0.321742416732752</v>
      </c>
      <c r="G44" s="1">
        <v>19324</v>
      </c>
      <c r="H44" s="2">
        <v>9.3025853138154306E-3</v>
      </c>
      <c r="I44" s="9">
        <v>2.9930362807295799E-3</v>
      </c>
    </row>
    <row r="45" spans="1:9" x14ac:dyDescent="0.35">
      <c r="A45" s="8">
        <v>45544</v>
      </c>
      <c r="B45" t="s">
        <v>693</v>
      </c>
      <c r="C45" t="s">
        <v>11</v>
      </c>
      <c r="D45" s="1">
        <v>417010</v>
      </c>
      <c r="E45" s="1">
        <v>123704</v>
      </c>
      <c r="F45" s="2">
        <v>0.29664516438454702</v>
      </c>
      <c r="G45" s="1">
        <v>1547</v>
      </c>
      <c r="H45" s="2">
        <v>1.2505658669081E-2</v>
      </c>
      <c r="I45" s="9">
        <v>3.7097431716265799E-3</v>
      </c>
    </row>
    <row r="46" spans="1:9" x14ac:dyDescent="0.35">
      <c r="A46" s="8">
        <v>45546</v>
      </c>
      <c r="B46" t="s">
        <v>677</v>
      </c>
      <c r="C46" t="s">
        <v>695</v>
      </c>
      <c r="D46" s="1">
        <v>55215</v>
      </c>
      <c r="E46" s="1">
        <v>22608</v>
      </c>
      <c r="F46" s="2">
        <v>0.40945395273023599</v>
      </c>
      <c r="G46" s="1">
        <v>351</v>
      </c>
      <c r="H46" s="2">
        <v>1.5525477707006401E-2</v>
      </c>
      <c r="I46" s="9">
        <v>6.3569682151589204E-3</v>
      </c>
    </row>
    <row r="47" spans="1:9" x14ac:dyDescent="0.35">
      <c r="A47" s="8">
        <v>45546</v>
      </c>
      <c r="B47" t="s">
        <v>677</v>
      </c>
      <c r="C47" t="s">
        <v>696</v>
      </c>
      <c r="D47" s="1">
        <v>65</v>
      </c>
      <c r="E47" s="1">
        <v>22</v>
      </c>
      <c r="F47" s="2">
        <v>0.33846153846153798</v>
      </c>
      <c r="G47" s="1">
        <v>0</v>
      </c>
      <c r="H47" s="2">
        <v>0</v>
      </c>
      <c r="I47" s="9">
        <v>0</v>
      </c>
    </row>
    <row r="48" spans="1:9" x14ac:dyDescent="0.35">
      <c r="A48" s="8">
        <v>45546</v>
      </c>
      <c r="B48" t="s">
        <v>677</v>
      </c>
      <c r="C48" t="s">
        <v>697</v>
      </c>
      <c r="D48" s="1">
        <v>55028</v>
      </c>
      <c r="E48" s="1">
        <v>26069</v>
      </c>
      <c r="F48" s="2">
        <v>0.47374064112815301</v>
      </c>
      <c r="G48" s="1">
        <v>505</v>
      </c>
      <c r="H48" s="2">
        <v>1.9371667497794301E-2</v>
      </c>
      <c r="I48" s="9">
        <v>9.1771461801264803E-3</v>
      </c>
    </row>
    <row r="49" spans="1:9" ht="15" customHeight="1" x14ac:dyDescent="0.35">
      <c r="A49" s="8">
        <v>45546</v>
      </c>
      <c r="B49" t="s">
        <v>677</v>
      </c>
      <c r="C49" t="s">
        <v>698</v>
      </c>
      <c r="D49" s="1">
        <v>77</v>
      </c>
      <c r="E49" s="1">
        <v>23</v>
      </c>
      <c r="F49" s="2">
        <v>0.29870129870129902</v>
      </c>
      <c r="G49" s="1">
        <v>1</v>
      </c>
      <c r="H49" s="2">
        <v>4.3478260869565202E-2</v>
      </c>
      <c r="I49" s="9">
        <v>1.2987012987013E-2</v>
      </c>
    </row>
    <row r="50" spans="1:9" ht="15" customHeight="1" x14ac:dyDescent="0.35">
      <c r="A50" s="8">
        <v>45547</v>
      </c>
      <c r="B50" t="s">
        <v>701</v>
      </c>
      <c r="C50" t="s">
        <v>10</v>
      </c>
      <c r="D50" s="1">
        <v>1282137</v>
      </c>
      <c r="E50" s="1">
        <v>347001</v>
      </c>
      <c r="F50" s="2">
        <v>0.27064268483009202</v>
      </c>
      <c r="G50" s="1">
        <v>4223</v>
      </c>
      <c r="H50" s="2">
        <v>1.2169993746415701E-2</v>
      </c>
      <c r="I50" s="9">
        <v>3.2937197818953801E-3</v>
      </c>
    </row>
    <row r="51" spans="1:9" x14ac:dyDescent="0.35">
      <c r="A51" s="8">
        <v>45547</v>
      </c>
      <c r="B51" t="s">
        <v>702</v>
      </c>
      <c r="C51" t="s">
        <v>10</v>
      </c>
      <c r="D51" s="1">
        <v>363512</v>
      </c>
      <c r="E51" s="1">
        <v>117443</v>
      </c>
      <c r="F51" s="2">
        <v>0.32307874293008199</v>
      </c>
      <c r="G51" s="1">
        <v>949</v>
      </c>
      <c r="H51" s="2">
        <v>8.0805156544025598E-3</v>
      </c>
      <c r="I51" s="9">
        <v>2.6106428398512301E-3</v>
      </c>
    </row>
    <row r="52" spans="1:9" x14ac:dyDescent="0.35">
      <c r="A52" s="8">
        <v>45547</v>
      </c>
      <c r="B52" t="s">
        <v>702</v>
      </c>
      <c r="C52" t="s">
        <v>11</v>
      </c>
      <c r="D52" s="1">
        <v>17993</v>
      </c>
      <c r="E52" s="1">
        <v>5263</v>
      </c>
      <c r="F52" s="2">
        <v>0.292502639915523</v>
      </c>
      <c r="G52" s="1">
        <v>54</v>
      </c>
      <c r="H52" s="2">
        <v>1.0260307809234301E-2</v>
      </c>
      <c r="I52" s="9">
        <v>3.0011671205468801E-3</v>
      </c>
    </row>
    <row r="53" spans="1:9" ht="16" thickBot="1" x14ac:dyDescent="0.4">
      <c r="A53" s="36" t="s">
        <v>35</v>
      </c>
      <c r="B53" s="4"/>
      <c r="C53" s="4"/>
      <c r="D53" s="33">
        <f>SUM(D39:D52)</f>
        <v>9294182</v>
      </c>
      <c r="E53" s="33">
        <f>SUM(E39:E52)</f>
        <v>2965256</v>
      </c>
      <c r="F53" s="34">
        <f>AVERAGE(F39:F52)</f>
        <v>0.35595594985337664</v>
      </c>
      <c r="G53" s="33">
        <f>SUM(G39:G52)</f>
        <v>31405</v>
      </c>
      <c r="H53" s="34">
        <f>AVERAGE(H39:H52)</f>
        <v>2.4061937059368179E-2</v>
      </c>
      <c r="I53" s="35">
        <f>AVERAGE(I39:I52)</f>
        <v>9.3830271136763344E-3</v>
      </c>
    </row>
    <row r="54" spans="1:9" ht="3" customHeight="1" thickBot="1" x14ac:dyDescent="0.4">
      <c r="A54" s="139"/>
      <c r="B54" s="138"/>
      <c r="C54" s="138"/>
      <c r="D54" s="138"/>
      <c r="E54" s="138"/>
      <c r="F54" s="138"/>
      <c r="G54" s="138"/>
      <c r="H54" s="138"/>
      <c r="I54" s="140"/>
    </row>
    <row r="55" spans="1:9" x14ac:dyDescent="0.35">
      <c r="A55" s="16" t="s">
        <v>38</v>
      </c>
      <c r="B55" s="17"/>
      <c r="C55" s="17"/>
      <c r="D55" s="17"/>
      <c r="E55" s="17"/>
      <c r="F55" s="17"/>
      <c r="G55" s="17"/>
      <c r="H55" s="17"/>
      <c r="I55" s="18"/>
    </row>
    <row r="56" spans="1:9" x14ac:dyDescent="0.35">
      <c r="A56" s="8">
        <v>45547</v>
      </c>
      <c r="B56" t="s">
        <v>699</v>
      </c>
      <c r="C56" t="s">
        <v>543</v>
      </c>
      <c r="D56" s="1">
        <v>170445</v>
      </c>
      <c r="E56" s="1">
        <v>58981</v>
      </c>
      <c r="F56" s="3">
        <v>0.34599999999999997</v>
      </c>
      <c r="G56">
        <v>197</v>
      </c>
      <c r="H56" s="3">
        <v>3.3E-3</v>
      </c>
      <c r="I56" s="11">
        <v>1.1999999999999999E-3</v>
      </c>
    </row>
    <row r="57" spans="1:9" x14ac:dyDescent="0.35">
      <c r="A57" s="8">
        <v>45547</v>
      </c>
      <c r="B57" t="s">
        <v>700</v>
      </c>
      <c r="C57" t="s">
        <v>545</v>
      </c>
      <c r="D57" s="1">
        <v>13218</v>
      </c>
      <c r="E57" s="1">
        <v>4088</v>
      </c>
      <c r="F57" s="3">
        <v>0.30930000000000002</v>
      </c>
      <c r="G57">
        <v>27</v>
      </c>
      <c r="H57" s="3">
        <v>6.6E-3</v>
      </c>
      <c r="I57" s="11">
        <v>2E-3</v>
      </c>
    </row>
    <row r="58" spans="1:9" x14ac:dyDescent="0.35">
      <c r="A58" s="8">
        <v>45547</v>
      </c>
      <c r="B58" t="s">
        <v>664</v>
      </c>
      <c r="C58" t="s">
        <v>253</v>
      </c>
      <c r="D58" s="1">
        <v>385530</v>
      </c>
      <c r="E58" s="1">
        <v>126118</v>
      </c>
      <c r="F58" s="3">
        <v>0.3271</v>
      </c>
      <c r="G58">
        <v>822</v>
      </c>
      <c r="H58" s="3">
        <v>6.4999999999999997E-3</v>
      </c>
      <c r="I58" s="11">
        <v>2.0999999999999999E-3</v>
      </c>
    </row>
    <row r="59" spans="1:9" x14ac:dyDescent="0.35">
      <c r="A59" s="8">
        <v>45547</v>
      </c>
      <c r="B59" t="s">
        <v>665</v>
      </c>
      <c r="C59" t="s">
        <v>255</v>
      </c>
      <c r="D59" s="1">
        <v>21679</v>
      </c>
      <c r="E59" s="1">
        <v>6882</v>
      </c>
      <c r="F59" s="3">
        <v>0.3175</v>
      </c>
      <c r="G59">
        <v>63</v>
      </c>
      <c r="H59" s="3">
        <v>9.1999999999999998E-3</v>
      </c>
      <c r="I59" s="11">
        <v>2.8999999999999998E-3</v>
      </c>
    </row>
    <row r="60" spans="1:9" ht="16" thickBot="1" x14ac:dyDescent="0.4">
      <c r="A60" s="36" t="s">
        <v>35</v>
      </c>
      <c r="B60" s="4"/>
      <c r="C60" s="4"/>
      <c r="D60" s="33">
        <f>SUM(D56:D59)</f>
        <v>590872</v>
      </c>
      <c r="E60" s="33">
        <f>SUM(E56:E59)</f>
        <v>196069</v>
      </c>
      <c r="F60" s="34">
        <f>AVERAGE(F56:F59)</f>
        <v>0.32497500000000001</v>
      </c>
      <c r="G60" s="33">
        <f>SUM(G56:G59)</f>
        <v>1109</v>
      </c>
      <c r="H60" s="34">
        <f>AVERAGE(H56:H59)</f>
        <v>6.3999999999999994E-3</v>
      </c>
      <c r="I60" s="35">
        <f>AVERAGE(I56:I59)</f>
        <v>2.0499999999999997E-3</v>
      </c>
    </row>
  </sheetData>
  <mergeCells count="3">
    <mergeCell ref="A27:I27"/>
    <mergeCell ref="A37:I37"/>
    <mergeCell ref="A54:I54"/>
  </mergeCells>
  <pageMargins left="0.7" right="0.7" top="0.75" bottom="0.75" header="0.3" footer="0.3"/>
  <ignoredErrors>
    <ignoredError sqref="F26:G26 F60:G60 F53:G53 F36:G36" formula="1"/>
  </ignoredErrors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795E-B150-40AF-BB16-E3D40A90DDD4}">
  <dimension ref="A1:I80"/>
  <sheetViews>
    <sheetView topLeftCell="A18" zoomScaleNormal="100" workbookViewId="0">
      <selection activeCell="D33" sqref="D33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45548</v>
      </c>
      <c r="B2" t="s">
        <v>703</v>
      </c>
      <c r="C2" t="s">
        <v>10</v>
      </c>
      <c r="D2" s="1">
        <v>386763</v>
      </c>
      <c r="E2" s="1">
        <v>137521</v>
      </c>
      <c r="F2" s="2">
        <v>0.35556917285262601</v>
      </c>
      <c r="G2" s="1">
        <v>2161</v>
      </c>
      <c r="H2" s="2">
        <v>1.5713963685546201E-2</v>
      </c>
      <c r="I2" s="2">
        <v>5.5874010699058603E-3</v>
      </c>
    </row>
    <row r="3" spans="1:9" x14ac:dyDescent="0.35">
      <c r="A3" s="19">
        <v>45548</v>
      </c>
      <c r="B3" t="s">
        <v>703</v>
      </c>
      <c r="C3" t="s">
        <v>11</v>
      </c>
      <c r="D3" s="1">
        <v>21645</v>
      </c>
      <c r="E3" s="1">
        <v>7292</v>
      </c>
      <c r="F3" s="2">
        <v>0.33689073689073701</v>
      </c>
      <c r="G3" s="1">
        <v>227</v>
      </c>
      <c r="H3" s="2">
        <v>3.1130005485463502E-2</v>
      </c>
      <c r="I3" s="2">
        <v>1.04874104874105E-2</v>
      </c>
    </row>
    <row r="4" spans="1:9" x14ac:dyDescent="0.35">
      <c r="A4" s="19">
        <v>45548</v>
      </c>
      <c r="B4" t="s">
        <v>704</v>
      </c>
      <c r="C4" t="s">
        <v>10</v>
      </c>
      <c r="D4" s="1">
        <v>2390210</v>
      </c>
      <c r="E4" s="1">
        <v>738231</v>
      </c>
      <c r="F4" s="2">
        <v>0.30885612561239401</v>
      </c>
      <c r="G4" s="1">
        <v>8343</v>
      </c>
      <c r="H4" s="2">
        <v>1.1301340637280201E-2</v>
      </c>
      <c r="I4" s="2">
        <v>3.4904882834562701E-3</v>
      </c>
    </row>
    <row r="5" spans="1:9" x14ac:dyDescent="0.35">
      <c r="A5" s="19">
        <v>45548</v>
      </c>
      <c r="B5" t="s">
        <v>704</v>
      </c>
      <c r="C5" t="s">
        <v>690</v>
      </c>
      <c r="D5" s="1">
        <v>2389065</v>
      </c>
      <c r="E5" s="1">
        <v>759580</v>
      </c>
      <c r="F5" s="2">
        <v>0.31794028207687902</v>
      </c>
      <c r="G5" s="1">
        <v>8285</v>
      </c>
      <c r="H5" s="2">
        <v>1.0907343531951901E-2</v>
      </c>
      <c r="I5" s="2">
        <v>3.4678838792581998E-3</v>
      </c>
    </row>
    <row r="6" spans="1:9" x14ac:dyDescent="0.35">
      <c r="A6" s="19">
        <v>45548</v>
      </c>
      <c r="B6" t="s">
        <v>704</v>
      </c>
      <c r="C6" t="s">
        <v>11</v>
      </c>
      <c r="D6" s="1">
        <v>153755</v>
      </c>
      <c r="E6" s="1">
        <v>38849</v>
      </c>
      <c r="F6" s="2">
        <v>0.25266820591200301</v>
      </c>
      <c r="G6" s="1">
        <v>627</v>
      </c>
      <c r="H6" s="2">
        <v>1.6139411567865299E-2</v>
      </c>
      <c r="I6" s="2">
        <v>4.0779161653279597E-3</v>
      </c>
    </row>
    <row r="7" spans="1:9" x14ac:dyDescent="0.35">
      <c r="A7" s="19">
        <v>45548</v>
      </c>
      <c r="B7" t="s">
        <v>704</v>
      </c>
      <c r="C7" t="s">
        <v>705</v>
      </c>
      <c r="D7" s="1">
        <v>153376</v>
      </c>
      <c r="E7" s="1">
        <v>39478</v>
      </c>
      <c r="F7" s="2">
        <v>0.257393594825788</v>
      </c>
      <c r="G7" s="1">
        <v>671</v>
      </c>
      <c r="H7" s="2">
        <v>1.6996808348953799E-2</v>
      </c>
      <c r="I7" s="2">
        <v>4.3748696015021901E-3</v>
      </c>
    </row>
    <row r="8" spans="1:9" x14ac:dyDescent="0.35">
      <c r="A8" s="19">
        <v>45548</v>
      </c>
      <c r="B8" t="s">
        <v>706</v>
      </c>
      <c r="C8" t="s">
        <v>85</v>
      </c>
      <c r="D8" s="1">
        <v>1638</v>
      </c>
      <c r="E8" s="1">
        <v>625</v>
      </c>
      <c r="F8" s="2">
        <v>0.38156288156288198</v>
      </c>
      <c r="G8" s="1">
        <v>10</v>
      </c>
      <c r="H8" s="2">
        <v>1.6E-2</v>
      </c>
      <c r="I8" s="2">
        <v>6.1050061050061102E-3</v>
      </c>
    </row>
    <row r="9" spans="1:9" x14ac:dyDescent="0.35">
      <c r="A9" s="19">
        <v>45548</v>
      </c>
      <c r="B9" t="s">
        <v>706</v>
      </c>
      <c r="C9" t="s">
        <v>73</v>
      </c>
      <c r="D9" s="1">
        <v>30999</v>
      </c>
      <c r="E9" s="1">
        <v>11867</v>
      </c>
      <c r="F9" s="2">
        <v>0.382818800606471</v>
      </c>
      <c r="G9" s="1">
        <v>211</v>
      </c>
      <c r="H9" s="2">
        <v>1.77803994269824E-2</v>
      </c>
      <c r="I9" s="2">
        <v>6.8066711829413897E-3</v>
      </c>
    </row>
    <row r="10" spans="1:9" x14ac:dyDescent="0.35">
      <c r="A10" s="19">
        <v>45549</v>
      </c>
      <c r="B10" t="s">
        <v>707</v>
      </c>
      <c r="C10" t="s">
        <v>10</v>
      </c>
      <c r="D10" s="1">
        <v>253302</v>
      </c>
      <c r="E10" s="1">
        <v>88745</v>
      </c>
      <c r="F10" s="2">
        <v>0.35035254360407703</v>
      </c>
      <c r="G10" s="1">
        <v>955</v>
      </c>
      <c r="H10" s="2">
        <v>1.0761169643360199E-2</v>
      </c>
      <c r="I10" s="2">
        <v>3.7702031567062198E-3</v>
      </c>
    </row>
    <row r="11" spans="1:9" x14ac:dyDescent="0.35">
      <c r="A11" s="19">
        <v>45550</v>
      </c>
      <c r="B11" t="s">
        <v>708</v>
      </c>
      <c r="C11" t="s">
        <v>10</v>
      </c>
      <c r="D11" s="1">
        <v>55632</v>
      </c>
      <c r="E11" s="1">
        <v>19087</v>
      </c>
      <c r="F11" s="2">
        <v>0.34309390278976098</v>
      </c>
      <c r="G11" s="1">
        <v>159</v>
      </c>
      <c r="H11" s="2">
        <v>8.3302771519882593E-3</v>
      </c>
      <c r="I11" s="2">
        <v>2.8580672993960298E-3</v>
      </c>
    </row>
    <row r="12" spans="1:9" x14ac:dyDescent="0.35">
      <c r="A12" s="19">
        <v>45551</v>
      </c>
      <c r="B12" t="s">
        <v>709</v>
      </c>
      <c r="C12" t="s">
        <v>11</v>
      </c>
      <c r="D12" s="1">
        <v>5955</v>
      </c>
      <c r="E12" s="1">
        <v>3899</v>
      </c>
      <c r="F12" s="2">
        <v>0.65474391267842103</v>
      </c>
      <c r="G12" s="1">
        <v>179</v>
      </c>
      <c r="H12" s="2">
        <v>4.5909207489099803E-2</v>
      </c>
      <c r="I12" s="2">
        <v>3.0058774139378699E-2</v>
      </c>
    </row>
    <row r="13" spans="1:9" x14ac:dyDescent="0.35">
      <c r="A13" s="19">
        <v>45551</v>
      </c>
      <c r="B13" t="s">
        <v>710</v>
      </c>
      <c r="C13" t="s">
        <v>10</v>
      </c>
      <c r="D13" s="1">
        <v>36256</v>
      </c>
      <c r="E13" s="1">
        <v>18017</v>
      </c>
      <c r="F13" s="2">
        <v>0.49693843777581598</v>
      </c>
      <c r="G13" s="1">
        <v>644</v>
      </c>
      <c r="H13" s="2">
        <v>3.5744019537103801E-2</v>
      </c>
      <c r="I13" s="2">
        <v>1.7762577228596602E-2</v>
      </c>
    </row>
    <row r="14" spans="1:9" x14ac:dyDescent="0.35">
      <c r="A14" s="19">
        <v>45551</v>
      </c>
      <c r="B14" t="s">
        <v>710</v>
      </c>
      <c r="C14" t="s">
        <v>11</v>
      </c>
      <c r="D14" s="1">
        <v>1684</v>
      </c>
      <c r="E14" s="1">
        <v>840</v>
      </c>
      <c r="F14" s="2">
        <v>0.49881235154394299</v>
      </c>
      <c r="G14" s="1">
        <v>75</v>
      </c>
      <c r="H14" s="2">
        <v>8.9285714285714302E-2</v>
      </c>
      <c r="I14" s="2">
        <v>4.4536817102137798E-2</v>
      </c>
    </row>
    <row r="15" spans="1:9" x14ac:dyDescent="0.35">
      <c r="A15" s="19">
        <v>45552</v>
      </c>
      <c r="B15" t="s">
        <v>711</v>
      </c>
      <c r="C15" t="s">
        <v>10</v>
      </c>
      <c r="D15" s="1">
        <v>1364349</v>
      </c>
      <c r="E15" s="1">
        <v>410623</v>
      </c>
      <c r="F15" s="2">
        <v>0.30096624837193398</v>
      </c>
      <c r="G15" s="1">
        <v>8686</v>
      </c>
      <c r="H15" s="2">
        <v>2.1153223272929199E-2</v>
      </c>
      <c r="I15" s="2">
        <v>6.3664062494273796E-3</v>
      </c>
    </row>
    <row r="16" spans="1:9" x14ac:dyDescent="0.35">
      <c r="A16" s="19">
        <v>45552</v>
      </c>
      <c r="B16" t="s">
        <v>711</v>
      </c>
      <c r="C16" t="s">
        <v>11</v>
      </c>
      <c r="D16" s="1">
        <v>93006</v>
      </c>
      <c r="E16" s="1">
        <v>28165</v>
      </c>
      <c r="F16" s="2">
        <v>0.30282992495107802</v>
      </c>
      <c r="G16" s="1">
        <v>706</v>
      </c>
      <c r="H16" s="2">
        <v>2.50665719865081E-2</v>
      </c>
      <c r="I16" s="2">
        <v>7.5909081134550504E-3</v>
      </c>
    </row>
    <row r="17" spans="1:9" x14ac:dyDescent="0.35">
      <c r="A17" s="19">
        <v>45552</v>
      </c>
      <c r="B17" t="s">
        <v>712</v>
      </c>
      <c r="C17" t="s">
        <v>10</v>
      </c>
      <c r="D17" s="1">
        <v>55096</v>
      </c>
      <c r="E17" s="1">
        <v>18947</v>
      </c>
      <c r="F17" s="2">
        <v>0.34389066356904302</v>
      </c>
      <c r="G17" s="1">
        <v>296</v>
      </c>
      <c r="H17" s="2">
        <v>1.5622525993561001E-2</v>
      </c>
      <c r="I17" s="2">
        <v>5.37244083055031E-3</v>
      </c>
    </row>
    <row r="18" spans="1:9" x14ac:dyDescent="0.35">
      <c r="A18" s="19">
        <v>45553</v>
      </c>
      <c r="B18" t="s">
        <v>713</v>
      </c>
      <c r="C18" t="s">
        <v>10</v>
      </c>
      <c r="D18" s="1">
        <v>55548</v>
      </c>
      <c r="E18" s="1">
        <v>19144</v>
      </c>
      <c r="F18" s="2">
        <v>0.34463887088644102</v>
      </c>
      <c r="G18" s="1">
        <v>215</v>
      </c>
      <c r="H18" s="2">
        <v>1.1230672795654E-2</v>
      </c>
      <c r="I18" s="2">
        <v>3.8705263915892602E-3</v>
      </c>
    </row>
    <row r="19" spans="1:9" x14ac:dyDescent="0.35">
      <c r="A19" s="19">
        <v>45553</v>
      </c>
      <c r="B19" t="s">
        <v>714</v>
      </c>
      <c r="C19" t="s">
        <v>10</v>
      </c>
      <c r="D19" s="1">
        <v>253712</v>
      </c>
      <c r="E19" s="1">
        <v>88273</v>
      </c>
      <c r="F19" s="2">
        <v>0.347925994828782</v>
      </c>
      <c r="G19" s="1">
        <v>1117</v>
      </c>
      <c r="H19" s="2">
        <v>1.26539258890034E-2</v>
      </c>
      <c r="I19" s="2">
        <v>4.4026297534212003E-3</v>
      </c>
    </row>
    <row r="20" spans="1:9" x14ac:dyDescent="0.35">
      <c r="A20" s="19">
        <v>45553</v>
      </c>
      <c r="B20" t="s">
        <v>715</v>
      </c>
      <c r="C20" t="s">
        <v>10</v>
      </c>
      <c r="D20" s="1">
        <v>461663</v>
      </c>
      <c r="E20" s="1">
        <v>160061</v>
      </c>
      <c r="F20" s="2">
        <v>0.34670528069175999</v>
      </c>
      <c r="G20" s="1">
        <v>1817</v>
      </c>
      <c r="H20" s="2">
        <v>1.1351922079707101E-2</v>
      </c>
      <c r="I20" s="2">
        <v>3.9357713310358396E-3</v>
      </c>
    </row>
    <row r="21" spans="1:9" x14ac:dyDescent="0.35">
      <c r="A21" s="19">
        <v>45553</v>
      </c>
      <c r="B21" t="s">
        <v>715</v>
      </c>
      <c r="C21" t="s">
        <v>11</v>
      </c>
      <c r="D21" s="1">
        <v>20907</v>
      </c>
      <c r="E21" s="1">
        <v>7207</v>
      </c>
      <c r="F21" s="2">
        <v>0.34471708040369298</v>
      </c>
      <c r="G21" s="1">
        <v>131</v>
      </c>
      <c r="H21" s="2">
        <v>1.81767725822117E-2</v>
      </c>
      <c r="I21" s="2">
        <v>6.2658439757019204E-3</v>
      </c>
    </row>
    <row r="22" spans="1:9" x14ac:dyDescent="0.35">
      <c r="A22" s="19">
        <v>45554</v>
      </c>
      <c r="B22" t="s">
        <v>716</v>
      </c>
      <c r="C22" t="s">
        <v>543</v>
      </c>
      <c r="D22" s="1">
        <v>341201</v>
      </c>
      <c r="E22" s="1">
        <v>115486</v>
      </c>
      <c r="F22" s="3">
        <v>0.33850000000000002</v>
      </c>
      <c r="G22">
        <v>389</v>
      </c>
      <c r="H22" s="3">
        <v>3.3999999999999998E-3</v>
      </c>
      <c r="I22" s="3">
        <v>1.1000000000000001E-3</v>
      </c>
    </row>
    <row r="23" spans="1:9" x14ac:dyDescent="0.35">
      <c r="A23" s="19">
        <v>45554</v>
      </c>
      <c r="B23" t="s">
        <v>717</v>
      </c>
      <c r="C23" t="s">
        <v>545</v>
      </c>
      <c r="D23" s="1">
        <v>16917</v>
      </c>
      <c r="E23" s="1">
        <v>5252</v>
      </c>
      <c r="F23" s="3">
        <v>0.3105</v>
      </c>
      <c r="G23">
        <v>23</v>
      </c>
      <c r="H23" s="3">
        <v>4.4000000000000003E-3</v>
      </c>
      <c r="I23" s="3">
        <v>1.4E-3</v>
      </c>
    </row>
    <row r="24" spans="1:9" x14ac:dyDescent="0.35">
      <c r="A24" s="19">
        <v>45554</v>
      </c>
      <c r="B24" t="s">
        <v>699</v>
      </c>
      <c r="C24" t="s">
        <v>234</v>
      </c>
      <c r="D24" s="1">
        <v>174143</v>
      </c>
      <c r="E24" s="1">
        <v>60437</v>
      </c>
      <c r="F24" s="3">
        <v>0.34849999999999998</v>
      </c>
      <c r="G24">
        <v>171</v>
      </c>
      <c r="H24" s="3">
        <v>2.8E-3</v>
      </c>
      <c r="I24" s="3">
        <v>1.4E-3</v>
      </c>
    </row>
    <row r="25" spans="1:9" x14ac:dyDescent="0.35">
      <c r="A25" s="45">
        <v>45554</v>
      </c>
      <c r="B25" s="46" t="s">
        <v>700</v>
      </c>
      <c r="C25" s="46" t="s">
        <v>235</v>
      </c>
      <c r="D25" s="47">
        <v>10603</v>
      </c>
      <c r="E25" s="47">
        <v>3235</v>
      </c>
      <c r="F25" s="48">
        <v>0.30630000000000002</v>
      </c>
      <c r="G25" s="47">
        <v>11</v>
      </c>
      <c r="H25" s="48">
        <v>3.3999999999999998E-3</v>
      </c>
      <c r="I25" s="48">
        <v>1.5E-3</v>
      </c>
    </row>
    <row r="26" spans="1:9" x14ac:dyDescent="0.35">
      <c r="A26" s="19">
        <v>45554</v>
      </c>
      <c r="B26" t="s">
        <v>718</v>
      </c>
      <c r="C26" t="s">
        <v>74</v>
      </c>
      <c r="D26" s="1">
        <v>16790</v>
      </c>
      <c r="E26" s="1">
        <v>5665</v>
      </c>
      <c r="F26" s="2">
        <v>0.33740321620011898</v>
      </c>
      <c r="G26" s="1">
        <v>51</v>
      </c>
      <c r="H26" s="2">
        <v>9.0026478375992893E-3</v>
      </c>
      <c r="I26" s="2">
        <v>3.03752233472305E-3</v>
      </c>
    </row>
    <row r="27" spans="1:9" x14ac:dyDescent="0.35">
      <c r="A27" s="19">
        <v>45554</v>
      </c>
      <c r="B27" t="s">
        <v>718</v>
      </c>
      <c r="C27" t="s">
        <v>72</v>
      </c>
      <c r="D27" s="1">
        <v>311652</v>
      </c>
      <c r="E27" s="1">
        <v>107179</v>
      </c>
      <c r="F27" s="2">
        <v>0.34390602338505799</v>
      </c>
      <c r="G27" s="1">
        <v>851</v>
      </c>
      <c r="H27" s="2">
        <v>7.9399882439657003E-3</v>
      </c>
      <c r="I27" s="2">
        <v>2.73060978270635E-3</v>
      </c>
    </row>
    <row r="28" spans="1:9" ht="15" customHeight="1" x14ac:dyDescent="0.35">
      <c r="A28" s="19">
        <v>45554</v>
      </c>
      <c r="B28" t="s">
        <v>718</v>
      </c>
      <c r="C28" t="s">
        <v>75</v>
      </c>
      <c r="D28" s="1">
        <v>681</v>
      </c>
      <c r="E28" s="1">
        <v>187</v>
      </c>
      <c r="F28" s="2">
        <v>0.274596182085169</v>
      </c>
      <c r="G28" s="1">
        <v>1</v>
      </c>
      <c r="H28" s="2">
        <v>5.3475935828877002E-3</v>
      </c>
      <c r="I28" s="2">
        <v>1.46842878120411E-3</v>
      </c>
    </row>
    <row r="29" spans="1:9" ht="15" customHeight="1" x14ac:dyDescent="0.35">
      <c r="A29" s="19">
        <v>45554</v>
      </c>
      <c r="B29" t="s">
        <v>718</v>
      </c>
      <c r="C29" t="s">
        <v>73</v>
      </c>
      <c r="D29" s="1">
        <v>12943</v>
      </c>
      <c r="E29" s="1">
        <v>3942</v>
      </c>
      <c r="F29" s="2">
        <v>0.304566174766283</v>
      </c>
      <c r="G29" s="1">
        <v>33</v>
      </c>
      <c r="H29" s="2">
        <v>8.3713850837138504E-3</v>
      </c>
      <c r="I29" s="2">
        <v>2.5496407324422498E-3</v>
      </c>
    </row>
    <row r="30" spans="1:9" ht="15" customHeight="1" x14ac:dyDescent="0.35">
      <c r="A30" s="19">
        <v>45554</v>
      </c>
      <c r="B30" t="s">
        <v>719</v>
      </c>
      <c r="C30" t="s">
        <v>623</v>
      </c>
      <c r="D30" s="1">
        <v>2165</v>
      </c>
      <c r="E30" s="1">
        <v>491</v>
      </c>
      <c r="F30" s="2">
        <v>0.226789838337182</v>
      </c>
      <c r="G30" s="1">
        <v>105</v>
      </c>
      <c r="H30" s="2">
        <v>0.213849287169043</v>
      </c>
      <c r="I30" s="2">
        <v>4.8498845265588897E-2</v>
      </c>
    </row>
    <row r="31" spans="1:9" ht="15" customHeight="1" x14ac:dyDescent="0.35">
      <c r="A31" s="19">
        <v>45554</v>
      </c>
      <c r="B31" t="s">
        <v>720</v>
      </c>
      <c r="C31" t="s">
        <v>625</v>
      </c>
      <c r="D31" s="1">
        <v>319</v>
      </c>
      <c r="E31" s="1">
        <v>82</v>
      </c>
      <c r="F31" s="2">
        <v>0.25705329153605</v>
      </c>
      <c r="G31" s="1">
        <v>8</v>
      </c>
      <c r="H31" s="2">
        <v>9.7560975609756101E-2</v>
      </c>
      <c r="I31" s="2">
        <v>2.5078369905956101E-2</v>
      </c>
    </row>
    <row r="32" spans="1:9" x14ac:dyDescent="0.35">
      <c r="A32" s="19">
        <v>45554</v>
      </c>
      <c r="B32" t="s">
        <v>721</v>
      </c>
      <c r="C32" t="s">
        <v>722</v>
      </c>
      <c r="D32" s="1">
        <v>111148</v>
      </c>
      <c r="E32" s="1">
        <v>42355</v>
      </c>
      <c r="F32" s="2">
        <v>0.381068485262893</v>
      </c>
      <c r="G32" s="1">
        <v>960</v>
      </c>
      <c r="H32" s="2">
        <v>2.26655648683745E-2</v>
      </c>
      <c r="I32" s="2">
        <v>8.6371324720192905E-3</v>
      </c>
    </row>
    <row r="33" spans="1:9" ht="15" customHeight="1" x14ac:dyDescent="0.35">
      <c r="A33" s="19">
        <v>45554</v>
      </c>
      <c r="B33" t="s">
        <v>721</v>
      </c>
      <c r="C33" t="s">
        <v>723</v>
      </c>
      <c r="D33" s="1">
        <v>15267</v>
      </c>
      <c r="E33" s="1">
        <v>5936</v>
      </c>
      <c r="F33" s="2">
        <v>0.38881247134342001</v>
      </c>
      <c r="G33" s="1">
        <v>298</v>
      </c>
      <c r="H33" s="2">
        <v>5.02021563342318E-2</v>
      </c>
      <c r="I33" s="2">
        <v>1.9519224471081401E-2</v>
      </c>
    </row>
    <row r="34" spans="1:9" x14ac:dyDescent="0.35">
      <c r="A34" s="19">
        <v>45554</v>
      </c>
      <c r="B34" t="s">
        <v>724</v>
      </c>
      <c r="C34" t="s">
        <v>10</v>
      </c>
      <c r="D34" s="1">
        <v>51387</v>
      </c>
      <c r="E34" s="1">
        <v>19870</v>
      </c>
      <c r="F34" s="2">
        <v>0.386673672329578</v>
      </c>
      <c r="G34" s="1">
        <v>336</v>
      </c>
      <c r="H34" s="2">
        <v>1.6909914443885302E-2</v>
      </c>
      <c r="I34" s="2">
        <v>6.5386187167960803E-3</v>
      </c>
    </row>
    <row r="35" spans="1:9" x14ac:dyDescent="0.35">
      <c r="A35" s="19">
        <v>45554</v>
      </c>
      <c r="B35" t="s">
        <v>724</v>
      </c>
      <c r="C35" t="s">
        <v>11</v>
      </c>
      <c r="D35" s="1">
        <v>1744</v>
      </c>
      <c r="E35" s="1">
        <v>688</v>
      </c>
      <c r="F35" s="2">
        <v>0.394495412844037</v>
      </c>
      <c r="G35" s="1">
        <v>22</v>
      </c>
      <c r="H35" s="2">
        <v>3.1976744186046499E-2</v>
      </c>
      <c r="I35" s="2">
        <v>1.2614678899082601E-2</v>
      </c>
    </row>
    <row r="36" spans="1:9" ht="16" thickBot="1" x14ac:dyDescent="0.4">
      <c r="A36" s="37" t="s">
        <v>35</v>
      </c>
      <c r="D36" s="31">
        <f>SUM(D2:D35)</f>
        <v>9251521</v>
      </c>
      <c r="E36" s="31">
        <f>SUM(E2:E35)</f>
        <v>2967256</v>
      </c>
      <c r="F36" s="32">
        <f>AVERAGE(F2:F35)</f>
        <v>0.34907293472130346</v>
      </c>
      <c r="G36" s="31">
        <f>SUM(G2:G35)</f>
        <v>38774</v>
      </c>
      <c r="H36" s="32">
        <f>AVERAGE(H2:H35)</f>
        <v>2.703180978677611E-2</v>
      </c>
      <c r="I36" s="32">
        <f>AVERAGE(I2:I35)</f>
        <v>9.3312259914060253E-3</v>
      </c>
    </row>
    <row r="37" spans="1:9" ht="15" thickBot="1" x14ac:dyDescent="0.4">
      <c r="A37" s="138" t="s">
        <v>302</v>
      </c>
      <c r="B37" s="138"/>
      <c r="C37" s="138"/>
      <c r="D37" s="138"/>
      <c r="E37" s="138"/>
      <c r="F37" s="138"/>
      <c r="G37" s="138"/>
      <c r="H37" s="138"/>
      <c r="I37" s="138"/>
    </row>
    <row r="38" spans="1:9" ht="15.5" x14ac:dyDescent="0.35">
      <c r="A38" s="38" t="s">
        <v>0</v>
      </c>
      <c r="B38" s="39" t="s">
        <v>1</v>
      </c>
      <c r="C38" s="39" t="s">
        <v>2</v>
      </c>
      <c r="D38" s="39" t="s">
        <v>3</v>
      </c>
      <c r="E38" s="39" t="s">
        <v>4</v>
      </c>
      <c r="F38" s="39" t="s">
        <v>5</v>
      </c>
      <c r="G38" s="39" t="s">
        <v>6</v>
      </c>
      <c r="H38" s="39" t="s">
        <v>7</v>
      </c>
      <c r="I38" s="40" t="s">
        <v>8</v>
      </c>
    </row>
    <row r="39" spans="1:9" x14ac:dyDescent="0.35">
      <c r="A39" s="5" t="s">
        <v>36</v>
      </c>
      <c r="B39" s="6"/>
      <c r="C39" s="6"/>
      <c r="D39" s="6"/>
      <c r="E39" s="6"/>
      <c r="F39" s="6"/>
      <c r="G39" s="6"/>
      <c r="H39" s="6"/>
      <c r="I39" s="7"/>
    </row>
    <row r="40" spans="1:9" x14ac:dyDescent="0.35">
      <c r="A40" s="8">
        <v>45548</v>
      </c>
      <c r="B40" t="s">
        <v>703</v>
      </c>
      <c r="C40" t="s">
        <v>10</v>
      </c>
      <c r="D40" s="1">
        <v>386763</v>
      </c>
      <c r="E40" s="1">
        <v>137521</v>
      </c>
      <c r="F40" s="2">
        <v>0.35556917285262601</v>
      </c>
      <c r="G40" s="1">
        <v>2161</v>
      </c>
      <c r="H40" s="2">
        <v>1.5713963685546201E-2</v>
      </c>
      <c r="I40" s="9">
        <v>5.5874010699058603E-3</v>
      </c>
    </row>
    <row r="41" spans="1:9" x14ac:dyDescent="0.35">
      <c r="A41" s="8">
        <v>45548</v>
      </c>
      <c r="B41" t="s">
        <v>703</v>
      </c>
      <c r="C41" t="s">
        <v>11</v>
      </c>
      <c r="D41" s="1">
        <v>21645</v>
      </c>
      <c r="E41" s="1">
        <v>7292</v>
      </c>
      <c r="F41" s="2">
        <v>0.33689073689073701</v>
      </c>
      <c r="G41" s="1">
        <v>227</v>
      </c>
      <c r="H41" s="2">
        <v>3.1130005485463502E-2</v>
      </c>
      <c r="I41" s="9">
        <v>1.04874104874105E-2</v>
      </c>
    </row>
    <row r="42" spans="1:9" x14ac:dyDescent="0.35">
      <c r="A42" s="8">
        <v>45548</v>
      </c>
      <c r="B42" t="s">
        <v>704</v>
      </c>
      <c r="C42" t="s">
        <v>10</v>
      </c>
      <c r="D42" s="1">
        <v>2390210</v>
      </c>
      <c r="E42" s="1">
        <v>738231</v>
      </c>
      <c r="F42" s="2">
        <v>0.30885612561239401</v>
      </c>
      <c r="G42" s="1">
        <v>8343</v>
      </c>
      <c r="H42" s="2">
        <v>1.1301340637280201E-2</v>
      </c>
      <c r="I42" s="9">
        <v>3.4904882834562701E-3</v>
      </c>
    </row>
    <row r="43" spans="1:9" x14ac:dyDescent="0.35">
      <c r="A43" s="8">
        <v>45548</v>
      </c>
      <c r="B43" t="s">
        <v>704</v>
      </c>
      <c r="C43" t="s">
        <v>690</v>
      </c>
      <c r="D43" s="1">
        <v>2389065</v>
      </c>
      <c r="E43" s="1">
        <v>759580</v>
      </c>
      <c r="F43" s="2">
        <v>0.31794028207687902</v>
      </c>
      <c r="G43" s="1">
        <v>8285</v>
      </c>
      <c r="H43" s="2">
        <v>1.0907343531951901E-2</v>
      </c>
      <c r="I43" s="9">
        <v>3.4678838792581998E-3</v>
      </c>
    </row>
    <row r="44" spans="1:9" x14ac:dyDescent="0.35">
      <c r="A44" s="8">
        <v>45548</v>
      </c>
      <c r="B44" t="s">
        <v>704</v>
      </c>
      <c r="C44" t="s">
        <v>11</v>
      </c>
      <c r="D44" s="1">
        <v>153755</v>
      </c>
      <c r="E44" s="1">
        <v>38849</v>
      </c>
      <c r="F44" s="2">
        <v>0.25266820591200301</v>
      </c>
      <c r="G44" s="1">
        <v>627</v>
      </c>
      <c r="H44" s="2">
        <v>1.6139411567865299E-2</v>
      </c>
      <c r="I44" s="9">
        <v>4.0779161653279597E-3</v>
      </c>
    </row>
    <row r="45" spans="1:9" x14ac:dyDescent="0.35">
      <c r="A45" s="8">
        <v>45548</v>
      </c>
      <c r="B45" t="s">
        <v>704</v>
      </c>
      <c r="C45" t="s">
        <v>705</v>
      </c>
      <c r="D45" s="1">
        <v>153376</v>
      </c>
      <c r="E45" s="1">
        <v>39478</v>
      </c>
      <c r="F45" s="2">
        <v>0.257393594825788</v>
      </c>
      <c r="G45" s="1">
        <v>671</v>
      </c>
      <c r="H45" s="2">
        <v>1.6996808348953799E-2</v>
      </c>
      <c r="I45" s="9">
        <v>4.3748696015021901E-3</v>
      </c>
    </row>
    <row r="46" spans="1:9" x14ac:dyDescent="0.35">
      <c r="A46" s="8">
        <v>45552</v>
      </c>
      <c r="B46" t="s">
        <v>711</v>
      </c>
      <c r="C46" t="s">
        <v>10</v>
      </c>
      <c r="D46" s="1">
        <v>1364349</v>
      </c>
      <c r="E46" s="1">
        <v>410623</v>
      </c>
      <c r="F46" s="2">
        <v>0.30096624837193398</v>
      </c>
      <c r="G46" s="1">
        <v>8686</v>
      </c>
      <c r="H46" s="2">
        <v>2.1153223272929199E-2</v>
      </c>
      <c r="I46" s="9">
        <v>6.3664062494273796E-3</v>
      </c>
    </row>
    <row r="47" spans="1:9" x14ac:dyDescent="0.35">
      <c r="A47" s="8">
        <v>45552</v>
      </c>
      <c r="B47" t="s">
        <v>711</v>
      </c>
      <c r="C47" t="s">
        <v>11</v>
      </c>
      <c r="D47" s="1">
        <v>93006</v>
      </c>
      <c r="E47" s="1">
        <v>28165</v>
      </c>
      <c r="F47" s="2">
        <v>0.30282992495107802</v>
      </c>
      <c r="G47" s="1">
        <v>706</v>
      </c>
      <c r="H47" s="2">
        <v>2.50665719865081E-2</v>
      </c>
      <c r="I47" s="9">
        <v>7.5909081134550504E-3</v>
      </c>
    </row>
    <row r="48" spans="1:9" ht="16" thickBot="1" x14ac:dyDescent="0.4">
      <c r="A48" s="36" t="s">
        <v>35</v>
      </c>
      <c r="B48" s="4"/>
      <c r="C48" s="4"/>
      <c r="D48" s="33">
        <f>SUM(D40:D47)</f>
        <v>6952169</v>
      </c>
      <c r="E48" s="33">
        <f>SUM(E40:E47)</f>
        <v>2159739</v>
      </c>
      <c r="F48" s="34">
        <f>AVERAGE(F40:F47)</f>
        <v>0.30413928643667992</v>
      </c>
      <c r="G48" s="33">
        <f>SUM(G40:G47)</f>
        <v>29706</v>
      </c>
      <c r="H48" s="34">
        <f>AVERAGE(H40:H47)</f>
        <v>1.8551083564562278E-2</v>
      </c>
      <c r="I48" s="35">
        <f>AVERAGE(I40:I47)</f>
        <v>5.6804104812179261E-3</v>
      </c>
    </row>
    <row r="49" spans="1:9" ht="3" customHeight="1" thickBot="1" x14ac:dyDescent="0.4">
      <c r="A49" s="141"/>
      <c r="B49" s="142"/>
      <c r="C49" s="142"/>
      <c r="D49" s="142"/>
      <c r="E49" s="142"/>
      <c r="F49" s="142"/>
      <c r="G49" s="142"/>
      <c r="H49" s="142"/>
      <c r="I49" s="143"/>
    </row>
    <row r="50" spans="1:9" x14ac:dyDescent="0.35">
      <c r="A50" s="16" t="s">
        <v>37</v>
      </c>
      <c r="B50" s="17"/>
      <c r="C50" s="17"/>
      <c r="D50" s="17"/>
      <c r="E50" s="17"/>
      <c r="F50" s="17"/>
      <c r="G50" s="17"/>
      <c r="H50" s="17"/>
      <c r="I50" s="18"/>
    </row>
    <row r="51" spans="1:9" x14ac:dyDescent="0.35">
      <c r="A51" s="8">
        <v>45548</v>
      </c>
      <c r="B51" t="s">
        <v>706</v>
      </c>
      <c r="C51" t="s">
        <v>85</v>
      </c>
      <c r="D51" s="1">
        <v>1638</v>
      </c>
      <c r="E51" s="1">
        <v>625</v>
      </c>
      <c r="F51" s="2">
        <v>0.38156288156288198</v>
      </c>
      <c r="G51" s="1">
        <v>10</v>
      </c>
      <c r="H51" s="2">
        <v>1.6E-2</v>
      </c>
      <c r="I51" s="9">
        <v>6.1050061050061102E-3</v>
      </c>
    </row>
    <row r="52" spans="1:9" x14ac:dyDescent="0.35">
      <c r="A52" s="8">
        <v>45548</v>
      </c>
      <c r="B52" t="s">
        <v>706</v>
      </c>
      <c r="C52" t="s">
        <v>73</v>
      </c>
      <c r="D52" s="1">
        <v>30999</v>
      </c>
      <c r="E52" s="1">
        <v>11867</v>
      </c>
      <c r="F52" s="2">
        <v>0.382818800606471</v>
      </c>
      <c r="G52" s="1">
        <v>211</v>
      </c>
      <c r="H52" s="2">
        <v>1.77803994269824E-2</v>
      </c>
      <c r="I52" s="9">
        <v>6.8066711829413897E-3</v>
      </c>
    </row>
    <row r="53" spans="1:9" x14ac:dyDescent="0.35">
      <c r="A53" s="8">
        <v>45549</v>
      </c>
      <c r="B53" t="s">
        <v>707</v>
      </c>
      <c r="C53" t="s">
        <v>10</v>
      </c>
      <c r="D53" s="1">
        <v>253302</v>
      </c>
      <c r="E53" s="1">
        <v>88745</v>
      </c>
      <c r="F53" s="2">
        <v>0.35035254360407703</v>
      </c>
      <c r="G53" s="1">
        <v>955</v>
      </c>
      <c r="H53" s="2">
        <v>1.0761169643360199E-2</v>
      </c>
      <c r="I53" s="9">
        <v>3.7702031567062198E-3</v>
      </c>
    </row>
    <row r="54" spans="1:9" x14ac:dyDescent="0.35">
      <c r="A54" s="8">
        <v>45550</v>
      </c>
      <c r="B54" t="s">
        <v>708</v>
      </c>
      <c r="C54" t="s">
        <v>10</v>
      </c>
      <c r="D54" s="1">
        <v>55632</v>
      </c>
      <c r="E54" s="1">
        <v>19087</v>
      </c>
      <c r="F54" s="2">
        <v>0.34309390278976098</v>
      </c>
      <c r="G54" s="1">
        <v>159</v>
      </c>
      <c r="H54" s="2">
        <v>8.3302771519882593E-3</v>
      </c>
      <c r="I54" s="9">
        <v>2.8580672993960298E-3</v>
      </c>
    </row>
    <row r="55" spans="1:9" x14ac:dyDescent="0.35">
      <c r="A55" s="8">
        <v>45551</v>
      </c>
      <c r="B55" t="s">
        <v>709</v>
      </c>
      <c r="C55" t="s">
        <v>11</v>
      </c>
      <c r="D55" s="1">
        <v>5955</v>
      </c>
      <c r="E55" s="1">
        <v>3899</v>
      </c>
      <c r="F55" s="2">
        <v>0.65474391267842103</v>
      </c>
      <c r="G55" s="1">
        <v>179</v>
      </c>
      <c r="H55" s="2">
        <v>4.5909207489099803E-2</v>
      </c>
      <c r="I55" s="9">
        <v>3.0058774139378699E-2</v>
      </c>
    </row>
    <row r="56" spans="1:9" x14ac:dyDescent="0.35">
      <c r="A56" s="8">
        <v>45551</v>
      </c>
      <c r="B56" t="s">
        <v>710</v>
      </c>
      <c r="C56" t="s">
        <v>10</v>
      </c>
      <c r="D56" s="1">
        <v>36256</v>
      </c>
      <c r="E56" s="1">
        <v>18017</v>
      </c>
      <c r="F56" s="2">
        <v>0.49693843777581598</v>
      </c>
      <c r="G56" s="1">
        <v>644</v>
      </c>
      <c r="H56" s="2">
        <v>3.5744019537103801E-2</v>
      </c>
      <c r="I56" s="9">
        <v>1.7762577228596602E-2</v>
      </c>
    </row>
    <row r="57" spans="1:9" x14ac:dyDescent="0.35">
      <c r="A57" s="8">
        <v>45551</v>
      </c>
      <c r="B57" t="s">
        <v>710</v>
      </c>
      <c r="C57" t="s">
        <v>11</v>
      </c>
      <c r="D57" s="1">
        <v>1684</v>
      </c>
      <c r="E57" s="1">
        <v>840</v>
      </c>
      <c r="F57" s="2">
        <v>0.49881235154394299</v>
      </c>
      <c r="G57" s="1">
        <v>75</v>
      </c>
      <c r="H57" s="2">
        <v>8.9285714285714302E-2</v>
      </c>
      <c r="I57" s="9">
        <v>4.4536817102137798E-2</v>
      </c>
    </row>
    <row r="58" spans="1:9" x14ac:dyDescent="0.35">
      <c r="A58" s="8">
        <v>45552</v>
      </c>
      <c r="B58" t="s">
        <v>712</v>
      </c>
      <c r="C58" t="s">
        <v>10</v>
      </c>
      <c r="D58" s="1">
        <v>55096</v>
      </c>
      <c r="E58" s="1">
        <v>18947</v>
      </c>
      <c r="F58" s="2">
        <v>0.34389066356904302</v>
      </c>
      <c r="G58" s="1">
        <v>296</v>
      </c>
      <c r="H58" s="2">
        <v>1.5622525993561001E-2</v>
      </c>
      <c r="I58" s="9">
        <v>5.37244083055031E-3</v>
      </c>
    </row>
    <row r="59" spans="1:9" x14ac:dyDescent="0.35">
      <c r="A59" s="8">
        <v>45553</v>
      </c>
      <c r="B59" t="s">
        <v>713</v>
      </c>
      <c r="C59" t="s">
        <v>10</v>
      </c>
      <c r="D59" s="1">
        <v>55548</v>
      </c>
      <c r="E59" s="1">
        <v>19144</v>
      </c>
      <c r="F59" s="2">
        <v>0.34463887088644102</v>
      </c>
      <c r="G59" s="1">
        <v>215</v>
      </c>
      <c r="H59" s="2">
        <v>1.1230672795654E-2</v>
      </c>
      <c r="I59" s="9">
        <v>3.8705263915892602E-3</v>
      </c>
    </row>
    <row r="60" spans="1:9" x14ac:dyDescent="0.35">
      <c r="A60" s="8">
        <v>45553</v>
      </c>
      <c r="B60" t="s">
        <v>714</v>
      </c>
      <c r="C60" t="s">
        <v>10</v>
      </c>
      <c r="D60" s="1">
        <v>253712</v>
      </c>
      <c r="E60" s="1">
        <v>88273</v>
      </c>
      <c r="F60" s="2">
        <v>0.347925994828782</v>
      </c>
      <c r="G60" s="1">
        <v>1117</v>
      </c>
      <c r="H60" s="2">
        <v>1.26539258890034E-2</v>
      </c>
      <c r="I60" s="9">
        <v>4.4026297534212003E-3</v>
      </c>
    </row>
    <row r="61" spans="1:9" x14ac:dyDescent="0.35">
      <c r="A61" s="8">
        <v>45553</v>
      </c>
      <c r="B61" t="s">
        <v>715</v>
      </c>
      <c r="C61" t="s">
        <v>10</v>
      </c>
      <c r="D61" s="1">
        <v>461663</v>
      </c>
      <c r="E61" s="1">
        <v>160061</v>
      </c>
      <c r="F61" s="2">
        <v>0.34670528069175999</v>
      </c>
      <c r="G61" s="1">
        <v>1817</v>
      </c>
      <c r="H61" s="2">
        <v>1.1351922079707101E-2</v>
      </c>
      <c r="I61" s="9">
        <v>3.9357713310358396E-3</v>
      </c>
    </row>
    <row r="62" spans="1:9" x14ac:dyDescent="0.35">
      <c r="A62" s="8">
        <v>45553</v>
      </c>
      <c r="B62" t="s">
        <v>715</v>
      </c>
      <c r="C62" t="s">
        <v>11</v>
      </c>
      <c r="D62" s="1">
        <v>20907</v>
      </c>
      <c r="E62" s="1">
        <v>7207</v>
      </c>
      <c r="F62" s="2">
        <v>0.34471708040369298</v>
      </c>
      <c r="G62" s="1">
        <v>131</v>
      </c>
      <c r="H62" s="2">
        <v>1.81767725822117E-2</v>
      </c>
      <c r="I62" s="9">
        <v>6.2658439757019204E-3</v>
      </c>
    </row>
    <row r="63" spans="1:9" x14ac:dyDescent="0.35">
      <c r="A63" s="8">
        <v>45554</v>
      </c>
      <c r="B63" t="s">
        <v>718</v>
      </c>
      <c r="C63" t="s">
        <v>74</v>
      </c>
      <c r="D63" s="1">
        <v>16790</v>
      </c>
      <c r="E63" s="1">
        <v>5665</v>
      </c>
      <c r="F63" s="2">
        <v>0.33740321620011898</v>
      </c>
      <c r="G63" s="1">
        <v>51</v>
      </c>
      <c r="H63" s="2">
        <v>9.0026478375992893E-3</v>
      </c>
      <c r="I63" s="9">
        <v>3.03752233472305E-3</v>
      </c>
    </row>
    <row r="64" spans="1:9" x14ac:dyDescent="0.35">
      <c r="A64" s="8">
        <v>45554</v>
      </c>
      <c r="B64" t="s">
        <v>718</v>
      </c>
      <c r="C64" t="s">
        <v>72</v>
      </c>
      <c r="D64" s="1">
        <v>311652</v>
      </c>
      <c r="E64" s="1">
        <v>107179</v>
      </c>
      <c r="F64" s="2">
        <v>0.34390602338505799</v>
      </c>
      <c r="G64" s="1">
        <v>851</v>
      </c>
      <c r="H64" s="2">
        <v>7.9399882439657003E-3</v>
      </c>
      <c r="I64" s="9">
        <v>2.73060978270635E-3</v>
      </c>
    </row>
    <row r="65" spans="1:9" ht="15" customHeight="1" x14ac:dyDescent="0.35">
      <c r="A65" s="8">
        <v>45554</v>
      </c>
      <c r="B65" t="s">
        <v>718</v>
      </c>
      <c r="C65" t="s">
        <v>75</v>
      </c>
      <c r="D65" s="1">
        <v>681</v>
      </c>
      <c r="E65" s="1">
        <v>187</v>
      </c>
      <c r="F65" s="2">
        <v>0.274596182085169</v>
      </c>
      <c r="G65" s="1">
        <v>1</v>
      </c>
      <c r="H65" s="2">
        <v>5.3475935828877002E-3</v>
      </c>
      <c r="I65" s="9">
        <v>1.46842878120411E-3</v>
      </c>
    </row>
    <row r="66" spans="1:9" ht="15" customHeight="1" x14ac:dyDescent="0.35">
      <c r="A66" s="8">
        <v>45554</v>
      </c>
      <c r="B66" t="s">
        <v>718</v>
      </c>
      <c r="C66" t="s">
        <v>73</v>
      </c>
      <c r="D66" s="1">
        <v>12943</v>
      </c>
      <c r="E66" s="1">
        <v>3942</v>
      </c>
      <c r="F66" s="2">
        <v>0.304566174766283</v>
      </c>
      <c r="G66" s="1">
        <v>33</v>
      </c>
      <c r="H66" s="2">
        <v>8.3713850837138504E-3</v>
      </c>
      <c r="I66" s="9">
        <v>2.5496407324422498E-3</v>
      </c>
    </row>
    <row r="67" spans="1:9" ht="15" customHeight="1" x14ac:dyDescent="0.35">
      <c r="A67" s="8">
        <v>45554</v>
      </c>
      <c r="B67" t="s">
        <v>719</v>
      </c>
      <c r="C67" t="s">
        <v>623</v>
      </c>
      <c r="D67" s="1">
        <v>2165</v>
      </c>
      <c r="E67" s="1">
        <v>491</v>
      </c>
      <c r="F67" s="2">
        <v>0.226789838337182</v>
      </c>
      <c r="G67" s="1">
        <v>105</v>
      </c>
      <c r="H67" s="2">
        <v>0.213849287169043</v>
      </c>
      <c r="I67" s="9">
        <v>4.8498845265588897E-2</v>
      </c>
    </row>
    <row r="68" spans="1:9" ht="15" customHeight="1" x14ac:dyDescent="0.35">
      <c r="A68" s="8">
        <v>45554</v>
      </c>
      <c r="B68" t="s">
        <v>720</v>
      </c>
      <c r="C68" t="s">
        <v>625</v>
      </c>
      <c r="D68" s="1">
        <v>319</v>
      </c>
      <c r="E68" s="1">
        <v>82</v>
      </c>
      <c r="F68" s="2">
        <v>0.25705329153605</v>
      </c>
      <c r="G68" s="1">
        <v>8</v>
      </c>
      <c r="H68" s="2">
        <v>9.7560975609756101E-2</v>
      </c>
      <c r="I68" s="9">
        <v>2.5078369905956101E-2</v>
      </c>
    </row>
    <row r="69" spans="1:9" x14ac:dyDescent="0.35">
      <c r="A69" s="8">
        <v>45554</v>
      </c>
      <c r="B69" t="s">
        <v>721</v>
      </c>
      <c r="C69" t="s">
        <v>722</v>
      </c>
      <c r="D69" s="1">
        <v>111148</v>
      </c>
      <c r="E69" s="1">
        <v>42355</v>
      </c>
      <c r="F69" s="2">
        <v>0.381068485262893</v>
      </c>
      <c r="G69" s="1">
        <v>960</v>
      </c>
      <c r="H69" s="2">
        <v>2.26655648683745E-2</v>
      </c>
      <c r="I69" s="9">
        <v>8.6371324720192905E-3</v>
      </c>
    </row>
    <row r="70" spans="1:9" ht="15" customHeight="1" x14ac:dyDescent="0.35">
      <c r="A70" s="8">
        <v>45554</v>
      </c>
      <c r="B70" t="s">
        <v>721</v>
      </c>
      <c r="C70" t="s">
        <v>723</v>
      </c>
      <c r="D70" s="1">
        <v>15267</v>
      </c>
      <c r="E70" s="1">
        <v>5936</v>
      </c>
      <c r="F70" s="2">
        <v>0.38881247134342001</v>
      </c>
      <c r="G70" s="1">
        <v>298</v>
      </c>
      <c r="H70" s="2">
        <v>5.02021563342318E-2</v>
      </c>
      <c r="I70" s="9">
        <v>1.9519224471081401E-2</v>
      </c>
    </row>
    <row r="71" spans="1:9" x14ac:dyDescent="0.35">
      <c r="A71" s="8">
        <v>45554</v>
      </c>
      <c r="B71" t="s">
        <v>724</v>
      </c>
      <c r="C71" t="s">
        <v>10</v>
      </c>
      <c r="D71" s="1">
        <v>51387</v>
      </c>
      <c r="E71" s="1">
        <v>19870</v>
      </c>
      <c r="F71" s="2">
        <v>0.386673672329578</v>
      </c>
      <c r="G71" s="1">
        <v>336</v>
      </c>
      <c r="H71" s="2">
        <v>1.6909914443885302E-2</v>
      </c>
      <c r="I71" s="9">
        <v>6.5386187167960803E-3</v>
      </c>
    </row>
    <row r="72" spans="1:9" x14ac:dyDescent="0.35">
      <c r="A72" s="8">
        <v>45554</v>
      </c>
      <c r="B72" t="s">
        <v>724</v>
      </c>
      <c r="C72" t="s">
        <v>11</v>
      </c>
      <c r="D72" s="1">
        <v>1744</v>
      </c>
      <c r="E72" s="1">
        <v>688</v>
      </c>
      <c r="F72" s="2">
        <v>0.394495412844037</v>
      </c>
      <c r="G72" s="1">
        <v>22</v>
      </c>
      <c r="H72" s="2">
        <v>3.1976744186046499E-2</v>
      </c>
      <c r="I72" s="9">
        <v>1.2614678899082601E-2</v>
      </c>
    </row>
    <row r="73" spans="1:9" ht="16" thickBot="1" x14ac:dyDescent="0.4">
      <c r="A73" s="36" t="s">
        <v>35</v>
      </c>
      <c r="B73" s="4"/>
      <c r="C73" s="4"/>
      <c r="D73" s="33">
        <f>SUM(D51:D72)</f>
        <v>1756488</v>
      </c>
      <c r="E73" s="33">
        <f>SUM(E51:E72)</f>
        <v>623107</v>
      </c>
      <c r="F73" s="34">
        <f>AVERAGE(F51:F72)</f>
        <v>0.36961661313776717</v>
      </c>
      <c r="G73" s="33">
        <f>SUM(G51:G72)</f>
        <v>8474</v>
      </c>
      <c r="H73" s="34">
        <f>AVERAGE(H51:H72)</f>
        <v>3.4394221101540431E-2</v>
      </c>
      <c r="I73" s="35">
        <f>AVERAGE(I51:I72)</f>
        <v>1.2109927266275522E-2</v>
      </c>
    </row>
    <row r="74" spans="1:9" ht="3" customHeight="1" thickBot="1" x14ac:dyDescent="0.4">
      <c r="A74" s="139"/>
      <c r="B74" s="138"/>
      <c r="C74" s="138"/>
      <c r="D74" s="138"/>
      <c r="E74" s="138"/>
      <c r="F74" s="138"/>
      <c r="G74" s="138"/>
      <c r="H74" s="138"/>
      <c r="I74" s="140"/>
    </row>
    <row r="75" spans="1:9" x14ac:dyDescent="0.35">
      <c r="A75" s="16" t="s">
        <v>38</v>
      </c>
      <c r="B75" s="17"/>
      <c r="C75" s="17"/>
      <c r="D75" s="17"/>
      <c r="E75" s="17"/>
      <c r="F75" s="17"/>
      <c r="G75" s="17"/>
      <c r="H75" s="17"/>
      <c r="I75" s="18"/>
    </row>
    <row r="76" spans="1:9" x14ac:dyDescent="0.35">
      <c r="A76" s="8">
        <v>45554</v>
      </c>
      <c r="B76" t="s">
        <v>716</v>
      </c>
      <c r="C76" t="s">
        <v>543</v>
      </c>
      <c r="D76" s="1">
        <v>341201</v>
      </c>
      <c r="E76" s="1">
        <v>115486</v>
      </c>
      <c r="F76" s="2">
        <v>0.33850000000000002</v>
      </c>
      <c r="G76" s="1">
        <v>389</v>
      </c>
      <c r="H76" s="2">
        <v>3.3999999999999998E-3</v>
      </c>
      <c r="I76" s="9">
        <v>1.1000000000000001E-3</v>
      </c>
    </row>
    <row r="77" spans="1:9" x14ac:dyDescent="0.35">
      <c r="A77" s="8">
        <v>45554</v>
      </c>
      <c r="B77" t="s">
        <v>717</v>
      </c>
      <c r="C77" t="s">
        <v>545</v>
      </c>
      <c r="D77" s="1">
        <v>16917</v>
      </c>
      <c r="E77" s="1">
        <v>5252</v>
      </c>
      <c r="F77" s="2">
        <v>0.3105</v>
      </c>
      <c r="G77" s="1">
        <v>23</v>
      </c>
      <c r="H77" s="2">
        <v>4.4000000000000003E-3</v>
      </c>
      <c r="I77" s="9">
        <v>1.4E-3</v>
      </c>
    </row>
    <row r="78" spans="1:9" x14ac:dyDescent="0.35">
      <c r="A78" s="8">
        <v>45554</v>
      </c>
      <c r="B78" t="s">
        <v>699</v>
      </c>
      <c r="C78" t="s">
        <v>234</v>
      </c>
      <c r="D78" s="1">
        <v>174143</v>
      </c>
      <c r="E78" s="1">
        <v>60437</v>
      </c>
      <c r="F78" s="2">
        <v>0.34849999999999998</v>
      </c>
      <c r="G78" s="1">
        <v>171</v>
      </c>
      <c r="H78" s="2">
        <v>2.8E-3</v>
      </c>
      <c r="I78" s="9">
        <v>1.4E-3</v>
      </c>
    </row>
    <row r="79" spans="1:9" x14ac:dyDescent="0.35">
      <c r="A79" s="8">
        <v>45554</v>
      </c>
      <c r="B79" t="s">
        <v>700</v>
      </c>
      <c r="C79" t="s">
        <v>235</v>
      </c>
      <c r="D79" s="1">
        <v>10603</v>
      </c>
      <c r="E79" s="1">
        <v>3235</v>
      </c>
      <c r="F79" s="2">
        <v>0.30630000000000002</v>
      </c>
      <c r="G79" s="1">
        <v>11</v>
      </c>
      <c r="H79" s="2">
        <v>3.3999999999999998E-3</v>
      </c>
      <c r="I79" s="9">
        <v>1.5E-3</v>
      </c>
    </row>
    <row r="80" spans="1:9" ht="16" thickBot="1" x14ac:dyDescent="0.4">
      <c r="A80" s="36" t="s">
        <v>35</v>
      </c>
      <c r="B80" s="4"/>
      <c r="C80" s="4"/>
      <c r="D80" s="33">
        <f>SUM(D76:D79)</f>
        <v>542864</v>
      </c>
      <c r="E80" s="33">
        <f>SUM(E76:E79)</f>
        <v>184410</v>
      </c>
      <c r="F80" s="34">
        <f>AVERAGE(F76:F79)</f>
        <v>0.32595000000000002</v>
      </c>
      <c r="G80" s="33">
        <f>SUM(G76:G79)</f>
        <v>594</v>
      </c>
      <c r="H80" s="34">
        <f>AVERAGE(H76:H79)</f>
        <v>3.5000000000000001E-3</v>
      </c>
      <c r="I80" s="35">
        <f>AVERAGE(I76:I79)</f>
        <v>1.3500000000000001E-3</v>
      </c>
    </row>
  </sheetData>
  <mergeCells count="3">
    <mergeCell ref="A37:I37"/>
    <mergeCell ref="A49:I49"/>
    <mergeCell ref="A74:I74"/>
  </mergeCells>
  <pageMargins left="0.7" right="0.7" top="0.75" bottom="0.75" header="0.3" footer="0.3"/>
  <ignoredErrors>
    <ignoredError sqref="F36:G36 F48:G48 F73:G73 F80:G80" formula="1"/>
  </ignoredErrors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2515-6473-49F6-9C08-9659441B3145}">
  <dimension ref="A1:I72"/>
  <sheetViews>
    <sheetView topLeftCell="A27" workbookViewId="0">
      <selection activeCell="M75" sqref="M75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45555</v>
      </c>
      <c r="B2" t="s">
        <v>725</v>
      </c>
      <c r="C2" t="s">
        <v>10</v>
      </c>
      <c r="D2" s="1">
        <v>252825</v>
      </c>
      <c r="E2" s="1">
        <v>92829</v>
      </c>
      <c r="F2" s="2">
        <v>0.367167012755859</v>
      </c>
      <c r="G2" s="1">
        <v>1196</v>
      </c>
      <c r="H2" s="2">
        <v>1.2883904814228299E-2</v>
      </c>
      <c r="I2" s="2">
        <v>4.7305448432710404E-3</v>
      </c>
    </row>
    <row r="3" spans="1:9" x14ac:dyDescent="0.35">
      <c r="A3" s="19">
        <v>45555</v>
      </c>
      <c r="B3" t="s">
        <v>726</v>
      </c>
      <c r="C3" t="s">
        <v>10</v>
      </c>
      <c r="D3" s="1">
        <v>385017</v>
      </c>
      <c r="E3" s="1">
        <v>140652</v>
      </c>
      <c r="F3" s="2">
        <v>0.36531373939332601</v>
      </c>
      <c r="G3" s="1">
        <v>2491</v>
      </c>
      <c r="H3" s="2">
        <v>1.77103773853198E-2</v>
      </c>
      <c r="I3" s="2">
        <v>6.4698441886981602E-3</v>
      </c>
    </row>
    <row r="4" spans="1:9" x14ac:dyDescent="0.35">
      <c r="A4" s="19">
        <v>45555</v>
      </c>
      <c r="B4" t="s">
        <v>727</v>
      </c>
      <c r="C4" t="s">
        <v>10</v>
      </c>
      <c r="D4" s="1">
        <v>4761594</v>
      </c>
      <c r="E4" s="1">
        <v>1376616</v>
      </c>
      <c r="F4" s="2">
        <v>0.28910822720290702</v>
      </c>
      <c r="G4" s="1">
        <v>14228</v>
      </c>
      <c r="H4" s="2">
        <v>1.03354893448863E-2</v>
      </c>
      <c r="I4" s="2">
        <v>2.9880750017746201E-3</v>
      </c>
    </row>
    <row r="5" spans="1:9" x14ac:dyDescent="0.35">
      <c r="A5" s="19">
        <v>45555</v>
      </c>
      <c r="B5" t="s">
        <v>727</v>
      </c>
      <c r="C5" t="s">
        <v>11</v>
      </c>
      <c r="D5" s="1">
        <v>306409</v>
      </c>
      <c r="E5" s="1">
        <v>80358</v>
      </c>
      <c r="F5" s="2">
        <v>0.26225730967432398</v>
      </c>
      <c r="G5" s="1">
        <v>888</v>
      </c>
      <c r="H5" s="2">
        <v>1.1050548794146201E-2</v>
      </c>
      <c r="I5" s="2">
        <v>2.8980871971776298E-3</v>
      </c>
    </row>
    <row r="6" spans="1:9" x14ac:dyDescent="0.35">
      <c r="A6" s="19">
        <v>45556</v>
      </c>
      <c r="B6" t="s">
        <v>728</v>
      </c>
      <c r="C6" t="s">
        <v>10</v>
      </c>
      <c r="D6" s="1">
        <v>1246170</v>
      </c>
      <c r="E6" s="1">
        <v>377535</v>
      </c>
      <c r="F6" s="2">
        <v>0.30295625797443398</v>
      </c>
      <c r="G6" s="1">
        <v>6752</v>
      </c>
      <c r="H6" s="2">
        <v>1.78844345557366E-2</v>
      </c>
      <c r="I6" s="2">
        <v>5.4182013689945997E-3</v>
      </c>
    </row>
    <row r="7" spans="1:9" x14ac:dyDescent="0.35">
      <c r="A7" s="19">
        <v>45556</v>
      </c>
      <c r="B7" t="s">
        <v>728</v>
      </c>
      <c r="C7" t="s">
        <v>11</v>
      </c>
      <c r="D7" s="1">
        <v>92673</v>
      </c>
      <c r="E7" s="1">
        <v>24515</v>
      </c>
      <c r="F7" s="2">
        <v>0.26453228016790198</v>
      </c>
      <c r="G7" s="1">
        <v>503</v>
      </c>
      <c r="H7" s="2">
        <v>2.0518050173363198E-2</v>
      </c>
      <c r="I7" s="2">
        <v>5.4276865969592001E-3</v>
      </c>
    </row>
    <row r="8" spans="1:9" x14ac:dyDescent="0.35">
      <c r="A8" s="19">
        <v>45558</v>
      </c>
      <c r="B8" t="s">
        <v>729</v>
      </c>
      <c r="C8" t="s">
        <v>730</v>
      </c>
      <c r="D8" s="1">
        <v>493</v>
      </c>
      <c r="E8" s="1">
        <v>232</v>
      </c>
      <c r="F8" s="2">
        <v>0.47058823529411797</v>
      </c>
      <c r="G8" s="1">
        <v>40</v>
      </c>
      <c r="H8" s="2">
        <v>0.17241379310344801</v>
      </c>
      <c r="I8" s="2">
        <v>8.1135902636916807E-2</v>
      </c>
    </row>
    <row r="9" spans="1:9" x14ac:dyDescent="0.35">
      <c r="A9" s="19">
        <v>45558</v>
      </c>
      <c r="B9" t="s">
        <v>729</v>
      </c>
      <c r="C9" t="s">
        <v>731</v>
      </c>
      <c r="D9" s="1">
        <v>494</v>
      </c>
      <c r="E9" s="1">
        <v>257</v>
      </c>
      <c r="F9" s="2">
        <v>0.52024291497975705</v>
      </c>
      <c r="G9" s="1">
        <v>59</v>
      </c>
      <c r="H9" s="2">
        <v>0.22957198443579799</v>
      </c>
      <c r="I9" s="2">
        <v>0.119433198380567</v>
      </c>
    </row>
    <row r="10" spans="1:9" x14ac:dyDescent="0.35">
      <c r="A10" s="19">
        <v>45559</v>
      </c>
      <c r="B10" t="s">
        <v>732</v>
      </c>
      <c r="C10" t="s">
        <v>10</v>
      </c>
      <c r="D10" s="1">
        <v>1363475</v>
      </c>
      <c r="E10" s="1">
        <v>416307</v>
      </c>
      <c r="F10" s="2">
        <v>0.30532793047177198</v>
      </c>
      <c r="G10" s="1">
        <v>8832</v>
      </c>
      <c r="H10" s="2">
        <v>2.12151128854427E-2</v>
      </c>
      <c r="I10" s="2">
        <v>6.4775665120372604E-3</v>
      </c>
    </row>
    <row r="11" spans="1:9" x14ac:dyDescent="0.35">
      <c r="A11" s="19">
        <v>45559</v>
      </c>
      <c r="B11" t="s">
        <v>732</v>
      </c>
      <c r="C11" t="s">
        <v>11</v>
      </c>
      <c r="D11" s="1">
        <v>92839</v>
      </c>
      <c r="E11" s="1">
        <v>28587</v>
      </c>
      <c r="F11" s="2">
        <v>0.30792016286259</v>
      </c>
      <c r="G11" s="1">
        <v>713</v>
      </c>
      <c r="H11" s="2">
        <v>2.4941406933221399E-2</v>
      </c>
      <c r="I11" s="2">
        <v>7.6799620848996596E-3</v>
      </c>
    </row>
    <row r="12" spans="1:9" x14ac:dyDescent="0.35">
      <c r="A12" s="19">
        <v>45560</v>
      </c>
      <c r="B12" t="s">
        <v>733</v>
      </c>
      <c r="C12" t="s">
        <v>10</v>
      </c>
      <c r="D12" s="1">
        <v>891890</v>
      </c>
      <c r="E12" s="1">
        <v>333034</v>
      </c>
      <c r="F12" s="2">
        <v>0.373402549641772</v>
      </c>
      <c r="G12" s="1">
        <v>3821</v>
      </c>
      <c r="H12" s="2">
        <v>1.1473303026117499E-2</v>
      </c>
      <c r="I12" s="2">
        <v>4.2841606027649104E-3</v>
      </c>
    </row>
    <row r="13" spans="1:9" x14ac:dyDescent="0.35">
      <c r="A13" s="19">
        <v>45560</v>
      </c>
      <c r="B13" t="s">
        <v>733</v>
      </c>
      <c r="C13" t="s">
        <v>11</v>
      </c>
      <c r="D13" s="1">
        <v>53060</v>
      </c>
      <c r="E13" s="1">
        <v>17776</v>
      </c>
      <c r="F13" s="2">
        <v>0.335016961929891</v>
      </c>
      <c r="G13" s="1">
        <v>225</v>
      </c>
      <c r="H13" s="2">
        <v>1.2657515751575201E-2</v>
      </c>
      <c r="I13" s="2">
        <v>4.2404824726724501E-3</v>
      </c>
    </row>
    <row r="14" spans="1:9" x14ac:dyDescent="0.35">
      <c r="A14" s="19">
        <v>45560</v>
      </c>
      <c r="B14" t="s">
        <v>734</v>
      </c>
      <c r="C14" t="s">
        <v>10</v>
      </c>
      <c r="D14" s="1">
        <v>71838</v>
      </c>
      <c r="E14" s="1">
        <v>31840</v>
      </c>
      <c r="F14" s="2">
        <v>0.443219466020769</v>
      </c>
      <c r="G14" s="1">
        <v>1180</v>
      </c>
      <c r="H14" s="2">
        <v>3.7060301507537703E-2</v>
      </c>
      <c r="I14" s="2">
        <v>1.6425847044739601E-2</v>
      </c>
    </row>
    <row r="15" spans="1:9" x14ac:dyDescent="0.35">
      <c r="A15" s="19">
        <v>45560</v>
      </c>
      <c r="B15" t="s">
        <v>734</v>
      </c>
      <c r="C15" t="s">
        <v>11</v>
      </c>
      <c r="D15" s="1">
        <v>1277</v>
      </c>
      <c r="E15" s="1">
        <v>582</v>
      </c>
      <c r="F15" s="2">
        <v>0.45575567736883299</v>
      </c>
      <c r="G15" s="1">
        <v>40</v>
      </c>
      <c r="H15" s="2">
        <v>6.8728522336769807E-2</v>
      </c>
      <c r="I15" s="2">
        <v>3.13234142521535E-2</v>
      </c>
    </row>
    <row r="16" spans="1:9" x14ac:dyDescent="0.35">
      <c r="A16" s="19">
        <v>45560</v>
      </c>
      <c r="B16" t="s">
        <v>735</v>
      </c>
      <c r="C16" t="s">
        <v>10</v>
      </c>
      <c r="D16" s="1">
        <v>156972</v>
      </c>
      <c r="E16" s="1">
        <v>57100</v>
      </c>
      <c r="F16" s="2">
        <v>0.36375914175776602</v>
      </c>
      <c r="G16" s="1">
        <v>939</v>
      </c>
      <c r="H16" s="2">
        <v>1.64448336252189E-2</v>
      </c>
      <c r="I16" s="2">
        <v>5.9819585658588796E-3</v>
      </c>
    </row>
    <row r="17" spans="1:9" x14ac:dyDescent="0.35">
      <c r="A17" s="19">
        <v>45560</v>
      </c>
      <c r="B17" t="s">
        <v>735</v>
      </c>
      <c r="C17" t="s">
        <v>11</v>
      </c>
      <c r="D17" s="1">
        <v>7346</v>
      </c>
      <c r="E17" s="1">
        <v>2878</v>
      </c>
      <c r="F17" s="2">
        <v>0.39177783827933599</v>
      </c>
      <c r="G17" s="1">
        <v>60</v>
      </c>
      <c r="H17" s="2">
        <v>2.0847810979847101E-2</v>
      </c>
      <c r="I17" s="2">
        <v>8.1677103185407007E-3</v>
      </c>
    </row>
    <row r="18" spans="1:9" x14ac:dyDescent="0.35">
      <c r="A18" s="19">
        <v>45561</v>
      </c>
      <c r="B18" t="s">
        <v>736</v>
      </c>
      <c r="C18" t="s">
        <v>737</v>
      </c>
      <c r="D18" s="1">
        <v>54160</v>
      </c>
      <c r="E18" s="1">
        <v>26833</v>
      </c>
      <c r="F18" s="2">
        <v>0.495439438700148</v>
      </c>
      <c r="G18" s="1">
        <v>613</v>
      </c>
      <c r="H18" s="2">
        <v>2.2845004285767499E-2</v>
      </c>
      <c r="I18" s="2">
        <v>1.13183161004431E-2</v>
      </c>
    </row>
    <row r="19" spans="1:9" x14ac:dyDescent="0.35">
      <c r="A19" s="19">
        <v>45561</v>
      </c>
      <c r="B19" t="s">
        <v>736</v>
      </c>
      <c r="C19" t="s">
        <v>738</v>
      </c>
      <c r="D19" s="1">
        <v>53888</v>
      </c>
      <c r="E19" s="1">
        <v>26591</v>
      </c>
      <c r="F19" s="2">
        <v>0.493449376484561</v>
      </c>
      <c r="G19" s="1">
        <v>444</v>
      </c>
      <c r="H19" s="2">
        <v>1.66973788123801E-2</v>
      </c>
      <c r="I19" s="2">
        <v>8.2393111638954901E-3</v>
      </c>
    </row>
    <row r="20" spans="1:9" x14ac:dyDescent="0.35">
      <c r="A20" s="19">
        <v>45561</v>
      </c>
      <c r="B20" t="s">
        <v>716</v>
      </c>
      <c r="C20" t="s">
        <v>234</v>
      </c>
      <c r="D20" s="1">
        <v>121047</v>
      </c>
      <c r="E20" s="1">
        <v>39623</v>
      </c>
      <c r="F20" s="3">
        <v>0.32729999999999998</v>
      </c>
      <c r="G20">
        <v>120</v>
      </c>
      <c r="H20" s="3">
        <v>3.0000000000000001E-3</v>
      </c>
      <c r="I20" s="3">
        <v>1E-3</v>
      </c>
    </row>
    <row r="21" spans="1:9" x14ac:dyDescent="0.35">
      <c r="A21" s="19">
        <v>45561</v>
      </c>
      <c r="B21" t="s">
        <v>717</v>
      </c>
      <c r="C21" t="s">
        <v>235</v>
      </c>
      <c r="D21" s="1">
        <v>6337</v>
      </c>
      <c r="E21" s="1">
        <v>1892</v>
      </c>
      <c r="F21" s="3">
        <v>0.29859999999999998</v>
      </c>
      <c r="G21">
        <v>5</v>
      </c>
      <c r="H21" s="3">
        <v>2.5999999999999999E-3</v>
      </c>
      <c r="I21" s="3">
        <v>8.0000000000000004E-4</v>
      </c>
    </row>
    <row r="22" spans="1:9" x14ac:dyDescent="0.35">
      <c r="A22" s="19">
        <v>45561</v>
      </c>
      <c r="B22" t="s">
        <v>699</v>
      </c>
      <c r="C22" t="s">
        <v>739</v>
      </c>
      <c r="D22" s="1">
        <v>11893</v>
      </c>
      <c r="E22" s="1">
        <v>4293</v>
      </c>
      <c r="F22" s="2">
        <v>0.36096863701336901</v>
      </c>
      <c r="G22" s="1">
        <v>18</v>
      </c>
      <c r="H22" s="2">
        <v>4.1928721174004204E-3</v>
      </c>
      <c r="I22" s="2">
        <v>1.51349533338939E-3</v>
      </c>
    </row>
    <row r="23" spans="1:9" x14ac:dyDescent="0.35">
      <c r="A23" s="19">
        <v>45561</v>
      </c>
      <c r="B23" t="s">
        <v>699</v>
      </c>
      <c r="C23" t="s">
        <v>740</v>
      </c>
      <c r="D23" s="1">
        <v>106013</v>
      </c>
      <c r="E23" s="1">
        <v>38166</v>
      </c>
      <c r="F23" s="2">
        <v>0.36</v>
      </c>
      <c r="G23" s="1">
        <v>113</v>
      </c>
      <c r="H23" s="2">
        <v>3.0000000000000001E-3</v>
      </c>
      <c r="I23" s="2">
        <v>1.4E-3</v>
      </c>
    </row>
    <row r="24" spans="1:9" x14ac:dyDescent="0.35">
      <c r="A24" s="19">
        <v>45561</v>
      </c>
      <c r="B24" t="s">
        <v>699</v>
      </c>
      <c r="C24" t="s">
        <v>741</v>
      </c>
      <c r="D24" s="1">
        <v>51649</v>
      </c>
      <c r="E24" s="1">
        <v>16353</v>
      </c>
      <c r="F24" s="2">
        <v>0.31659999999999999</v>
      </c>
      <c r="G24" s="1">
        <v>50</v>
      </c>
      <c r="H24" s="2">
        <v>3.0999999999999999E-3</v>
      </c>
      <c r="I24" s="2">
        <v>1.4E-3</v>
      </c>
    </row>
    <row r="25" spans="1:9" x14ac:dyDescent="0.35">
      <c r="A25" s="19">
        <v>45561</v>
      </c>
      <c r="B25" t="s">
        <v>700</v>
      </c>
      <c r="C25" t="s">
        <v>742</v>
      </c>
      <c r="D25" s="1">
        <v>3515</v>
      </c>
      <c r="E25" s="1">
        <v>964</v>
      </c>
      <c r="F25" s="2">
        <v>0.27425320056899</v>
      </c>
      <c r="G25" s="1">
        <v>5</v>
      </c>
      <c r="H25" s="2">
        <v>5.1867219917012403E-3</v>
      </c>
      <c r="I25" s="2">
        <v>1.42247510668563E-3</v>
      </c>
    </row>
    <row r="26" spans="1:9" x14ac:dyDescent="0.35">
      <c r="A26" s="19">
        <v>45561</v>
      </c>
      <c r="B26" t="s">
        <v>700</v>
      </c>
      <c r="C26" t="s">
        <v>743</v>
      </c>
      <c r="D26" s="1">
        <v>656</v>
      </c>
      <c r="E26" s="1">
        <v>203</v>
      </c>
      <c r="F26" s="2">
        <v>0.30945121951219501</v>
      </c>
      <c r="G26" s="1">
        <v>0</v>
      </c>
      <c r="H26" s="2">
        <v>0</v>
      </c>
      <c r="I26" s="2">
        <v>0</v>
      </c>
    </row>
    <row r="27" spans="1:9" x14ac:dyDescent="0.35">
      <c r="A27" s="19">
        <v>45561</v>
      </c>
      <c r="B27" t="s">
        <v>700</v>
      </c>
      <c r="C27" t="s">
        <v>744</v>
      </c>
      <c r="D27" s="1">
        <v>6183</v>
      </c>
      <c r="E27" s="1">
        <v>2196</v>
      </c>
      <c r="F27" s="2">
        <v>0.35516739446870399</v>
      </c>
      <c r="G27" s="1">
        <v>6</v>
      </c>
      <c r="H27" s="2">
        <v>2.7322404371584699E-3</v>
      </c>
      <c r="I27" s="2">
        <v>9.7040271712760804E-4</v>
      </c>
    </row>
    <row r="28" spans="1:9" ht="15" customHeight="1" x14ac:dyDescent="0.35">
      <c r="A28" s="19">
        <v>45561</v>
      </c>
      <c r="B28" t="s">
        <v>745</v>
      </c>
      <c r="C28" t="s">
        <v>543</v>
      </c>
      <c r="D28" s="1">
        <v>806673</v>
      </c>
      <c r="E28" s="1">
        <v>431487</v>
      </c>
      <c r="F28" s="3">
        <v>0.53490000000000004</v>
      </c>
      <c r="G28" s="1">
        <v>1434</v>
      </c>
      <c r="H28" s="3">
        <v>3.3E-3</v>
      </c>
      <c r="I28" s="3">
        <v>1.8E-3</v>
      </c>
    </row>
    <row r="29" spans="1:9" ht="15" customHeight="1" x14ac:dyDescent="0.35">
      <c r="A29" s="19">
        <v>45561</v>
      </c>
      <c r="B29" t="s">
        <v>746</v>
      </c>
      <c r="C29" t="s">
        <v>747</v>
      </c>
      <c r="D29" s="1">
        <v>34967</v>
      </c>
      <c r="E29" s="1">
        <v>17589</v>
      </c>
      <c r="F29" s="3">
        <v>0.503</v>
      </c>
      <c r="G29">
        <v>84</v>
      </c>
      <c r="H29" s="3">
        <v>4.7999999999999996E-3</v>
      </c>
      <c r="I29" s="3">
        <v>2.3999999999999998E-3</v>
      </c>
    </row>
    <row r="30" spans="1:9" ht="15" customHeight="1" x14ac:dyDescent="0.35">
      <c r="A30" s="19">
        <v>45561</v>
      </c>
      <c r="B30" t="s">
        <v>748</v>
      </c>
      <c r="C30" t="s">
        <v>10</v>
      </c>
      <c r="D30" s="1">
        <v>218471</v>
      </c>
      <c r="E30" s="1">
        <v>96148</v>
      </c>
      <c r="F30" s="2">
        <v>0.44009502405353601</v>
      </c>
      <c r="G30" s="1">
        <v>1514</v>
      </c>
      <c r="H30" s="2">
        <v>1.5746557390689399E-2</v>
      </c>
      <c r="I30" s="2">
        <v>6.9299815536158103E-3</v>
      </c>
    </row>
    <row r="31" spans="1:9" ht="15" customHeight="1" x14ac:dyDescent="0.35">
      <c r="A31" s="19">
        <v>45561</v>
      </c>
      <c r="B31" t="s">
        <v>749</v>
      </c>
      <c r="C31" t="s">
        <v>10</v>
      </c>
      <c r="D31" s="1">
        <v>3648</v>
      </c>
      <c r="E31" s="1">
        <v>1038</v>
      </c>
      <c r="F31" s="2">
        <v>0.28453947368421101</v>
      </c>
      <c r="G31" s="1">
        <v>105</v>
      </c>
      <c r="H31" s="2">
        <v>0.10115606936416199</v>
      </c>
      <c r="I31" s="2">
        <v>2.8782894736842101E-2</v>
      </c>
    </row>
    <row r="32" spans="1:9" ht="16" thickBot="1" x14ac:dyDescent="0.4">
      <c r="A32" s="37" t="s">
        <v>35</v>
      </c>
      <c r="D32" s="31">
        <f>SUM(D2:D31)</f>
        <v>11163472</v>
      </c>
      <c r="E32" s="31">
        <f>SUM(E2:E31)</f>
        <v>3684474</v>
      </c>
      <c r="F32" s="32">
        <f>AVERAGE(F2:F31)</f>
        <v>0.37240364900870232</v>
      </c>
      <c r="G32" s="31">
        <f>SUM(G2:G31)</f>
        <v>46478</v>
      </c>
      <c r="H32" s="32">
        <f>AVERAGE(H2:H31)</f>
        <v>2.9803141135063868E-2</v>
      </c>
      <c r="I32" s="32">
        <f>AVERAGE(I2:I31)</f>
        <v>1.2701983959334173E-2</v>
      </c>
    </row>
    <row r="33" spans="1:9" ht="15" thickBot="1" x14ac:dyDescent="0.4">
      <c r="A33" s="138" t="s">
        <v>302</v>
      </c>
      <c r="B33" s="138"/>
      <c r="C33" s="138"/>
      <c r="D33" s="138"/>
      <c r="E33" s="138"/>
      <c r="F33" s="138"/>
      <c r="G33" s="138"/>
      <c r="H33" s="138"/>
      <c r="I33" s="138"/>
    </row>
    <row r="34" spans="1:9" ht="15.5" x14ac:dyDescent="0.35">
      <c r="A34" s="38" t="s">
        <v>0</v>
      </c>
      <c r="B34" s="39" t="s">
        <v>1</v>
      </c>
      <c r="C34" s="39" t="s">
        <v>2</v>
      </c>
      <c r="D34" s="39" t="s">
        <v>3</v>
      </c>
      <c r="E34" s="39" t="s">
        <v>4</v>
      </c>
      <c r="F34" s="39" t="s">
        <v>5</v>
      </c>
      <c r="G34" s="39" t="s">
        <v>6</v>
      </c>
      <c r="H34" s="39" t="s">
        <v>7</v>
      </c>
      <c r="I34" s="40" t="s">
        <v>8</v>
      </c>
    </row>
    <row r="35" spans="1:9" x14ac:dyDescent="0.35">
      <c r="A35" s="5" t="s">
        <v>36</v>
      </c>
      <c r="B35" s="6"/>
      <c r="C35" s="6"/>
      <c r="D35" s="6"/>
      <c r="E35" s="6"/>
      <c r="F35" s="6"/>
      <c r="G35" s="6"/>
      <c r="H35" s="6"/>
      <c r="I35" s="7"/>
    </row>
    <row r="36" spans="1:9" x14ac:dyDescent="0.35">
      <c r="A36" s="8">
        <v>45555</v>
      </c>
      <c r="B36" t="s">
        <v>726</v>
      </c>
      <c r="C36" t="s">
        <v>10</v>
      </c>
      <c r="D36" s="1">
        <v>385017</v>
      </c>
      <c r="E36" s="1">
        <v>140652</v>
      </c>
      <c r="F36" s="2">
        <v>0.36531373939332601</v>
      </c>
      <c r="G36" s="1">
        <v>2491</v>
      </c>
      <c r="H36" s="2">
        <v>1.77103773853198E-2</v>
      </c>
      <c r="I36" s="9">
        <v>6.4698441886981602E-3</v>
      </c>
    </row>
    <row r="37" spans="1:9" x14ac:dyDescent="0.35">
      <c r="A37" s="8">
        <v>45555</v>
      </c>
      <c r="B37" t="s">
        <v>727</v>
      </c>
      <c r="C37" t="s">
        <v>10</v>
      </c>
      <c r="D37" s="1">
        <v>4761594</v>
      </c>
      <c r="E37" s="1">
        <v>1376616</v>
      </c>
      <c r="F37" s="2">
        <v>0.28910822720290702</v>
      </c>
      <c r="G37" s="1">
        <v>14228</v>
      </c>
      <c r="H37" s="2">
        <v>1.03354893448863E-2</v>
      </c>
      <c r="I37" s="9">
        <v>2.9880750017746201E-3</v>
      </c>
    </row>
    <row r="38" spans="1:9" x14ac:dyDescent="0.35">
      <c r="A38" s="8">
        <v>45555</v>
      </c>
      <c r="B38" t="s">
        <v>727</v>
      </c>
      <c r="C38" t="s">
        <v>11</v>
      </c>
      <c r="D38" s="1">
        <v>306409</v>
      </c>
      <c r="E38" s="1">
        <v>80358</v>
      </c>
      <c r="F38" s="2">
        <v>0.26225730967432398</v>
      </c>
      <c r="G38" s="1">
        <v>888</v>
      </c>
      <c r="H38" s="2">
        <v>1.1050548794146201E-2</v>
      </c>
      <c r="I38" s="9">
        <v>2.8980871971776298E-3</v>
      </c>
    </row>
    <row r="39" spans="1:9" x14ac:dyDescent="0.35">
      <c r="A39" s="8">
        <v>45559</v>
      </c>
      <c r="B39" t="s">
        <v>732</v>
      </c>
      <c r="C39" t="s">
        <v>10</v>
      </c>
      <c r="D39" s="1">
        <v>1363475</v>
      </c>
      <c r="E39" s="1">
        <v>416307</v>
      </c>
      <c r="F39" s="2">
        <v>0.30532793047177198</v>
      </c>
      <c r="G39" s="1">
        <v>8832</v>
      </c>
      <c r="H39" s="2">
        <v>2.12151128854427E-2</v>
      </c>
      <c r="I39" s="9">
        <v>6.4775665120372604E-3</v>
      </c>
    </row>
    <row r="40" spans="1:9" x14ac:dyDescent="0.35">
      <c r="A40" s="8">
        <v>45559</v>
      </c>
      <c r="B40" t="s">
        <v>732</v>
      </c>
      <c r="C40" t="s">
        <v>11</v>
      </c>
      <c r="D40" s="1">
        <v>92839</v>
      </c>
      <c r="E40" s="1">
        <v>28587</v>
      </c>
      <c r="F40" s="2">
        <v>0.30792016286259</v>
      </c>
      <c r="G40" s="1">
        <v>713</v>
      </c>
      <c r="H40" s="2">
        <v>2.4941406933221399E-2</v>
      </c>
      <c r="I40" s="9">
        <v>7.6799620848996596E-3</v>
      </c>
    </row>
    <row r="41" spans="1:9" ht="16" thickBot="1" x14ac:dyDescent="0.4">
      <c r="A41" s="36" t="s">
        <v>35</v>
      </c>
      <c r="B41" s="4"/>
      <c r="C41" s="4"/>
      <c r="D41" s="33">
        <f>SUM(D36:D40)</f>
        <v>6909334</v>
      </c>
      <c r="E41" s="33">
        <f>SUM(E36:E40)</f>
        <v>2042520</v>
      </c>
      <c r="F41" s="34">
        <f>AVERAGE(F36:F40)</f>
        <v>0.3059854739209838</v>
      </c>
      <c r="G41" s="33">
        <f>SUM(G36:G40)</f>
        <v>27152</v>
      </c>
      <c r="H41" s="34">
        <f>AVERAGE(H36:H40)</f>
        <v>1.7050587068603278E-2</v>
      </c>
      <c r="I41" s="35">
        <f>AVERAGE(I36:I40)</f>
        <v>5.302706996917466E-3</v>
      </c>
    </row>
    <row r="42" spans="1:9" ht="3" customHeight="1" thickBot="1" x14ac:dyDescent="0.4">
      <c r="A42" s="141"/>
      <c r="B42" s="142"/>
      <c r="C42" s="142"/>
      <c r="D42" s="142"/>
      <c r="E42" s="142"/>
      <c r="F42" s="142"/>
      <c r="G42" s="142"/>
      <c r="H42" s="142"/>
      <c r="I42" s="143"/>
    </row>
    <row r="43" spans="1:9" x14ac:dyDescent="0.35">
      <c r="A43" s="16" t="s">
        <v>37</v>
      </c>
      <c r="B43" s="17"/>
      <c r="C43" s="17"/>
      <c r="D43" s="17"/>
      <c r="E43" s="17"/>
      <c r="F43" s="17"/>
      <c r="G43" s="17"/>
      <c r="H43" s="17"/>
      <c r="I43" s="18"/>
    </row>
    <row r="44" spans="1:9" x14ac:dyDescent="0.35">
      <c r="A44" s="8">
        <v>45555</v>
      </c>
      <c r="B44" t="s">
        <v>725</v>
      </c>
      <c r="C44" t="s">
        <v>10</v>
      </c>
      <c r="D44" s="1">
        <v>252825</v>
      </c>
      <c r="E44" s="1">
        <v>92829</v>
      </c>
      <c r="F44" s="2">
        <v>0.367167012755859</v>
      </c>
      <c r="G44" s="1">
        <v>1196</v>
      </c>
      <c r="H44" s="2">
        <v>1.2883904814228299E-2</v>
      </c>
      <c r="I44" s="9">
        <v>4.7305448432710404E-3</v>
      </c>
    </row>
    <row r="45" spans="1:9" x14ac:dyDescent="0.35">
      <c r="A45" s="8">
        <v>45556</v>
      </c>
      <c r="B45" t="s">
        <v>728</v>
      </c>
      <c r="C45" t="s">
        <v>10</v>
      </c>
      <c r="D45" s="1">
        <v>1246170</v>
      </c>
      <c r="E45" s="1">
        <v>377535</v>
      </c>
      <c r="F45" s="2">
        <v>0.30295625797443398</v>
      </c>
      <c r="G45" s="1">
        <v>6752</v>
      </c>
      <c r="H45" s="2">
        <v>1.78844345557366E-2</v>
      </c>
      <c r="I45" s="9">
        <v>5.4182013689945997E-3</v>
      </c>
    </row>
    <row r="46" spans="1:9" x14ac:dyDescent="0.35">
      <c r="A46" s="8">
        <v>45556</v>
      </c>
      <c r="B46" t="s">
        <v>728</v>
      </c>
      <c r="C46" t="s">
        <v>11</v>
      </c>
      <c r="D46" s="1">
        <v>92673</v>
      </c>
      <c r="E46" s="1">
        <v>24515</v>
      </c>
      <c r="F46" s="2">
        <v>0.26453228016790198</v>
      </c>
      <c r="G46" s="1">
        <v>503</v>
      </c>
      <c r="H46" s="2">
        <v>2.0518050173363198E-2</v>
      </c>
      <c r="I46" s="9">
        <v>5.4276865969592001E-3</v>
      </c>
    </row>
    <row r="47" spans="1:9" x14ac:dyDescent="0.35">
      <c r="A47" s="8">
        <v>45558</v>
      </c>
      <c r="B47" t="s">
        <v>729</v>
      </c>
      <c r="C47" t="s">
        <v>730</v>
      </c>
      <c r="D47" s="1">
        <v>493</v>
      </c>
      <c r="E47" s="1">
        <v>232</v>
      </c>
      <c r="F47" s="2">
        <v>0.47058823529411797</v>
      </c>
      <c r="G47" s="1">
        <v>40</v>
      </c>
      <c r="H47" s="2">
        <v>0.17241379310344801</v>
      </c>
      <c r="I47" s="9">
        <v>8.1135902636916807E-2</v>
      </c>
    </row>
    <row r="48" spans="1:9" x14ac:dyDescent="0.35">
      <c r="A48" s="8">
        <v>45558</v>
      </c>
      <c r="B48" t="s">
        <v>729</v>
      </c>
      <c r="C48" t="s">
        <v>731</v>
      </c>
      <c r="D48" s="1">
        <v>494</v>
      </c>
      <c r="E48" s="1">
        <v>257</v>
      </c>
      <c r="F48" s="2">
        <v>0.52024291497975705</v>
      </c>
      <c r="G48" s="1">
        <v>59</v>
      </c>
      <c r="H48" s="2">
        <v>0.22957198443579799</v>
      </c>
      <c r="I48" s="9">
        <v>0.119433198380567</v>
      </c>
    </row>
    <row r="49" spans="1:9" x14ac:dyDescent="0.35">
      <c r="A49" s="8">
        <v>45560</v>
      </c>
      <c r="B49" t="s">
        <v>733</v>
      </c>
      <c r="C49" t="s">
        <v>10</v>
      </c>
      <c r="D49" s="1">
        <v>891890</v>
      </c>
      <c r="E49" s="1">
        <v>333034</v>
      </c>
      <c r="F49" s="2">
        <v>0.373402549641772</v>
      </c>
      <c r="G49" s="1">
        <v>3821</v>
      </c>
      <c r="H49" s="2">
        <v>1.1473303026117499E-2</v>
      </c>
      <c r="I49" s="9">
        <v>4.2841606027649104E-3</v>
      </c>
    </row>
    <row r="50" spans="1:9" x14ac:dyDescent="0.35">
      <c r="A50" s="8">
        <v>45560</v>
      </c>
      <c r="B50" t="s">
        <v>733</v>
      </c>
      <c r="C50" t="s">
        <v>11</v>
      </c>
      <c r="D50" s="1">
        <v>53060</v>
      </c>
      <c r="E50" s="1">
        <v>17776</v>
      </c>
      <c r="F50" s="2">
        <v>0.335016961929891</v>
      </c>
      <c r="G50" s="1">
        <v>225</v>
      </c>
      <c r="H50" s="2">
        <v>1.2657515751575201E-2</v>
      </c>
      <c r="I50" s="9">
        <v>4.2404824726724501E-3</v>
      </c>
    </row>
    <row r="51" spans="1:9" x14ac:dyDescent="0.35">
      <c r="A51" s="8">
        <v>45560</v>
      </c>
      <c r="B51" t="s">
        <v>734</v>
      </c>
      <c r="C51" t="s">
        <v>10</v>
      </c>
      <c r="D51" s="1">
        <v>71838</v>
      </c>
      <c r="E51" s="1">
        <v>31840</v>
      </c>
      <c r="F51" s="2">
        <v>0.443219466020769</v>
      </c>
      <c r="G51" s="1">
        <v>1180</v>
      </c>
      <c r="H51" s="2">
        <v>3.7060301507537703E-2</v>
      </c>
      <c r="I51" s="9">
        <v>1.6425847044739601E-2</v>
      </c>
    </row>
    <row r="52" spans="1:9" x14ac:dyDescent="0.35">
      <c r="A52" s="8">
        <v>45560</v>
      </c>
      <c r="B52" t="s">
        <v>734</v>
      </c>
      <c r="C52" t="s">
        <v>11</v>
      </c>
      <c r="D52" s="1">
        <v>1277</v>
      </c>
      <c r="E52" s="1">
        <v>582</v>
      </c>
      <c r="F52" s="2">
        <v>0.45575567736883299</v>
      </c>
      <c r="G52" s="1">
        <v>40</v>
      </c>
      <c r="H52" s="2">
        <v>6.8728522336769807E-2</v>
      </c>
      <c r="I52" s="9">
        <v>3.13234142521535E-2</v>
      </c>
    </row>
    <row r="53" spans="1:9" x14ac:dyDescent="0.35">
      <c r="A53" s="8">
        <v>45560</v>
      </c>
      <c r="B53" t="s">
        <v>735</v>
      </c>
      <c r="C53" t="s">
        <v>10</v>
      </c>
      <c r="D53" s="1">
        <v>156972</v>
      </c>
      <c r="E53" s="1">
        <v>57100</v>
      </c>
      <c r="F53" s="2">
        <v>0.36375914175776602</v>
      </c>
      <c r="G53" s="1">
        <v>939</v>
      </c>
      <c r="H53" s="2">
        <v>1.64448336252189E-2</v>
      </c>
      <c r="I53" s="9">
        <v>5.9819585658588796E-3</v>
      </c>
    </row>
    <row r="54" spans="1:9" x14ac:dyDescent="0.35">
      <c r="A54" s="8">
        <v>45560</v>
      </c>
      <c r="B54" t="s">
        <v>735</v>
      </c>
      <c r="C54" t="s">
        <v>11</v>
      </c>
      <c r="D54" s="1">
        <v>7346</v>
      </c>
      <c r="E54" s="1">
        <v>2878</v>
      </c>
      <c r="F54" s="2">
        <v>0.39177783827933599</v>
      </c>
      <c r="G54" s="1">
        <v>60</v>
      </c>
      <c r="H54" s="2">
        <v>2.0847810979847101E-2</v>
      </c>
      <c r="I54" s="9">
        <v>8.1677103185407007E-3</v>
      </c>
    </row>
    <row r="55" spans="1:9" x14ac:dyDescent="0.35">
      <c r="A55" s="8">
        <v>45561</v>
      </c>
      <c r="B55" t="s">
        <v>736</v>
      </c>
      <c r="C55" t="s">
        <v>737</v>
      </c>
      <c r="D55" s="1">
        <v>54160</v>
      </c>
      <c r="E55" s="1">
        <v>26833</v>
      </c>
      <c r="F55" s="2">
        <v>0.495439438700148</v>
      </c>
      <c r="G55" s="1">
        <v>613</v>
      </c>
      <c r="H55" s="2">
        <v>2.2845004285767499E-2</v>
      </c>
      <c r="I55" s="9">
        <v>1.13183161004431E-2</v>
      </c>
    </row>
    <row r="56" spans="1:9" x14ac:dyDescent="0.35">
      <c r="A56" s="8">
        <v>45561</v>
      </c>
      <c r="B56" t="s">
        <v>736</v>
      </c>
      <c r="C56" t="s">
        <v>738</v>
      </c>
      <c r="D56" s="1">
        <v>53888</v>
      </c>
      <c r="E56" s="1">
        <v>26591</v>
      </c>
      <c r="F56" s="2">
        <v>0.493449376484561</v>
      </c>
      <c r="G56" s="1">
        <v>444</v>
      </c>
      <c r="H56" s="2">
        <v>1.66973788123801E-2</v>
      </c>
      <c r="I56" s="9">
        <v>8.2393111638954901E-3</v>
      </c>
    </row>
    <row r="57" spans="1:9" ht="15" customHeight="1" x14ac:dyDescent="0.35">
      <c r="A57" s="8">
        <v>45561</v>
      </c>
      <c r="B57" t="s">
        <v>748</v>
      </c>
      <c r="C57" t="s">
        <v>10</v>
      </c>
      <c r="D57" s="1">
        <v>218471</v>
      </c>
      <c r="E57" s="1">
        <v>96148</v>
      </c>
      <c r="F57" s="2">
        <v>0.44009502405353601</v>
      </c>
      <c r="G57" s="1">
        <v>1514</v>
      </c>
      <c r="H57" s="2">
        <v>1.5746557390689399E-2</v>
      </c>
      <c r="I57" s="9">
        <v>6.9299815536158103E-3</v>
      </c>
    </row>
    <row r="58" spans="1:9" ht="15" customHeight="1" x14ac:dyDescent="0.35">
      <c r="A58" s="8">
        <v>45561</v>
      </c>
      <c r="B58" t="s">
        <v>749</v>
      </c>
      <c r="C58" t="s">
        <v>10</v>
      </c>
      <c r="D58" s="1">
        <v>3648</v>
      </c>
      <c r="E58" s="1">
        <v>1038</v>
      </c>
      <c r="F58" s="2">
        <v>0.28453947368421101</v>
      </c>
      <c r="G58" s="1">
        <v>105</v>
      </c>
      <c r="H58" s="2">
        <v>0.10115606936416199</v>
      </c>
      <c r="I58" s="9">
        <v>2.8782894736842101E-2</v>
      </c>
    </row>
    <row r="59" spans="1:9" ht="16" thickBot="1" x14ac:dyDescent="0.4">
      <c r="A59" s="36" t="s">
        <v>35</v>
      </c>
      <c r="B59" s="4"/>
      <c r="C59" s="4"/>
      <c r="D59" s="33">
        <f>SUM(D44:D58)</f>
        <v>3105205</v>
      </c>
      <c r="E59" s="33">
        <f>SUM(E44:E58)</f>
        <v>1089188</v>
      </c>
      <c r="F59" s="34">
        <f>AVERAGE(F44:F58)</f>
        <v>0.4001294432728596</v>
      </c>
      <c r="G59" s="33">
        <f>SUM(G44:G58)</f>
        <v>17491</v>
      </c>
      <c r="H59" s="34">
        <f>AVERAGE(H44:H58)</f>
        <v>5.1795297610842631E-2</v>
      </c>
      <c r="I59" s="35">
        <f>AVERAGE(I44:I58)</f>
        <v>2.2789307375882341E-2</v>
      </c>
    </row>
    <row r="60" spans="1:9" ht="3" customHeight="1" thickBot="1" x14ac:dyDescent="0.4">
      <c r="A60" s="139"/>
      <c r="B60" s="138"/>
      <c r="C60" s="138"/>
      <c r="D60" s="138"/>
      <c r="E60" s="138"/>
      <c r="F60" s="138"/>
      <c r="G60" s="138"/>
      <c r="H60" s="138"/>
      <c r="I60" s="140"/>
    </row>
    <row r="61" spans="1:9" x14ac:dyDescent="0.35">
      <c r="A61" s="16" t="s">
        <v>38</v>
      </c>
      <c r="B61" s="17"/>
      <c r="C61" s="17"/>
      <c r="D61" s="17"/>
      <c r="E61" s="17"/>
      <c r="F61" s="17"/>
      <c r="G61" s="17"/>
      <c r="H61" s="17"/>
      <c r="I61" s="18"/>
    </row>
    <row r="62" spans="1:9" x14ac:dyDescent="0.35">
      <c r="A62" s="8">
        <v>45561</v>
      </c>
      <c r="B62" t="s">
        <v>716</v>
      </c>
      <c r="C62" t="s">
        <v>234</v>
      </c>
      <c r="D62" s="1">
        <v>121047</v>
      </c>
      <c r="E62" s="1">
        <v>39623</v>
      </c>
      <c r="F62" s="3">
        <v>0.32729999999999998</v>
      </c>
      <c r="G62">
        <v>120</v>
      </c>
      <c r="H62" s="3">
        <v>3.0000000000000001E-3</v>
      </c>
      <c r="I62" s="11">
        <v>1E-3</v>
      </c>
    </row>
    <row r="63" spans="1:9" x14ac:dyDescent="0.35">
      <c r="A63" s="8">
        <v>45561</v>
      </c>
      <c r="B63" t="s">
        <v>717</v>
      </c>
      <c r="C63" t="s">
        <v>235</v>
      </c>
      <c r="D63" s="1">
        <v>6337</v>
      </c>
      <c r="E63" s="1">
        <v>1892</v>
      </c>
      <c r="F63" s="3">
        <v>0.29859999999999998</v>
      </c>
      <c r="G63">
        <v>5</v>
      </c>
      <c r="H63" s="3">
        <v>2.5999999999999999E-3</v>
      </c>
      <c r="I63" s="11">
        <v>8.0000000000000004E-4</v>
      </c>
    </row>
    <row r="64" spans="1:9" x14ac:dyDescent="0.35">
      <c r="A64" s="8">
        <v>45561</v>
      </c>
      <c r="B64" t="s">
        <v>699</v>
      </c>
      <c r="C64" t="s">
        <v>739</v>
      </c>
      <c r="D64" s="1">
        <v>11893</v>
      </c>
      <c r="E64" s="1">
        <v>4293</v>
      </c>
      <c r="F64" s="2">
        <v>0.36096863701336901</v>
      </c>
      <c r="G64" s="1">
        <v>18</v>
      </c>
      <c r="H64" s="2">
        <v>4.1928721174004204E-3</v>
      </c>
      <c r="I64" s="9">
        <v>1.51349533338939E-3</v>
      </c>
    </row>
    <row r="65" spans="1:9" x14ac:dyDescent="0.35">
      <c r="A65" s="8">
        <v>45561</v>
      </c>
      <c r="B65" t="s">
        <v>699</v>
      </c>
      <c r="C65" t="s">
        <v>740</v>
      </c>
      <c r="D65" s="1">
        <v>106013</v>
      </c>
      <c r="E65" s="1">
        <v>38166</v>
      </c>
      <c r="F65" s="2">
        <v>0.36</v>
      </c>
      <c r="G65" s="1">
        <v>113</v>
      </c>
      <c r="H65" s="2">
        <v>3.0000000000000001E-3</v>
      </c>
      <c r="I65" s="9">
        <v>1.4E-3</v>
      </c>
    </row>
    <row r="66" spans="1:9" x14ac:dyDescent="0.35">
      <c r="A66" s="8">
        <v>45561</v>
      </c>
      <c r="B66" t="s">
        <v>699</v>
      </c>
      <c r="C66" t="s">
        <v>741</v>
      </c>
      <c r="D66" s="1">
        <v>51649</v>
      </c>
      <c r="E66" s="1">
        <v>16353</v>
      </c>
      <c r="F66" s="2">
        <v>0.31659999999999999</v>
      </c>
      <c r="G66" s="1">
        <v>50</v>
      </c>
      <c r="H66" s="2">
        <v>3.0999999999999999E-3</v>
      </c>
      <c r="I66" s="9">
        <v>1.4E-3</v>
      </c>
    </row>
    <row r="67" spans="1:9" x14ac:dyDescent="0.35">
      <c r="A67" s="8">
        <v>45561</v>
      </c>
      <c r="B67" t="s">
        <v>700</v>
      </c>
      <c r="C67" t="s">
        <v>742</v>
      </c>
      <c r="D67" s="1">
        <v>3515</v>
      </c>
      <c r="E67" s="1">
        <v>964</v>
      </c>
      <c r="F67" s="2">
        <v>0.27425320056899</v>
      </c>
      <c r="G67" s="1">
        <v>5</v>
      </c>
      <c r="H67" s="2">
        <v>5.1867219917012403E-3</v>
      </c>
      <c r="I67" s="9">
        <v>1.42247510668563E-3</v>
      </c>
    </row>
    <row r="68" spans="1:9" x14ac:dyDescent="0.35">
      <c r="A68" s="8">
        <v>45561</v>
      </c>
      <c r="B68" t="s">
        <v>700</v>
      </c>
      <c r="C68" t="s">
        <v>743</v>
      </c>
      <c r="D68" s="1">
        <v>656</v>
      </c>
      <c r="E68" s="1">
        <v>203</v>
      </c>
      <c r="F68" s="2">
        <v>0.30945121951219501</v>
      </c>
      <c r="G68" s="1">
        <v>0</v>
      </c>
      <c r="H68" s="2">
        <v>0</v>
      </c>
      <c r="I68" s="9">
        <v>0</v>
      </c>
    </row>
    <row r="69" spans="1:9" x14ac:dyDescent="0.35">
      <c r="A69" s="8">
        <v>45561</v>
      </c>
      <c r="B69" t="s">
        <v>700</v>
      </c>
      <c r="C69" t="s">
        <v>744</v>
      </c>
      <c r="D69" s="1">
        <v>6183</v>
      </c>
      <c r="E69" s="1">
        <v>2196</v>
      </c>
      <c r="F69" s="2">
        <v>0.35516739446870399</v>
      </c>
      <c r="G69" s="1">
        <v>6</v>
      </c>
      <c r="H69" s="2">
        <v>2.7322404371584699E-3</v>
      </c>
      <c r="I69" s="9">
        <v>9.7040271712760804E-4</v>
      </c>
    </row>
    <row r="70" spans="1:9" ht="15" customHeight="1" x14ac:dyDescent="0.35">
      <c r="A70" s="8">
        <v>45561</v>
      </c>
      <c r="B70" t="s">
        <v>745</v>
      </c>
      <c r="C70" t="s">
        <v>543</v>
      </c>
      <c r="D70" s="1">
        <v>806673</v>
      </c>
      <c r="E70" s="1">
        <v>431487</v>
      </c>
      <c r="F70" s="3">
        <v>0.53490000000000004</v>
      </c>
      <c r="G70" s="1">
        <v>1434</v>
      </c>
      <c r="H70" s="3">
        <v>3.3E-3</v>
      </c>
      <c r="I70" s="11">
        <v>1.8E-3</v>
      </c>
    </row>
    <row r="71" spans="1:9" ht="15" customHeight="1" x14ac:dyDescent="0.35">
      <c r="A71" s="8">
        <v>45561</v>
      </c>
      <c r="B71" t="s">
        <v>746</v>
      </c>
      <c r="C71" t="s">
        <v>747</v>
      </c>
      <c r="D71" s="1">
        <v>34967</v>
      </c>
      <c r="E71" s="1">
        <v>17589</v>
      </c>
      <c r="F71" s="3">
        <v>0.503</v>
      </c>
      <c r="G71">
        <v>84</v>
      </c>
      <c r="H71" s="3">
        <v>4.7999999999999996E-3</v>
      </c>
      <c r="I71" s="11">
        <v>2.3999999999999998E-3</v>
      </c>
    </row>
    <row r="72" spans="1:9" ht="16" thickBot="1" x14ac:dyDescent="0.4">
      <c r="A72" s="36" t="s">
        <v>35</v>
      </c>
      <c r="B72" s="4"/>
      <c r="C72" s="4"/>
      <c r="D72" s="33">
        <f>SUM(D62:D71)</f>
        <v>1148933</v>
      </c>
      <c r="E72" s="33">
        <f>SUM(E62:E71)</f>
        <v>552766</v>
      </c>
      <c r="F72" s="34">
        <f>AVERAGE(F62:F71)</f>
        <v>0.3640240451563258</v>
      </c>
      <c r="G72" s="33">
        <f>SUM(G62:G71)</f>
        <v>1835</v>
      </c>
      <c r="H72" s="34">
        <f>AVERAGE(H62:H71)</f>
        <v>3.1911834546260128E-3</v>
      </c>
      <c r="I72" s="35">
        <f>AVERAGE(I62:I71)</f>
        <v>1.2706373157202627E-3</v>
      </c>
    </row>
  </sheetData>
  <mergeCells count="3">
    <mergeCell ref="A33:I33"/>
    <mergeCell ref="A42:I42"/>
    <mergeCell ref="A60:I60"/>
  </mergeCells>
  <pageMargins left="0.7" right="0.7" top="0.75" bottom="0.75" header="0.3" footer="0.3"/>
  <ignoredErrors>
    <ignoredError sqref="F32:G32 F41:G41 F72:G72 F59:G59" formula="1"/>
  </ignoredErrors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87D6-1040-43A3-B936-8BE67E9CE8CF}">
  <dimension ref="A1:I84"/>
  <sheetViews>
    <sheetView zoomScaleNormal="100" workbookViewId="0">
      <pane ySplit="1" topLeftCell="A35" activePane="bottomLeft" state="frozen"/>
      <selection pane="bottomLeft" activeCell="D38" sqref="D38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40.453125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45562</v>
      </c>
      <c r="B2" t="s">
        <v>750</v>
      </c>
      <c r="C2" t="s">
        <v>10</v>
      </c>
      <c r="D2" s="1">
        <v>383173</v>
      </c>
      <c r="E2" s="1">
        <v>138102</v>
      </c>
      <c r="F2" s="2">
        <v>0.360416835215425</v>
      </c>
      <c r="G2" s="1">
        <v>2647</v>
      </c>
      <c r="H2" s="2">
        <v>1.9166992512780399E-2</v>
      </c>
      <c r="I2" s="2">
        <v>6.9081067820540602E-3</v>
      </c>
    </row>
    <row r="3" spans="1:9" x14ac:dyDescent="0.35">
      <c r="A3" s="19">
        <v>45562</v>
      </c>
      <c r="B3" t="s">
        <v>750</v>
      </c>
      <c r="C3" t="s">
        <v>11</v>
      </c>
      <c r="D3" s="1">
        <v>21550</v>
      </c>
      <c r="E3" s="1">
        <v>7557</v>
      </c>
      <c r="F3" s="2">
        <v>0.35067285382830599</v>
      </c>
      <c r="G3" s="1">
        <v>304</v>
      </c>
      <c r="H3" s="2">
        <v>4.0227603546380802E-2</v>
      </c>
      <c r="I3" s="2">
        <v>1.4106728538283099E-2</v>
      </c>
    </row>
    <row r="4" spans="1:9" x14ac:dyDescent="0.35">
      <c r="A4" s="19">
        <v>45562</v>
      </c>
      <c r="B4" t="s">
        <v>751</v>
      </c>
      <c r="C4" t="s">
        <v>10</v>
      </c>
      <c r="D4" s="1">
        <v>4693437</v>
      </c>
      <c r="E4" s="1">
        <v>1541205</v>
      </c>
      <c r="F4" s="2">
        <v>0.32837449400087798</v>
      </c>
      <c r="G4" s="1">
        <v>15653</v>
      </c>
      <c r="H4" s="2">
        <v>1.01563387089972E-2</v>
      </c>
      <c r="I4" s="2">
        <v>3.3350825844684802E-3</v>
      </c>
    </row>
    <row r="5" spans="1:9" x14ac:dyDescent="0.35">
      <c r="A5" s="19">
        <v>45562</v>
      </c>
      <c r="B5" t="s">
        <v>751</v>
      </c>
      <c r="C5" t="s">
        <v>11</v>
      </c>
      <c r="D5" s="1">
        <v>302947</v>
      </c>
      <c r="E5" s="1">
        <v>87072</v>
      </c>
      <c r="F5" s="2">
        <v>0.28741661082631598</v>
      </c>
      <c r="G5" s="1">
        <v>1004</v>
      </c>
      <c r="H5" s="2">
        <v>1.1530687247335501E-2</v>
      </c>
      <c r="I5" s="2">
        <v>3.3141110491274098E-3</v>
      </c>
    </row>
    <row r="6" spans="1:9" x14ac:dyDescent="0.35">
      <c r="A6" s="19">
        <v>45562</v>
      </c>
      <c r="B6" t="s">
        <v>752</v>
      </c>
      <c r="C6" t="s">
        <v>10</v>
      </c>
      <c r="D6" s="1">
        <v>39619</v>
      </c>
      <c r="E6" s="1">
        <v>14784</v>
      </c>
      <c r="F6" s="2">
        <v>0.37315429465660399</v>
      </c>
      <c r="G6" s="1">
        <v>257</v>
      </c>
      <c r="H6" s="2">
        <v>1.7383658008658001E-2</v>
      </c>
      <c r="I6" s="2">
        <v>6.4867866427724104E-3</v>
      </c>
    </row>
    <row r="7" spans="1:9" x14ac:dyDescent="0.35">
      <c r="A7" s="19">
        <v>45562</v>
      </c>
      <c r="B7" t="s">
        <v>753</v>
      </c>
      <c r="C7" t="s">
        <v>10</v>
      </c>
      <c r="D7" s="1">
        <v>390917</v>
      </c>
      <c r="E7" s="1">
        <v>146755</v>
      </c>
      <c r="F7" s="2">
        <v>0.37541217189326598</v>
      </c>
      <c r="G7" s="1">
        <v>1324</v>
      </c>
      <c r="H7" s="2">
        <v>9.0218391196211396E-3</v>
      </c>
      <c r="I7" s="2">
        <v>3.3869082183685998E-3</v>
      </c>
    </row>
    <row r="8" spans="1:9" x14ac:dyDescent="0.35">
      <c r="A8" s="19">
        <v>45562</v>
      </c>
      <c r="B8" t="s">
        <v>754</v>
      </c>
      <c r="C8" t="s">
        <v>730</v>
      </c>
      <c r="D8" s="1">
        <v>491</v>
      </c>
      <c r="E8" s="1">
        <v>223</v>
      </c>
      <c r="F8" s="2">
        <v>0.454175152749491</v>
      </c>
      <c r="G8" s="1">
        <v>27</v>
      </c>
      <c r="H8" s="2">
        <v>0.121076233183857</v>
      </c>
      <c r="I8" s="2">
        <v>5.4989816700610997E-2</v>
      </c>
    </row>
    <row r="9" spans="1:9" x14ac:dyDescent="0.35">
      <c r="A9" s="19">
        <v>45562</v>
      </c>
      <c r="B9" t="s">
        <v>754</v>
      </c>
      <c r="C9" t="s">
        <v>731</v>
      </c>
      <c r="D9" s="1">
        <v>498</v>
      </c>
      <c r="E9" s="1">
        <v>244</v>
      </c>
      <c r="F9" s="2">
        <v>0.48995983935742998</v>
      </c>
      <c r="G9" s="1">
        <v>51</v>
      </c>
      <c r="H9" s="2">
        <v>0.20901639344262299</v>
      </c>
      <c r="I9" s="2">
        <v>0.102409638554217</v>
      </c>
    </row>
    <row r="10" spans="1:9" x14ac:dyDescent="0.35">
      <c r="A10" s="19">
        <v>45562</v>
      </c>
      <c r="B10" t="s">
        <v>755</v>
      </c>
      <c r="C10" t="s">
        <v>10</v>
      </c>
      <c r="D10" s="1">
        <v>182885</v>
      </c>
      <c r="E10" s="1">
        <v>70921</v>
      </c>
      <c r="F10" s="2">
        <v>0.38779014134565398</v>
      </c>
      <c r="G10" s="1">
        <v>763</v>
      </c>
      <c r="H10" s="2">
        <v>1.07584495424486E-2</v>
      </c>
      <c r="I10" s="2">
        <v>4.17202066872625E-3</v>
      </c>
    </row>
    <row r="11" spans="1:9" x14ac:dyDescent="0.35">
      <c r="A11" s="19">
        <v>45565</v>
      </c>
      <c r="B11" t="s">
        <v>756</v>
      </c>
      <c r="C11" t="s">
        <v>10</v>
      </c>
      <c r="D11" s="1">
        <v>1314111</v>
      </c>
      <c r="E11" s="1">
        <v>389575</v>
      </c>
      <c r="F11" s="2">
        <v>0.29645517007315197</v>
      </c>
      <c r="G11" s="1">
        <v>4333</v>
      </c>
      <c r="H11" s="2">
        <v>1.11223769492396E-2</v>
      </c>
      <c r="I11" s="2">
        <v>3.2972861501045199E-3</v>
      </c>
    </row>
    <row r="12" spans="1:9" x14ac:dyDescent="0.35">
      <c r="A12" s="19">
        <v>45565</v>
      </c>
      <c r="B12" t="s">
        <v>757</v>
      </c>
      <c r="C12" t="s">
        <v>10</v>
      </c>
      <c r="D12" s="1">
        <v>105394</v>
      </c>
      <c r="E12" s="1">
        <v>44407</v>
      </c>
      <c r="F12" s="2">
        <v>0.42134277093572697</v>
      </c>
      <c r="G12" s="1">
        <v>909</v>
      </c>
      <c r="H12" s="2">
        <v>2.0469745760803501E-2</v>
      </c>
      <c r="I12" s="2">
        <v>8.62477939920679E-3</v>
      </c>
    </row>
    <row r="13" spans="1:9" x14ac:dyDescent="0.35">
      <c r="A13" s="19">
        <v>45565</v>
      </c>
      <c r="B13" t="s">
        <v>757</v>
      </c>
      <c r="C13" t="s">
        <v>11</v>
      </c>
      <c r="D13" s="1">
        <v>6184</v>
      </c>
      <c r="E13" s="1">
        <v>2685</v>
      </c>
      <c r="F13" s="2">
        <v>0.43418499353169498</v>
      </c>
      <c r="G13" s="1">
        <v>68</v>
      </c>
      <c r="H13" s="2">
        <v>2.5325884543761602E-2</v>
      </c>
      <c r="I13" s="2">
        <v>1.09961190168176E-2</v>
      </c>
    </row>
    <row r="14" spans="1:9" x14ac:dyDescent="0.35">
      <c r="A14" s="19">
        <v>45566</v>
      </c>
      <c r="B14" t="s">
        <v>758</v>
      </c>
      <c r="C14" t="s">
        <v>10</v>
      </c>
      <c r="D14" s="1">
        <v>1367821</v>
      </c>
      <c r="E14" s="1">
        <v>404059</v>
      </c>
      <c r="F14" s="2">
        <v>0.29540341901462303</v>
      </c>
      <c r="G14" s="1">
        <v>9504</v>
      </c>
      <c r="H14" s="2">
        <v>2.35213174313652E-2</v>
      </c>
      <c r="I14" s="2">
        <v>6.9482775889535197E-3</v>
      </c>
    </row>
    <row r="15" spans="1:9" x14ac:dyDescent="0.35">
      <c r="A15" s="19">
        <v>45566</v>
      </c>
      <c r="B15" t="s">
        <v>758</v>
      </c>
      <c r="C15" t="s">
        <v>11</v>
      </c>
      <c r="D15" s="1">
        <v>92861</v>
      </c>
      <c r="E15" s="1">
        <v>27121</v>
      </c>
      <c r="F15" s="2">
        <v>0.29206017596192202</v>
      </c>
      <c r="G15" s="1">
        <v>780</v>
      </c>
      <c r="H15" s="2">
        <v>2.8760001474871899E-2</v>
      </c>
      <c r="I15" s="2">
        <v>8.3996510914162003E-3</v>
      </c>
    </row>
    <row r="16" spans="1:9" x14ac:dyDescent="0.35">
      <c r="A16" s="19">
        <v>45566</v>
      </c>
      <c r="B16" t="s">
        <v>759</v>
      </c>
      <c r="C16" t="s">
        <v>104</v>
      </c>
      <c r="D16" s="1">
        <v>249961</v>
      </c>
      <c r="E16" s="1">
        <v>86958</v>
      </c>
      <c r="F16" s="2">
        <v>0.34788627025815999</v>
      </c>
      <c r="G16" s="1">
        <v>1258</v>
      </c>
      <c r="H16" s="2">
        <v>1.4466754065180901E-2</v>
      </c>
      <c r="I16" s="2">
        <v>5.03278511447786E-3</v>
      </c>
    </row>
    <row r="17" spans="1:9" x14ac:dyDescent="0.35">
      <c r="A17" s="19">
        <v>45567</v>
      </c>
      <c r="B17" t="s">
        <v>760</v>
      </c>
      <c r="C17" t="s">
        <v>11</v>
      </c>
      <c r="D17" s="1">
        <v>13072</v>
      </c>
      <c r="E17" s="1">
        <v>5738</v>
      </c>
      <c r="F17" s="2">
        <v>0.43895348837209303</v>
      </c>
      <c r="G17" s="1">
        <v>182</v>
      </c>
      <c r="H17" s="2">
        <v>3.1718368769606098E-2</v>
      </c>
      <c r="I17" s="2">
        <v>1.39228886168911E-2</v>
      </c>
    </row>
    <row r="18" spans="1:9" x14ac:dyDescent="0.35">
      <c r="A18" s="19">
        <v>45567</v>
      </c>
      <c r="B18" t="s">
        <v>761</v>
      </c>
      <c r="C18" t="s">
        <v>10</v>
      </c>
      <c r="D18" s="1">
        <v>568651</v>
      </c>
      <c r="E18" s="1">
        <v>179831</v>
      </c>
      <c r="F18" s="2">
        <v>0.31624142048462101</v>
      </c>
      <c r="G18" s="1">
        <v>1609</v>
      </c>
      <c r="H18" s="2">
        <v>8.9472893994917493E-3</v>
      </c>
      <c r="I18" s="2">
        <v>2.8295035091822599E-3</v>
      </c>
    </row>
    <row r="19" spans="1:9" x14ac:dyDescent="0.35">
      <c r="A19" s="19">
        <v>45567</v>
      </c>
      <c r="B19" t="s">
        <v>761</v>
      </c>
      <c r="C19" t="s">
        <v>11</v>
      </c>
      <c r="D19" s="1">
        <v>14301</v>
      </c>
      <c r="E19" s="1">
        <v>4532</v>
      </c>
      <c r="F19" s="2">
        <v>0.31690091601985898</v>
      </c>
      <c r="G19" s="1">
        <v>75</v>
      </c>
      <c r="H19" s="2">
        <v>1.65489849955869E-2</v>
      </c>
      <c r="I19" s="2">
        <v>5.2443885043004001E-3</v>
      </c>
    </row>
    <row r="20" spans="1:9" x14ac:dyDescent="0.35">
      <c r="A20" s="19">
        <v>45567</v>
      </c>
      <c r="B20" t="s">
        <v>762</v>
      </c>
      <c r="C20" t="s">
        <v>10</v>
      </c>
      <c r="D20" s="1">
        <v>1378883</v>
      </c>
      <c r="E20" s="1">
        <v>490007</v>
      </c>
      <c r="F20" s="2">
        <v>0.35536517601565898</v>
      </c>
      <c r="G20" s="1">
        <v>4241</v>
      </c>
      <c r="H20" s="2">
        <v>8.6549783982677805E-3</v>
      </c>
      <c r="I20" s="2">
        <v>3.0756779219121601E-3</v>
      </c>
    </row>
    <row r="21" spans="1:9" x14ac:dyDescent="0.35">
      <c r="A21" s="19">
        <v>45567</v>
      </c>
      <c r="B21" t="s">
        <v>762</v>
      </c>
      <c r="C21" t="s">
        <v>11</v>
      </c>
      <c r="D21" s="1">
        <v>17334</v>
      </c>
      <c r="E21" s="1">
        <v>6584</v>
      </c>
      <c r="F21" s="2">
        <v>0.37983154494057902</v>
      </c>
      <c r="G21" s="1">
        <v>108</v>
      </c>
      <c r="H21" s="2">
        <v>1.6403402187120299E-2</v>
      </c>
      <c r="I21" s="2">
        <v>6.2305295950155796E-3</v>
      </c>
    </row>
    <row r="22" spans="1:9" x14ac:dyDescent="0.35">
      <c r="A22" s="19">
        <v>45568</v>
      </c>
      <c r="B22" t="s">
        <v>736</v>
      </c>
      <c r="C22" t="s">
        <v>763</v>
      </c>
      <c r="D22" s="1">
        <v>53324</v>
      </c>
      <c r="E22" s="1">
        <v>23623</v>
      </c>
      <c r="F22" s="2">
        <v>0.44300877653589399</v>
      </c>
      <c r="G22" s="1">
        <v>489</v>
      </c>
      <c r="H22" s="2">
        <v>2.0700165093341199E-2</v>
      </c>
      <c r="I22" s="2">
        <v>9.1703548120921196E-3</v>
      </c>
    </row>
    <row r="23" spans="1:9" x14ac:dyDescent="0.35">
      <c r="A23" s="19">
        <v>45568</v>
      </c>
      <c r="B23" t="s">
        <v>736</v>
      </c>
      <c r="C23" t="s">
        <v>695</v>
      </c>
      <c r="D23" s="1">
        <v>53061</v>
      </c>
      <c r="E23" s="1">
        <v>23883</v>
      </c>
      <c r="F23" s="2">
        <v>0.45010459659636998</v>
      </c>
      <c r="G23" s="1">
        <v>364</v>
      </c>
      <c r="H23" s="2">
        <v>1.52409663777582E-2</v>
      </c>
      <c r="I23" s="2">
        <v>6.8600290231997096E-3</v>
      </c>
    </row>
    <row r="24" spans="1:9" x14ac:dyDescent="0.35">
      <c r="A24" s="19">
        <v>45568</v>
      </c>
      <c r="B24" t="s">
        <v>716</v>
      </c>
      <c r="C24" t="s">
        <v>764</v>
      </c>
      <c r="D24" s="1">
        <v>161065</v>
      </c>
      <c r="E24" s="1">
        <v>54677</v>
      </c>
      <c r="F24" s="2">
        <v>0.33950000000000002</v>
      </c>
      <c r="G24" s="1">
        <v>105</v>
      </c>
      <c r="H24" s="2">
        <v>1.9E-3</v>
      </c>
      <c r="I24" s="2">
        <v>8.9999999999999998E-4</v>
      </c>
    </row>
    <row r="25" spans="1:9" x14ac:dyDescent="0.35">
      <c r="A25" s="19">
        <v>45568</v>
      </c>
      <c r="B25" t="s">
        <v>716</v>
      </c>
      <c r="C25" t="s">
        <v>765</v>
      </c>
      <c r="D25" s="1">
        <v>17985</v>
      </c>
      <c r="E25" s="1">
        <v>6032</v>
      </c>
      <c r="F25" s="2">
        <v>0.33539999999999998</v>
      </c>
      <c r="G25" s="1">
        <v>15</v>
      </c>
      <c r="H25" s="2">
        <v>2.5000000000000001E-3</v>
      </c>
      <c r="I25" s="2">
        <v>1.1999999999999999E-3</v>
      </c>
    </row>
    <row r="26" spans="1:9" x14ac:dyDescent="0.35">
      <c r="A26" s="19">
        <v>45568</v>
      </c>
      <c r="B26" t="s">
        <v>716</v>
      </c>
      <c r="C26" t="s">
        <v>741</v>
      </c>
      <c r="D26" s="1">
        <v>102104</v>
      </c>
      <c r="E26" s="1">
        <v>28972</v>
      </c>
      <c r="F26" s="2">
        <v>0.28374990206064399</v>
      </c>
      <c r="G26" s="1">
        <v>69</v>
      </c>
      <c r="H26" s="2">
        <v>2.3816098301808601E-3</v>
      </c>
      <c r="I26" s="2">
        <v>6.7578155606048702E-4</v>
      </c>
    </row>
    <row r="27" spans="1:9" x14ac:dyDescent="0.35">
      <c r="A27" s="19">
        <v>45568</v>
      </c>
      <c r="B27" t="s">
        <v>717</v>
      </c>
      <c r="C27" t="s">
        <v>766</v>
      </c>
      <c r="D27" s="1">
        <v>7850</v>
      </c>
      <c r="E27" s="1">
        <v>2597</v>
      </c>
      <c r="F27" s="2">
        <v>0.33079999999999998</v>
      </c>
      <c r="G27" s="1">
        <v>6</v>
      </c>
      <c r="H27" s="2">
        <v>2.3E-3</v>
      </c>
      <c r="I27" s="2">
        <v>8.0000000000000004E-4</v>
      </c>
    </row>
    <row r="28" spans="1:9" x14ac:dyDescent="0.35">
      <c r="A28" s="19">
        <v>45568</v>
      </c>
      <c r="B28" t="s">
        <v>717</v>
      </c>
      <c r="C28" t="s">
        <v>767</v>
      </c>
      <c r="D28" s="1">
        <v>878</v>
      </c>
      <c r="E28" s="1">
        <v>252</v>
      </c>
      <c r="F28" s="2">
        <v>0.28699999999999998</v>
      </c>
      <c r="G28" s="1">
        <v>2</v>
      </c>
      <c r="H28" s="2">
        <v>7.9000000000000008E-3</v>
      </c>
      <c r="I28" s="2">
        <v>3.3999999999999998E-3</v>
      </c>
    </row>
    <row r="29" spans="1:9" x14ac:dyDescent="0.35">
      <c r="A29" s="19">
        <v>45568</v>
      </c>
      <c r="B29" t="s">
        <v>717</v>
      </c>
      <c r="C29" t="s">
        <v>742</v>
      </c>
      <c r="D29" s="1">
        <v>5384</v>
      </c>
      <c r="E29" s="1">
        <v>1331</v>
      </c>
      <c r="F29" s="2">
        <v>0.24721396731055001</v>
      </c>
      <c r="G29" s="1">
        <v>7</v>
      </c>
      <c r="H29" s="2">
        <v>5.2592036063110401E-3</v>
      </c>
      <c r="I29" s="2">
        <v>1.3001485884101E-3</v>
      </c>
    </row>
    <row r="30" spans="1:9" x14ac:dyDescent="0.35">
      <c r="A30" s="19">
        <v>45568</v>
      </c>
      <c r="B30" t="s">
        <v>768</v>
      </c>
      <c r="C30" t="s">
        <v>543</v>
      </c>
      <c r="D30" s="1">
        <v>824177</v>
      </c>
      <c r="E30" s="1">
        <v>273092</v>
      </c>
      <c r="F30" s="3">
        <v>0.33139999999999997</v>
      </c>
      <c r="G30" s="1">
        <v>1121</v>
      </c>
      <c r="H30" s="3">
        <v>4.1000000000000003E-3</v>
      </c>
      <c r="I30" s="3">
        <v>1.4E-3</v>
      </c>
    </row>
    <row r="31" spans="1:9" x14ac:dyDescent="0.35">
      <c r="A31" s="19">
        <v>45568</v>
      </c>
      <c r="B31" t="s">
        <v>769</v>
      </c>
      <c r="C31" t="s">
        <v>545</v>
      </c>
      <c r="D31" s="1">
        <v>49651</v>
      </c>
      <c r="E31" s="1">
        <v>14735</v>
      </c>
      <c r="F31" s="3">
        <v>0.29680000000000001</v>
      </c>
      <c r="G31">
        <v>57</v>
      </c>
      <c r="H31" s="3">
        <v>3.8999999999999998E-3</v>
      </c>
      <c r="I31" s="3">
        <v>1.1000000000000001E-3</v>
      </c>
    </row>
    <row r="32" spans="1:9" x14ac:dyDescent="0.35">
      <c r="A32" s="19">
        <v>45568</v>
      </c>
      <c r="B32" t="s">
        <v>745</v>
      </c>
      <c r="C32" t="s">
        <v>234</v>
      </c>
      <c r="D32" s="1">
        <v>484297</v>
      </c>
      <c r="E32" s="1">
        <v>161160</v>
      </c>
      <c r="F32" s="2">
        <v>0.33279999999999998</v>
      </c>
      <c r="G32" s="1">
        <v>431</v>
      </c>
      <c r="H32" s="2">
        <v>2.7000000000000001E-3</v>
      </c>
      <c r="I32" s="2">
        <v>1.1000000000000001E-3</v>
      </c>
    </row>
    <row r="33" spans="1:9" x14ac:dyDescent="0.35">
      <c r="A33" s="19">
        <v>45568</v>
      </c>
      <c r="B33" t="s">
        <v>745</v>
      </c>
      <c r="C33" t="s">
        <v>770</v>
      </c>
      <c r="D33" s="1">
        <v>53885</v>
      </c>
      <c r="E33" s="1">
        <v>17689</v>
      </c>
      <c r="F33" s="2">
        <v>0.32829999999999998</v>
      </c>
      <c r="G33" s="1">
        <v>45</v>
      </c>
      <c r="H33" s="2">
        <v>2.5000000000000001E-3</v>
      </c>
      <c r="I33" s="2">
        <v>1E-3</v>
      </c>
    </row>
    <row r="34" spans="1:9" x14ac:dyDescent="0.35">
      <c r="A34" s="19">
        <v>45568</v>
      </c>
      <c r="B34" t="s">
        <v>745</v>
      </c>
      <c r="C34" t="s">
        <v>771</v>
      </c>
      <c r="D34" s="1">
        <v>170534</v>
      </c>
      <c r="E34" s="1">
        <v>46667</v>
      </c>
      <c r="F34" s="2">
        <v>0.27365217493285798</v>
      </c>
      <c r="G34" s="1">
        <v>131</v>
      </c>
      <c r="H34" s="2">
        <v>2.8071228062656701E-3</v>
      </c>
      <c r="I34" s="2">
        <v>7.6817526123822795E-4</v>
      </c>
    </row>
    <row r="35" spans="1:9" x14ac:dyDescent="0.35">
      <c r="A35" s="19">
        <v>45568</v>
      </c>
      <c r="B35" t="s">
        <v>746</v>
      </c>
      <c r="C35" t="s">
        <v>235</v>
      </c>
      <c r="D35" s="1">
        <v>21464</v>
      </c>
      <c r="E35" s="1">
        <v>6665</v>
      </c>
      <c r="F35" s="2">
        <v>0.3105</v>
      </c>
      <c r="G35" s="1">
        <v>17</v>
      </c>
      <c r="H35" s="2">
        <v>2.5999999999999999E-3</v>
      </c>
      <c r="I35" s="2">
        <v>1E-3</v>
      </c>
    </row>
    <row r="36" spans="1:9" x14ac:dyDescent="0.35">
      <c r="A36" s="19">
        <v>45568</v>
      </c>
      <c r="B36" t="s">
        <v>746</v>
      </c>
      <c r="C36" t="s">
        <v>772</v>
      </c>
      <c r="D36" s="1">
        <v>2412</v>
      </c>
      <c r="E36" s="1">
        <v>689</v>
      </c>
      <c r="F36" s="2">
        <v>0.28570000000000001</v>
      </c>
      <c r="G36" s="1">
        <v>5</v>
      </c>
      <c r="H36" s="2">
        <v>7.3000000000000001E-3</v>
      </c>
      <c r="I36" s="2">
        <v>3.7000000000000002E-3</v>
      </c>
    </row>
    <row r="37" spans="1:9" x14ac:dyDescent="0.35">
      <c r="A37" s="19">
        <v>45568</v>
      </c>
      <c r="B37" t="s">
        <v>746</v>
      </c>
      <c r="C37" t="s">
        <v>773</v>
      </c>
      <c r="D37" s="1">
        <v>7141</v>
      </c>
      <c r="E37" s="1">
        <v>1711</v>
      </c>
      <c r="F37" s="2">
        <v>0.23960229659711499</v>
      </c>
      <c r="G37" s="1">
        <v>8</v>
      </c>
      <c r="H37" s="2">
        <v>4.6756282875511403E-3</v>
      </c>
      <c r="I37" s="2">
        <v>1.1202912757316899E-3</v>
      </c>
    </row>
    <row r="38" spans="1:9" ht="16" thickBot="1" x14ac:dyDescent="0.4">
      <c r="A38" s="37" t="s">
        <v>35</v>
      </c>
      <c r="D38" s="31">
        <f>SUM(D2:D37)</f>
        <v>13159302</v>
      </c>
      <c r="E38" s="31">
        <f>SUM(E2:E37)</f>
        <v>4312135</v>
      </c>
      <c r="F38" s="32">
        <f>AVERAGE(F2:F37)</f>
        <v>0.34493137370874694</v>
      </c>
      <c r="G38" s="31">
        <f>SUM(G2:G37)</f>
        <v>47969</v>
      </c>
      <c r="H38" s="32">
        <f>AVERAGE(H2:H37)</f>
        <v>2.0640055424705706E-2</v>
      </c>
      <c r="I38" s="32">
        <f>AVERAGE(I2:I37)</f>
        <v>8.5890518545455163E-3</v>
      </c>
    </row>
    <row r="39" spans="1:9" ht="15" thickBot="1" x14ac:dyDescent="0.4">
      <c r="A39" s="138" t="s">
        <v>302</v>
      </c>
      <c r="B39" s="138"/>
      <c r="C39" s="138"/>
      <c r="D39" s="138"/>
      <c r="E39" s="138"/>
      <c r="F39" s="138"/>
      <c r="G39" s="138"/>
      <c r="H39" s="138"/>
      <c r="I39" s="138"/>
    </row>
    <row r="40" spans="1:9" ht="15.5" x14ac:dyDescent="0.35">
      <c r="A40" s="38" t="s">
        <v>0</v>
      </c>
      <c r="B40" s="39" t="s">
        <v>1</v>
      </c>
      <c r="C40" s="39" t="s">
        <v>2</v>
      </c>
      <c r="D40" s="39" t="s">
        <v>3</v>
      </c>
      <c r="E40" s="39" t="s">
        <v>4</v>
      </c>
      <c r="F40" s="39" t="s">
        <v>5</v>
      </c>
      <c r="G40" s="39" t="s">
        <v>6</v>
      </c>
      <c r="H40" s="39" t="s">
        <v>7</v>
      </c>
      <c r="I40" s="40" t="s">
        <v>8</v>
      </c>
    </row>
    <row r="41" spans="1:9" x14ac:dyDescent="0.35">
      <c r="A41" s="5" t="s">
        <v>36</v>
      </c>
      <c r="B41" s="6"/>
      <c r="C41" s="6"/>
      <c r="D41" s="6"/>
      <c r="E41" s="6"/>
      <c r="F41" s="6"/>
      <c r="G41" s="6"/>
      <c r="H41" s="6"/>
      <c r="I41" s="7"/>
    </row>
    <row r="42" spans="1:9" x14ac:dyDescent="0.35">
      <c r="A42" s="8">
        <v>45562</v>
      </c>
      <c r="B42" t="s">
        <v>750</v>
      </c>
      <c r="C42" t="s">
        <v>10</v>
      </c>
      <c r="D42" s="1">
        <v>383173</v>
      </c>
      <c r="E42" s="1">
        <v>138102</v>
      </c>
      <c r="F42" s="2">
        <v>0.360416835215425</v>
      </c>
      <c r="G42" s="1">
        <v>2647</v>
      </c>
      <c r="H42" s="2">
        <v>1.9166992512780399E-2</v>
      </c>
      <c r="I42" s="9">
        <v>6.9081067820540602E-3</v>
      </c>
    </row>
    <row r="43" spans="1:9" x14ac:dyDescent="0.35">
      <c r="A43" s="8">
        <v>45562</v>
      </c>
      <c r="B43" t="s">
        <v>750</v>
      </c>
      <c r="C43" t="s">
        <v>11</v>
      </c>
      <c r="D43" s="1">
        <v>21550</v>
      </c>
      <c r="E43" s="1">
        <v>7557</v>
      </c>
      <c r="F43" s="2">
        <v>0.35067285382830599</v>
      </c>
      <c r="G43" s="1">
        <v>304</v>
      </c>
      <c r="H43" s="2">
        <v>4.0227603546380802E-2</v>
      </c>
      <c r="I43" s="9">
        <v>1.4106728538283099E-2</v>
      </c>
    </row>
    <row r="44" spans="1:9" x14ac:dyDescent="0.35">
      <c r="A44" s="8">
        <v>45562</v>
      </c>
      <c r="B44" t="s">
        <v>751</v>
      </c>
      <c r="C44" t="s">
        <v>10</v>
      </c>
      <c r="D44" s="1">
        <v>4693437</v>
      </c>
      <c r="E44" s="1">
        <v>1541205</v>
      </c>
      <c r="F44" s="2">
        <v>0.32837449400087798</v>
      </c>
      <c r="G44" s="1">
        <v>15653</v>
      </c>
      <c r="H44" s="2">
        <v>1.01563387089972E-2</v>
      </c>
      <c r="I44" s="9">
        <v>3.3350825844684802E-3</v>
      </c>
    </row>
    <row r="45" spans="1:9" x14ac:dyDescent="0.35">
      <c r="A45" s="8">
        <v>45562</v>
      </c>
      <c r="B45" t="s">
        <v>751</v>
      </c>
      <c r="C45" t="s">
        <v>11</v>
      </c>
      <c r="D45" s="1">
        <v>302947</v>
      </c>
      <c r="E45" s="1">
        <v>87072</v>
      </c>
      <c r="F45" s="2">
        <v>0.28741661082631598</v>
      </c>
      <c r="G45" s="1">
        <v>1004</v>
      </c>
      <c r="H45" s="2">
        <v>1.1530687247335501E-2</v>
      </c>
      <c r="I45" s="9">
        <v>3.3141110491274098E-3</v>
      </c>
    </row>
    <row r="46" spans="1:9" x14ac:dyDescent="0.35">
      <c r="A46" s="8">
        <v>45566</v>
      </c>
      <c r="B46" t="s">
        <v>758</v>
      </c>
      <c r="C46" t="s">
        <v>10</v>
      </c>
      <c r="D46" s="1">
        <v>1367821</v>
      </c>
      <c r="E46" s="1">
        <v>404059</v>
      </c>
      <c r="F46" s="2">
        <v>0.29540341901462303</v>
      </c>
      <c r="G46" s="1">
        <v>9504</v>
      </c>
      <c r="H46" s="2">
        <v>2.35213174313652E-2</v>
      </c>
      <c r="I46" s="9">
        <v>6.9482775889535197E-3</v>
      </c>
    </row>
    <row r="47" spans="1:9" x14ac:dyDescent="0.35">
      <c r="A47" s="8">
        <v>45566</v>
      </c>
      <c r="B47" t="s">
        <v>758</v>
      </c>
      <c r="C47" t="s">
        <v>11</v>
      </c>
      <c r="D47" s="1">
        <v>92861</v>
      </c>
      <c r="E47" s="1">
        <v>27121</v>
      </c>
      <c r="F47" s="2">
        <v>0.29206017596192202</v>
      </c>
      <c r="G47" s="1">
        <v>780</v>
      </c>
      <c r="H47" s="2">
        <v>2.8760001474871899E-2</v>
      </c>
      <c r="I47" s="9">
        <v>8.3996510914162003E-3</v>
      </c>
    </row>
    <row r="48" spans="1:9" ht="16" thickBot="1" x14ac:dyDescent="0.4">
      <c r="A48" s="36" t="s">
        <v>35</v>
      </c>
      <c r="B48" s="4"/>
      <c r="C48" s="4"/>
      <c r="D48" s="33">
        <f>SUM(D42:D47)</f>
        <v>6861789</v>
      </c>
      <c r="E48" s="33">
        <f>SUM(E42:E47)</f>
        <v>2205116</v>
      </c>
      <c r="F48" s="34">
        <f>AVERAGE(F42:F47)</f>
        <v>0.31905739814124501</v>
      </c>
      <c r="G48" s="33">
        <f>SUM(G42:G47)</f>
        <v>29892</v>
      </c>
      <c r="H48" s="34">
        <f>AVERAGE(H42:H47)</f>
        <v>2.2227156820288498E-2</v>
      </c>
      <c r="I48" s="35">
        <f>AVERAGE(I42:I47)</f>
        <v>7.1686596057171275E-3</v>
      </c>
    </row>
    <row r="49" spans="1:9" ht="3" customHeight="1" thickBot="1" x14ac:dyDescent="0.4">
      <c r="A49" s="141"/>
      <c r="B49" s="142"/>
      <c r="C49" s="142"/>
      <c r="D49" s="142"/>
      <c r="E49" s="142"/>
      <c r="F49" s="142"/>
      <c r="G49" s="142"/>
      <c r="H49" s="142"/>
      <c r="I49" s="143"/>
    </row>
    <row r="50" spans="1:9" x14ac:dyDescent="0.35">
      <c r="A50" s="16" t="s">
        <v>37</v>
      </c>
      <c r="B50" s="17"/>
      <c r="C50" s="17"/>
      <c r="D50" s="17"/>
      <c r="E50" s="17"/>
      <c r="F50" s="17"/>
      <c r="G50" s="17"/>
      <c r="H50" s="17"/>
      <c r="I50" s="18"/>
    </row>
    <row r="51" spans="1:9" x14ac:dyDescent="0.35">
      <c r="A51" s="8">
        <v>45562</v>
      </c>
      <c r="B51" t="s">
        <v>752</v>
      </c>
      <c r="C51" t="s">
        <v>10</v>
      </c>
      <c r="D51" s="1">
        <v>39619</v>
      </c>
      <c r="E51" s="1">
        <v>14784</v>
      </c>
      <c r="F51" s="2">
        <v>0.37315429465660399</v>
      </c>
      <c r="G51" s="1">
        <v>257</v>
      </c>
      <c r="H51" s="2">
        <v>1.7383658008658001E-2</v>
      </c>
      <c r="I51" s="9">
        <v>6.4867866427724104E-3</v>
      </c>
    </row>
    <row r="52" spans="1:9" x14ac:dyDescent="0.35">
      <c r="A52" s="8">
        <v>45562</v>
      </c>
      <c r="B52" t="s">
        <v>753</v>
      </c>
      <c r="C52" t="s">
        <v>10</v>
      </c>
      <c r="D52" s="1">
        <v>390917</v>
      </c>
      <c r="E52" s="1">
        <v>146755</v>
      </c>
      <c r="F52" s="2">
        <v>0.37541217189326598</v>
      </c>
      <c r="G52" s="1">
        <v>1324</v>
      </c>
      <c r="H52" s="2">
        <v>9.0218391196211396E-3</v>
      </c>
      <c r="I52" s="9">
        <v>3.3869082183685998E-3</v>
      </c>
    </row>
    <row r="53" spans="1:9" x14ac:dyDescent="0.35">
      <c r="A53" s="8">
        <v>45562</v>
      </c>
      <c r="B53" t="s">
        <v>754</v>
      </c>
      <c r="C53" t="s">
        <v>730</v>
      </c>
      <c r="D53" s="1">
        <v>491</v>
      </c>
      <c r="E53" s="1">
        <v>223</v>
      </c>
      <c r="F53" s="2">
        <v>0.454175152749491</v>
      </c>
      <c r="G53" s="1">
        <v>27</v>
      </c>
      <c r="H53" s="2">
        <v>0.121076233183857</v>
      </c>
      <c r="I53" s="9">
        <v>5.4989816700610997E-2</v>
      </c>
    </row>
    <row r="54" spans="1:9" x14ac:dyDescent="0.35">
      <c r="A54" s="8">
        <v>45562</v>
      </c>
      <c r="B54" t="s">
        <v>754</v>
      </c>
      <c r="C54" t="s">
        <v>731</v>
      </c>
      <c r="D54" s="1">
        <v>498</v>
      </c>
      <c r="E54" s="1">
        <v>244</v>
      </c>
      <c r="F54" s="2">
        <v>0.48995983935742998</v>
      </c>
      <c r="G54" s="1">
        <v>51</v>
      </c>
      <c r="H54" s="2">
        <v>0.20901639344262299</v>
      </c>
      <c r="I54" s="9">
        <v>0.102409638554217</v>
      </c>
    </row>
    <row r="55" spans="1:9" x14ac:dyDescent="0.35">
      <c r="A55" s="8">
        <v>45562</v>
      </c>
      <c r="B55" t="s">
        <v>755</v>
      </c>
      <c r="C55" t="s">
        <v>10</v>
      </c>
      <c r="D55" s="1">
        <v>182885</v>
      </c>
      <c r="E55" s="1">
        <v>70921</v>
      </c>
      <c r="F55" s="2">
        <v>0.38779014134565398</v>
      </c>
      <c r="G55" s="1">
        <v>763</v>
      </c>
      <c r="H55" s="2">
        <v>1.07584495424486E-2</v>
      </c>
      <c r="I55" s="9">
        <v>4.17202066872625E-3</v>
      </c>
    </row>
    <row r="56" spans="1:9" x14ac:dyDescent="0.35">
      <c r="A56" s="8">
        <v>45565</v>
      </c>
      <c r="B56" t="s">
        <v>756</v>
      </c>
      <c r="C56" t="s">
        <v>10</v>
      </c>
      <c r="D56" s="1">
        <v>1314111</v>
      </c>
      <c r="E56" s="1">
        <v>389575</v>
      </c>
      <c r="F56" s="2">
        <v>0.29645517007315197</v>
      </c>
      <c r="G56" s="1">
        <v>4333</v>
      </c>
      <c r="H56" s="2">
        <v>1.11223769492396E-2</v>
      </c>
      <c r="I56" s="9">
        <v>3.2972861501045199E-3</v>
      </c>
    </row>
    <row r="57" spans="1:9" x14ac:dyDescent="0.35">
      <c r="A57" s="8">
        <v>45565</v>
      </c>
      <c r="B57" t="s">
        <v>757</v>
      </c>
      <c r="C57" t="s">
        <v>10</v>
      </c>
      <c r="D57" s="1">
        <v>105394</v>
      </c>
      <c r="E57" s="1">
        <v>44407</v>
      </c>
      <c r="F57" s="2">
        <v>0.42134277093572697</v>
      </c>
      <c r="G57" s="1">
        <v>909</v>
      </c>
      <c r="H57" s="2">
        <v>2.0469745760803501E-2</v>
      </c>
      <c r="I57" s="9">
        <v>8.62477939920679E-3</v>
      </c>
    </row>
    <row r="58" spans="1:9" x14ac:dyDescent="0.35">
      <c r="A58" s="8">
        <v>45565</v>
      </c>
      <c r="B58" t="s">
        <v>757</v>
      </c>
      <c r="C58" t="s">
        <v>11</v>
      </c>
      <c r="D58" s="1">
        <v>6184</v>
      </c>
      <c r="E58" s="1">
        <v>2685</v>
      </c>
      <c r="F58" s="2">
        <v>0.43418499353169498</v>
      </c>
      <c r="G58" s="1">
        <v>68</v>
      </c>
      <c r="H58" s="2">
        <v>2.5325884543761602E-2</v>
      </c>
      <c r="I58" s="9">
        <v>1.09961190168176E-2</v>
      </c>
    </row>
    <row r="59" spans="1:9" x14ac:dyDescent="0.35">
      <c r="A59" s="8">
        <v>45566</v>
      </c>
      <c r="B59" t="s">
        <v>759</v>
      </c>
      <c r="C59" t="s">
        <v>104</v>
      </c>
      <c r="D59" s="1">
        <v>249961</v>
      </c>
      <c r="E59" s="1">
        <v>86958</v>
      </c>
      <c r="F59" s="2">
        <v>0.34788627025815999</v>
      </c>
      <c r="G59" s="1">
        <v>1258</v>
      </c>
      <c r="H59" s="2">
        <v>1.4466754065180901E-2</v>
      </c>
      <c r="I59" s="9">
        <v>5.03278511447786E-3</v>
      </c>
    </row>
    <row r="60" spans="1:9" x14ac:dyDescent="0.35">
      <c r="A60" s="8">
        <v>45567</v>
      </c>
      <c r="B60" t="s">
        <v>760</v>
      </c>
      <c r="C60" t="s">
        <v>11</v>
      </c>
      <c r="D60" s="1">
        <v>13072</v>
      </c>
      <c r="E60" s="1">
        <v>5738</v>
      </c>
      <c r="F60" s="2">
        <v>0.43895348837209303</v>
      </c>
      <c r="G60" s="1">
        <v>182</v>
      </c>
      <c r="H60" s="2">
        <v>3.1718368769606098E-2</v>
      </c>
      <c r="I60" s="9">
        <v>1.39228886168911E-2</v>
      </c>
    </row>
    <row r="61" spans="1:9" x14ac:dyDescent="0.35">
      <c r="A61" s="8">
        <v>45567</v>
      </c>
      <c r="B61" t="s">
        <v>761</v>
      </c>
      <c r="C61" t="s">
        <v>10</v>
      </c>
      <c r="D61" s="1">
        <v>568651</v>
      </c>
      <c r="E61" s="1">
        <v>179831</v>
      </c>
      <c r="F61" s="2">
        <v>0.31624142048462101</v>
      </c>
      <c r="G61" s="1">
        <v>1609</v>
      </c>
      <c r="H61" s="2">
        <v>8.9472893994917493E-3</v>
      </c>
      <c r="I61" s="9">
        <v>2.8295035091822599E-3</v>
      </c>
    </row>
    <row r="62" spans="1:9" x14ac:dyDescent="0.35">
      <c r="A62" s="8">
        <v>45567</v>
      </c>
      <c r="B62" t="s">
        <v>761</v>
      </c>
      <c r="C62" t="s">
        <v>11</v>
      </c>
      <c r="D62" s="1">
        <v>14301</v>
      </c>
      <c r="E62" s="1">
        <v>4532</v>
      </c>
      <c r="F62" s="2">
        <v>0.31690091601985898</v>
      </c>
      <c r="G62" s="1">
        <v>75</v>
      </c>
      <c r="H62" s="2">
        <v>1.65489849955869E-2</v>
      </c>
      <c r="I62" s="9">
        <v>5.2443885043004001E-3</v>
      </c>
    </row>
    <row r="63" spans="1:9" x14ac:dyDescent="0.35">
      <c r="A63" s="8">
        <v>45567</v>
      </c>
      <c r="B63" t="s">
        <v>762</v>
      </c>
      <c r="C63" t="s">
        <v>10</v>
      </c>
      <c r="D63" s="1">
        <v>1378883</v>
      </c>
      <c r="E63" s="1">
        <v>490007</v>
      </c>
      <c r="F63" s="2">
        <v>0.35536517601565898</v>
      </c>
      <c r="G63" s="1">
        <v>4241</v>
      </c>
      <c r="H63" s="2">
        <v>8.6549783982677805E-3</v>
      </c>
      <c r="I63" s="9">
        <v>3.0756779219121601E-3</v>
      </c>
    </row>
    <row r="64" spans="1:9" x14ac:dyDescent="0.35">
      <c r="A64" s="8">
        <v>45567</v>
      </c>
      <c r="B64" t="s">
        <v>762</v>
      </c>
      <c r="C64" t="s">
        <v>11</v>
      </c>
      <c r="D64" s="1">
        <v>17334</v>
      </c>
      <c r="E64" s="1">
        <v>6584</v>
      </c>
      <c r="F64" s="2">
        <v>0.37983154494057902</v>
      </c>
      <c r="G64" s="1">
        <v>108</v>
      </c>
      <c r="H64" s="2">
        <v>1.6403402187120299E-2</v>
      </c>
      <c r="I64" s="9">
        <v>6.2305295950155796E-3</v>
      </c>
    </row>
    <row r="65" spans="1:9" x14ac:dyDescent="0.35">
      <c r="A65" s="8">
        <v>45568</v>
      </c>
      <c r="B65" t="s">
        <v>736</v>
      </c>
      <c r="C65" t="s">
        <v>763</v>
      </c>
      <c r="D65" s="1">
        <v>53324</v>
      </c>
      <c r="E65" s="1">
        <v>23623</v>
      </c>
      <c r="F65" s="2">
        <v>0.44300877653589399</v>
      </c>
      <c r="G65" s="1">
        <v>489</v>
      </c>
      <c r="H65" s="2">
        <v>2.0700165093341199E-2</v>
      </c>
      <c r="I65" s="9">
        <v>9.1703548120921196E-3</v>
      </c>
    </row>
    <row r="66" spans="1:9" x14ac:dyDescent="0.35">
      <c r="A66" s="8">
        <v>45568</v>
      </c>
      <c r="B66" t="s">
        <v>736</v>
      </c>
      <c r="C66" t="s">
        <v>695</v>
      </c>
      <c r="D66" s="1">
        <v>53061</v>
      </c>
      <c r="E66" s="1">
        <v>23883</v>
      </c>
      <c r="F66" s="2">
        <v>0.45010459659636998</v>
      </c>
      <c r="G66" s="1">
        <v>364</v>
      </c>
      <c r="H66" s="2">
        <v>1.52409663777582E-2</v>
      </c>
      <c r="I66" s="9">
        <v>6.8600290231997096E-3</v>
      </c>
    </row>
    <row r="67" spans="1:9" ht="16" thickBot="1" x14ac:dyDescent="0.4">
      <c r="A67" s="36" t="s">
        <v>35</v>
      </c>
      <c r="B67" s="4"/>
      <c r="C67" s="4"/>
      <c r="D67" s="33">
        <f>SUM(D51:D66)</f>
        <v>4388686</v>
      </c>
      <c r="E67" s="33">
        <f>SUM(E51:E66)</f>
        <v>1490750</v>
      </c>
      <c r="F67" s="34">
        <f>AVERAGE(F51:F66)</f>
        <v>0.39254792023539081</v>
      </c>
      <c r="G67" s="33">
        <f>SUM(G51:G66)</f>
        <v>16058</v>
      </c>
      <c r="H67" s="34">
        <f>AVERAGE(H51:H66)</f>
        <v>3.4803468114835347E-2</v>
      </c>
      <c r="I67" s="35">
        <f>AVERAGE(I51:I66)</f>
        <v>1.5420594527993456E-2</v>
      </c>
    </row>
    <row r="68" spans="1:9" ht="3" customHeight="1" thickBot="1" x14ac:dyDescent="0.4">
      <c r="A68" s="139"/>
      <c r="B68" s="138"/>
      <c r="C68" s="138"/>
      <c r="D68" s="138"/>
      <c r="E68" s="138"/>
      <c r="F68" s="138"/>
      <c r="G68" s="138"/>
      <c r="H68" s="138"/>
      <c r="I68" s="140"/>
    </row>
    <row r="69" spans="1:9" x14ac:dyDescent="0.35">
      <c r="A69" s="16" t="s">
        <v>38</v>
      </c>
      <c r="B69" s="17"/>
      <c r="C69" s="17"/>
      <c r="D69" s="17"/>
      <c r="E69" s="17"/>
      <c r="F69" s="17"/>
      <c r="G69" s="17"/>
      <c r="H69" s="17"/>
      <c r="I69" s="18"/>
    </row>
    <row r="70" spans="1:9" x14ac:dyDescent="0.35">
      <c r="A70" s="8">
        <v>45568</v>
      </c>
      <c r="B70" t="s">
        <v>716</v>
      </c>
      <c r="C70" t="s">
        <v>764</v>
      </c>
      <c r="D70" s="1">
        <v>161065</v>
      </c>
      <c r="E70" s="1">
        <v>54677</v>
      </c>
      <c r="F70" s="2">
        <v>0.33950000000000002</v>
      </c>
      <c r="G70" s="1">
        <v>105</v>
      </c>
      <c r="H70" s="2">
        <v>1.9E-3</v>
      </c>
      <c r="I70" s="9">
        <v>8.9999999999999998E-4</v>
      </c>
    </row>
    <row r="71" spans="1:9" x14ac:dyDescent="0.35">
      <c r="A71" s="8">
        <v>45568</v>
      </c>
      <c r="B71" t="s">
        <v>716</v>
      </c>
      <c r="C71" t="s">
        <v>765</v>
      </c>
      <c r="D71" s="1">
        <v>17985</v>
      </c>
      <c r="E71" s="1">
        <v>6032</v>
      </c>
      <c r="F71" s="2">
        <v>0.33539999999999998</v>
      </c>
      <c r="G71" s="1">
        <v>15</v>
      </c>
      <c r="H71" s="2">
        <v>2.5000000000000001E-3</v>
      </c>
      <c r="I71" s="9">
        <v>1.1999999999999999E-3</v>
      </c>
    </row>
    <row r="72" spans="1:9" x14ac:dyDescent="0.35">
      <c r="A72" s="8">
        <v>45568</v>
      </c>
      <c r="B72" t="s">
        <v>716</v>
      </c>
      <c r="C72" t="s">
        <v>741</v>
      </c>
      <c r="D72" s="1">
        <v>102104</v>
      </c>
      <c r="E72" s="1">
        <v>28972</v>
      </c>
      <c r="F72" s="2">
        <v>0.28374990206064399</v>
      </c>
      <c r="G72" s="1">
        <v>69</v>
      </c>
      <c r="H72" s="2">
        <v>2.3816098301808601E-3</v>
      </c>
      <c r="I72" s="9">
        <v>6.7578155606048702E-4</v>
      </c>
    </row>
    <row r="73" spans="1:9" x14ac:dyDescent="0.35">
      <c r="A73" s="8">
        <v>45568</v>
      </c>
      <c r="B73" t="s">
        <v>717</v>
      </c>
      <c r="C73" t="s">
        <v>766</v>
      </c>
      <c r="D73" s="1">
        <v>7850</v>
      </c>
      <c r="E73" s="1">
        <v>2597</v>
      </c>
      <c r="F73" s="2">
        <v>0.33079999999999998</v>
      </c>
      <c r="G73" s="1">
        <v>6</v>
      </c>
      <c r="H73" s="2">
        <v>2.3E-3</v>
      </c>
      <c r="I73" s="9">
        <v>8.0000000000000004E-4</v>
      </c>
    </row>
    <row r="74" spans="1:9" x14ac:dyDescent="0.35">
      <c r="A74" s="8">
        <v>45568</v>
      </c>
      <c r="B74" t="s">
        <v>717</v>
      </c>
      <c r="C74" t="s">
        <v>767</v>
      </c>
      <c r="D74" s="1">
        <v>878</v>
      </c>
      <c r="E74" s="1">
        <v>252</v>
      </c>
      <c r="F74" s="2">
        <v>0.28699999999999998</v>
      </c>
      <c r="G74" s="1">
        <v>2</v>
      </c>
      <c r="H74" s="2">
        <v>7.9000000000000008E-3</v>
      </c>
      <c r="I74" s="9">
        <v>3.3999999999999998E-3</v>
      </c>
    </row>
    <row r="75" spans="1:9" x14ac:dyDescent="0.35">
      <c r="A75" s="8">
        <v>45568</v>
      </c>
      <c r="B75" t="s">
        <v>717</v>
      </c>
      <c r="C75" t="s">
        <v>742</v>
      </c>
      <c r="D75" s="1">
        <v>5384</v>
      </c>
      <c r="E75" s="1">
        <v>1331</v>
      </c>
      <c r="F75" s="2">
        <v>0.24721396731055001</v>
      </c>
      <c r="G75" s="1">
        <v>7</v>
      </c>
      <c r="H75" s="2">
        <v>5.2592036063110401E-3</v>
      </c>
      <c r="I75" s="9">
        <v>1.3001485884101E-3</v>
      </c>
    </row>
    <row r="76" spans="1:9" x14ac:dyDescent="0.35">
      <c r="A76" s="8">
        <v>45568</v>
      </c>
      <c r="B76" t="s">
        <v>768</v>
      </c>
      <c r="C76" t="s">
        <v>543</v>
      </c>
      <c r="D76" s="1">
        <v>824177</v>
      </c>
      <c r="E76" s="1">
        <v>273092</v>
      </c>
      <c r="F76" s="3">
        <v>0.33139999999999997</v>
      </c>
      <c r="G76" s="1">
        <v>1121</v>
      </c>
      <c r="H76" s="3">
        <v>4.1000000000000003E-3</v>
      </c>
      <c r="I76" s="11">
        <v>1.4E-3</v>
      </c>
    </row>
    <row r="77" spans="1:9" x14ac:dyDescent="0.35">
      <c r="A77" s="8">
        <v>45568</v>
      </c>
      <c r="B77" t="s">
        <v>769</v>
      </c>
      <c r="C77" t="s">
        <v>545</v>
      </c>
      <c r="D77" s="1">
        <v>49651</v>
      </c>
      <c r="E77" s="1">
        <v>14735</v>
      </c>
      <c r="F77" s="3">
        <v>0.29680000000000001</v>
      </c>
      <c r="G77">
        <v>57</v>
      </c>
      <c r="H77" s="3">
        <v>3.8999999999999998E-3</v>
      </c>
      <c r="I77" s="11">
        <v>1.1000000000000001E-3</v>
      </c>
    </row>
    <row r="78" spans="1:9" x14ac:dyDescent="0.35">
      <c r="A78" s="8">
        <v>45568</v>
      </c>
      <c r="B78" t="s">
        <v>745</v>
      </c>
      <c r="C78" t="s">
        <v>234</v>
      </c>
      <c r="D78" s="1">
        <v>484297</v>
      </c>
      <c r="E78" s="1">
        <v>161160</v>
      </c>
      <c r="F78" s="2">
        <v>0.33279999999999998</v>
      </c>
      <c r="G78" s="1">
        <v>431</v>
      </c>
      <c r="H78" s="2">
        <v>2.7000000000000001E-3</v>
      </c>
      <c r="I78" s="9">
        <v>1.1000000000000001E-3</v>
      </c>
    </row>
    <row r="79" spans="1:9" x14ac:dyDescent="0.35">
      <c r="A79" s="8">
        <v>45568</v>
      </c>
      <c r="B79" t="s">
        <v>745</v>
      </c>
      <c r="C79" t="s">
        <v>770</v>
      </c>
      <c r="D79" s="1">
        <v>53885</v>
      </c>
      <c r="E79" s="1">
        <v>17689</v>
      </c>
      <c r="F79" s="2">
        <v>0.32829999999999998</v>
      </c>
      <c r="G79" s="1">
        <v>45</v>
      </c>
      <c r="H79" s="2">
        <v>2.5000000000000001E-3</v>
      </c>
      <c r="I79" s="9">
        <v>1E-3</v>
      </c>
    </row>
    <row r="80" spans="1:9" x14ac:dyDescent="0.35">
      <c r="A80" s="8">
        <v>45568</v>
      </c>
      <c r="B80" t="s">
        <v>745</v>
      </c>
      <c r="C80" t="s">
        <v>771</v>
      </c>
      <c r="D80" s="1">
        <v>170534</v>
      </c>
      <c r="E80" s="1">
        <v>46667</v>
      </c>
      <c r="F80" s="2">
        <v>0.27365217493285798</v>
      </c>
      <c r="G80" s="1">
        <v>131</v>
      </c>
      <c r="H80" s="2">
        <v>2.8071228062656701E-3</v>
      </c>
      <c r="I80" s="9">
        <v>7.6817526123822795E-4</v>
      </c>
    </row>
    <row r="81" spans="1:9" x14ac:dyDescent="0.35">
      <c r="A81" s="8">
        <v>45568</v>
      </c>
      <c r="B81" t="s">
        <v>746</v>
      </c>
      <c r="C81" t="s">
        <v>235</v>
      </c>
      <c r="D81" s="1">
        <v>21464</v>
      </c>
      <c r="E81" s="1">
        <v>6665</v>
      </c>
      <c r="F81" s="2">
        <v>0.3105</v>
      </c>
      <c r="G81" s="1">
        <v>17</v>
      </c>
      <c r="H81" s="2">
        <v>2.5999999999999999E-3</v>
      </c>
      <c r="I81" s="9">
        <v>1E-3</v>
      </c>
    </row>
    <row r="82" spans="1:9" x14ac:dyDescent="0.35">
      <c r="A82" s="8">
        <v>45568</v>
      </c>
      <c r="B82" t="s">
        <v>746</v>
      </c>
      <c r="C82" t="s">
        <v>772</v>
      </c>
      <c r="D82" s="1">
        <v>2412</v>
      </c>
      <c r="E82" s="1">
        <v>689</v>
      </c>
      <c r="F82" s="2">
        <v>0.28570000000000001</v>
      </c>
      <c r="G82" s="1">
        <v>5</v>
      </c>
      <c r="H82" s="2">
        <v>7.3000000000000001E-3</v>
      </c>
      <c r="I82" s="9">
        <v>3.7000000000000002E-3</v>
      </c>
    </row>
    <row r="83" spans="1:9" x14ac:dyDescent="0.35">
      <c r="A83" s="8">
        <v>45568</v>
      </c>
      <c r="B83" t="s">
        <v>746</v>
      </c>
      <c r="C83" t="s">
        <v>773</v>
      </c>
      <c r="D83" s="1">
        <v>7141</v>
      </c>
      <c r="E83" s="1">
        <v>1711</v>
      </c>
      <c r="F83" s="2">
        <v>0.23960229659711499</v>
      </c>
      <c r="G83" s="1">
        <v>8</v>
      </c>
      <c r="H83" s="2">
        <v>4.6756282875511403E-3</v>
      </c>
      <c r="I83" s="9">
        <v>1.1202912757316899E-3</v>
      </c>
    </row>
    <row r="84" spans="1:9" ht="16" thickBot="1" x14ac:dyDescent="0.4">
      <c r="A84" s="36" t="s">
        <v>35</v>
      </c>
      <c r="B84" s="4"/>
      <c r="C84" s="4"/>
      <c r="D84" s="33">
        <f>SUM(D70:D83)</f>
        <v>1908827</v>
      </c>
      <c r="E84" s="33">
        <f>SUM(E70:E83)</f>
        <v>616269</v>
      </c>
      <c r="F84" s="34">
        <f>AVERAGE(F70:F83)</f>
        <v>0.30160131006436908</v>
      </c>
      <c r="G84" s="33">
        <f>SUM(G70:G83)</f>
        <v>2019</v>
      </c>
      <c r="H84" s="34">
        <f>AVERAGE(H70:H83)</f>
        <v>3.7731117521649085E-3</v>
      </c>
      <c r="I84" s="35">
        <f>AVERAGE(I70:I83)</f>
        <v>1.3903140486743217E-3</v>
      </c>
    </row>
  </sheetData>
  <mergeCells count="3">
    <mergeCell ref="A39:I39"/>
    <mergeCell ref="A49:I49"/>
    <mergeCell ref="A68:I68"/>
  </mergeCells>
  <pageMargins left="0.7" right="0.7" top="0.75" bottom="0.75" header="0.3" footer="0.3"/>
  <ignoredErrors>
    <ignoredError sqref="F38:G38 F48:G48 F84:G84 F67:G67" formula="1"/>
  </ignoredErrors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03F7-4860-41C7-9A7B-6F19AA1A740E}">
  <dimension ref="A1:I80"/>
  <sheetViews>
    <sheetView topLeftCell="A21" zoomScaleNormal="100" workbookViewId="0">
      <selection activeCell="H36" sqref="H36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45569</v>
      </c>
      <c r="B2" t="s">
        <v>774</v>
      </c>
      <c r="C2" t="s">
        <v>10</v>
      </c>
      <c r="D2" s="1">
        <v>381421</v>
      </c>
      <c r="E2" s="1">
        <v>136763</v>
      </c>
      <c r="F2" s="2">
        <v>0.35856179916679998</v>
      </c>
      <c r="G2" s="1">
        <v>3012</v>
      </c>
      <c r="H2" s="2">
        <v>2.20235005081784E-2</v>
      </c>
      <c r="I2" s="2">
        <v>7.8967859661633697E-3</v>
      </c>
    </row>
    <row r="3" spans="1:9" x14ac:dyDescent="0.35">
      <c r="A3" s="19">
        <v>45569</v>
      </c>
      <c r="B3" t="s">
        <v>775</v>
      </c>
      <c r="C3" t="s">
        <v>10</v>
      </c>
      <c r="D3" s="1">
        <v>4671946</v>
      </c>
      <c r="E3" s="1">
        <v>1465332</v>
      </c>
      <c r="F3" s="2">
        <v>0.313644892299697</v>
      </c>
      <c r="G3" s="1">
        <v>14349</v>
      </c>
      <c r="H3" s="2">
        <v>9.7923201022020907E-3</v>
      </c>
      <c r="I3" s="2">
        <v>3.0713111838193302E-3</v>
      </c>
    </row>
    <row r="4" spans="1:9" x14ac:dyDescent="0.35">
      <c r="A4" s="19">
        <v>45569</v>
      </c>
      <c r="B4" t="s">
        <v>775</v>
      </c>
      <c r="C4" t="s">
        <v>11</v>
      </c>
      <c r="D4" s="1">
        <v>301899</v>
      </c>
      <c r="E4" s="1">
        <v>85324</v>
      </c>
      <c r="F4" s="2">
        <v>0.28262432137900401</v>
      </c>
      <c r="G4" s="1">
        <v>1065</v>
      </c>
      <c r="H4" s="2">
        <v>1.24818339505883E-2</v>
      </c>
      <c r="I4" s="2">
        <v>3.5276698498504502E-3</v>
      </c>
    </row>
    <row r="5" spans="1:9" x14ac:dyDescent="0.35">
      <c r="A5" s="19">
        <v>45570</v>
      </c>
      <c r="B5" t="s">
        <v>776</v>
      </c>
      <c r="C5" t="s">
        <v>10</v>
      </c>
      <c r="D5" s="1">
        <v>66358</v>
      </c>
      <c r="E5" s="1">
        <v>27758</v>
      </c>
      <c r="F5" s="2">
        <v>0.41830676030018998</v>
      </c>
      <c r="G5" s="1">
        <v>1272</v>
      </c>
      <c r="H5" s="2">
        <v>4.5824627134519798E-2</v>
      </c>
      <c r="I5" s="2">
        <v>1.9168751318605098E-2</v>
      </c>
    </row>
    <row r="6" spans="1:9" x14ac:dyDescent="0.35">
      <c r="A6" s="19">
        <v>45570</v>
      </c>
      <c r="B6" t="s">
        <v>776</v>
      </c>
      <c r="C6" t="s">
        <v>11</v>
      </c>
      <c r="D6" s="1">
        <v>7655</v>
      </c>
      <c r="E6" s="1">
        <v>3531</v>
      </c>
      <c r="F6" s="2">
        <v>0.46126714565643401</v>
      </c>
      <c r="G6" s="1">
        <v>216</v>
      </c>
      <c r="H6" s="2">
        <v>6.1172472387425701E-2</v>
      </c>
      <c r="I6" s="2">
        <v>2.8216851730894801E-2</v>
      </c>
    </row>
    <row r="7" spans="1:9" x14ac:dyDescent="0.35">
      <c r="A7" s="19">
        <v>45572</v>
      </c>
      <c r="B7" t="s">
        <v>777</v>
      </c>
      <c r="C7" t="s">
        <v>10</v>
      </c>
      <c r="D7" s="1">
        <v>55081</v>
      </c>
      <c r="E7" s="1">
        <v>18301</v>
      </c>
      <c r="F7" s="2">
        <v>0.332256131878506</v>
      </c>
      <c r="G7" s="1">
        <v>164</v>
      </c>
      <c r="H7" s="2">
        <v>8.9612589475984907E-3</v>
      </c>
      <c r="I7" s="2">
        <v>2.9774332346907302E-3</v>
      </c>
    </row>
    <row r="8" spans="1:9" x14ac:dyDescent="0.35">
      <c r="A8" s="19">
        <v>45573</v>
      </c>
      <c r="B8" t="s">
        <v>778</v>
      </c>
      <c r="C8" t="s">
        <v>10</v>
      </c>
      <c r="D8" s="1">
        <v>1361117</v>
      </c>
      <c r="E8" s="1">
        <v>420726</v>
      </c>
      <c r="F8" s="2">
        <v>0.30910347898086599</v>
      </c>
      <c r="G8" s="1">
        <v>10288</v>
      </c>
      <c r="H8" s="2">
        <v>2.4452969391005101E-2</v>
      </c>
      <c r="I8" s="2">
        <v>7.5584979101723099E-3</v>
      </c>
    </row>
    <row r="9" spans="1:9" x14ac:dyDescent="0.35">
      <c r="A9" s="19">
        <v>45573</v>
      </c>
      <c r="B9" t="s">
        <v>778</v>
      </c>
      <c r="C9" t="s">
        <v>11</v>
      </c>
      <c r="D9" s="1">
        <v>92390</v>
      </c>
      <c r="E9" s="1">
        <v>27056</v>
      </c>
      <c r="F9" s="2">
        <v>0.29284554605476798</v>
      </c>
      <c r="G9" s="1">
        <v>891</v>
      </c>
      <c r="H9" s="2">
        <v>3.2931697220579502E-2</v>
      </c>
      <c r="I9" s="2">
        <v>9.6439008550708895E-3</v>
      </c>
    </row>
    <row r="10" spans="1:9" x14ac:dyDescent="0.35">
      <c r="A10" s="19">
        <v>45573</v>
      </c>
      <c r="B10" t="s">
        <v>779</v>
      </c>
      <c r="C10" t="s">
        <v>10</v>
      </c>
      <c r="D10" s="1">
        <v>250037</v>
      </c>
      <c r="E10" s="1">
        <v>85130</v>
      </c>
      <c r="F10" s="2">
        <v>0.34046961049764601</v>
      </c>
      <c r="G10" s="1">
        <v>698</v>
      </c>
      <c r="H10" s="2">
        <v>8.1992247151415499E-3</v>
      </c>
      <c r="I10" s="2">
        <v>2.7915868451469199E-3</v>
      </c>
    </row>
    <row r="11" spans="1:9" x14ac:dyDescent="0.35">
      <c r="A11" s="19">
        <v>45573</v>
      </c>
      <c r="B11" t="s">
        <v>780</v>
      </c>
      <c r="C11" t="s">
        <v>10</v>
      </c>
      <c r="D11" s="1">
        <v>1029630</v>
      </c>
      <c r="E11" s="1">
        <v>382557</v>
      </c>
      <c r="F11" s="2">
        <v>0.37154803181725499</v>
      </c>
      <c r="G11" s="1">
        <v>5553</v>
      </c>
      <c r="H11" s="2">
        <v>1.4515483967095099E-2</v>
      </c>
      <c r="I11" s="2">
        <v>5.3931994988490996E-3</v>
      </c>
    </row>
    <row r="12" spans="1:9" x14ac:dyDescent="0.35">
      <c r="A12" s="19">
        <v>45573</v>
      </c>
      <c r="B12" t="s">
        <v>780</v>
      </c>
      <c r="C12" t="s">
        <v>11</v>
      </c>
      <c r="D12" s="1">
        <v>86535</v>
      </c>
      <c r="E12" s="1">
        <v>32117</v>
      </c>
      <c r="F12" s="2">
        <v>0.37114462356271999</v>
      </c>
      <c r="G12" s="1">
        <v>559</v>
      </c>
      <c r="H12" s="2">
        <v>1.74051125572127E-2</v>
      </c>
      <c r="I12" s="2">
        <v>6.4598139481134801E-3</v>
      </c>
    </row>
    <row r="13" spans="1:9" x14ac:dyDescent="0.35">
      <c r="A13" s="19">
        <v>45574</v>
      </c>
      <c r="B13" t="s">
        <v>781</v>
      </c>
      <c r="C13" t="s">
        <v>10</v>
      </c>
      <c r="D13" s="1">
        <v>55209</v>
      </c>
      <c r="E13" s="1">
        <v>15579</v>
      </c>
      <c r="F13" s="2">
        <v>0.28218225289354998</v>
      </c>
      <c r="G13" s="1">
        <v>228</v>
      </c>
      <c r="H13" s="2">
        <v>1.46350856922781E-2</v>
      </c>
      <c r="I13" s="2">
        <v>4.1297614519371804E-3</v>
      </c>
    </row>
    <row r="14" spans="1:9" x14ac:dyDescent="0.35">
      <c r="A14" s="19">
        <v>45574</v>
      </c>
      <c r="B14" t="s">
        <v>782</v>
      </c>
      <c r="C14" t="s">
        <v>10</v>
      </c>
      <c r="D14" s="1">
        <v>838377</v>
      </c>
      <c r="E14" s="1">
        <v>310209</v>
      </c>
      <c r="F14" s="2">
        <v>0.37001134334553498</v>
      </c>
      <c r="G14" s="1">
        <v>2838</v>
      </c>
      <c r="H14" s="2">
        <v>9.14867073489164E-3</v>
      </c>
      <c r="I14" s="2">
        <v>3.3851119484432399E-3</v>
      </c>
    </row>
    <row r="15" spans="1:9" x14ac:dyDescent="0.35">
      <c r="A15" s="19">
        <v>45574</v>
      </c>
      <c r="B15" t="s">
        <v>782</v>
      </c>
      <c r="C15" t="s">
        <v>11</v>
      </c>
      <c r="D15" s="1">
        <v>52925</v>
      </c>
      <c r="E15" s="1">
        <v>18470</v>
      </c>
      <c r="F15" s="2">
        <v>0.34898441190363699</v>
      </c>
      <c r="G15" s="1">
        <v>185</v>
      </c>
      <c r="H15" s="2">
        <v>1.00162425554954E-2</v>
      </c>
      <c r="I15" s="2">
        <v>3.49551251771375E-3</v>
      </c>
    </row>
    <row r="16" spans="1:9" x14ac:dyDescent="0.35">
      <c r="A16" s="19">
        <v>45574</v>
      </c>
      <c r="B16" t="s">
        <v>783</v>
      </c>
      <c r="C16" t="s">
        <v>10</v>
      </c>
      <c r="D16" s="1">
        <v>920632</v>
      </c>
      <c r="E16" s="1">
        <v>337631</v>
      </c>
      <c r="F16" s="2">
        <v>0.36673828413524601</v>
      </c>
      <c r="G16" s="1">
        <v>4469</v>
      </c>
      <c r="H16" s="2">
        <v>1.3236343819139801E-2</v>
      </c>
      <c r="I16" s="2">
        <v>4.8542740204555101E-3</v>
      </c>
    </row>
    <row r="17" spans="1:9" x14ac:dyDescent="0.35">
      <c r="A17" s="19">
        <v>45574</v>
      </c>
      <c r="B17" t="s">
        <v>783</v>
      </c>
      <c r="C17" t="s">
        <v>11</v>
      </c>
      <c r="D17" s="1">
        <v>45534</v>
      </c>
      <c r="E17" s="1">
        <v>15582</v>
      </c>
      <c r="F17" s="2">
        <v>0.34220582421926499</v>
      </c>
      <c r="G17" s="1">
        <v>221</v>
      </c>
      <c r="H17" s="2">
        <v>1.4183031703247299E-2</v>
      </c>
      <c r="I17" s="2">
        <v>4.8535160539377202E-3</v>
      </c>
    </row>
    <row r="18" spans="1:9" x14ac:dyDescent="0.35">
      <c r="A18" s="19">
        <v>45574</v>
      </c>
      <c r="B18" t="s">
        <v>784</v>
      </c>
      <c r="C18" t="s">
        <v>10</v>
      </c>
      <c r="D18" s="1">
        <v>1375443</v>
      </c>
      <c r="E18" s="1">
        <v>490839</v>
      </c>
      <c r="F18" s="2">
        <v>0.35685884475038199</v>
      </c>
      <c r="G18" s="1">
        <v>3433</v>
      </c>
      <c r="H18" s="2">
        <v>6.9941467568795501E-3</v>
      </c>
      <c r="I18" s="2">
        <v>2.49592313167467E-3</v>
      </c>
    </row>
    <row r="19" spans="1:9" x14ac:dyDescent="0.35">
      <c r="A19" s="19">
        <v>45574</v>
      </c>
      <c r="B19" t="s">
        <v>784</v>
      </c>
      <c r="C19" t="s">
        <v>11</v>
      </c>
      <c r="D19" s="1">
        <v>17295</v>
      </c>
      <c r="E19" s="1">
        <v>6547</v>
      </c>
      <c r="F19" s="2">
        <v>0.37854871350101199</v>
      </c>
      <c r="G19" s="1">
        <v>76</v>
      </c>
      <c r="H19" s="2">
        <v>1.16083702459142E-2</v>
      </c>
      <c r="I19" s="2">
        <v>4.3943336224342303E-3</v>
      </c>
    </row>
    <row r="20" spans="1:9" x14ac:dyDescent="0.35">
      <c r="A20" s="19">
        <v>45574</v>
      </c>
      <c r="B20" t="s">
        <v>785</v>
      </c>
      <c r="C20" t="s">
        <v>10</v>
      </c>
      <c r="D20" s="1">
        <v>213414</v>
      </c>
      <c r="E20" s="1">
        <v>82284</v>
      </c>
      <c r="F20" s="2">
        <v>0.38556045995108101</v>
      </c>
      <c r="G20" s="1">
        <v>1034</v>
      </c>
      <c r="H20" s="2">
        <v>1.25662340187643E-2</v>
      </c>
      <c r="I20" s="2">
        <v>4.8450429681276804E-3</v>
      </c>
    </row>
    <row r="21" spans="1:9" x14ac:dyDescent="0.35">
      <c r="A21" s="19">
        <v>45574</v>
      </c>
      <c r="B21" t="s">
        <v>785</v>
      </c>
      <c r="C21" t="s">
        <v>11</v>
      </c>
      <c r="D21" s="1">
        <v>10018</v>
      </c>
      <c r="E21" s="1">
        <v>4003</v>
      </c>
      <c r="F21" s="2">
        <v>0.399580754641645</v>
      </c>
      <c r="G21" s="1">
        <v>43</v>
      </c>
      <c r="H21" s="2">
        <v>1.07419435423432E-2</v>
      </c>
      <c r="I21" s="2">
        <v>4.2922739069674604E-3</v>
      </c>
    </row>
    <row r="22" spans="1:9" x14ac:dyDescent="0.35">
      <c r="A22" s="19">
        <v>45575</v>
      </c>
      <c r="B22" t="s">
        <v>786</v>
      </c>
      <c r="C22" t="s">
        <v>543</v>
      </c>
      <c r="D22" s="1">
        <v>672157</v>
      </c>
      <c r="E22" s="1">
        <v>229660</v>
      </c>
      <c r="F22" s="2">
        <v>0.34167612626216798</v>
      </c>
      <c r="G22" s="1">
        <v>946</v>
      </c>
      <c r="H22" s="2">
        <v>4.1191326308455999E-3</v>
      </c>
      <c r="I22" s="2">
        <v>1.4074092808674199E-3</v>
      </c>
    </row>
    <row r="23" spans="1:9" x14ac:dyDescent="0.35">
      <c r="A23" s="19">
        <v>45575</v>
      </c>
      <c r="B23" t="s">
        <v>787</v>
      </c>
      <c r="C23" t="s">
        <v>545</v>
      </c>
      <c r="D23" s="1">
        <v>2020</v>
      </c>
      <c r="E23" s="1">
        <v>797</v>
      </c>
      <c r="F23" s="2">
        <v>0.39455445544554502</v>
      </c>
      <c r="G23" s="1">
        <v>5</v>
      </c>
      <c r="H23" s="2">
        <v>6.2735257214554599E-3</v>
      </c>
      <c r="I23" s="2">
        <v>2.47524752475248E-3</v>
      </c>
    </row>
    <row r="24" spans="1:9" x14ac:dyDescent="0.35">
      <c r="A24" s="19">
        <v>45575</v>
      </c>
      <c r="B24" t="s">
        <v>768</v>
      </c>
      <c r="C24" t="s">
        <v>771</v>
      </c>
      <c r="D24" s="1">
        <v>136578</v>
      </c>
      <c r="E24" s="1">
        <v>43358</v>
      </c>
      <c r="F24" s="2">
        <v>0.31745962014380102</v>
      </c>
      <c r="G24" s="1">
        <v>148</v>
      </c>
      <c r="H24" s="2">
        <v>3.4134415794086401E-3</v>
      </c>
      <c r="I24" s="2">
        <v>1.08362986718212E-3</v>
      </c>
    </row>
    <row r="25" spans="1:9" x14ac:dyDescent="0.35">
      <c r="A25" s="19">
        <v>45575</v>
      </c>
      <c r="B25" t="s">
        <v>768</v>
      </c>
      <c r="C25" t="s">
        <v>788</v>
      </c>
      <c r="D25" s="1">
        <v>63461</v>
      </c>
      <c r="E25" s="1">
        <v>21864</v>
      </c>
      <c r="F25" s="2">
        <v>0.34452655961929401</v>
      </c>
      <c r="G25" s="1">
        <v>84</v>
      </c>
      <c r="H25" s="2">
        <v>3.84193194291987E-3</v>
      </c>
      <c r="I25" s="2">
        <v>1.3236475945856501E-3</v>
      </c>
    </row>
    <row r="26" spans="1:9" x14ac:dyDescent="0.35">
      <c r="A26" s="19">
        <v>45575</v>
      </c>
      <c r="B26" t="s">
        <v>768</v>
      </c>
      <c r="C26" t="s">
        <v>234</v>
      </c>
      <c r="D26" s="1">
        <v>569318</v>
      </c>
      <c r="E26" s="1">
        <v>198307</v>
      </c>
      <c r="F26" s="2">
        <v>0.34832378389581897</v>
      </c>
      <c r="G26" s="1">
        <v>554</v>
      </c>
      <c r="H26" s="2">
        <v>2.7936482322863001E-3</v>
      </c>
      <c r="I26" s="2">
        <v>9.7309412314383202E-4</v>
      </c>
    </row>
    <row r="27" spans="1:9" x14ac:dyDescent="0.35">
      <c r="A27" s="19">
        <v>45575</v>
      </c>
      <c r="B27" t="s">
        <v>769</v>
      </c>
      <c r="C27" t="s">
        <v>773</v>
      </c>
      <c r="D27" s="1">
        <v>11349</v>
      </c>
      <c r="E27" s="1">
        <v>2937</v>
      </c>
      <c r="F27" s="2">
        <v>0.25878932064499099</v>
      </c>
      <c r="G27" s="1">
        <v>18</v>
      </c>
      <c r="H27" s="2">
        <v>6.1287027579162399E-3</v>
      </c>
      <c r="I27" s="2">
        <v>1.58604282315623E-3</v>
      </c>
    </row>
    <row r="28" spans="1:9" x14ac:dyDescent="0.35">
      <c r="A28" s="19">
        <v>45575</v>
      </c>
      <c r="B28" t="s">
        <v>769</v>
      </c>
      <c r="C28" t="s">
        <v>789</v>
      </c>
      <c r="D28" s="1">
        <v>3557</v>
      </c>
      <c r="E28" s="1">
        <v>1093</v>
      </c>
      <c r="F28" s="2">
        <v>0.307281416924374</v>
      </c>
      <c r="G28" s="1">
        <v>6</v>
      </c>
      <c r="H28" s="2">
        <v>5.48947849954254E-3</v>
      </c>
      <c r="I28" s="2">
        <v>1.6868147315153199E-3</v>
      </c>
    </row>
    <row r="29" spans="1:9" x14ac:dyDescent="0.35">
      <c r="A29" s="19">
        <v>45575</v>
      </c>
      <c r="B29" t="s">
        <v>769</v>
      </c>
      <c r="C29" t="s">
        <v>235</v>
      </c>
      <c r="D29" s="1">
        <v>32088</v>
      </c>
      <c r="E29" s="1">
        <v>10896</v>
      </c>
      <c r="F29" s="2">
        <v>0.33979999999999999</v>
      </c>
      <c r="G29" s="1">
        <v>22</v>
      </c>
      <c r="H29" s="2">
        <v>2E-3</v>
      </c>
      <c r="I29" s="2">
        <v>6.9999999999999999E-4</v>
      </c>
    </row>
    <row r="30" spans="1:9" x14ac:dyDescent="0.35">
      <c r="A30" s="19">
        <v>45575</v>
      </c>
      <c r="B30" t="s">
        <v>745</v>
      </c>
      <c r="C30" t="s">
        <v>741</v>
      </c>
      <c r="D30" s="1">
        <v>169704</v>
      </c>
      <c r="E30" s="1">
        <v>48919</v>
      </c>
      <c r="F30" s="2">
        <v>0.28826073634092297</v>
      </c>
      <c r="G30" s="1">
        <v>119</v>
      </c>
      <c r="H30" s="2">
        <v>2.43259265316135E-3</v>
      </c>
      <c r="I30" s="2">
        <v>7.0122094941781001E-4</v>
      </c>
    </row>
    <row r="31" spans="1:9" x14ac:dyDescent="0.35">
      <c r="A31" s="19">
        <v>45575</v>
      </c>
      <c r="B31" t="s">
        <v>745</v>
      </c>
      <c r="C31" t="s">
        <v>790</v>
      </c>
      <c r="D31" s="1">
        <v>53018</v>
      </c>
      <c r="E31" s="1">
        <v>17349</v>
      </c>
      <c r="F31" s="2">
        <v>0.32722848843788899</v>
      </c>
      <c r="G31" s="1">
        <v>58</v>
      </c>
      <c r="H31" s="2">
        <v>3.3431321690011E-3</v>
      </c>
      <c r="I31" s="2">
        <v>1.0939680863103101E-3</v>
      </c>
    </row>
    <row r="32" spans="1:9" x14ac:dyDescent="0.35">
      <c r="A32" s="19">
        <v>45575</v>
      </c>
      <c r="B32" t="s">
        <v>745</v>
      </c>
      <c r="C32" t="s">
        <v>791</v>
      </c>
      <c r="D32" s="1">
        <v>480959</v>
      </c>
      <c r="E32" s="1">
        <v>162239</v>
      </c>
      <c r="F32" s="2">
        <v>0.33789999999999998</v>
      </c>
      <c r="G32" s="1">
        <v>507</v>
      </c>
      <c r="H32" s="2">
        <v>3.0999999999999999E-3</v>
      </c>
      <c r="I32" s="2">
        <v>1.1000000000000001E-3</v>
      </c>
    </row>
    <row r="33" spans="1:9" x14ac:dyDescent="0.35">
      <c r="A33" s="19">
        <v>45575</v>
      </c>
      <c r="B33" t="s">
        <v>746</v>
      </c>
      <c r="C33" t="s">
        <v>742</v>
      </c>
      <c r="D33" s="1">
        <v>7112</v>
      </c>
      <c r="E33" s="1">
        <v>1767</v>
      </c>
      <c r="F33" s="2">
        <v>0.24845331833520801</v>
      </c>
      <c r="G33" s="1">
        <v>8</v>
      </c>
      <c r="H33" s="2">
        <v>4.5274476513865302E-3</v>
      </c>
      <c r="I33" s="2">
        <v>1.1248593925759301E-3</v>
      </c>
    </row>
    <row r="34" spans="1:9" x14ac:dyDescent="0.35">
      <c r="A34" s="19">
        <v>45575</v>
      </c>
      <c r="B34" t="s">
        <v>746</v>
      </c>
      <c r="C34" t="s">
        <v>792</v>
      </c>
      <c r="D34" s="1">
        <v>2420</v>
      </c>
      <c r="E34" s="1">
        <v>687</v>
      </c>
      <c r="F34" s="2">
        <v>0.28388429752066102</v>
      </c>
      <c r="G34" s="1">
        <v>5</v>
      </c>
      <c r="H34" s="2">
        <v>7.2780203784570596E-3</v>
      </c>
      <c r="I34" s="2">
        <v>2.0661157024793402E-3</v>
      </c>
    </row>
    <row r="35" spans="1:9" x14ac:dyDescent="0.35">
      <c r="A35" s="19">
        <v>45575</v>
      </c>
      <c r="B35" t="s">
        <v>746</v>
      </c>
      <c r="C35" t="s">
        <v>793</v>
      </c>
      <c r="D35" s="1">
        <v>21291</v>
      </c>
      <c r="E35" s="1">
        <v>6938</v>
      </c>
      <c r="F35" s="2">
        <v>0.3261</v>
      </c>
      <c r="G35" s="1">
        <v>26</v>
      </c>
      <c r="H35" s="2">
        <v>3.7000000000000002E-3</v>
      </c>
      <c r="I35" s="2">
        <v>1.1999999999999999E-3</v>
      </c>
    </row>
    <row r="36" spans="1:9" ht="16" thickBot="1" x14ac:dyDescent="0.4">
      <c r="A36" s="37" t="s">
        <v>35</v>
      </c>
      <c r="D36" s="31">
        <f>SUM(D2:D35)</f>
        <v>14057948</v>
      </c>
      <c r="E36" s="31">
        <f>SUM(E2:E35)</f>
        <v>4712550</v>
      </c>
      <c r="F36" s="32">
        <f>AVERAGE(F2:F35)</f>
        <v>0.33960827513252684</v>
      </c>
      <c r="G36" s="31">
        <f>SUM(G2:G35)</f>
        <v>53100</v>
      </c>
      <c r="H36" s="32">
        <f>AVERAGE(H2:H35)</f>
        <v>1.2333283063731791E-2</v>
      </c>
      <c r="I36" s="32">
        <f>AVERAGE(I2:I35)</f>
        <v>4.4698118246780678E-3</v>
      </c>
    </row>
    <row r="37" spans="1:9" ht="15" thickBot="1" x14ac:dyDescent="0.4">
      <c r="A37" s="138" t="s">
        <v>302</v>
      </c>
      <c r="B37" s="138"/>
      <c r="C37" s="138"/>
      <c r="D37" s="138"/>
      <c r="E37" s="138"/>
      <c r="F37" s="138"/>
      <c r="G37" s="138"/>
      <c r="H37" s="138"/>
      <c r="I37" s="138"/>
    </row>
    <row r="38" spans="1:9" ht="15.5" x14ac:dyDescent="0.35">
      <c r="A38" s="38" t="s">
        <v>0</v>
      </c>
      <c r="B38" s="39" t="s">
        <v>1</v>
      </c>
      <c r="C38" s="39" t="s">
        <v>2</v>
      </c>
      <c r="D38" s="39" t="s">
        <v>3</v>
      </c>
      <c r="E38" s="39" t="s">
        <v>4</v>
      </c>
      <c r="F38" s="39" t="s">
        <v>5</v>
      </c>
      <c r="G38" s="39" t="s">
        <v>6</v>
      </c>
      <c r="H38" s="39" t="s">
        <v>7</v>
      </c>
      <c r="I38" s="40" t="s">
        <v>8</v>
      </c>
    </row>
    <row r="39" spans="1:9" x14ac:dyDescent="0.35">
      <c r="A39" s="5" t="s">
        <v>36</v>
      </c>
      <c r="B39" s="6"/>
      <c r="C39" s="6"/>
      <c r="D39" s="6"/>
      <c r="E39" s="6"/>
      <c r="F39" s="6"/>
      <c r="G39" s="6"/>
      <c r="H39" s="6"/>
      <c r="I39" s="7"/>
    </row>
    <row r="40" spans="1:9" x14ac:dyDescent="0.35">
      <c r="A40" s="8">
        <v>45569</v>
      </c>
      <c r="B40" t="s">
        <v>774</v>
      </c>
      <c r="C40" t="s">
        <v>10</v>
      </c>
      <c r="D40" s="1">
        <v>381421</v>
      </c>
      <c r="E40" s="1">
        <v>136763</v>
      </c>
      <c r="F40" s="2">
        <v>0.35856179916679998</v>
      </c>
      <c r="G40" s="1">
        <v>3012</v>
      </c>
      <c r="H40" s="2">
        <v>2.20235005081784E-2</v>
      </c>
      <c r="I40" s="9">
        <v>7.8967859661633697E-3</v>
      </c>
    </row>
    <row r="41" spans="1:9" x14ac:dyDescent="0.35">
      <c r="A41" s="8">
        <v>45569</v>
      </c>
      <c r="B41" t="s">
        <v>775</v>
      </c>
      <c r="C41" t="s">
        <v>10</v>
      </c>
      <c r="D41" s="1">
        <v>4671946</v>
      </c>
      <c r="E41" s="1">
        <v>1465332</v>
      </c>
      <c r="F41" s="2">
        <v>0.313644892299697</v>
      </c>
      <c r="G41" s="1">
        <v>14349</v>
      </c>
      <c r="H41" s="2">
        <v>9.7923201022020907E-3</v>
      </c>
      <c r="I41" s="9">
        <v>3.0713111838193302E-3</v>
      </c>
    </row>
    <row r="42" spans="1:9" x14ac:dyDescent="0.35">
      <c r="A42" s="8">
        <v>45569</v>
      </c>
      <c r="B42" t="s">
        <v>775</v>
      </c>
      <c r="C42" t="s">
        <v>11</v>
      </c>
      <c r="D42" s="1">
        <v>301899</v>
      </c>
      <c r="E42" s="1">
        <v>85324</v>
      </c>
      <c r="F42" s="2">
        <v>0.28262432137900401</v>
      </c>
      <c r="G42" s="1">
        <v>1065</v>
      </c>
      <c r="H42" s="2">
        <v>1.24818339505883E-2</v>
      </c>
      <c r="I42" s="9">
        <v>3.5276698498504502E-3</v>
      </c>
    </row>
    <row r="43" spans="1:9" x14ac:dyDescent="0.35">
      <c r="A43" s="8">
        <v>45573</v>
      </c>
      <c r="B43" t="s">
        <v>778</v>
      </c>
      <c r="C43" t="s">
        <v>10</v>
      </c>
      <c r="D43" s="1">
        <v>1361117</v>
      </c>
      <c r="E43" s="1">
        <v>420726</v>
      </c>
      <c r="F43" s="2">
        <v>0.30910347898086599</v>
      </c>
      <c r="G43" s="1">
        <v>10288</v>
      </c>
      <c r="H43" s="2">
        <v>2.4452969391005101E-2</v>
      </c>
      <c r="I43" s="9">
        <v>7.5584979101723099E-3</v>
      </c>
    </row>
    <row r="44" spans="1:9" x14ac:dyDescent="0.35">
      <c r="A44" s="8">
        <v>45573</v>
      </c>
      <c r="B44" t="s">
        <v>778</v>
      </c>
      <c r="C44" t="s">
        <v>11</v>
      </c>
      <c r="D44" s="1">
        <v>92390</v>
      </c>
      <c r="E44" s="1">
        <v>27056</v>
      </c>
      <c r="F44" s="2">
        <v>0.29284554605476798</v>
      </c>
      <c r="G44" s="1">
        <v>891</v>
      </c>
      <c r="H44" s="2">
        <v>3.2931697220579502E-2</v>
      </c>
      <c r="I44" s="9">
        <v>9.6439008550708895E-3</v>
      </c>
    </row>
    <row r="45" spans="1:9" ht="16" thickBot="1" x14ac:dyDescent="0.4">
      <c r="A45" s="36" t="s">
        <v>35</v>
      </c>
      <c r="B45" s="4"/>
      <c r="C45" s="4"/>
      <c r="D45" s="33">
        <f>SUM(D40:D44)</f>
        <v>6808773</v>
      </c>
      <c r="E45" s="33">
        <f>SUM(E40:E44)</f>
        <v>2135201</v>
      </c>
      <c r="F45" s="34">
        <f>AVERAGE(F40:F44)</f>
        <v>0.311356007576227</v>
      </c>
      <c r="G45" s="33">
        <f>SUM(G40:G44)</f>
        <v>29605</v>
      </c>
      <c r="H45" s="34">
        <f>AVERAGE(H40:H44)</f>
        <v>2.033646423451068E-2</v>
      </c>
      <c r="I45" s="35">
        <f>AVERAGE(I40:I44)</f>
        <v>6.3396331530152696E-3</v>
      </c>
    </row>
    <row r="46" spans="1:9" ht="3" customHeight="1" thickBot="1" x14ac:dyDescent="0.4">
      <c r="A46" s="141"/>
      <c r="B46" s="142"/>
      <c r="C46" s="142"/>
      <c r="D46" s="142"/>
      <c r="E46" s="142"/>
      <c r="F46" s="142"/>
      <c r="G46" s="142"/>
      <c r="H46" s="142"/>
      <c r="I46" s="143"/>
    </row>
    <row r="47" spans="1:9" x14ac:dyDescent="0.35">
      <c r="A47" s="16" t="s">
        <v>37</v>
      </c>
      <c r="B47" s="17"/>
      <c r="C47" s="17"/>
      <c r="D47" s="17"/>
      <c r="E47" s="17"/>
      <c r="F47" s="17"/>
      <c r="G47" s="17"/>
      <c r="H47" s="17"/>
      <c r="I47" s="18"/>
    </row>
    <row r="48" spans="1:9" x14ac:dyDescent="0.35">
      <c r="A48" s="8">
        <v>45570</v>
      </c>
      <c r="B48" t="s">
        <v>776</v>
      </c>
      <c r="C48" t="s">
        <v>10</v>
      </c>
      <c r="D48" s="1">
        <v>66358</v>
      </c>
      <c r="E48" s="1">
        <v>27758</v>
      </c>
      <c r="F48" s="2">
        <v>0.41830676030018998</v>
      </c>
      <c r="G48" s="1">
        <v>1272</v>
      </c>
      <c r="H48" s="2">
        <v>4.5824627134519798E-2</v>
      </c>
      <c r="I48" s="9">
        <v>1.9168751318605098E-2</v>
      </c>
    </row>
    <row r="49" spans="1:9" x14ac:dyDescent="0.35">
      <c r="A49" s="8">
        <v>45570</v>
      </c>
      <c r="B49" t="s">
        <v>776</v>
      </c>
      <c r="C49" t="s">
        <v>11</v>
      </c>
      <c r="D49" s="1">
        <v>7655</v>
      </c>
      <c r="E49" s="1">
        <v>3531</v>
      </c>
      <c r="F49" s="2">
        <v>0.46126714565643401</v>
      </c>
      <c r="G49" s="1">
        <v>216</v>
      </c>
      <c r="H49" s="2">
        <v>6.1172472387425701E-2</v>
      </c>
      <c r="I49" s="9">
        <v>2.8216851730894801E-2</v>
      </c>
    </row>
    <row r="50" spans="1:9" x14ac:dyDescent="0.35">
      <c r="A50" s="8">
        <v>45572</v>
      </c>
      <c r="B50" t="s">
        <v>777</v>
      </c>
      <c r="C50" t="s">
        <v>10</v>
      </c>
      <c r="D50" s="1">
        <v>55081</v>
      </c>
      <c r="E50" s="1">
        <v>18301</v>
      </c>
      <c r="F50" s="2">
        <v>0.332256131878506</v>
      </c>
      <c r="G50" s="1">
        <v>164</v>
      </c>
      <c r="H50" s="2">
        <v>8.9612589475984907E-3</v>
      </c>
      <c r="I50" s="9">
        <v>2.9774332346907302E-3</v>
      </c>
    </row>
    <row r="51" spans="1:9" x14ac:dyDescent="0.35">
      <c r="A51" s="8">
        <v>45573</v>
      </c>
      <c r="B51" t="s">
        <v>779</v>
      </c>
      <c r="C51" t="s">
        <v>10</v>
      </c>
      <c r="D51" s="1">
        <v>250037</v>
      </c>
      <c r="E51" s="1">
        <v>85130</v>
      </c>
      <c r="F51" s="2">
        <v>0.34046961049764601</v>
      </c>
      <c r="G51" s="1">
        <v>698</v>
      </c>
      <c r="H51" s="2">
        <v>8.1992247151415499E-3</v>
      </c>
      <c r="I51" s="9">
        <v>2.7915868451469199E-3</v>
      </c>
    </row>
    <row r="52" spans="1:9" x14ac:dyDescent="0.35">
      <c r="A52" s="8">
        <v>45573</v>
      </c>
      <c r="B52" t="s">
        <v>780</v>
      </c>
      <c r="C52" t="s">
        <v>10</v>
      </c>
      <c r="D52" s="1">
        <v>1029630</v>
      </c>
      <c r="E52" s="1">
        <v>382557</v>
      </c>
      <c r="F52" s="2">
        <v>0.37154803181725499</v>
      </c>
      <c r="G52" s="1">
        <v>5553</v>
      </c>
      <c r="H52" s="2">
        <v>1.4515483967095099E-2</v>
      </c>
      <c r="I52" s="9">
        <v>5.3931994988490996E-3</v>
      </c>
    </row>
    <row r="53" spans="1:9" x14ac:dyDescent="0.35">
      <c r="A53" s="8">
        <v>45573</v>
      </c>
      <c r="B53" t="s">
        <v>780</v>
      </c>
      <c r="C53" t="s">
        <v>11</v>
      </c>
      <c r="D53" s="1">
        <v>86535</v>
      </c>
      <c r="E53" s="1">
        <v>32117</v>
      </c>
      <c r="F53" s="2">
        <v>0.37114462356271999</v>
      </c>
      <c r="G53" s="1">
        <v>559</v>
      </c>
      <c r="H53" s="2">
        <v>1.74051125572127E-2</v>
      </c>
      <c r="I53" s="9">
        <v>6.4598139481134801E-3</v>
      </c>
    </row>
    <row r="54" spans="1:9" x14ac:dyDescent="0.35">
      <c r="A54" s="8">
        <v>45574</v>
      </c>
      <c r="B54" t="s">
        <v>781</v>
      </c>
      <c r="C54" t="s">
        <v>10</v>
      </c>
      <c r="D54" s="1">
        <v>55209</v>
      </c>
      <c r="E54" s="1">
        <v>15579</v>
      </c>
      <c r="F54" s="2">
        <v>0.28218225289354998</v>
      </c>
      <c r="G54" s="1">
        <v>228</v>
      </c>
      <c r="H54" s="2">
        <v>1.46350856922781E-2</v>
      </c>
      <c r="I54" s="9">
        <v>4.1297614519371804E-3</v>
      </c>
    </row>
    <row r="55" spans="1:9" x14ac:dyDescent="0.35">
      <c r="A55" s="8">
        <v>45574</v>
      </c>
      <c r="B55" t="s">
        <v>782</v>
      </c>
      <c r="C55" t="s">
        <v>10</v>
      </c>
      <c r="D55" s="1">
        <v>838377</v>
      </c>
      <c r="E55" s="1">
        <v>310209</v>
      </c>
      <c r="F55" s="2">
        <v>0.37001134334553498</v>
      </c>
      <c r="G55" s="1">
        <v>2838</v>
      </c>
      <c r="H55" s="2">
        <v>9.14867073489164E-3</v>
      </c>
      <c r="I55" s="9">
        <v>3.3851119484432399E-3</v>
      </c>
    </row>
    <row r="56" spans="1:9" x14ac:dyDescent="0.35">
      <c r="A56" s="8">
        <v>45574</v>
      </c>
      <c r="B56" t="s">
        <v>782</v>
      </c>
      <c r="C56" t="s">
        <v>11</v>
      </c>
      <c r="D56" s="1">
        <v>52925</v>
      </c>
      <c r="E56" s="1">
        <v>18470</v>
      </c>
      <c r="F56" s="2">
        <v>0.34898441190363699</v>
      </c>
      <c r="G56" s="1">
        <v>185</v>
      </c>
      <c r="H56" s="2">
        <v>1.00162425554954E-2</v>
      </c>
      <c r="I56" s="9">
        <v>3.49551251771375E-3</v>
      </c>
    </row>
    <row r="57" spans="1:9" x14ac:dyDescent="0.35">
      <c r="A57" s="8">
        <v>45574</v>
      </c>
      <c r="B57" t="s">
        <v>783</v>
      </c>
      <c r="C57" t="s">
        <v>10</v>
      </c>
      <c r="D57" s="1">
        <v>920632</v>
      </c>
      <c r="E57" s="1">
        <v>337631</v>
      </c>
      <c r="F57" s="2">
        <v>0.36673828413524601</v>
      </c>
      <c r="G57" s="1">
        <v>4469</v>
      </c>
      <c r="H57" s="2">
        <v>1.3236343819139801E-2</v>
      </c>
      <c r="I57" s="9">
        <v>4.8542740204555101E-3</v>
      </c>
    </row>
    <row r="58" spans="1:9" x14ac:dyDescent="0.35">
      <c r="A58" s="8">
        <v>45574</v>
      </c>
      <c r="B58" t="s">
        <v>783</v>
      </c>
      <c r="C58" t="s">
        <v>11</v>
      </c>
      <c r="D58" s="1">
        <v>45534</v>
      </c>
      <c r="E58" s="1">
        <v>15582</v>
      </c>
      <c r="F58" s="2">
        <v>0.34220582421926499</v>
      </c>
      <c r="G58" s="1">
        <v>221</v>
      </c>
      <c r="H58" s="2">
        <v>1.4183031703247299E-2</v>
      </c>
      <c r="I58" s="9">
        <v>4.8535160539377202E-3</v>
      </c>
    </row>
    <row r="59" spans="1:9" x14ac:dyDescent="0.35">
      <c r="A59" s="8">
        <v>45574</v>
      </c>
      <c r="B59" t="s">
        <v>784</v>
      </c>
      <c r="C59" t="s">
        <v>10</v>
      </c>
      <c r="D59" s="1">
        <v>1375443</v>
      </c>
      <c r="E59" s="1">
        <v>490839</v>
      </c>
      <c r="F59" s="2">
        <v>0.35685884475038199</v>
      </c>
      <c r="G59" s="1">
        <v>3433</v>
      </c>
      <c r="H59" s="2">
        <v>6.9941467568795501E-3</v>
      </c>
      <c r="I59" s="9">
        <v>2.49592313167467E-3</v>
      </c>
    </row>
    <row r="60" spans="1:9" x14ac:dyDescent="0.35">
      <c r="A60" s="8">
        <v>45574</v>
      </c>
      <c r="B60" t="s">
        <v>784</v>
      </c>
      <c r="C60" t="s">
        <v>11</v>
      </c>
      <c r="D60" s="1">
        <v>17295</v>
      </c>
      <c r="E60" s="1">
        <v>6547</v>
      </c>
      <c r="F60" s="2">
        <v>0.37854871350101199</v>
      </c>
      <c r="G60" s="1">
        <v>76</v>
      </c>
      <c r="H60" s="2">
        <v>1.16083702459142E-2</v>
      </c>
      <c r="I60" s="9">
        <v>4.3943336224342303E-3</v>
      </c>
    </row>
    <row r="61" spans="1:9" x14ac:dyDescent="0.35">
      <c r="A61" s="8">
        <v>45574</v>
      </c>
      <c r="B61" t="s">
        <v>785</v>
      </c>
      <c r="C61" t="s">
        <v>10</v>
      </c>
      <c r="D61" s="1">
        <v>213414</v>
      </c>
      <c r="E61" s="1">
        <v>82284</v>
      </c>
      <c r="F61" s="2">
        <v>0.38556045995108101</v>
      </c>
      <c r="G61" s="1">
        <v>1034</v>
      </c>
      <c r="H61" s="2">
        <v>1.25662340187643E-2</v>
      </c>
      <c r="I61" s="9">
        <v>4.8450429681276804E-3</v>
      </c>
    </row>
    <row r="62" spans="1:9" x14ac:dyDescent="0.35">
      <c r="A62" s="8">
        <v>45574</v>
      </c>
      <c r="B62" t="s">
        <v>785</v>
      </c>
      <c r="C62" t="s">
        <v>11</v>
      </c>
      <c r="D62" s="1">
        <v>10018</v>
      </c>
      <c r="E62" s="1">
        <v>4003</v>
      </c>
      <c r="F62" s="2">
        <v>0.399580754641645</v>
      </c>
      <c r="G62" s="1">
        <v>43</v>
      </c>
      <c r="H62" s="2">
        <v>1.07419435423432E-2</v>
      </c>
      <c r="I62" s="9">
        <v>4.2922739069674604E-3</v>
      </c>
    </row>
    <row r="63" spans="1:9" ht="16" thickBot="1" x14ac:dyDescent="0.4">
      <c r="A63" s="36" t="s">
        <v>35</v>
      </c>
      <c r="B63" s="4"/>
      <c r="C63" s="4"/>
      <c r="D63" s="33">
        <f>SUM(D48:D62)</f>
        <v>5024143</v>
      </c>
      <c r="E63" s="33">
        <f>SUM(E48:E62)</f>
        <v>1830538</v>
      </c>
      <c r="F63" s="34">
        <f>AVERAGE(F48:F62)</f>
        <v>0.36837754620360691</v>
      </c>
      <c r="G63" s="33">
        <f>SUM(G48:G62)</f>
        <v>20989</v>
      </c>
      <c r="H63" s="34">
        <f>AVERAGE(H48:H62)</f>
        <v>1.7280549918529786E-2</v>
      </c>
      <c r="I63" s="35">
        <f>AVERAGE(I48:I62)</f>
        <v>6.7835590798661048E-3</v>
      </c>
    </row>
    <row r="64" spans="1:9" ht="3" customHeight="1" thickBot="1" x14ac:dyDescent="0.4">
      <c r="A64" s="139"/>
      <c r="B64" s="138"/>
      <c r="C64" s="138"/>
      <c r="D64" s="138"/>
      <c r="E64" s="138"/>
      <c r="F64" s="138"/>
      <c r="G64" s="138"/>
      <c r="H64" s="138"/>
      <c r="I64" s="140"/>
    </row>
    <row r="65" spans="1:9" x14ac:dyDescent="0.35">
      <c r="A65" s="16" t="s">
        <v>38</v>
      </c>
      <c r="B65" s="17"/>
      <c r="C65" s="17"/>
      <c r="D65" s="17"/>
      <c r="E65" s="17"/>
      <c r="F65" s="17"/>
      <c r="G65" s="17"/>
      <c r="H65" s="17"/>
      <c r="I65" s="18"/>
    </row>
    <row r="66" spans="1:9" x14ac:dyDescent="0.35">
      <c r="A66" s="8">
        <v>45575</v>
      </c>
      <c r="B66" t="s">
        <v>786</v>
      </c>
      <c r="C66" t="s">
        <v>543</v>
      </c>
      <c r="D66" s="1">
        <v>672157</v>
      </c>
      <c r="E66" s="1">
        <v>229660</v>
      </c>
      <c r="F66" s="2">
        <v>0.34167612626216798</v>
      </c>
      <c r="G66" s="1">
        <v>946</v>
      </c>
      <c r="H66" s="2">
        <v>4.1191326308455999E-3</v>
      </c>
      <c r="I66" s="9">
        <v>1.4074092808674199E-3</v>
      </c>
    </row>
    <row r="67" spans="1:9" x14ac:dyDescent="0.35">
      <c r="A67" s="8">
        <v>45575</v>
      </c>
      <c r="B67" t="s">
        <v>787</v>
      </c>
      <c r="C67" t="s">
        <v>545</v>
      </c>
      <c r="D67" s="1">
        <v>2020</v>
      </c>
      <c r="E67" s="1">
        <v>797</v>
      </c>
      <c r="F67" s="2">
        <v>0.39455445544554502</v>
      </c>
      <c r="G67" s="1">
        <v>5</v>
      </c>
      <c r="H67" s="2">
        <v>6.2735257214554599E-3</v>
      </c>
      <c r="I67" s="9">
        <v>2.47524752475248E-3</v>
      </c>
    </row>
    <row r="68" spans="1:9" x14ac:dyDescent="0.35">
      <c r="A68" s="8">
        <v>45575</v>
      </c>
      <c r="B68" t="s">
        <v>768</v>
      </c>
      <c r="C68" t="s">
        <v>771</v>
      </c>
      <c r="D68" s="1">
        <v>136578</v>
      </c>
      <c r="E68" s="1">
        <v>43358</v>
      </c>
      <c r="F68" s="2">
        <v>0.31745962014380102</v>
      </c>
      <c r="G68" s="1">
        <v>148</v>
      </c>
      <c r="H68" s="2">
        <v>3.4134415794086401E-3</v>
      </c>
      <c r="I68" s="9">
        <v>1.08362986718212E-3</v>
      </c>
    </row>
    <row r="69" spans="1:9" x14ac:dyDescent="0.35">
      <c r="A69" s="8">
        <v>45575</v>
      </c>
      <c r="B69" t="s">
        <v>768</v>
      </c>
      <c r="C69" t="s">
        <v>788</v>
      </c>
      <c r="D69" s="1">
        <v>63461</v>
      </c>
      <c r="E69" s="1">
        <v>21864</v>
      </c>
      <c r="F69" s="2">
        <v>0.34452655961929401</v>
      </c>
      <c r="G69" s="1">
        <v>84</v>
      </c>
      <c r="H69" s="2">
        <v>3.84193194291987E-3</v>
      </c>
      <c r="I69" s="9">
        <v>1.3236475945856501E-3</v>
      </c>
    </row>
    <row r="70" spans="1:9" x14ac:dyDescent="0.35">
      <c r="A70" s="8">
        <v>45575</v>
      </c>
      <c r="B70" t="s">
        <v>768</v>
      </c>
      <c r="C70" t="s">
        <v>234</v>
      </c>
      <c r="D70" s="1">
        <v>569318</v>
      </c>
      <c r="E70" s="1">
        <v>198307</v>
      </c>
      <c r="F70" s="2">
        <v>0.34832378389581897</v>
      </c>
      <c r="G70" s="1">
        <v>554</v>
      </c>
      <c r="H70" s="2">
        <v>2.7936482322863001E-3</v>
      </c>
      <c r="I70" s="9">
        <v>9.7309412314383202E-4</v>
      </c>
    </row>
    <row r="71" spans="1:9" x14ac:dyDescent="0.35">
      <c r="A71" s="8">
        <v>45575</v>
      </c>
      <c r="B71" t="s">
        <v>769</v>
      </c>
      <c r="C71" t="s">
        <v>773</v>
      </c>
      <c r="D71" s="1">
        <v>11349</v>
      </c>
      <c r="E71" s="1">
        <v>2937</v>
      </c>
      <c r="F71" s="2">
        <v>0.25878932064499099</v>
      </c>
      <c r="G71" s="1">
        <v>18</v>
      </c>
      <c r="H71" s="2">
        <v>6.1287027579162399E-3</v>
      </c>
      <c r="I71" s="9">
        <v>1.58604282315623E-3</v>
      </c>
    </row>
    <row r="72" spans="1:9" x14ac:dyDescent="0.35">
      <c r="A72" s="8">
        <v>45575</v>
      </c>
      <c r="B72" t="s">
        <v>769</v>
      </c>
      <c r="C72" t="s">
        <v>789</v>
      </c>
      <c r="D72" s="1">
        <v>3557</v>
      </c>
      <c r="E72" s="1">
        <v>1093</v>
      </c>
      <c r="F72" s="2">
        <v>0.307281416924374</v>
      </c>
      <c r="G72" s="1">
        <v>6</v>
      </c>
      <c r="H72" s="2">
        <v>5.48947849954254E-3</v>
      </c>
      <c r="I72" s="9">
        <v>1.6868147315153199E-3</v>
      </c>
    </row>
    <row r="73" spans="1:9" x14ac:dyDescent="0.35">
      <c r="A73" s="8">
        <v>45575</v>
      </c>
      <c r="B73" t="s">
        <v>769</v>
      </c>
      <c r="C73" t="s">
        <v>235</v>
      </c>
      <c r="D73" s="1">
        <v>32088</v>
      </c>
      <c r="E73" s="1">
        <v>10896</v>
      </c>
      <c r="F73" s="2">
        <v>0.33979999999999999</v>
      </c>
      <c r="G73" s="1">
        <v>22</v>
      </c>
      <c r="H73" s="2">
        <v>2E-3</v>
      </c>
      <c r="I73" s="9">
        <v>6.9999999999999999E-4</v>
      </c>
    </row>
    <row r="74" spans="1:9" x14ac:dyDescent="0.35">
      <c r="A74" s="8">
        <v>45575</v>
      </c>
      <c r="B74" t="s">
        <v>745</v>
      </c>
      <c r="C74" t="s">
        <v>741</v>
      </c>
      <c r="D74" s="1">
        <v>169704</v>
      </c>
      <c r="E74" s="1">
        <v>48919</v>
      </c>
      <c r="F74" s="2">
        <v>0.28826073634092297</v>
      </c>
      <c r="G74" s="1">
        <v>119</v>
      </c>
      <c r="H74" s="2">
        <v>2.43259265316135E-3</v>
      </c>
      <c r="I74" s="9">
        <v>7.0122094941781001E-4</v>
      </c>
    </row>
    <row r="75" spans="1:9" x14ac:dyDescent="0.35">
      <c r="A75" s="8">
        <v>45575</v>
      </c>
      <c r="B75" t="s">
        <v>745</v>
      </c>
      <c r="C75" t="s">
        <v>790</v>
      </c>
      <c r="D75" s="1">
        <v>53018</v>
      </c>
      <c r="E75" s="1">
        <v>17349</v>
      </c>
      <c r="F75" s="2">
        <v>0.32722848843788899</v>
      </c>
      <c r="G75" s="1">
        <v>58</v>
      </c>
      <c r="H75" s="2">
        <v>3.3431321690011E-3</v>
      </c>
      <c r="I75" s="9">
        <v>1.0939680863103101E-3</v>
      </c>
    </row>
    <row r="76" spans="1:9" x14ac:dyDescent="0.35">
      <c r="A76" s="8">
        <v>45575</v>
      </c>
      <c r="B76" t="s">
        <v>745</v>
      </c>
      <c r="C76" t="s">
        <v>791</v>
      </c>
      <c r="D76" s="1">
        <v>480959</v>
      </c>
      <c r="E76" s="1">
        <v>162239</v>
      </c>
      <c r="F76" s="2">
        <v>0.33789999999999998</v>
      </c>
      <c r="G76" s="1">
        <v>507</v>
      </c>
      <c r="H76" s="2">
        <v>3.0999999999999999E-3</v>
      </c>
      <c r="I76" s="9">
        <v>1.1000000000000001E-3</v>
      </c>
    </row>
    <row r="77" spans="1:9" x14ac:dyDescent="0.35">
      <c r="A77" s="8">
        <v>45575</v>
      </c>
      <c r="B77" t="s">
        <v>746</v>
      </c>
      <c r="C77" t="s">
        <v>742</v>
      </c>
      <c r="D77" s="1">
        <v>7112</v>
      </c>
      <c r="E77" s="1">
        <v>1767</v>
      </c>
      <c r="F77" s="2">
        <v>0.24845331833520801</v>
      </c>
      <c r="G77" s="1">
        <v>8</v>
      </c>
      <c r="H77" s="2">
        <v>4.5274476513865302E-3</v>
      </c>
      <c r="I77" s="9">
        <v>1.1248593925759301E-3</v>
      </c>
    </row>
    <row r="78" spans="1:9" x14ac:dyDescent="0.35">
      <c r="A78" s="8">
        <v>45575</v>
      </c>
      <c r="B78" t="s">
        <v>746</v>
      </c>
      <c r="C78" t="s">
        <v>792</v>
      </c>
      <c r="D78" s="1">
        <v>2420</v>
      </c>
      <c r="E78" s="1">
        <v>687</v>
      </c>
      <c r="F78" s="2">
        <v>0.28388429752066102</v>
      </c>
      <c r="G78" s="1">
        <v>5</v>
      </c>
      <c r="H78" s="2">
        <v>7.2780203784570596E-3</v>
      </c>
      <c r="I78" s="9">
        <v>2.0661157024793402E-3</v>
      </c>
    </row>
    <row r="79" spans="1:9" x14ac:dyDescent="0.35">
      <c r="A79" s="8">
        <v>45575</v>
      </c>
      <c r="B79" t="s">
        <v>746</v>
      </c>
      <c r="C79" t="s">
        <v>793</v>
      </c>
      <c r="D79" s="1">
        <v>21291</v>
      </c>
      <c r="E79" s="1">
        <v>6938</v>
      </c>
      <c r="F79" s="2">
        <v>0.3261</v>
      </c>
      <c r="G79" s="1">
        <v>26</v>
      </c>
      <c r="H79" s="2">
        <v>3.7000000000000002E-3</v>
      </c>
      <c r="I79" s="9">
        <v>1.1999999999999999E-3</v>
      </c>
    </row>
    <row r="80" spans="1:9" ht="16" thickBot="1" x14ac:dyDescent="0.4">
      <c r="A80" s="36" t="s">
        <v>35</v>
      </c>
      <c r="B80" s="4"/>
      <c r="C80" s="4"/>
      <c r="D80" s="33">
        <f>SUM(D66:D79)</f>
        <v>2225032</v>
      </c>
      <c r="E80" s="33">
        <f>SUM(E66:E79)</f>
        <v>746811</v>
      </c>
      <c r="F80" s="34">
        <f>AVERAGE(F66:F79)</f>
        <v>0.31887415168361954</v>
      </c>
      <c r="G80" s="33">
        <f>SUM(G66:G79)</f>
        <v>2506</v>
      </c>
      <c r="H80" s="34">
        <f>AVERAGE(H66:H79)</f>
        <v>4.174361015455764E-3</v>
      </c>
      <c r="I80" s="35">
        <f>AVERAGE(I66:I79)</f>
        <v>1.3230035768561743E-3</v>
      </c>
    </row>
  </sheetData>
  <mergeCells count="3">
    <mergeCell ref="A37:I37"/>
    <mergeCell ref="A46:I46"/>
    <mergeCell ref="A64:I64"/>
  </mergeCells>
  <pageMargins left="0.7" right="0.7" top="0.75" bottom="0.75" header="0.3" footer="0.3"/>
  <ignoredErrors>
    <ignoredError sqref="F80:G80 F63:G63 F45:G45 F36:G36" formula="1"/>
  </ignoredErrors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5F4E-1A0E-486B-94D8-B29546F82943}">
  <dimension ref="A1:I92"/>
  <sheetViews>
    <sheetView topLeftCell="A30" zoomScaleNormal="100" workbookViewId="0">
      <selection activeCell="K28" sqref="K28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45576</v>
      </c>
      <c r="B2" t="s">
        <v>794</v>
      </c>
      <c r="C2" t="s">
        <v>10</v>
      </c>
      <c r="D2" s="1">
        <v>379659</v>
      </c>
      <c r="E2" s="1">
        <v>134105</v>
      </c>
      <c r="F2" s="2">
        <v>0.35322486757853799</v>
      </c>
      <c r="G2" s="1">
        <v>2802</v>
      </c>
      <c r="H2" s="2">
        <v>2.08940755378248E-2</v>
      </c>
      <c r="I2" s="2">
        <v>7.3803070650241397E-3</v>
      </c>
    </row>
    <row r="3" spans="1:9" x14ac:dyDescent="0.35">
      <c r="A3" s="19">
        <v>45576</v>
      </c>
      <c r="B3" t="s">
        <v>794</v>
      </c>
      <c r="C3" t="s">
        <v>11</v>
      </c>
      <c r="D3" s="1">
        <v>21402</v>
      </c>
      <c r="E3" s="1">
        <v>7237</v>
      </c>
      <c r="F3" s="2">
        <v>0.33814596766657301</v>
      </c>
      <c r="G3" s="1">
        <v>355</v>
      </c>
      <c r="H3" s="2">
        <v>4.9053475196904797E-2</v>
      </c>
      <c r="I3" s="2">
        <v>1.6587234837865599E-2</v>
      </c>
    </row>
    <row r="4" spans="1:9" x14ac:dyDescent="0.35">
      <c r="A4" s="19">
        <v>45576</v>
      </c>
      <c r="B4" t="s">
        <v>795</v>
      </c>
      <c r="C4" t="s">
        <v>10</v>
      </c>
      <c r="D4" s="1">
        <v>4339867</v>
      </c>
      <c r="E4" s="1">
        <v>1381693</v>
      </c>
      <c r="F4" s="2">
        <v>0.318372198963701</v>
      </c>
      <c r="G4" s="1">
        <v>13840</v>
      </c>
      <c r="H4" s="2">
        <v>1.00166969073448E-2</v>
      </c>
      <c r="I4" s="2">
        <v>3.1890378207442799E-3</v>
      </c>
    </row>
    <row r="5" spans="1:9" x14ac:dyDescent="0.35">
      <c r="A5" s="19">
        <v>45576</v>
      </c>
      <c r="B5" t="s">
        <v>795</v>
      </c>
      <c r="C5" t="s">
        <v>11</v>
      </c>
      <c r="D5" s="1">
        <v>285481</v>
      </c>
      <c r="E5" s="1">
        <v>82014</v>
      </c>
      <c r="F5" s="2">
        <v>0.28728356703248198</v>
      </c>
      <c r="G5" s="1">
        <v>897</v>
      </c>
      <c r="H5" s="2">
        <v>1.0937157070744E-2</v>
      </c>
      <c r="I5" s="2">
        <v>3.14206549647787E-3</v>
      </c>
    </row>
    <row r="6" spans="1:9" x14ac:dyDescent="0.35">
      <c r="A6" s="19">
        <v>45576</v>
      </c>
      <c r="B6" t="s">
        <v>796</v>
      </c>
      <c r="C6" t="s">
        <v>227</v>
      </c>
      <c r="D6" s="1">
        <v>9296</v>
      </c>
      <c r="E6" s="1">
        <v>1864</v>
      </c>
      <c r="F6" s="2">
        <v>0.20051635111876101</v>
      </c>
      <c r="G6" s="1">
        <v>185</v>
      </c>
      <c r="H6" s="2">
        <v>9.9248927038626603E-2</v>
      </c>
      <c r="I6" s="2">
        <v>1.99010327022375E-2</v>
      </c>
    </row>
    <row r="7" spans="1:9" x14ac:dyDescent="0.35">
      <c r="A7" s="19">
        <v>45576</v>
      </c>
      <c r="B7" t="s">
        <v>797</v>
      </c>
      <c r="C7" t="s">
        <v>798</v>
      </c>
      <c r="D7" s="1">
        <v>764</v>
      </c>
      <c r="E7" s="1">
        <v>179</v>
      </c>
      <c r="F7" s="2">
        <v>0.234293193717277</v>
      </c>
      <c r="G7" s="1">
        <v>15</v>
      </c>
      <c r="H7" s="2">
        <v>8.3798882681564199E-2</v>
      </c>
      <c r="I7" s="2">
        <v>1.96335078534031E-2</v>
      </c>
    </row>
    <row r="8" spans="1:9" x14ac:dyDescent="0.35">
      <c r="A8" s="19">
        <v>45576</v>
      </c>
      <c r="B8" t="s">
        <v>799</v>
      </c>
      <c r="C8" t="s">
        <v>10</v>
      </c>
      <c r="D8" s="1">
        <v>423735</v>
      </c>
      <c r="E8" s="1">
        <v>164383</v>
      </c>
      <c r="F8" s="2">
        <v>0.38793821610204499</v>
      </c>
      <c r="G8" s="1">
        <v>2249</v>
      </c>
      <c r="H8" s="2">
        <v>1.36814634116667E-2</v>
      </c>
      <c r="I8" s="2">
        <v>5.3075625095873602E-3</v>
      </c>
    </row>
    <row r="9" spans="1:9" x14ac:dyDescent="0.35">
      <c r="A9" s="19">
        <v>45576</v>
      </c>
      <c r="B9" t="s">
        <v>799</v>
      </c>
      <c r="C9" t="s">
        <v>11</v>
      </c>
      <c r="D9" s="1">
        <v>20137</v>
      </c>
      <c r="E9" s="1">
        <v>7397</v>
      </c>
      <c r="F9" s="2">
        <v>0.36733376371852799</v>
      </c>
      <c r="G9" s="1">
        <v>111</v>
      </c>
      <c r="H9" s="2">
        <v>1.50060835473841E-2</v>
      </c>
      <c r="I9" s="2">
        <v>5.5122411481352699E-3</v>
      </c>
    </row>
    <row r="10" spans="1:9" x14ac:dyDescent="0.35">
      <c r="A10" s="19">
        <v>45576</v>
      </c>
      <c r="B10" t="s">
        <v>800</v>
      </c>
      <c r="C10" t="s">
        <v>10</v>
      </c>
      <c r="D10" s="1">
        <v>588783</v>
      </c>
      <c r="E10" s="1">
        <v>201464</v>
      </c>
      <c r="F10" s="2">
        <v>0.34217020532182502</v>
      </c>
      <c r="G10" s="1">
        <v>1936</v>
      </c>
      <c r="H10" s="2">
        <v>9.6096573085017699E-3</v>
      </c>
      <c r="I10" s="2">
        <v>3.28813841432242E-3</v>
      </c>
    </row>
    <row r="11" spans="1:9" x14ac:dyDescent="0.35">
      <c r="A11" s="19">
        <v>45576</v>
      </c>
      <c r="B11" t="s">
        <v>800</v>
      </c>
      <c r="C11" t="s">
        <v>11</v>
      </c>
      <c r="D11" s="1">
        <v>31256</v>
      </c>
      <c r="E11" s="1">
        <v>9753</v>
      </c>
      <c r="F11" s="2">
        <v>0.31203608907089803</v>
      </c>
      <c r="G11" s="1">
        <v>163</v>
      </c>
      <c r="H11" s="2">
        <v>1.6712806316005299E-2</v>
      </c>
      <c r="I11" s="2">
        <v>5.2149987202457096E-3</v>
      </c>
    </row>
    <row r="12" spans="1:9" x14ac:dyDescent="0.35">
      <c r="A12" s="19">
        <v>45577</v>
      </c>
      <c r="B12" t="s">
        <v>801</v>
      </c>
      <c r="C12" t="s">
        <v>10</v>
      </c>
      <c r="D12" s="1">
        <v>1260499</v>
      </c>
      <c r="E12" s="1">
        <v>376314</v>
      </c>
      <c r="F12" s="2">
        <v>0.29854367199022003</v>
      </c>
      <c r="G12" s="1">
        <v>3735</v>
      </c>
      <c r="H12" s="2">
        <v>9.9252220220347898E-3</v>
      </c>
      <c r="I12" s="2">
        <v>2.96311222777646E-3</v>
      </c>
    </row>
    <row r="13" spans="1:9" x14ac:dyDescent="0.35">
      <c r="A13" s="19">
        <v>45579</v>
      </c>
      <c r="B13" t="s">
        <v>802</v>
      </c>
      <c r="C13" t="s">
        <v>10</v>
      </c>
      <c r="D13" s="1">
        <v>214537</v>
      </c>
      <c r="E13" s="1">
        <v>92987</v>
      </c>
      <c r="F13" s="2">
        <v>0.43343106317325197</v>
      </c>
      <c r="G13" s="1">
        <v>1245</v>
      </c>
      <c r="H13" s="2">
        <v>1.3388968350414599E-2</v>
      </c>
      <c r="I13" s="2">
        <v>5.8031947869132102E-3</v>
      </c>
    </row>
    <row r="14" spans="1:9" x14ac:dyDescent="0.35">
      <c r="A14" s="19">
        <v>45579</v>
      </c>
      <c r="B14" t="s">
        <v>802</v>
      </c>
      <c r="C14" t="s">
        <v>11</v>
      </c>
      <c r="D14" s="1">
        <v>12878</v>
      </c>
      <c r="E14" s="1">
        <v>5799</v>
      </c>
      <c r="F14" s="2">
        <v>0.45030284205622001</v>
      </c>
      <c r="G14" s="1">
        <v>161</v>
      </c>
      <c r="H14" s="2">
        <v>2.7763407484048999E-2</v>
      </c>
      <c r="I14" s="2">
        <v>1.2501941295232201E-2</v>
      </c>
    </row>
    <row r="15" spans="1:9" x14ac:dyDescent="0.35">
      <c r="A15" s="19">
        <v>45580</v>
      </c>
      <c r="B15" t="s">
        <v>803</v>
      </c>
      <c r="C15" t="s">
        <v>10</v>
      </c>
      <c r="D15" s="1">
        <v>1356756</v>
      </c>
      <c r="E15" s="1">
        <v>403542</v>
      </c>
      <c r="F15" s="2">
        <v>0.29743152047973298</v>
      </c>
      <c r="G15" s="1">
        <v>8032</v>
      </c>
      <c r="H15" s="2">
        <v>1.9903752273617101E-2</v>
      </c>
      <c r="I15" s="2">
        <v>5.9200033019938701E-3</v>
      </c>
    </row>
    <row r="16" spans="1:9" x14ac:dyDescent="0.35">
      <c r="A16" s="19">
        <v>45580</v>
      </c>
      <c r="B16" t="s">
        <v>803</v>
      </c>
      <c r="C16" t="s">
        <v>11</v>
      </c>
      <c r="D16" s="1">
        <v>92264</v>
      </c>
      <c r="E16" s="1">
        <v>27469</v>
      </c>
      <c r="F16" s="2">
        <v>0.29772175496401598</v>
      </c>
      <c r="G16" s="1">
        <v>670</v>
      </c>
      <c r="H16" s="2">
        <v>2.43911318213259E-2</v>
      </c>
      <c r="I16" s="2">
        <v>7.2617705714038E-3</v>
      </c>
    </row>
    <row r="17" spans="1:9" x14ac:dyDescent="0.35">
      <c r="A17" s="19">
        <v>45580</v>
      </c>
      <c r="B17" t="s">
        <v>804</v>
      </c>
      <c r="C17" t="s">
        <v>10</v>
      </c>
      <c r="D17" s="1">
        <v>601624</v>
      </c>
      <c r="E17" s="1">
        <v>208920</v>
      </c>
      <c r="F17" s="2">
        <v>0.34726008270946601</v>
      </c>
      <c r="G17" s="1">
        <v>1946</v>
      </c>
      <c r="H17" s="2">
        <v>9.31457017040015E-3</v>
      </c>
      <c r="I17" s="2">
        <v>3.2345784077762898E-3</v>
      </c>
    </row>
    <row r="18" spans="1:9" x14ac:dyDescent="0.35">
      <c r="A18" s="19">
        <v>45580</v>
      </c>
      <c r="B18" t="s">
        <v>805</v>
      </c>
      <c r="C18" t="s">
        <v>10</v>
      </c>
      <c r="D18" s="1">
        <v>206890</v>
      </c>
      <c r="E18" s="1">
        <v>73203</v>
      </c>
      <c r="F18" s="2">
        <v>0.35382570448064199</v>
      </c>
      <c r="G18" s="1">
        <v>743</v>
      </c>
      <c r="H18" s="2">
        <v>1.01498572462877E-2</v>
      </c>
      <c r="I18" s="2">
        <v>3.5912803905457E-3</v>
      </c>
    </row>
    <row r="19" spans="1:9" x14ac:dyDescent="0.35">
      <c r="A19" s="19">
        <v>45581</v>
      </c>
      <c r="B19" t="s">
        <v>806</v>
      </c>
      <c r="C19" t="s">
        <v>74</v>
      </c>
      <c r="D19" s="1">
        <v>75014</v>
      </c>
      <c r="E19" s="1">
        <v>28473</v>
      </c>
      <c r="F19" s="2">
        <v>0.37956914709254302</v>
      </c>
      <c r="G19" s="1">
        <v>433</v>
      </c>
      <c r="H19" s="2">
        <v>1.5207389456678299E-2</v>
      </c>
      <c r="I19" s="2">
        <v>5.7722558455754903E-3</v>
      </c>
    </row>
    <row r="20" spans="1:9" x14ac:dyDescent="0.35">
      <c r="A20" s="19">
        <v>45581</v>
      </c>
      <c r="B20" t="s">
        <v>806</v>
      </c>
      <c r="C20" t="s">
        <v>72</v>
      </c>
      <c r="D20" s="1">
        <v>272845</v>
      </c>
      <c r="E20" s="1">
        <v>117001</v>
      </c>
      <c r="F20" s="2">
        <v>0.42881855998827201</v>
      </c>
      <c r="G20" s="1">
        <v>2607</v>
      </c>
      <c r="H20" s="2">
        <v>2.22818608387962E-2</v>
      </c>
      <c r="I20" s="2">
        <v>9.5548754787516694E-3</v>
      </c>
    </row>
    <row r="21" spans="1:9" x14ac:dyDescent="0.35">
      <c r="A21" s="19">
        <v>45581</v>
      </c>
      <c r="B21" t="s">
        <v>806</v>
      </c>
      <c r="C21" t="s">
        <v>75</v>
      </c>
      <c r="D21" s="1">
        <v>3104</v>
      </c>
      <c r="E21" s="1">
        <v>1126</v>
      </c>
      <c r="F21" s="2">
        <v>0.36275773195876299</v>
      </c>
      <c r="G21" s="1">
        <v>26</v>
      </c>
      <c r="H21" s="2">
        <v>2.3090586145648299E-2</v>
      </c>
      <c r="I21" s="2">
        <v>8.3762886597938107E-3</v>
      </c>
    </row>
    <row r="22" spans="1:9" x14ac:dyDescent="0.35">
      <c r="A22" s="19">
        <v>45581</v>
      </c>
      <c r="B22" t="s">
        <v>806</v>
      </c>
      <c r="C22" t="s">
        <v>73</v>
      </c>
      <c r="D22" s="1">
        <v>13312</v>
      </c>
      <c r="E22" s="1">
        <v>5879</v>
      </c>
      <c r="F22" s="2">
        <v>0.44163161057692302</v>
      </c>
      <c r="G22" s="1">
        <v>153</v>
      </c>
      <c r="H22" s="2">
        <v>2.60248341554686E-2</v>
      </c>
      <c r="I22" s="2">
        <v>1.14933894230769E-2</v>
      </c>
    </row>
    <row r="23" spans="1:9" x14ac:dyDescent="0.35">
      <c r="A23" s="19">
        <v>45581</v>
      </c>
      <c r="B23" t="s">
        <v>807</v>
      </c>
      <c r="C23" t="s">
        <v>10</v>
      </c>
      <c r="D23" s="1">
        <v>1181</v>
      </c>
      <c r="E23" s="1">
        <v>296</v>
      </c>
      <c r="F23" s="2">
        <v>0.25063505503810302</v>
      </c>
      <c r="G23" s="1">
        <v>50</v>
      </c>
      <c r="H23" s="2">
        <v>0.168918918918919</v>
      </c>
      <c r="I23" s="2">
        <v>4.23370025402202E-2</v>
      </c>
    </row>
    <row r="24" spans="1:9" x14ac:dyDescent="0.35">
      <c r="A24" s="19">
        <v>45581</v>
      </c>
      <c r="B24" t="s">
        <v>808</v>
      </c>
      <c r="C24" t="s">
        <v>11</v>
      </c>
      <c r="D24" s="1">
        <v>126</v>
      </c>
      <c r="E24" s="1">
        <v>34</v>
      </c>
      <c r="F24" s="2">
        <v>0.26984126984126999</v>
      </c>
      <c r="G24" s="1">
        <v>5</v>
      </c>
      <c r="H24" s="2">
        <v>0.14705882352941199</v>
      </c>
      <c r="I24" s="2">
        <v>3.9682539682539701E-2</v>
      </c>
    </row>
    <row r="25" spans="1:9" x14ac:dyDescent="0.35">
      <c r="A25" s="19">
        <v>45581</v>
      </c>
      <c r="B25" t="s">
        <v>809</v>
      </c>
      <c r="C25" t="s">
        <v>10</v>
      </c>
      <c r="D25" s="1">
        <v>103827</v>
      </c>
      <c r="E25" s="1">
        <v>36447</v>
      </c>
      <c r="F25" s="2">
        <v>0.351035857724869</v>
      </c>
      <c r="G25" s="1">
        <v>478</v>
      </c>
      <c r="H25" s="2">
        <v>1.3114934013773401E-2</v>
      </c>
      <c r="I25" s="2">
        <v>4.6038121105300197E-3</v>
      </c>
    </row>
    <row r="26" spans="1:9" x14ac:dyDescent="0.35">
      <c r="A26" s="19">
        <v>45581</v>
      </c>
      <c r="B26" t="s">
        <v>810</v>
      </c>
      <c r="C26" t="s">
        <v>10</v>
      </c>
      <c r="D26" s="1">
        <v>1371577</v>
      </c>
      <c r="E26" s="1">
        <v>497466</v>
      </c>
      <c r="F26" s="2">
        <v>0.36269637067404897</v>
      </c>
      <c r="G26" s="1">
        <v>3701</v>
      </c>
      <c r="H26" s="2">
        <v>7.4397044220107502E-3</v>
      </c>
      <c r="I26" s="2">
        <v>2.69835379275097E-3</v>
      </c>
    </row>
    <row r="27" spans="1:9" x14ac:dyDescent="0.35">
      <c r="A27" s="19">
        <v>45581</v>
      </c>
      <c r="B27" t="s">
        <v>810</v>
      </c>
      <c r="C27" t="s">
        <v>11</v>
      </c>
      <c r="D27" s="1">
        <v>17249</v>
      </c>
      <c r="E27" s="1">
        <v>6611</v>
      </c>
      <c r="F27" s="2">
        <v>0.38326859528088603</v>
      </c>
      <c r="G27" s="1">
        <v>72</v>
      </c>
      <c r="H27" s="2">
        <v>1.08909393435184E-2</v>
      </c>
      <c r="I27" s="2">
        <v>4.1741550234796199E-3</v>
      </c>
    </row>
    <row r="28" spans="1:9" x14ac:dyDescent="0.35">
      <c r="A28" s="19">
        <v>45582</v>
      </c>
      <c r="B28" t="s">
        <v>786</v>
      </c>
      <c r="C28" t="s">
        <v>811</v>
      </c>
      <c r="D28" s="1">
        <v>337258</v>
      </c>
      <c r="E28" s="1">
        <v>102586</v>
      </c>
      <c r="F28" s="2">
        <v>0.30417662442403098</v>
      </c>
      <c r="G28" s="1">
        <v>361</v>
      </c>
      <c r="H28" s="2">
        <v>3.51899869377888E-3</v>
      </c>
      <c r="I28" s="2">
        <v>1.07039714402624E-3</v>
      </c>
    </row>
    <row r="29" spans="1:9" x14ac:dyDescent="0.35">
      <c r="A29" s="19">
        <v>45582</v>
      </c>
      <c r="B29" t="s">
        <v>786</v>
      </c>
      <c r="C29" t="s">
        <v>812</v>
      </c>
      <c r="D29" s="1">
        <v>66178</v>
      </c>
      <c r="E29" s="1">
        <v>23417</v>
      </c>
      <c r="F29" s="2">
        <v>0.35384871105201099</v>
      </c>
      <c r="G29" s="1">
        <v>115</v>
      </c>
      <c r="H29" s="2">
        <v>4.9109621215356397E-3</v>
      </c>
      <c r="I29" s="2">
        <v>1.7377376167306399E-3</v>
      </c>
    </row>
    <row r="30" spans="1:9" x14ac:dyDescent="0.35">
      <c r="A30" s="19">
        <v>45582</v>
      </c>
      <c r="B30" t="s">
        <v>786</v>
      </c>
      <c r="C30" t="s">
        <v>813</v>
      </c>
      <c r="D30" s="1">
        <v>596988</v>
      </c>
      <c r="E30" s="1">
        <v>220882</v>
      </c>
      <c r="F30" s="2">
        <v>0.3705</v>
      </c>
      <c r="G30" s="1">
        <v>631</v>
      </c>
      <c r="H30" s="2">
        <v>2.8999999999999998E-3</v>
      </c>
      <c r="I30" s="2">
        <v>1.1000000000000001E-3</v>
      </c>
    </row>
    <row r="31" spans="1:9" x14ac:dyDescent="0.35">
      <c r="A31" s="19">
        <v>45582</v>
      </c>
      <c r="B31" t="s">
        <v>787</v>
      </c>
      <c r="C31" t="s">
        <v>813</v>
      </c>
      <c r="D31" s="1">
        <v>33731</v>
      </c>
      <c r="E31" s="1">
        <v>12564</v>
      </c>
      <c r="F31" s="2">
        <v>0.3725</v>
      </c>
      <c r="G31" s="1">
        <v>32</v>
      </c>
      <c r="H31" s="2">
        <v>2.5000000000000001E-3</v>
      </c>
      <c r="I31" s="2">
        <v>8.9999999999999998E-4</v>
      </c>
    </row>
    <row r="32" spans="1:9" x14ac:dyDescent="0.35">
      <c r="A32" s="19">
        <v>45582</v>
      </c>
      <c r="B32" t="s">
        <v>787</v>
      </c>
      <c r="C32" t="s">
        <v>811</v>
      </c>
      <c r="D32" s="1">
        <v>21369</v>
      </c>
      <c r="E32" s="1">
        <v>6128</v>
      </c>
      <c r="F32" s="2">
        <v>0.28677055547756097</v>
      </c>
      <c r="G32" s="1">
        <v>38</v>
      </c>
      <c r="H32" s="2">
        <v>6.2010443864229797E-3</v>
      </c>
      <c r="I32" s="2">
        <v>1.7782769432355299E-3</v>
      </c>
    </row>
    <row r="33" spans="1:9" x14ac:dyDescent="0.35">
      <c r="A33" s="19">
        <v>45582</v>
      </c>
      <c r="B33" t="s">
        <v>787</v>
      </c>
      <c r="C33" t="s">
        <v>812</v>
      </c>
      <c r="D33" s="1">
        <v>3739</v>
      </c>
      <c r="E33" s="1">
        <v>1259</v>
      </c>
      <c r="F33" s="2">
        <v>0.33672104840866501</v>
      </c>
      <c r="G33" s="1">
        <v>3</v>
      </c>
      <c r="H33" s="2">
        <v>2.38284352660842E-3</v>
      </c>
      <c r="I33" s="2">
        <v>8.0235357047338902E-4</v>
      </c>
    </row>
    <row r="34" spans="1:9" x14ac:dyDescent="0.35">
      <c r="A34" s="19">
        <v>45582</v>
      </c>
      <c r="B34" t="s">
        <v>768</v>
      </c>
      <c r="C34" t="s">
        <v>456</v>
      </c>
      <c r="D34" s="1">
        <v>134700</v>
      </c>
      <c r="E34" s="1">
        <v>43497</v>
      </c>
      <c r="F34" s="2">
        <v>0.32291759465478798</v>
      </c>
      <c r="G34" s="1">
        <v>170</v>
      </c>
      <c r="H34" s="2">
        <v>3.9083155160125997E-3</v>
      </c>
      <c r="I34" s="2">
        <v>1.2620638455827799E-3</v>
      </c>
    </row>
    <row r="35" spans="1:9" x14ac:dyDescent="0.35">
      <c r="A35" s="19">
        <v>45582</v>
      </c>
      <c r="B35" t="s">
        <v>768</v>
      </c>
      <c r="C35" t="s">
        <v>814</v>
      </c>
      <c r="D35" s="1">
        <v>62300</v>
      </c>
      <c r="E35" s="1">
        <v>22109</v>
      </c>
      <c r="F35" s="2">
        <v>0.35487961476725499</v>
      </c>
      <c r="G35" s="1">
        <v>86</v>
      </c>
      <c r="H35" s="2">
        <v>3.88981862589896E-3</v>
      </c>
      <c r="I35" s="2">
        <v>1.3804173354735199E-3</v>
      </c>
    </row>
    <row r="36" spans="1:9" x14ac:dyDescent="0.35">
      <c r="A36" s="19">
        <v>45582</v>
      </c>
      <c r="B36" t="s">
        <v>768</v>
      </c>
      <c r="C36" t="s">
        <v>455</v>
      </c>
      <c r="D36" s="1">
        <v>559017</v>
      </c>
      <c r="E36" s="1">
        <v>201263</v>
      </c>
      <c r="F36" s="2">
        <v>0.36003019586166402</v>
      </c>
      <c r="G36" s="1">
        <v>579</v>
      </c>
      <c r="H36" s="2">
        <v>2.8768328008625501E-3</v>
      </c>
      <c r="I36" s="2">
        <v>1.03574667675581E-3</v>
      </c>
    </row>
    <row r="37" spans="1:9" x14ac:dyDescent="0.35">
      <c r="A37" s="19">
        <v>45582</v>
      </c>
      <c r="B37" t="s">
        <v>769</v>
      </c>
      <c r="C37" t="s">
        <v>456</v>
      </c>
      <c r="D37" s="1">
        <v>11198</v>
      </c>
      <c r="E37" s="1">
        <v>3004</v>
      </c>
      <c r="F37" s="2">
        <v>0.26826218967672799</v>
      </c>
      <c r="G37" s="1">
        <v>18</v>
      </c>
      <c r="H37" s="2">
        <v>5.9920106524633801E-3</v>
      </c>
      <c r="I37" s="2">
        <v>1.60742989819611E-3</v>
      </c>
    </row>
    <row r="38" spans="1:9" x14ac:dyDescent="0.35">
      <c r="A38" s="19">
        <v>45582</v>
      </c>
      <c r="B38" t="s">
        <v>769</v>
      </c>
      <c r="C38" t="s">
        <v>815</v>
      </c>
      <c r="D38" s="1">
        <v>3506</v>
      </c>
      <c r="E38" s="1">
        <v>1117</v>
      </c>
      <c r="F38" s="2">
        <v>0.31859669138619501</v>
      </c>
      <c r="G38" s="1">
        <v>3</v>
      </c>
      <c r="H38" s="2">
        <v>2.6857654431513001E-3</v>
      </c>
      <c r="I38" s="2">
        <v>8.5567598402738201E-4</v>
      </c>
    </row>
    <row r="39" spans="1:9" x14ac:dyDescent="0.35">
      <c r="A39" s="19">
        <v>45582</v>
      </c>
      <c r="B39" t="s">
        <v>769</v>
      </c>
      <c r="C39" t="s">
        <v>816</v>
      </c>
      <c r="D39" s="1">
        <v>31422</v>
      </c>
      <c r="E39" s="1">
        <v>11294</v>
      </c>
      <c r="F39" s="2">
        <v>0.35959999999999998</v>
      </c>
      <c r="G39" s="1">
        <v>30</v>
      </c>
      <c r="H39" s="2">
        <v>2.7000000000000001E-3</v>
      </c>
      <c r="I39" s="2">
        <v>1E-3</v>
      </c>
    </row>
    <row r="40" spans="1:9" x14ac:dyDescent="0.35">
      <c r="A40" s="19">
        <v>45582</v>
      </c>
      <c r="B40" t="s">
        <v>817</v>
      </c>
      <c r="C40" t="s">
        <v>818</v>
      </c>
      <c r="D40" s="1">
        <v>1692</v>
      </c>
      <c r="E40" s="1">
        <v>701</v>
      </c>
      <c r="F40" s="2">
        <v>0.41430260047281298</v>
      </c>
      <c r="G40" s="1">
        <v>87</v>
      </c>
      <c r="H40" s="2">
        <v>0.12410841654778899</v>
      </c>
      <c r="I40" s="2">
        <v>5.1418439716312103E-2</v>
      </c>
    </row>
    <row r="41" spans="1:9" x14ac:dyDescent="0.35">
      <c r="A41" s="19">
        <v>45582</v>
      </c>
      <c r="B41" t="s">
        <v>817</v>
      </c>
      <c r="C41" t="s">
        <v>819</v>
      </c>
      <c r="D41" s="1">
        <v>43028</v>
      </c>
      <c r="E41" s="1">
        <v>14179</v>
      </c>
      <c r="F41" s="2">
        <v>0.32952960862694097</v>
      </c>
      <c r="G41" s="1">
        <v>267</v>
      </c>
      <c r="H41" s="2">
        <v>1.8830665068058399E-2</v>
      </c>
      <c r="I41" s="2">
        <v>6.2052616900622904E-3</v>
      </c>
    </row>
    <row r="42" spans="1:9" ht="16" thickBot="1" x14ac:dyDescent="0.4">
      <c r="A42" s="37" t="s">
        <v>35</v>
      </c>
      <c r="D42" s="31">
        <f>SUM(D2:D41)</f>
        <v>13610189</v>
      </c>
      <c r="E42" s="31">
        <f>SUM(E2:E41)</f>
        <v>4535656</v>
      </c>
      <c r="F42" s="32">
        <f>AVERAGE(F2:F41)</f>
        <v>0.34006801732821268</v>
      </c>
      <c r="G42" s="31">
        <f>SUM(G2:G41)</f>
        <v>49030</v>
      </c>
      <c r="H42" s="32">
        <f>AVERAGE(H2:H41)</f>
        <v>2.6630744964787578E-2</v>
      </c>
      <c r="I42" s="32">
        <f>AVERAGE(I2:I41)</f>
        <v>8.2819620131819732E-3</v>
      </c>
    </row>
    <row r="43" spans="1:9" ht="15" thickBot="1" x14ac:dyDescent="0.4">
      <c r="A43" s="138" t="s">
        <v>302</v>
      </c>
      <c r="B43" s="138"/>
      <c r="C43" s="138"/>
      <c r="D43" s="138"/>
      <c r="E43" s="138"/>
      <c r="F43" s="138"/>
      <c r="G43" s="138"/>
      <c r="H43" s="138"/>
      <c r="I43" s="138"/>
    </row>
    <row r="44" spans="1:9" ht="15.5" x14ac:dyDescent="0.35">
      <c r="A44" s="38" t="s">
        <v>0</v>
      </c>
      <c r="B44" s="39" t="s">
        <v>1</v>
      </c>
      <c r="C44" s="39" t="s">
        <v>2</v>
      </c>
      <c r="D44" s="39" t="s">
        <v>3</v>
      </c>
      <c r="E44" s="39" t="s">
        <v>4</v>
      </c>
      <c r="F44" s="39" t="s">
        <v>5</v>
      </c>
      <c r="G44" s="39" t="s">
        <v>6</v>
      </c>
      <c r="H44" s="39" t="s">
        <v>7</v>
      </c>
      <c r="I44" s="40" t="s">
        <v>8</v>
      </c>
    </row>
    <row r="45" spans="1:9" x14ac:dyDescent="0.35">
      <c r="A45" s="5" t="s">
        <v>36</v>
      </c>
      <c r="B45" s="6"/>
      <c r="C45" s="6"/>
      <c r="D45" s="6"/>
      <c r="E45" s="6"/>
      <c r="F45" s="6"/>
      <c r="G45" s="6"/>
      <c r="H45" s="6"/>
      <c r="I45" s="7"/>
    </row>
    <row r="46" spans="1:9" x14ac:dyDescent="0.35">
      <c r="A46" s="8">
        <v>45576</v>
      </c>
      <c r="B46" t="s">
        <v>794</v>
      </c>
      <c r="C46" t="s">
        <v>10</v>
      </c>
      <c r="D46" s="1">
        <v>379659</v>
      </c>
      <c r="E46" s="1">
        <v>134105</v>
      </c>
      <c r="F46" s="2">
        <v>0.35322486757853799</v>
      </c>
      <c r="G46" s="1">
        <v>2802</v>
      </c>
      <c r="H46" s="2">
        <v>2.08940755378248E-2</v>
      </c>
      <c r="I46" s="9">
        <v>7.3803070650241397E-3</v>
      </c>
    </row>
    <row r="47" spans="1:9" x14ac:dyDescent="0.35">
      <c r="A47" s="8">
        <v>45576</v>
      </c>
      <c r="B47" t="s">
        <v>794</v>
      </c>
      <c r="C47" t="s">
        <v>11</v>
      </c>
      <c r="D47" s="1">
        <v>21402</v>
      </c>
      <c r="E47" s="1">
        <v>7237</v>
      </c>
      <c r="F47" s="2">
        <v>0.33814596766657301</v>
      </c>
      <c r="G47" s="1">
        <v>355</v>
      </c>
      <c r="H47" s="2">
        <v>4.9053475196904797E-2</v>
      </c>
      <c r="I47" s="9">
        <v>1.6587234837865599E-2</v>
      </c>
    </row>
    <row r="48" spans="1:9" x14ac:dyDescent="0.35">
      <c r="A48" s="8">
        <v>45576</v>
      </c>
      <c r="B48" t="s">
        <v>795</v>
      </c>
      <c r="C48" t="s">
        <v>10</v>
      </c>
      <c r="D48" s="1">
        <v>4339867</v>
      </c>
      <c r="E48" s="1">
        <v>1381693</v>
      </c>
      <c r="F48" s="2">
        <v>0.318372198963701</v>
      </c>
      <c r="G48" s="1">
        <v>13840</v>
      </c>
      <c r="H48" s="2">
        <v>1.00166969073448E-2</v>
      </c>
      <c r="I48" s="9">
        <v>3.1890378207442799E-3</v>
      </c>
    </row>
    <row r="49" spans="1:9" x14ac:dyDescent="0.35">
      <c r="A49" s="8">
        <v>45576</v>
      </c>
      <c r="B49" t="s">
        <v>795</v>
      </c>
      <c r="C49" t="s">
        <v>11</v>
      </c>
      <c r="D49" s="1">
        <v>285481</v>
      </c>
      <c r="E49" s="1">
        <v>82014</v>
      </c>
      <c r="F49" s="2">
        <v>0.28728356703248198</v>
      </c>
      <c r="G49" s="1">
        <v>897</v>
      </c>
      <c r="H49" s="2">
        <v>1.0937157070744E-2</v>
      </c>
      <c r="I49" s="9">
        <v>3.14206549647787E-3</v>
      </c>
    </row>
    <row r="50" spans="1:9" x14ac:dyDescent="0.35">
      <c r="A50" s="8">
        <v>45580</v>
      </c>
      <c r="B50" t="s">
        <v>803</v>
      </c>
      <c r="C50" t="s">
        <v>10</v>
      </c>
      <c r="D50" s="1">
        <v>1356756</v>
      </c>
      <c r="E50" s="1">
        <v>403542</v>
      </c>
      <c r="F50" s="2">
        <v>0.29743152047973298</v>
      </c>
      <c r="G50" s="1">
        <v>8032</v>
      </c>
      <c r="H50" s="2">
        <v>1.9903752273617101E-2</v>
      </c>
      <c r="I50" s="9">
        <v>5.9200033019938701E-3</v>
      </c>
    </row>
    <row r="51" spans="1:9" x14ac:dyDescent="0.35">
      <c r="A51" s="8">
        <v>45580</v>
      </c>
      <c r="B51" t="s">
        <v>803</v>
      </c>
      <c r="C51" t="s">
        <v>11</v>
      </c>
      <c r="D51" s="1">
        <v>92264</v>
      </c>
      <c r="E51" s="1">
        <v>27469</v>
      </c>
      <c r="F51" s="2">
        <v>0.29772175496401598</v>
      </c>
      <c r="G51" s="1">
        <v>670</v>
      </c>
      <c r="H51" s="2">
        <v>2.43911318213259E-2</v>
      </c>
      <c r="I51" s="9">
        <v>7.2617705714038E-3</v>
      </c>
    </row>
    <row r="52" spans="1:9" ht="16" thickBot="1" x14ac:dyDescent="0.4">
      <c r="A52" s="36" t="s">
        <v>35</v>
      </c>
      <c r="B52" s="4"/>
      <c r="C52" s="4"/>
      <c r="D52" s="33">
        <f>SUM(D46:D51)</f>
        <v>6475429</v>
      </c>
      <c r="E52" s="33">
        <f>SUM(E46:E51)</f>
        <v>2036060</v>
      </c>
      <c r="F52" s="34">
        <f>AVERAGE(F46:F51)</f>
        <v>0.31536331278084045</v>
      </c>
      <c r="G52" s="33">
        <f>SUM(G46:G51)</f>
        <v>26596</v>
      </c>
      <c r="H52" s="34">
        <f>AVERAGE(H46:H51)</f>
        <v>2.2532714801293565E-2</v>
      </c>
      <c r="I52" s="35">
        <f>AVERAGE(I46:I51)</f>
        <v>7.2467365155849256E-3</v>
      </c>
    </row>
    <row r="53" spans="1:9" ht="3" customHeight="1" thickBot="1" x14ac:dyDescent="0.4">
      <c r="A53" s="141"/>
      <c r="B53" s="142"/>
      <c r="C53" s="142"/>
      <c r="D53" s="142"/>
      <c r="E53" s="142"/>
      <c r="F53" s="142"/>
      <c r="G53" s="142"/>
      <c r="H53" s="142"/>
      <c r="I53" s="143"/>
    </row>
    <row r="54" spans="1:9" x14ac:dyDescent="0.35">
      <c r="A54" s="16" t="s">
        <v>37</v>
      </c>
      <c r="B54" s="17"/>
      <c r="C54" s="17"/>
      <c r="D54" s="17"/>
      <c r="E54" s="17"/>
      <c r="F54" s="17"/>
      <c r="G54" s="17"/>
      <c r="H54" s="17"/>
      <c r="I54" s="18"/>
    </row>
    <row r="55" spans="1:9" x14ac:dyDescent="0.35">
      <c r="A55" s="8">
        <v>45576</v>
      </c>
      <c r="B55" t="s">
        <v>796</v>
      </c>
      <c r="C55" t="s">
        <v>227</v>
      </c>
      <c r="D55" s="1">
        <v>9296</v>
      </c>
      <c r="E55" s="1">
        <v>1864</v>
      </c>
      <c r="F55" s="2">
        <v>0.20051635111876101</v>
      </c>
      <c r="G55" s="1">
        <v>185</v>
      </c>
      <c r="H55" s="2">
        <v>9.9248927038626603E-2</v>
      </c>
      <c r="I55" s="9">
        <v>1.99010327022375E-2</v>
      </c>
    </row>
    <row r="56" spans="1:9" x14ac:dyDescent="0.35">
      <c r="A56" s="8">
        <v>45576</v>
      </c>
      <c r="B56" t="s">
        <v>797</v>
      </c>
      <c r="C56" t="s">
        <v>798</v>
      </c>
      <c r="D56" s="1">
        <v>764</v>
      </c>
      <c r="E56" s="1">
        <v>179</v>
      </c>
      <c r="F56" s="2">
        <v>0.234293193717277</v>
      </c>
      <c r="G56" s="1">
        <v>15</v>
      </c>
      <c r="H56" s="2">
        <v>8.3798882681564199E-2</v>
      </c>
      <c r="I56" s="9">
        <v>1.96335078534031E-2</v>
      </c>
    </row>
    <row r="57" spans="1:9" x14ac:dyDescent="0.35">
      <c r="A57" s="8">
        <v>45576</v>
      </c>
      <c r="B57" t="s">
        <v>799</v>
      </c>
      <c r="C57" t="s">
        <v>10</v>
      </c>
      <c r="D57" s="1">
        <v>423735</v>
      </c>
      <c r="E57" s="1">
        <v>164383</v>
      </c>
      <c r="F57" s="2">
        <v>0.38793821610204499</v>
      </c>
      <c r="G57" s="1">
        <v>2249</v>
      </c>
      <c r="H57" s="2">
        <v>1.36814634116667E-2</v>
      </c>
      <c r="I57" s="9">
        <v>5.3075625095873602E-3</v>
      </c>
    </row>
    <row r="58" spans="1:9" x14ac:dyDescent="0.35">
      <c r="A58" s="8">
        <v>45576</v>
      </c>
      <c r="B58" t="s">
        <v>799</v>
      </c>
      <c r="C58" t="s">
        <v>11</v>
      </c>
      <c r="D58" s="1">
        <v>20137</v>
      </c>
      <c r="E58" s="1">
        <v>7397</v>
      </c>
      <c r="F58" s="2">
        <v>0.36733376371852799</v>
      </c>
      <c r="G58" s="1">
        <v>111</v>
      </c>
      <c r="H58" s="2">
        <v>1.50060835473841E-2</v>
      </c>
      <c r="I58" s="9">
        <v>5.5122411481352699E-3</v>
      </c>
    </row>
    <row r="59" spans="1:9" x14ac:dyDescent="0.35">
      <c r="A59" s="8">
        <v>45576</v>
      </c>
      <c r="B59" t="s">
        <v>800</v>
      </c>
      <c r="C59" t="s">
        <v>10</v>
      </c>
      <c r="D59" s="1">
        <v>588783</v>
      </c>
      <c r="E59" s="1">
        <v>201464</v>
      </c>
      <c r="F59" s="2">
        <v>0.34217020532182502</v>
      </c>
      <c r="G59" s="1">
        <v>1936</v>
      </c>
      <c r="H59" s="2">
        <v>9.6096573085017699E-3</v>
      </c>
      <c r="I59" s="9">
        <v>3.28813841432242E-3</v>
      </c>
    </row>
    <row r="60" spans="1:9" x14ac:dyDescent="0.35">
      <c r="A60" s="8">
        <v>45576</v>
      </c>
      <c r="B60" t="s">
        <v>800</v>
      </c>
      <c r="C60" t="s">
        <v>11</v>
      </c>
      <c r="D60" s="1">
        <v>31256</v>
      </c>
      <c r="E60" s="1">
        <v>9753</v>
      </c>
      <c r="F60" s="2">
        <v>0.31203608907089803</v>
      </c>
      <c r="G60" s="1">
        <v>163</v>
      </c>
      <c r="H60" s="2">
        <v>1.6712806316005299E-2</v>
      </c>
      <c r="I60" s="9">
        <v>5.2149987202457096E-3</v>
      </c>
    </row>
    <row r="61" spans="1:9" x14ac:dyDescent="0.35">
      <c r="A61" s="8">
        <v>45577</v>
      </c>
      <c r="B61" t="s">
        <v>801</v>
      </c>
      <c r="C61" t="s">
        <v>10</v>
      </c>
      <c r="D61" s="1">
        <v>1260499</v>
      </c>
      <c r="E61" s="1">
        <v>376314</v>
      </c>
      <c r="F61" s="2">
        <v>0.29854367199022003</v>
      </c>
      <c r="G61" s="1">
        <v>3735</v>
      </c>
      <c r="H61" s="2">
        <v>9.9252220220347898E-3</v>
      </c>
      <c r="I61" s="9">
        <v>2.96311222777646E-3</v>
      </c>
    </row>
    <row r="62" spans="1:9" x14ac:dyDescent="0.35">
      <c r="A62" s="8">
        <v>45579</v>
      </c>
      <c r="B62" t="s">
        <v>802</v>
      </c>
      <c r="C62" t="s">
        <v>10</v>
      </c>
      <c r="D62" s="1">
        <v>214537</v>
      </c>
      <c r="E62" s="1">
        <v>92987</v>
      </c>
      <c r="F62" s="2">
        <v>0.43343106317325197</v>
      </c>
      <c r="G62" s="1">
        <v>1245</v>
      </c>
      <c r="H62" s="2">
        <v>1.3388968350414599E-2</v>
      </c>
      <c r="I62" s="9">
        <v>5.8031947869132102E-3</v>
      </c>
    </row>
    <row r="63" spans="1:9" x14ac:dyDescent="0.35">
      <c r="A63" s="8">
        <v>45579</v>
      </c>
      <c r="B63" t="s">
        <v>802</v>
      </c>
      <c r="C63" t="s">
        <v>11</v>
      </c>
      <c r="D63" s="1">
        <v>12878</v>
      </c>
      <c r="E63" s="1">
        <v>5799</v>
      </c>
      <c r="F63" s="2">
        <v>0.45030284205622001</v>
      </c>
      <c r="G63" s="1">
        <v>161</v>
      </c>
      <c r="H63" s="2">
        <v>2.7763407484048999E-2</v>
      </c>
      <c r="I63" s="9">
        <v>1.2501941295232201E-2</v>
      </c>
    </row>
    <row r="64" spans="1:9" x14ac:dyDescent="0.35">
      <c r="A64" s="8">
        <v>45580</v>
      </c>
      <c r="B64" t="s">
        <v>804</v>
      </c>
      <c r="C64" t="s">
        <v>10</v>
      </c>
      <c r="D64" s="1">
        <v>601624</v>
      </c>
      <c r="E64" s="1">
        <v>208920</v>
      </c>
      <c r="F64" s="2">
        <v>0.34726008270946601</v>
      </c>
      <c r="G64" s="1">
        <v>1946</v>
      </c>
      <c r="H64" s="2">
        <v>9.31457017040015E-3</v>
      </c>
      <c r="I64" s="9">
        <v>3.2345784077762898E-3</v>
      </c>
    </row>
    <row r="65" spans="1:9" x14ac:dyDescent="0.35">
      <c r="A65" s="8">
        <v>45580</v>
      </c>
      <c r="B65" t="s">
        <v>805</v>
      </c>
      <c r="C65" t="s">
        <v>10</v>
      </c>
      <c r="D65" s="1">
        <v>206890</v>
      </c>
      <c r="E65" s="1">
        <v>73203</v>
      </c>
      <c r="F65" s="2">
        <v>0.35382570448064199</v>
      </c>
      <c r="G65" s="1">
        <v>743</v>
      </c>
      <c r="H65" s="2">
        <v>1.01498572462877E-2</v>
      </c>
      <c r="I65" s="9">
        <v>3.5912803905457E-3</v>
      </c>
    </row>
    <row r="66" spans="1:9" x14ac:dyDescent="0.35">
      <c r="A66" s="8">
        <v>45581</v>
      </c>
      <c r="B66" t="s">
        <v>806</v>
      </c>
      <c r="C66" t="s">
        <v>74</v>
      </c>
      <c r="D66" s="1">
        <v>75014</v>
      </c>
      <c r="E66" s="1">
        <v>28473</v>
      </c>
      <c r="F66" s="2">
        <v>0.37956914709254302</v>
      </c>
      <c r="G66" s="1">
        <v>433</v>
      </c>
      <c r="H66" s="2">
        <v>1.5207389456678299E-2</v>
      </c>
      <c r="I66" s="9">
        <v>5.7722558455754903E-3</v>
      </c>
    </row>
    <row r="67" spans="1:9" x14ac:dyDescent="0.35">
      <c r="A67" s="8">
        <v>45581</v>
      </c>
      <c r="B67" t="s">
        <v>806</v>
      </c>
      <c r="C67" t="s">
        <v>72</v>
      </c>
      <c r="D67" s="1">
        <v>272845</v>
      </c>
      <c r="E67" s="1">
        <v>117001</v>
      </c>
      <c r="F67" s="2">
        <v>0.42881855998827201</v>
      </c>
      <c r="G67" s="1">
        <v>2607</v>
      </c>
      <c r="H67" s="2">
        <v>2.22818608387962E-2</v>
      </c>
      <c r="I67" s="9">
        <v>9.5548754787516694E-3</v>
      </c>
    </row>
    <row r="68" spans="1:9" x14ac:dyDescent="0.35">
      <c r="A68" s="8">
        <v>45581</v>
      </c>
      <c r="B68" t="s">
        <v>806</v>
      </c>
      <c r="C68" t="s">
        <v>75</v>
      </c>
      <c r="D68" s="1">
        <v>3104</v>
      </c>
      <c r="E68" s="1">
        <v>1126</v>
      </c>
      <c r="F68" s="2">
        <v>0.36275773195876299</v>
      </c>
      <c r="G68" s="1">
        <v>26</v>
      </c>
      <c r="H68" s="2">
        <v>2.3090586145648299E-2</v>
      </c>
      <c r="I68" s="9">
        <v>8.3762886597938107E-3</v>
      </c>
    </row>
    <row r="69" spans="1:9" x14ac:dyDescent="0.35">
      <c r="A69" s="8">
        <v>45581</v>
      </c>
      <c r="B69" t="s">
        <v>806</v>
      </c>
      <c r="C69" t="s">
        <v>73</v>
      </c>
      <c r="D69" s="1">
        <v>13312</v>
      </c>
      <c r="E69" s="1">
        <v>5879</v>
      </c>
      <c r="F69" s="2">
        <v>0.44163161057692302</v>
      </c>
      <c r="G69" s="1">
        <v>153</v>
      </c>
      <c r="H69" s="2">
        <v>2.60248341554686E-2</v>
      </c>
      <c r="I69" s="9">
        <v>1.14933894230769E-2</v>
      </c>
    </row>
    <row r="70" spans="1:9" x14ac:dyDescent="0.35">
      <c r="A70" s="8">
        <v>45581</v>
      </c>
      <c r="B70" t="s">
        <v>807</v>
      </c>
      <c r="C70" t="s">
        <v>10</v>
      </c>
      <c r="D70" s="1">
        <v>1181</v>
      </c>
      <c r="E70" s="1">
        <v>296</v>
      </c>
      <c r="F70" s="2">
        <v>0.25063505503810302</v>
      </c>
      <c r="G70" s="1">
        <v>50</v>
      </c>
      <c r="H70" s="2">
        <v>0.168918918918919</v>
      </c>
      <c r="I70" s="9">
        <v>4.23370025402202E-2</v>
      </c>
    </row>
    <row r="71" spans="1:9" x14ac:dyDescent="0.35">
      <c r="A71" s="8">
        <v>45581</v>
      </c>
      <c r="B71" t="s">
        <v>808</v>
      </c>
      <c r="C71" t="s">
        <v>11</v>
      </c>
      <c r="D71" s="1">
        <v>126</v>
      </c>
      <c r="E71" s="1">
        <v>34</v>
      </c>
      <c r="F71" s="2">
        <v>0.26984126984126999</v>
      </c>
      <c r="G71" s="1">
        <v>5</v>
      </c>
      <c r="H71" s="2">
        <v>0.14705882352941199</v>
      </c>
      <c r="I71" s="9">
        <v>3.9682539682539701E-2</v>
      </c>
    </row>
    <row r="72" spans="1:9" x14ac:dyDescent="0.35">
      <c r="A72" s="8">
        <v>45581</v>
      </c>
      <c r="B72" t="s">
        <v>809</v>
      </c>
      <c r="C72" t="s">
        <v>10</v>
      </c>
      <c r="D72" s="1">
        <v>103827</v>
      </c>
      <c r="E72" s="1">
        <v>36447</v>
      </c>
      <c r="F72" s="2">
        <v>0.351035857724869</v>
      </c>
      <c r="G72" s="1">
        <v>478</v>
      </c>
      <c r="H72" s="2">
        <v>1.3114934013773401E-2</v>
      </c>
      <c r="I72" s="9">
        <v>4.6038121105300197E-3</v>
      </c>
    </row>
    <row r="73" spans="1:9" x14ac:dyDescent="0.35">
      <c r="A73" s="8">
        <v>45581</v>
      </c>
      <c r="B73" t="s">
        <v>810</v>
      </c>
      <c r="C73" t="s">
        <v>10</v>
      </c>
      <c r="D73" s="1">
        <v>1371577</v>
      </c>
      <c r="E73" s="1">
        <v>497466</v>
      </c>
      <c r="F73" s="2">
        <v>0.36269637067404897</v>
      </c>
      <c r="G73" s="1">
        <v>3701</v>
      </c>
      <c r="H73" s="2">
        <v>7.4397044220107502E-3</v>
      </c>
      <c r="I73" s="9">
        <v>2.69835379275097E-3</v>
      </c>
    </row>
    <row r="74" spans="1:9" x14ac:dyDescent="0.35">
      <c r="A74" s="8">
        <v>45581</v>
      </c>
      <c r="B74" t="s">
        <v>810</v>
      </c>
      <c r="C74" t="s">
        <v>11</v>
      </c>
      <c r="D74" s="1">
        <v>17249</v>
      </c>
      <c r="E74" s="1">
        <v>6611</v>
      </c>
      <c r="F74" s="2">
        <v>0.38326859528088603</v>
      </c>
      <c r="G74" s="1">
        <v>72</v>
      </c>
      <c r="H74" s="2">
        <v>1.08909393435184E-2</v>
      </c>
      <c r="I74" s="9">
        <v>4.1741550234796199E-3</v>
      </c>
    </row>
    <row r="75" spans="1:9" x14ac:dyDescent="0.35">
      <c r="A75" s="8">
        <v>45582</v>
      </c>
      <c r="B75" t="s">
        <v>817</v>
      </c>
      <c r="C75" t="s">
        <v>818</v>
      </c>
      <c r="D75" s="1">
        <v>1692</v>
      </c>
      <c r="E75" s="1">
        <v>701</v>
      </c>
      <c r="F75" s="2">
        <v>0.41430260047281298</v>
      </c>
      <c r="G75" s="1">
        <v>87</v>
      </c>
      <c r="H75" s="2">
        <v>0.12410841654778899</v>
      </c>
      <c r="I75" s="9">
        <v>5.1418439716312103E-2</v>
      </c>
    </row>
    <row r="76" spans="1:9" x14ac:dyDescent="0.35">
      <c r="A76" s="8">
        <v>45582</v>
      </c>
      <c r="B76" t="s">
        <v>817</v>
      </c>
      <c r="C76" t="s">
        <v>819</v>
      </c>
      <c r="D76" s="1">
        <v>43028</v>
      </c>
      <c r="E76" s="1">
        <v>14179</v>
      </c>
      <c r="F76" s="2">
        <v>0.32952960862694097</v>
      </c>
      <c r="G76" s="1">
        <v>267</v>
      </c>
      <c r="H76" s="2">
        <v>1.8830665068058399E-2</v>
      </c>
      <c r="I76" s="9">
        <v>6.2052616900622904E-3</v>
      </c>
    </row>
    <row r="77" spans="1:9" ht="16" thickBot="1" x14ac:dyDescent="0.4">
      <c r="A77" s="36" t="s">
        <v>35</v>
      </c>
      <c r="B77" s="4"/>
      <c r="C77" s="4"/>
      <c r="D77" s="33">
        <f>SUM(D55:D76)</f>
        <v>5273354</v>
      </c>
      <c r="E77" s="33">
        <f>SUM(E55:E76)</f>
        <v>1850476</v>
      </c>
      <c r="F77" s="34">
        <f>AVERAGE(F55:F76)</f>
        <v>0.35007898139702576</v>
      </c>
      <c r="G77" s="33">
        <f>SUM(G55:G76)</f>
        <v>20368</v>
      </c>
      <c r="H77" s="34">
        <f>AVERAGE(H55:H76)</f>
        <v>4.0253041728045787E-2</v>
      </c>
      <c r="I77" s="35">
        <f>AVERAGE(I55:I76)</f>
        <v>1.2421271019057635E-2</v>
      </c>
    </row>
    <row r="78" spans="1:9" ht="3" customHeight="1" thickBot="1" x14ac:dyDescent="0.4">
      <c r="A78" s="139"/>
      <c r="B78" s="138"/>
      <c r="C78" s="138"/>
      <c r="D78" s="138"/>
      <c r="E78" s="138"/>
      <c r="F78" s="138"/>
      <c r="G78" s="138"/>
      <c r="H78" s="138"/>
      <c r="I78" s="140"/>
    </row>
    <row r="79" spans="1:9" x14ac:dyDescent="0.35">
      <c r="A79" s="16" t="s">
        <v>38</v>
      </c>
      <c r="B79" s="17"/>
      <c r="C79" s="17"/>
      <c r="D79" s="17"/>
      <c r="E79" s="17"/>
      <c r="F79" s="17"/>
      <c r="G79" s="17"/>
      <c r="H79" s="17"/>
      <c r="I79" s="18"/>
    </row>
    <row r="80" spans="1:9" x14ac:dyDescent="0.35">
      <c r="A80" s="8">
        <v>45582</v>
      </c>
      <c r="B80" t="s">
        <v>786</v>
      </c>
      <c r="C80" t="s">
        <v>811</v>
      </c>
      <c r="D80" s="1">
        <v>337258</v>
      </c>
      <c r="E80" s="1">
        <v>102586</v>
      </c>
      <c r="F80" s="2">
        <v>0.30417662442403098</v>
      </c>
      <c r="G80" s="1">
        <v>361</v>
      </c>
      <c r="H80" s="2">
        <v>3.51899869377888E-3</v>
      </c>
      <c r="I80" s="9">
        <v>1.07039714402624E-3</v>
      </c>
    </row>
    <row r="81" spans="1:9" x14ac:dyDescent="0.35">
      <c r="A81" s="8">
        <v>45582</v>
      </c>
      <c r="B81" t="s">
        <v>786</v>
      </c>
      <c r="C81" t="s">
        <v>812</v>
      </c>
      <c r="D81" s="1">
        <v>66178</v>
      </c>
      <c r="E81" s="1">
        <v>23417</v>
      </c>
      <c r="F81" s="2">
        <v>0.35384871105201099</v>
      </c>
      <c r="G81" s="1">
        <v>115</v>
      </c>
      <c r="H81" s="2">
        <v>4.9109621215356397E-3</v>
      </c>
      <c r="I81" s="9">
        <v>1.7377376167306399E-3</v>
      </c>
    </row>
    <row r="82" spans="1:9" x14ac:dyDescent="0.35">
      <c r="A82" s="8">
        <v>45582</v>
      </c>
      <c r="B82" t="s">
        <v>786</v>
      </c>
      <c r="C82" t="s">
        <v>813</v>
      </c>
      <c r="D82" s="1">
        <v>596988</v>
      </c>
      <c r="E82" s="1">
        <v>220882</v>
      </c>
      <c r="F82" s="2">
        <v>0.3705</v>
      </c>
      <c r="G82" s="1">
        <v>631</v>
      </c>
      <c r="H82" s="2">
        <v>2.8999999999999998E-3</v>
      </c>
      <c r="I82" s="9">
        <v>1.1000000000000001E-3</v>
      </c>
    </row>
    <row r="83" spans="1:9" x14ac:dyDescent="0.35">
      <c r="A83" s="8">
        <v>45582</v>
      </c>
      <c r="B83" t="s">
        <v>787</v>
      </c>
      <c r="C83" t="s">
        <v>813</v>
      </c>
      <c r="D83" s="1">
        <v>33731</v>
      </c>
      <c r="E83" s="1">
        <v>12564</v>
      </c>
      <c r="F83" s="2">
        <v>0.3725</v>
      </c>
      <c r="G83" s="1">
        <v>32</v>
      </c>
      <c r="H83" s="2">
        <v>2.5000000000000001E-3</v>
      </c>
      <c r="I83" s="9">
        <v>8.9999999999999998E-4</v>
      </c>
    </row>
    <row r="84" spans="1:9" x14ac:dyDescent="0.35">
      <c r="A84" s="8">
        <v>45582</v>
      </c>
      <c r="B84" t="s">
        <v>787</v>
      </c>
      <c r="C84" t="s">
        <v>811</v>
      </c>
      <c r="D84" s="1">
        <v>21369</v>
      </c>
      <c r="E84" s="1">
        <v>6128</v>
      </c>
      <c r="F84" s="2">
        <v>0.28677055547756097</v>
      </c>
      <c r="G84" s="1">
        <v>38</v>
      </c>
      <c r="H84" s="2">
        <v>6.2010443864229797E-3</v>
      </c>
      <c r="I84" s="9">
        <v>1.7782769432355299E-3</v>
      </c>
    </row>
    <row r="85" spans="1:9" x14ac:dyDescent="0.35">
      <c r="A85" s="8">
        <v>45582</v>
      </c>
      <c r="B85" t="s">
        <v>787</v>
      </c>
      <c r="C85" t="s">
        <v>812</v>
      </c>
      <c r="D85" s="1">
        <v>3739</v>
      </c>
      <c r="E85" s="1">
        <v>1259</v>
      </c>
      <c r="F85" s="2">
        <v>0.33672104840866501</v>
      </c>
      <c r="G85" s="1">
        <v>3</v>
      </c>
      <c r="H85" s="2">
        <v>2.38284352660842E-3</v>
      </c>
      <c r="I85" s="9">
        <v>8.0235357047338902E-4</v>
      </c>
    </row>
    <row r="86" spans="1:9" x14ac:dyDescent="0.35">
      <c r="A86" s="8">
        <v>45582</v>
      </c>
      <c r="B86" t="s">
        <v>768</v>
      </c>
      <c r="C86" t="s">
        <v>456</v>
      </c>
      <c r="D86" s="1">
        <v>134700</v>
      </c>
      <c r="E86" s="1">
        <v>43497</v>
      </c>
      <c r="F86" s="2">
        <v>0.32291759465478798</v>
      </c>
      <c r="G86" s="1">
        <v>170</v>
      </c>
      <c r="H86" s="2">
        <v>3.9083155160125997E-3</v>
      </c>
      <c r="I86" s="9">
        <v>1.2620638455827799E-3</v>
      </c>
    </row>
    <row r="87" spans="1:9" x14ac:dyDescent="0.35">
      <c r="A87" s="8">
        <v>45582</v>
      </c>
      <c r="B87" t="s">
        <v>768</v>
      </c>
      <c r="C87" t="s">
        <v>814</v>
      </c>
      <c r="D87" s="1">
        <v>62300</v>
      </c>
      <c r="E87" s="1">
        <v>22109</v>
      </c>
      <c r="F87" s="2">
        <v>0.35487961476725499</v>
      </c>
      <c r="G87" s="1">
        <v>86</v>
      </c>
      <c r="H87" s="2">
        <v>3.88981862589896E-3</v>
      </c>
      <c r="I87" s="9">
        <v>1.3804173354735199E-3</v>
      </c>
    </row>
    <row r="88" spans="1:9" x14ac:dyDescent="0.35">
      <c r="A88" s="8">
        <v>45582</v>
      </c>
      <c r="B88" t="s">
        <v>768</v>
      </c>
      <c r="C88" t="s">
        <v>455</v>
      </c>
      <c r="D88" s="1">
        <v>559017</v>
      </c>
      <c r="E88" s="1">
        <v>201263</v>
      </c>
      <c r="F88" s="2">
        <v>0.36003019586166402</v>
      </c>
      <c r="G88" s="1">
        <v>579</v>
      </c>
      <c r="H88" s="2">
        <v>2.8768328008625501E-3</v>
      </c>
      <c r="I88" s="9">
        <v>1.03574667675581E-3</v>
      </c>
    </row>
    <row r="89" spans="1:9" x14ac:dyDescent="0.35">
      <c r="A89" s="8">
        <v>45582</v>
      </c>
      <c r="B89" t="s">
        <v>769</v>
      </c>
      <c r="C89" t="s">
        <v>456</v>
      </c>
      <c r="D89" s="1">
        <v>11198</v>
      </c>
      <c r="E89" s="1">
        <v>3004</v>
      </c>
      <c r="F89" s="2">
        <v>0.26826218967672799</v>
      </c>
      <c r="G89" s="1">
        <v>18</v>
      </c>
      <c r="H89" s="2">
        <v>5.9920106524633801E-3</v>
      </c>
      <c r="I89" s="9">
        <v>1.60742989819611E-3</v>
      </c>
    </row>
    <row r="90" spans="1:9" x14ac:dyDescent="0.35">
      <c r="A90" s="8">
        <v>45582</v>
      </c>
      <c r="B90" t="s">
        <v>769</v>
      </c>
      <c r="C90" t="s">
        <v>815</v>
      </c>
      <c r="D90" s="1">
        <v>3506</v>
      </c>
      <c r="E90" s="1">
        <v>1117</v>
      </c>
      <c r="F90" s="2">
        <v>0.31859669138619501</v>
      </c>
      <c r="G90" s="1">
        <v>3</v>
      </c>
      <c r="H90" s="2">
        <v>2.6857654431513001E-3</v>
      </c>
      <c r="I90" s="9">
        <v>8.5567598402738201E-4</v>
      </c>
    </row>
    <row r="91" spans="1:9" x14ac:dyDescent="0.35">
      <c r="A91" s="8">
        <v>45582</v>
      </c>
      <c r="B91" t="s">
        <v>769</v>
      </c>
      <c r="C91" t="s">
        <v>816</v>
      </c>
      <c r="D91" s="1">
        <v>31422</v>
      </c>
      <c r="E91" s="1">
        <v>11294</v>
      </c>
      <c r="F91" s="2">
        <v>0.35959999999999998</v>
      </c>
      <c r="G91" s="1">
        <v>30</v>
      </c>
      <c r="H91" s="2">
        <v>2.7000000000000001E-3</v>
      </c>
      <c r="I91" s="9">
        <v>1E-3</v>
      </c>
    </row>
    <row r="92" spans="1:9" ht="16" thickBot="1" x14ac:dyDescent="0.4">
      <c r="A92" s="36" t="s">
        <v>35</v>
      </c>
      <c r="B92" s="4"/>
      <c r="C92" s="4"/>
      <c r="D92" s="33">
        <f>SUM(D80:D91)</f>
        <v>1861406</v>
      </c>
      <c r="E92" s="33">
        <f>SUM(E80:E91)</f>
        <v>649120</v>
      </c>
      <c r="F92" s="34">
        <f>AVERAGE(F80:F91)</f>
        <v>0.33406693547574151</v>
      </c>
      <c r="G92" s="33">
        <f>SUM(G80:G91)</f>
        <v>2066</v>
      </c>
      <c r="H92" s="34">
        <f>AVERAGE(H80:H91)</f>
        <v>3.705549313894559E-3</v>
      </c>
      <c r="I92" s="35">
        <f>AVERAGE(I80:I91)</f>
        <v>1.2108415845417835E-3</v>
      </c>
    </row>
  </sheetData>
  <mergeCells count="3">
    <mergeCell ref="A43:I43"/>
    <mergeCell ref="A53:I53"/>
    <mergeCell ref="A78:I78"/>
  </mergeCells>
  <pageMargins left="0.7" right="0.7" top="0.75" bottom="0.75" header="0.3" footer="0.3"/>
  <ignoredErrors>
    <ignoredError sqref="F42:G42 F52:G52 F77:G77 F92:G92" formula="1"/>
  </ignoredErrors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E4C-6CB6-4623-BF4D-985F2186B399}">
  <dimension ref="A1:I94"/>
  <sheetViews>
    <sheetView topLeftCell="A27" workbookViewId="0">
      <selection activeCell="B29" sqref="B29"/>
    </sheetView>
  </sheetViews>
  <sheetFormatPr defaultRowHeight="14.5" x14ac:dyDescent="0.35"/>
  <cols>
    <col min="1" max="1" width="11.81640625" customWidth="1"/>
    <col min="2" max="2" width="88.453125" bestFit="1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45583</v>
      </c>
      <c r="B2" t="s">
        <v>820</v>
      </c>
      <c r="C2" t="s">
        <v>10</v>
      </c>
      <c r="D2" s="1">
        <v>379226</v>
      </c>
      <c r="E2" s="1">
        <v>132964</v>
      </c>
      <c r="F2" s="2">
        <v>0.35061941955456599</v>
      </c>
      <c r="G2" s="1">
        <v>2598</v>
      </c>
      <c r="H2" s="2">
        <v>1.95391233717397E-2</v>
      </c>
      <c r="I2" s="2">
        <v>6.85079609520444E-3</v>
      </c>
    </row>
    <row r="3" spans="1:9" x14ac:dyDescent="0.35">
      <c r="A3" s="19">
        <v>45583</v>
      </c>
      <c r="B3" t="s">
        <v>821</v>
      </c>
      <c r="C3" t="s">
        <v>10</v>
      </c>
      <c r="D3" s="1">
        <v>4631688</v>
      </c>
      <c r="E3" s="1">
        <v>1470275</v>
      </c>
      <c r="F3" s="2">
        <v>0.31743826440813799</v>
      </c>
      <c r="G3" s="1">
        <v>12460</v>
      </c>
      <c r="H3" s="2">
        <v>8.4746050908843604E-3</v>
      </c>
      <c r="I3" s="2">
        <v>2.6901639315947E-3</v>
      </c>
    </row>
    <row r="4" spans="1:9" x14ac:dyDescent="0.35">
      <c r="A4" s="19">
        <v>45583</v>
      </c>
      <c r="B4" t="s">
        <v>821</v>
      </c>
      <c r="C4" t="s">
        <v>11</v>
      </c>
      <c r="D4" s="1">
        <v>299625</v>
      </c>
      <c r="E4" s="1">
        <v>85612</v>
      </c>
      <c r="F4" s="2">
        <v>0.28573049645390097</v>
      </c>
      <c r="G4" s="1">
        <v>818</v>
      </c>
      <c r="H4" s="2">
        <v>9.5547353174788591E-3</v>
      </c>
      <c r="I4" s="2">
        <v>2.7300792657488498E-3</v>
      </c>
    </row>
    <row r="5" spans="1:9" x14ac:dyDescent="0.35">
      <c r="A5" s="19">
        <v>45583</v>
      </c>
      <c r="B5" t="s">
        <v>822</v>
      </c>
      <c r="C5" t="s">
        <v>10</v>
      </c>
      <c r="D5" s="1">
        <v>252706</v>
      </c>
      <c r="E5" s="1">
        <v>92622</v>
      </c>
      <c r="F5" s="2">
        <v>0.36652077908716102</v>
      </c>
      <c r="G5" s="1">
        <v>1133</v>
      </c>
      <c r="H5" s="2">
        <v>1.2232514953250799E-2</v>
      </c>
      <c r="I5" s="2">
        <v>4.4834709108608397E-3</v>
      </c>
    </row>
    <row r="6" spans="1:9" x14ac:dyDescent="0.35">
      <c r="A6" s="19">
        <v>45583</v>
      </c>
      <c r="B6" t="s">
        <v>823</v>
      </c>
      <c r="C6" t="s">
        <v>74</v>
      </c>
      <c r="D6" s="1">
        <v>15139</v>
      </c>
      <c r="E6" s="1">
        <v>5270</v>
      </c>
      <c r="F6" s="2">
        <v>0.34810753682541801</v>
      </c>
      <c r="G6" s="1">
        <v>48</v>
      </c>
      <c r="H6" s="2">
        <v>9.1081593927893698E-3</v>
      </c>
      <c r="I6" s="2">
        <v>3.1706189312371998E-3</v>
      </c>
    </row>
    <row r="7" spans="1:9" x14ac:dyDescent="0.35">
      <c r="A7" s="19">
        <v>45583</v>
      </c>
      <c r="B7" t="s">
        <v>823</v>
      </c>
      <c r="C7" t="s">
        <v>72</v>
      </c>
      <c r="D7" s="1">
        <v>292038</v>
      </c>
      <c r="E7" s="1">
        <v>101814</v>
      </c>
      <c r="F7" s="2">
        <v>0.34863271218129099</v>
      </c>
      <c r="G7" s="1">
        <v>631</v>
      </c>
      <c r="H7" s="2">
        <v>6.1975759718702703E-3</v>
      </c>
      <c r="I7" s="2">
        <v>2.16067772002274E-3</v>
      </c>
    </row>
    <row r="8" spans="1:9" x14ac:dyDescent="0.35">
      <c r="A8" s="19">
        <v>45583</v>
      </c>
      <c r="B8" t="s">
        <v>823</v>
      </c>
      <c r="C8" t="s">
        <v>75</v>
      </c>
      <c r="D8" s="1">
        <v>685</v>
      </c>
      <c r="E8" s="1">
        <v>226</v>
      </c>
      <c r="F8" s="2">
        <v>0.32992700729926999</v>
      </c>
      <c r="G8" s="1">
        <v>3</v>
      </c>
      <c r="H8" s="2">
        <v>1.3274336283185801E-2</v>
      </c>
      <c r="I8" s="2">
        <v>4.3795620437956199E-3</v>
      </c>
    </row>
    <row r="9" spans="1:9" x14ac:dyDescent="0.35">
      <c r="A9" s="19">
        <v>45583</v>
      </c>
      <c r="B9" t="s">
        <v>823</v>
      </c>
      <c r="C9" t="s">
        <v>73</v>
      </c>
      <c r="D9" s="1">
        <v>12939</v>
      </c>
      <c r="E9" s="1">
        <v>4111</v>
      </c>
      <c r="F9" s="2">
        <v>0.31772161681737399</v>
      </c>
      <c r="G9" s="1">
        <v>38</v>
      </c>
      <c r="H9" s="2">
        <v>9.2434930673802006E-3</v>
      </c>
      <c r="I9" s="2">
        <v>2.93685756240822E-3</v>
      </c>
    </row>
    <row r="10" spans="1:9" x14ac:dyDescent="0.35">
      <c r="A10" s="19">
        <v>45583</v>
      </c>
      <c r="B10" t="s">
        <v>824</v>
      </c>
      <c r="C10" t="s">
        <v>825</v>
      </c>
      <c r="D10" s="1">
        <v>188925</v>
      </c>
      <c r="E10" s="1">
        <v>73442</v>
      </c>
      <c r="F10" s="2">
        <v>0.38873627100701302</v>
      </c>
      <c r="G10" s="1">
        <v>1937</v>
      </c>
      <c r="H10" s="2">
        <v>2.6374554069878299E-2</v>
      </c>
      <c r="I10" s="2">
        <v>1.02527457985973E-2</v>
      </c>
    </row>
    <row r="11" spans="1:9" x14ac:dyDescent="0.35">
      <c r="A11" s="19">
        <v>45583</v>
      </c>
      <c r="B11" t="s">
        <v>824</v>
      </c>
      <c r="C11" t="s">
        <v>826</v>
      </c>
      <c r="D11" s="1">
        <v>8683</v>
      </c>
      <c r="E11" s="1">
        <v>3369</v>
      </c>
      <c r="F11" s="2">
        <v>0.38799953932972497</v>
      </c>
      <c r="G11" s="1">
        <v>201</v>
      </c>
      <c r="H11" s="2">
        <v>5.9661620658949199E-2</v>
      </c>
      <c r="I11" s="2">
        <v>2.3148681331337101E-2</v>
      </c>
    </row>
    <row r="12" spans="1:9" x14ac:dyDescent="0.35">
      <c r="A12" s="19">
        <v>45583</v>
      </c>
      <c r="B12" t="s">
        <v>827</v>
      </c>
      <c r="C12" t="s">
        <v>828</v>
      </c>
      <c r="D12" s="1">
        <v>16307</v>
      </c>
      <c r="E12" s="1">
        <v>8624</v>
      </c>
      <c r="F12" s="2">
        <v>0.52885263997056497</v>
      </c>
      <c r="G12" s="1">
        <v>1541</v>
      </c>
      <c r="H12" s="2">
        <v>0.178687384044527</v>
      </c>
      <c r="I12" s="2">
        <v>9.4499294781382207E-2</v>
      </c>
    </row>
    <row r="13" spans="1:9" x14ac:dyDescent="0.35">
      <c r="A13" s="19">
        <v>45583</v>
      </c>
      <c r="B13" t="s">
        <v>829</v>
      </c>
      <c r="C13" t="s">
        <v>74</v>
      </c>
      <c r="D13" s="1">
        <v>13686</v>
      </c>
      <c r="E13" s="1">
        <v>5701</v>
      </c>
      <c r="F13" s="2">
        <v>0.41655706561449701</v>
      </c>
      <c r="G13" s="1">
        <v>71</v>
      </c>
      <c r="H13" s="2">
        <v>1.2453955446412901E-2</v>
      </c>
      <c r="I13" s="2">
        <v>5.1877831360514397E-3</v>
      </c>
    </row>
    <row r="14" spans="1:9" x14ac:dyDescent="0.35">
      <c r="A14" s="19">
        <v>45583</v>
      </c>
      <c r="B14" t="s">
        <v>829</v>
      </c>
      <c r="C14" t="s">
        <v>72</v>
      </c>
      <c r="D14" s="1">
        <v>257757</v>
      </c>
      <c r="E14" s="1">
        <v>104999</v>
      </c>
      <c r="F14" s="2">
        <v>0.407356541238453</v>
      </c>
      <c r="G14" s="1">
        <v>1193</v>
      </c>
      <c r="H14" s="2">
        <v>1.13620129715521E-2</v>
      </c>
      <c r="I14" s="2">
        <v>4.6283903055979103E-3</v>
      </c>
    </row>
    <row r="15" spans="1:9" x14ac:dyDescent="0.35">
      <c r="A15" s="19">
        <v>45583</v>
      </c>
      <c r="B15" t="s">
        <v>829</v>
      </c>
      <c r="C15" t="s">
        <v>75</v>
      </c>
      <c r="D15" s="1">
        <v>979</v>
      </c>
      <c r="E15" s="1">
        <v>399</v>
      </c>
      <c r="F15" s="2">
        <v>0.40755873340143001</v>
      </c>
      <c r="G15" s="1">
        <v>8</v>
      </c>
      <c r="H15" s="2">
        <v>2.00501253132832E-2</v>
      </c>
      <c r="I15" s="2">
        <v>8.1716036772216498E-3</v>
      </c>
    </row>
    <row r="16" spans="1:9" x14ac:dyDescent="0.35">
      <c r="A16" s="19">
        <v>45583</v>
      </c>
      <c r="B16" t="s">
        <v>829</v>
      </c>
      <c r="C16" t="s">
        <v>73</v>
      </c>
      <c r="D16" s="1">
        <v>18752</v>
      </c>
      <c r="E16" s="1">
        <v>7620</v>
      </c>
      <c r="F16" s="2">
        <v>0.40635665529010201</v>
      </c>
      <c r="G16" s="1">
        <v>114</v>
      </c>
      <c r="H16" s="2">
        <v>1.4960629921259801E-2</v>
      </c>
      <c r="I16" s="2">
        <v>6.0793515358361803E-3</v>
      </c>
    </row>
    <row r="17" spans="1:9" x14ac:dyDescent="0.35">
      <c r="A17" s="19">
        <v>45584</v>
      </c>
      <c r="B17" t="s">
        <v>830</v>
      </c>
      <c r="C17" t="s">
        <v>10</v>
      </c>
      <c r="D17" s="1">
        <v>1244786</v>
      </c>
      <c r="E17" s="1">
        <v>368666</v>
      </c>
      <c r="F17" s="2">
        <v>0.29616817669864498</v>
      </c>
      <c r="G17" s="1">
        <v>6992</v>
      </c>
      <c r="H17" s="2">
        <v>1.8965676248962501E-2</v>
      </c>
      <c r="I17" s="2">
        <v>5.6170297545120196E-3</v>
      </c>
    </row>
    <row r="18" spans="1:9" x14ac:dyDescent="0.35">
      <c r="A18" s="19">
        <v>45584</v>
      </c>
      <c r="B18" t="s">
        <v>830</v>
      </c>
      <c r="C18" t="s">
        <v>11</v>
      </c>
      <c r="D18" s="1">
        <v>92222</v>
      </c>
      <c r="E18" s="1">
        <v>27925</v>
      </c>
      <c r="F18" s="2">
        <v>0.30280193446249298</v>
      </c>
      <c r="G18" s="1">
        <v>542</v>
      </c>
      <c r="H18" s="2">
        <v>1.94091316025067E-2</v>
      </c>
      <c r="I18" s="2">
        <v>5.8771225954761296E-3</v>
      </c>
    </row>
    <row r="19" spans="1:9" x14ac:dyDescent="0.35">
      <c r="A19" s="19">
        <v>45584</v>
      </c>
      <c r="B19" t="s">
        <v>831</v>
      </c>
      <c r="C19" t="s">
        <v>10</v>
      </c>
      <c r="D19" s="1">
        <v>54901</v>
      </c>
      <c r="E19" s="1">
        <v>20399</v>
      </c>
      <c r="F19" s="2">
        <v>0.37155971658075398</v>
      </c>
      <c r="G19" s="1">
        <v>291</v>
      </c>
      <c r="H19" s="2">
        <v>1.42654051669199E-2</v>
      </c>
      <c r="I19" s="2">
        <v>5.30044990073041E-3</v>
      </c>
    </row>
    <row r="20" spans="1:9" x14ac:dyDescent="0.35">
      <c r="A20" s="19">
        <v>45587</v>
      </c>
      <c r="B20" t="s">
        <v>832</v>
      </c>
      <c r="C20" t="s">
        <v>10</v>
      </c>
      <c r="D20" s="1">
        <v>1356639</v>
      </c>
      <c r="E20" s="1">
        <v>401955</v>
      </c>
      <c r="F20" s="2">
        <v>0.29628736900531399</v>
      </c>
      <c r="G20" s="1">
        <v>8262</v>
      </c>
      <c r="H20" s="2">
        <v>2.0554539687278401E-2</v>
      </c>
      <c r="I20" s="2">
        <v>6.0900504850590299E-3</v>
      </c>
    </row>
    <row r="21" spans="1:9" x14ac:dyDescent="0.35">
      <c r="A21" s="19">
        <v>45587</v>
      </c>
      <c r="B21" t="s">
        <v>832</v>
      </c>
      <c r="C21" t="s">
        <v>11</v>
      </c>
      <c r="D21" s="1">
        <v>92343</v>
      </c>
      <c r="E21" s="1">
        <v>27517</v>
      </c>
      <c r="F21" s="2">
        <v>0.29798685336192199</v>
      </c>
      <c r="G21" s="1">
        <v>827</v>
      </c>
      <c r="H21" s="2">
        <v>3.0054148344659699E-2</v>
      </c>
      <c r="I21" s="2">
        <v>8.9557410956975607E-3</v>
      </c>
    </row>
    <row r="22" spans="1:9" x14ac:dyDescent="0.35">
      <c r="A22" s="19">
        <v>45588</v>
      </c>
      <c r="B22" t="s">
        <v>833</v>
      </c>
      <c r="C22" t="s">
        <v>834</v>
      </c>
      <c r="D22" s="1">
        <v>45892</v>
      </c>
      <c r="E22" s="1">
        <v>15712</v>
      </c>
      <c r="F22" s="2">
        <v>0.34236904035561799</v>
      </c>
      <c r="G22" s="1">
        <v>367</v>
      </c>
      <c r="H22" s="2">
        <v>2.33579429735234E-2</v>
      </c>
      <c r="I22" s="2">
        <v>7.9970365205264508E-3</v>
      </c>
    </row>
    <row r="23" spans="1:9" x14ac:dyDescent="0.35">
      <c r="A23" s="19">
        <v>45588</v>
      </c>
      <c r="B23" t="s">
        <v>833</v>
      </c>
      <c r="C23" t="s">
        <v>737</v>
      </c>
      <c r="D23" s="1">
        <v>45759</v>
      </c>
      <c r="E23" s="1">
        <v>16236</v>
      </c>
      <c r="F23" s="2">
        <v>0.35481544614174299</v>
      </c>
      <c r="G23" s="1">
        <v>319</v>
      </c>
      <c r="H23" s="2">
        <v>1.96476964769648E-2</v>
      </c>
      <c r="I23" s="2">
        <v>6.9713061911317997E-3</v>
      </c>
    </row>
    <row r="24" spans="1:9" x14ac:dyDescent="0.35">
      <c r="A24" s="19">
        <v>45588</v>
      </c>
      <c r="B24" t="s">
        <v>835</v>
      </c>
      <c r="C24" t="s">
        <v>10</v>
      </c>
      <c r="D24" s="1">
        <v>2867604</v>
      </c>
      <c r="E24" s="1">
        <v>979907</v>
      </c>
      <c r="F24" s="2">
        <v>0.34171628997588199</v>
      </c>
      <c r="G24" s="1">
        <v>7670</v>
      </c>
      <c r="H24" s="2">
        <v>7.8272734045169608E-3</v>
      </c>
      <c r="I24" s="2">
        <v>2.67470682841843E-3</v>
      </c>
    </row>
    <row r="25" spans="1:9" x14ac:dyDescent="0.35">
      <c r="A25" s="19">
        <v>45588</v>
      </c>
      <c r="B25" t="s">
        <v>835</v>
      </c>
      <c r="C25" t="s">
        <v>11</v>
      </c>
      <c r="D25" s="1">
        <v>191083</v>
      </c>
      <c r="E25" s="1">
        <v>62630</v>
      </c>
      <c r="F25" s="2">
        <v>0.32776332797789398</v>
      </c>
      <c r="G25" s="1">
        <v>789</v>
      </c>
      <c r="H25" s="2">
        <v>1.25977965831071E-2</v>
      </c>
      <c r="I25" s="2">
        <v>4.1290957332677401E-3</v>
      </c>
    </row>
    <row r="26" spans="1:9" x14ac:dyDescent="0.35">
      <c r="A26" s="19">
        <v>45588</v>
      </c>
      <c r="B26" t="s">
        <v>836</v>
      </c>
      <c r="C26" t="s">
        <v>10</v>
      </c>
      <c r="D26" s="1">
        <v>50362</v>
      </c>
      <c r="E26" s="1">
        <v>17089</v>
      </c>
      <c r="F26" s="2">
        <v>0.339323299312974</v>
      </c>
      <c r="G26" s="1">
        <v>154</v>
      </c>
      <c r="H26" s="2">
        <v>9.0116449177833693E-3</v>
      </c>
      <c r="I26" s="2">
        <v>3.0578610857392502E-3</v>
      </c>
    </row>
    <row r="27" spans="1:9" x14ac:dyDescent="0.35">
      <c r="A27" s="19">
        <v>45588</v>
      </c>
      <c r="B27" t="s">
        <v>837</v>
      </c>
      <c r="C27" t="s">
        <v>730</v>
      </c>
      <c r="D27" s="1">
        <v>959</v>
      </c>
      <c r="E27" s="1">
        <v>397</v>
      </c>
      <c r="F27" s="2">
        <v>0.413972888425443</v>
      </c>
      <c r="G27" s="1">
        <v>61</v>
      </c>
      <c r="H27" s="2">
        <v>0.15365239294710301</v>
      </c>
      <c r="I27" s="2">
        <v>6.3607924921793499E-2</v>
      </c>
    </row>
    <row r="28" spans="1:9" x14ac:dyDescent="0.35">
      <c r="A28" s="19">
        <v>45588</v>
      </c>
      <c r="B28" t="s">
        <v>837</v>
      </c>
      <c r="C28" t="s">
        <v>731</v>
      </c>
      <c r="D28" s="1">
        <v>983</v>
      </c>
      <c r="E28" s="1">
        <v>473</v>
      </c>
      <c r="F28" s="2">
        <v>0.48118006103763999</v>
      </c>
      <c r="G28" s="1">
        <v>104</v>
      </c>
      <c r="H28" s="2">
        <v>0.21987315010570799</v>
      </c>
      <c r="I28" s="2">
        <v>0.105798575788403</v>
      </c>
    </row>
    <row r="29" spans="1:9" x14ac:dyDescent="0.35">
      <c r="A29" s="19">
        <v>45589</v>
      </c>
      <c r="B29" t="s">
        <v>786</v>
      </c>
      <c r="C29" t="s">
        <v>456</v>
      </c>
      <c r="D29" s="1">
        <v>333372</v>
      </c>
      <c r="E29" s="1">
        <v>100479</v>
      </c>
      <c r="F29" s="2">
        <v>0.301402037363666</v>
      </c>
      <c r="G29" s="1">
        <v>344</v>
      </c>
      <c r="H29" s="2">
        <v>3.4236009514425898E-3</v>
      </c>
      <c r="I29" s="2">
        <v>1.0318803018849799E-3</v>
      </c>
    </row>
    <row r="30" spans="1:9" x14ac:dyDescent="0.35">
      <c r="A30" s="19">
        <v>45589</v>
      </c>
      <c r="B30" t="s">
        <v>786</v>
      </c>
      <c r="C30" t="s">
        <v>814</v>
      </c>
      <c r="D30" s="1">
        <v>65796</v>
      </c>
      <c r="E30" s="1">
        <v>23066</v>
      </c>
      <c r="F30" s="2">
        <v>0.350568423612378</v>
      </c>
      <c r="G30" s="1">
        <v>105</v>
      </c>
      <c r="H30" s="2">
        <v>4.5521546865516299E-3</v>
      </c>
      <c r="I30" s="2">
        <v>1.5958416925041E-3</v>
      </c>
    </row>
    <row r="31" spans="1:9" x14ac:dyDescent="0.35">
      <c r="A31" s="19">
        <v>45589</v>
      </c>
      <c r="B31" t="s">
        <v>786</v>
      </c>
      <c r="C31" t="s">
        <v>455</v>
      </c>
      <c r="D31" s="1">
        <v>590995</v>
      </c>
      <c r="E31" s="1">
        <v>217912</v>
      </c>
      <c r="F31" s="2">
        <v>0.36899999999999999</v>
      </c>
      <c r="G31" s="1">
        <v>744</v>
      </c>
      <c r="H31" s="2">
        <v>3.3999999999999998E-3</v>
      </c>
      <c r="I31" s="2">
        <v>1.2999999999999999E-3</v>
      </c>
    </row>
    <row r="32" spans="1:9" x14ac:dyDescent="0.35">
      <c r="A32" s="19">
        <v>45589</v>
      </c>
      <c r="B32" t="s">
        <v>787</v>
      </c>
      <c r="C32" t="s">
        <v>456</v>
      </c>
      <c r="D32" s="1">
        <v>21137</v>
      </c>
      <c r="E32" s="1">
        <v>5944</v>
      </c>
      <c r="F32" s="2">
        <v>0.28121303874722098</v>
      </c>
      <c r="G32" s="1">
        <v>39</v>
      </c>
      <c r="H32" s="2">
        <v>6.5612382234185697E-3</v>
      </c>
      <c r="I32" s="2">
        <v>1.8451057387519499E-3</v>
      </c>
    </row>
    <row r="33" spans="1:9" x14ac:dyDescent="0.35">
      <c r="A33" s="19">
        <v>45589</v>
      </c>
      <c r="B33" t="s">
        <v>787</v>
      </c>
      <c r="C33" t="s">
        <v>815</v>
      </c>
      <c r="D33" s="1">
        <v>3740</v>
      </c>
      <c r="E33" s="1">
        <v>1350</v>
      </c>
      <c r="F33" s="2">
        <v>0.36096256684492001</v>
      </c>
      <c r="G33" s="1">
        <v>11</v>
      </c>
      <c r="H33" s="2">
        <v>8.1481481481481492E-3</v>
      </c>
      <c r="I33" s="2">
        <v>2.94117647058824E-3</v>
      </c>
    </row>
    <row r="34" spans="1:9" x14ac:dyDescent="0.35">
      <c r="A34" s="19">
        <v>45589</v>
      </c>
      <c r="B34" t="s">
        <v>787</v>
      </c>
      <c r="C34" t="s">
        <v>816</v>
      </c>
      <c r="D34" s="1">
        <v>33396</v>
      </c>
      <c r="E34" s="1">
        <v>12709</v>
      </c>
      <c r="F34" s="2">
        <v>0.36070000000000002</v>
      </c>
      <c r="G34" s="1">
        <v>38</v>
      </c>
      <c r="H34" s="2">
        <v>3.0000000000000001E-3</v>
      </c>
      <c r="I34" s="2">
        <v>1.1000000000000001E-3</v>
      </c>
    </row>
    <row r="35" spans="1:9" x14ac:dyDescent="0.35">
      <c r="A35" s="19">
        <v>45589</v>
      </c>
      <c r="B35" t="s">
        <v>838</v>
      </c>
      <c r="C35" t="s">
        <v>10</v>
      </c>
      <c r="D35" s="1">
        <v>277664</v>
      </c>
      <c r="E35" s="1">
        <v>97468</v>
      </c>
      <c r="F35" s="2">
        <v>0.35102858130690301</v>
      </c>
      <c r="G35" s="1">
        <v>1129</v>
      </c>
      <c r="H35" s="2">
        <v>1.1583288874297199E-2</v>
      </c>
      <c r="I35" s="2">
        <v>4.0660654604125802E-3</v>
      </c>
    </row>
    <row r="36" spans="1:9" x14ac:dyDescent="0.35">
      <c r="A36" s="19">
        <v>45589</v>
      </c>
      <c r="B36" t="s">
        <v>838</v>
      </c>
      <c r="C36" t="s">
        <v>11</v>
      </c>
      <c r="D36" s="1">
        <v>16502</v>
      </c>
      <c r="E36" s="1">
        <v>5603</v>
      </c>
      <c r="F36" s="2">
        <v>0.33953460186644002</v>
      </c>
      <c r="G36" s="1">
        <v>106</v>
      </c>
      <c r="H36" s="2">
        <v>1.89184365518472E-2</v>
      </c>
      <c r="I36" s="2">
        <v>6.4234638225669598E-3</v>
      </c>
    </row>
    <row r="37" spans="1:9" x14ac:dyDescent="0.35">
      <c r="A37" s="19">
        <v>45589</v>
      </c>
      <c r="B37" t="s">
        <v>839</v>
      </c>
      <c r="C37" t="s">
        <v>10</v>
      </c>
      <c r="D37" s="1">
        <v>252586</v>
      </c>
      <c r="E37" s="1">
        <v>82783</v>
      </c>
      <c r="F37" s="2">
        <v>0.32774183842334897</v>
      </c>
      <c r="G37" s="1">
        <v>787</v>
      </c>
      <c r="H37" s="2">
        <v>9.5067827935687299E-3</v>
      </c>
      <c r="I37" s="2">
        <v>3.1157704702556798E-3</v>
      </c>
    </row>
    <row r="38" spans="1:9" x14ac:dyDescent="0.35">
      <c r="A38" s="19">
        <v>45589</v>
      </c>
      <c r="B38" t="s">
        <v>840</v>
      </c>
      <c r="C38" t="s">
        <v>841</v>
      </c>
      <c r="D38" s="1">
        <v>1826982</v>
      </c>
      <c r="E38" s="1">
        <v>651299</v>
      </c>
      <c r="F38" s="2">
        <v>0.356489007554535</v>
      </c>
      <c r="G38" s="1">
        <v>3366</v>
      </c>
      <c r="H38" s="2">
        <v>5.16813322298975E-3</v>
      </c>
      <c r="I38" s="2">
        <v>1.8423826835732399E-3</v>
      </c>
    </row>
    <row r="39" spans="1:9" x14ac:dyDescent="0.35">
      <c r="A39" s="19">
        <v>45589</v>
      </c>
      <c r="B39" t="s">
        <v>840</v>
      </c>
      <c r="C39" t="s">
        <v>842</v>
      </c>
      <c r="D39" s="1">
        <v>294217</v>
      </c>
      <c r="E39" s="1">
        <v>102210</v>
      </c>
      <c r="F39" s="2">
        <v>0.34739664941182902</v>
      </c>
      <c r="G39" s="1">
        <v>489</v>
      </c>
      <c r="H39" s="2">
        <v>4.7842676841796297E-3</v>
      </c>
      <c r="I39" s="2">
        <v>1.6620385633732901E-3</v>
      </c>
    </row>
    <row r="40" spans="1:9" x14ac:dyDescent="0.35">
      <c r="A40" s="19">
        <v>45589</v>
      </c>
      <c r="B40" t="s">
        <v>840</v>
      </c>
      <c r="C40" t="s">
        <v>843</v>
      </c>
      <c r="D40" s="1">
        <v>158127</v>
      </c>
      <c r="E40" s="1">
        <v>46777</v>
      </c>
      <c r="F40" s="2">
        <v>0.29581918331467699</v>
      </c>
      <c r="G40" s="1">
        <v>340</v>
      </c>
      <c r="H40" s="2">
        <v>7.2685294054770496E-3</v>
      </c>
      <c r="I40" s="2">
        <v>2.1501704326269402E-3</v>
      </c>
    </row>
    <row r="41" spans="1:9" x14ac:dyDescent="0.35">
      <c r="A41" s="19">
        <v>45589</v>
      </c>
      <c r="B41" t="s">
        <v>844</v>
      </c>
      <c r="C41" t="s">
        <v>10</v>
      </c>
      <c r="D41" s="1">
        <v>141546</v>
      </c>
      <c r="E41" s="1">
        <v>56204</v>
      </c>
      <c r="F41" s="2">
        <v>0.39707232984330199</v>
      </c>
      <c r="G41" s="1">
        <v>728</v>
      </c>
      <c r="H41" s="2">
        <v>1.29528147462814E-2</v>
      </c>
      <c r="I41" s="2">
        <v>5.1432043293346301E-3</v>
      </c>
    </row>
    <row r="42" spans="1:9" x14ac:dyDescent="0.35">
      <c r="A42" s="19">
        <v>45589</v>
      </c>
      <c r="B42" t="s">
        <v>844</v>
      </c>
      <c r="C42" t="s">
        <v>11</v>
      </c>
      <c r="D42" s="1">
        <v>7251</v>
      </c>
      <c r="E42" s="1">
        <v>2646</v>
      </c>
      <c r="F42" s="2">
        <v>0.36491518411253598</v>
      </c>
      <c r="G42" s="1">
        <v>35</v>
      </c>
      <c r="H42" s="2">
        <v>1.3227513227513201E-2</v>
      </c>
      <c r="I42" s="2">
        <v>4.8269204247689997E-3</v>
      </c>
    </row>
    <row r="43" spans="1:9" ht="16" thickBot="1" x14ac:dyDescent="0.4">
      <c r="A43" s="37" t="s">
        <v>35</v>
      </c>
      <c r="D43" s="31">
        <f>SUM(D2:D42)</f>
        <v>16455979</v>
      </c>
      <c r="E43" s="31">
        <f>SUM(E2:E42)</f>
        <v>5442404</v>
      </c>
      <c r="F43" s="32">
        <f>AVERAGE(F2:F42)</f>
        <v>0.35555861278578005</v>
      </c>
      <c r="G43" s="31">
        <f>SUM(G2:G42)</f>
        <v>57433</v>
      </c>
      <c r="H43" s="32">
        <f>AVERAGE(H2:H42)</f>
        <v>2.6167964215833922E-2</v>
      </c>
      <c r="I43" s="32">
        <f>AVERAGE(I2:I42)</f>
        <v>1.0890024349226668E-2</v>
      </c>
    </row>
    <row r="44" spans="1:9" ht="15" thickBot="1" x14ac:dyDescent="0.4">
      <c r="A44" s="138" t="s">
        <v>302</v>
      </c>
      <c r="B44" s="138"/>
      <c r="C44" s="138"/>
      <c r="D44" s="138"/>
      <c r="E44" s="138"/>
      <c r="F44" s="138"/>
      <c r="G44" s="138"/>
      <c r="H44" s="138"/>
      <c r="I44" s="138"/>
    </row>
    <row r="45" spans="1:9" ht="15.5" x14ac:dyDescent="0.35">
      <c r="A45" s="38" t="s">
        <v>0</v>
      </c>
      <c r="B45" s="39" t="s">
        <v>1</v>
      </c>
      <c r="C45" s="39" t="s">
        <v>2</v>
      </c>
      <c r="D45" s="39" t="s">
        <v>3</v>
      </c>
      <c r="E45" s="39" t="s">
        <v>4</v>
      </c>
      <c r="F45" s="39" t="s">
        <v>5</v>
      </c>
      <c r="G45" s="39" t="s">
        <v>6</v>
      </c>
      <c r="H45" s="39" t="s">
        <v>7</v>
      </c>
      <c r="I45" s="40" t="s">
        <v>8</v>
      </c>
    </row>
    <row r="46" spans="1:9" x14ac:dyDescent="0.35">
      <c r="A46" s="5" t="s">
        <v>36</v>
      </c>
      <c r="B46" s="6"/>
      <c r="C46" s="6"/>
      <c r="D46" s="6"/>
      <c r="E46" s="6"/>
      <c r="F46" s="6"/>
      <c r="G46" s="6"/>
      <c r="H46" s="6"/>
      <c r="I46" s="7"/>
    </row>
    <row r="47" spans="1:9" x14ac:dyDescent="0.35">
      <c r="A47" s="8">
        <v>45583</v>
      </c>
      <c r="B47" t="s">
        <v>820</v>
      </c>
      <c r="C47" t="s">
        <v>10</v>
      </c>
      <c r="D47" s="1">
        <v>379226</v>
      </c>
      <c r="E47" s="1">
        <v>132964</v>
      </c>
      <c r="F47" s="2">
        <v>0.35061941955456599</v>
      </c>
      <c r="G47" s="1">
        <v>2598</v>
      </c>
      <c r="H47" s="2">
        <v>1.95391233717397E-2</v>
      </c>
      <c r="I47" s="9">
        <v>6.85079609520444E-3</v>
      </c>
    </row>
    <row r="48" spans="1:9" x14ac:dyDescent="0.35">
      <c r="A48" s="8">
        <v>45583</v>
      </c>
      <c r="B48" t="s">
        <v>821</v>
      </c>
      <c r="C48" t="s">
        <v>10</v>
      </c>
      <c r="D48" s="1">
        <v>4631688</v>
      </c>
      <c r="E48" s="1">
        <v>1470275</v>
      </c>
      <c r="F48" s="2">
        <v>0.31743826440813799</v>
      </c>
      <c r="G48" s="1">
        <v>12460</v>
      </c>
      <c r="H48" s="2">
        <v>8.4746050908843604E-3</v>
      </c>
      <c r="I48" s="9">
        <v>2.6901639315947E-3</v>
      </c>
    </row>
    <row r="49" spans="1:9" x14ac:dyDescent="0.35">
      <c r="A49" s="8">
        <v>45583</v>
      </c>
      <c r="B49" t="s">
        <v>821</v>
      </c>
      <c r="C49" t="s">
        <v>11</v>
      </c>
      <c r="D49" s="1">
        <v>299625</v>
      </c>
      <c r="E49" s="1">
        <v>85612</v>
      </c>
      <c r="F49" s="2">
        <v>0.28573049645390097</v>
      </c>
      <c r="G49" s="1">
        <v>818</v>
      </c>
      <c r="H49" s="2">
        <v>9.5547353174788591E-3</v>
      </c>
      <c r="I49" s="9">
        <v>2.7300792657488498E-3</v>
      </c>
    </row>
    <row r="50" spans="1:9" x14ac:dyDescent="0.35">
      <c r="A50" s="8">
        <v>45587</v>
      </c>
      <c r="B50" t="s">
        <v>832</v>
      </c>
      <c r="C50" t="s">
        <v>10</v>
      </c>
      <c r="D50" s="1">
        <v>1356639</v>
      </c>
      <c r="E50" s="1">
        <v>401955</v>
      </c>
      <c r="F50" s="2">
        <v>0.29628736900531399</v>
      </c>
      <c r="G50" s="1">
        <v>8262</v>
      </c>
      <c r="H50" s="2">
        <v>2.0554539687278401E-2</v>
      </c>
      <c r="I50" s="9">
        <v>6.0900504850590299E-3</v>
      </c>
    </row>
    <row r="51" spans="1:9" x14ac:dyDescent="0.35">
      <c r="A51" s="8">
        <v>45587</v>
      </c>
      <c r="B51" t="s">
        <v>832</v>
      </c>
      <c r="C51" t="s">
        <v>11</v>
      </c>
      <c r="D51" s="1">
        <v>92343</v>
      </c>
      <c r="E51" s="1">
        <v>27517</v>
      </c>
      <c r="F51" s="2">
        <v>0.29798685336192199</v>
      </c>
      <c r="G51" s="1">
        <v>827</v>
      </c>
      <c r="H51" s="2">
        <v>3.0054148344659699E-2</v>
      </c>
      <c r="I51" s="9">
        <v>8.9557410956975607E-3</v>
      </c>
    </row>
    <row r="52" spans="1:9" ht="16" thickBot="1" x14ac:dyDescent="0.4">
      <c r="A52" s="36" t="s">
        <v>35</v>
      </c>
      <c r="B52" s="4"/>
      <c r="C52" s="4"/>
      <c r="D52" s="33">
        <f>SUM(D47:D51)</f>
        <v>6759521</v>
      </c>
      <c r="E52" s="33">
        <f>SUM(E47:E51)</f>
        <v>2118323</v>
      </c>
      <c r="F52" s="34">
        <f>AVERAGE(F47:F51)</f>
        <v>0.30961248055676815</v>
      </c>
      <c r="G52" s="33">
        <f>SUM(G47:G51)</f>
        <v>24965</v>
      </c>
      <c r="H52" s="34">
        <f>AVERAGE(H47:H51)</f>
        <v>1.7635430362408205E-2</v>
      </c>
      <c r="I52" s="35">
        <f>AVERAGE(I47:I51)</f>
        <v>5.4633661746609167E-3</v>
      </c>
    </row>
    <row r="53" spans="1:9" ht="3" customHeight="1" thickBot="1" x14ac:dyDescent="0.4">
      <c r="A53" s="141"/>
      <c r="B53" s="142"/>
      <c r="C53" s="142"/>
      <c r="D53" s="142"/>
      <c r="E53" s="142"/>
      <c r="F53" s="142"/>
      <c r="G53" s="142"/>
      <c r="H53" s="142"/>
      <c r="I53" s="143"/>
    </row>
    <row r="54" spans="1:9" x14ac:dyDescent="0.35">
      <c r="A54" s="16" t="s">
        <v>37</v>
      </c>
      <c r="B54" s="17"/>
      <c r="C54" s="17"/>
      <c r="D54" s="17"/>
      <c r="E54" s="17"/>
      <c r="F54" s="17"/>
      <c r="G54" s="17"/>
      <c r="H54" s="17"/>
      <c r="I54" s="18"/>
    </row>
    <row r="55" spans="1:9" x14ac:dyDescent="0.35">
      <c r="A55" s="8">
        <v>45583</v>
      </c>
      <c r="B55" t="s">
        <v>822</v>
      </c>
      <c r="C55" t="s">
        <v>10</v>
      </c>
      <c r="D55" s="1">
        <v>252706</v>
      </c>
      <c r="E55" s="1">
        <v>92622</v>
      </c>
      <c r="F55" s="2">
        <v>0.36652077908716102</v>
      </c>
      <c r="G55" s="1">
        <v>1133</v>
      </c>
      <c r="H55" s="2">
        <v>1.2232514953250799E-2</v>
      </c>
      <c r="I55" s="9">
        <v>4.4834709108608397E-3</v>
      </c>
    </row>
    <row r="56" spans="1:9" x14ac:dyDescent="0.35">
      <c r="A56" s="8">
        <v>45583</v>
      </c>
      <c r="B56" t="s">
        <v>823</v>
      </c>
      <c r="C56" t="s">
        <v>74</v>
      </c>
      <c r="D56" s="1">
        <v>15139</v>
      </c>
      <c r="E56" s="1">
        <v>5270</v>
      </c>
      <c r="F56" s="2">
        <v>0.34810753682541801</v>
      </c>
      <c r="G56" s="1">
        <v>48</v>
      </c>
      <c r="H56" s="2">
        <v>9.1081593927893698E-3</v>
      </c>
      <c r="I56" s="9">
        <v>3.1706189312371998E-3</v>
      </c>
    </row>
    <row r="57" spans="1:9" x14ac:dyDescent="0.35">
      <c r="A57" s="8">
        <v>45583</v>
      </c>
      <c r="B57" t="s">
        <v>823</v>
      </c>
      <c r="C57" t="s">
        <v>72</v>
      </c>
      <c r="D57" s="1">
        <v>292038</v>
      </c>
      <c r="E57" s="1">
        <v>101814</v>
      </c>
      <c r="F57" s="2">
        <v>0.34863271218129099</v>
      </c>
      <c r="G57" s="1">
        <v>631</v>
      </c>
      <c r="H57" s="2">
        <v>6.1975759718702703E-3</v>
      </c>
      <c r="I57" s="9">
        <v>2.16067772002274E-3</v>
      </c>
    </row>
    <row r="58" spans="1:9" x14ac:dyDescent="0.35">
      <c r="A58" s="8">
        <v>45583</v>
      </c>
      <c r="B58" t="s">
        <v>823</v>
      </c>
      <c r="C58" t="s">
        <v>75</v>
      </c>
      <c r="D58" s="1">
        <v>685</v>
      </c>
      <c r="E58" s="1">
        <v>226</v>
      </c>
      <c r="F58" s="2">
        <v>0.32992700729926999</v>
      </c>
      <c r="G58" s="1">
        <v>3</v>
      </c>
      <c r="H58" s="2">
        <v>1.3274336283185801E-2</v>
      </c>
      <c r="I58" s="9">
        <v>4.3795620437956199E-3</v>
      </c>
    </row>
    <row r="59" spans="1:9" x14ac:dyDescent="0.35">
      <c r="A59" s="8">
        <v>45583</v>
      </c>
      <c r="B59" t="s">
        <v>823</v>
      </c>
      <c r="C59" t="s">
        <v>73</v>
      </c>
      <c r="D59" s="1">
        <v>12939</v>
      </c>
      <c r="E59" s="1">
        <v>4111</v>
      </c>
      <c r="F59" s="2">
        <v>0.31772161681737399</v>
      </c>
      <c r="G59" s="1">
        <v>38</v>
      </c>
      <c r="H59" s="2">
        <v>9.2434930673802006E-3</v>
      </c>
      <c r="I59" s="9">
        <v>2.93685756240822E-3</v>
      </c>
    </row>
    <row r="60" spans="1:9" x14ac:dyDescent="0.35">
      <c r="A60" s="8">
        <v>45583</v>
      </c>
      <c r="B60" t="s">
        <v>824</v>
      </c>
      <c r="C60" t="s">
        <v>825</v>
      </c>
      <c r="D60" s="1">
        <v>188925</v>
      </c>
      <c r="E60" s="1">
        <v>73442</v>
      </c>
      <c r="F60" s="2">
        <v>0.38873627100701302</v>
      </c>
      <c r="G60" s="1">
        <v>1937</v>
      </c>
      <c r="H60" s="2">
        <v>2.6374554069878299E-2</v>
      </c>
      <c r="I60" s="9">
        <v>1.02527457985973E-2</v>
      </c>
    </row>
    <row r="61" spans="1:9" x14ac:dyDescent="0.35">
      <c r="A61" s="8">
        <v>45583</v>
      </c>
      <c r="B61" t="s">
        <v>824</v>
      </c>
      <c r="C61" t="s">
        <v>826</v>
      </c>
      <c r="D61" s="1">
        <v>8683</v>
      </c>
      <c r="E61" s="1">
        <v>3369</v>
      </c>
      <c r="F61" s="2">
        <v>0.38799953932972497</v>
      </c>
      <c r="G61" s="1">
        <v>201</v>
      </c>
      <c r="H61" s="2">
        <v>5.9661620658949199E-2</v>
      </c>
      <c r="I61" s="9">
        <v>2.3148681331337101E-2</v>
      </c>
    </row>
    <row r="62" spans="1:9" x14ac:dyDescent="0.35">
      <c r="A62" s="8">
        <v>45583</v>
      </c>
      <c r="B62" t="s">
        <v>827</v>
      </c>
      <c r="C62" t="s">
        <v>828</v>
      </c>
      <c r="D62" s="1">
        <v>16307</v>
      </c>
      <c r="E62" s="1">
        <v>8624</v>
      </c>
      <c r="F62" s="2">
        <v>0.52885263997056497</v>
      </c>
      <c r="G62" s="1">
        <v>1541</v>
      </c>
      <c r="H62" s="2">
        <v>0.178687384044527</v>
      </c>
      <c r="I62" s="9">
        <v>9.4499294781382207E-2</v>
      </c>
    </row>
    <row r="63" spans="1:9" x14ac:dyDescent="0.35">
      <c r="A63" s="8">
        <v>45583</v>
      </c>
      <c r="B63" t="s">
        <v>829</v>
      </c>
      <c r="C63" t="s">
        <v>74</v>
      </c>
      <c r="D63" s="1">
        <v>13686</v>
      </c>
      <c r="E63" s="1">
        <v>5701</v>
      </c>
      <c r="F63" s="2">
        <v>0.41655706561449701</v>
      </c>
      <c r="G63" s="1">
        <v>71</v>
      </c>
      <c r="H63" s="2">
        <v>1.2453955446412901E-2</v>
      </c>
      <c r="I63" s="9">
        <v>5.1877831360514397E-3</v>
      </c>
    </row>
    <row r="64" spans="1:9" x14ac:dyDescent="0.35">
      <c r="A64" s="8">
        <v>45583</v>
      </c>
      <c r="B64" t="s">
        <v>829</v>
      </c>
      <c r="C64" t="s">
        <v>72</v>
      </c>
      <c r="D64" s="1">
        <v>257757</v>
      </c>
      <c r="E64" s="1">
        <v>104999</v>
      </c>
      <c r="F64" s="2">
        <v>0.407356541238453</v>
      </c>
      <c r="G64" s="1">
        <v>1193</v>
      </c>
      <c r="H64" s="2">
        <v>1.13620129715521E-2</v>
      </c>
      <c r="I64" s="9">
        <v>4.6283903055979103E-3</v>
      </c>
    </row>
    <row r="65" spans="1:9" x14ac:dyDescent="0.35">
      <c r="A65" s="8">
        <v>45583</v>
      </c>
      <c r="B65" t="s">
        <v>829</v>
      </c>
      <c r="C65" t="s">
        <v>75</v>
      </c>
      <c r="D65" s="1">
        <v>979</v>
      </c>
      <c r="E65" s="1">
        <v>399</v>
      </c>
      <c r="F65" s="2">
        <v>0.40755873340143001</v>
      </c>
      <c r="G65" s="1">
        <v>8</v>
      </c>
      <c r="H65" s="2">
        <v>2.00501253132832E-2</v>
      </c>
      <c r="I65" s="9">
        <v>8.1716036772216498E-3</v>
      </c>
    </row>
    <row r="66" spans="1:9" x14ac:dyDescent="0.35">
      <c r="A66" s="8">
        <v>45583</v>
      </c>
      <c r="B66" t="s">
        <v>829</v>
      </c>
      <c r="C66" t="s">
        <v>73</v>
      </c>
      <c r="D66" s="1">
        <v>18752</v>
      </c>
      <c r="E66" s="1">
        <v>7620</v>
      </c>
      <c r="F66" s="2">
        <v>0.40635665529010201</v>
      </c>
      <c r="G66" s="1">
        <v>114</v>
      </c>
      <c r="H66" s="2">
        <v>1.4960629921259801E-2</v>
      </c>
      <c r="I66" s="9">
        <v>6.0793515358361803E-3</v>
      </c>
    </row>
    <row r="67" spans="1:9" x14ac:dyDescent="0.35">
      <c r="A67" s="8">
        <v>45584</v>
      </c>
      <c r="B67" t="s">
        <v>830</v>
      </c>
      <c r="C67" t="s">
        <v>10</v>
      </c>
      <c r="D67" s="1">
        <v>1244786</v>
      </c>
      <c r="E67" s="1">
        <v>368666</v>
      </c>
      <c r="F67" s="2">
        <v>0.29616817669864498</v>
      </c>
      <c r="G67" s="1">
        <v>6992</v>
      </c>
      <c r="H67" s="2">
        <v>1.8965676248962501E-2</v>
      </c>
      <c r="I67" s="9">
        <v>5.6170297545120196E-3</v>
      </c>
    </row>
    <row r="68" spans="1:9" x14ac:dyDescent="0.35">
      <c r="A68" s="8">
        <v>45584</v>
      </c>
      <c r="B68" t="s">
        <v>830</v>
      </c>
      <c r="C68" t="s">
        <v>11</v>
      </c>
      <c r="D68" s="1">
        <v>92222</v>
      </c>
      <c r="E68" s="1">
        <v>27925</v>
      </c>
      <c r="F68" s="2">
        <v>0.30280193446249298</v>
      </c>
      <c r="G68" s="1">
        <v>542</v>
      </c>
      <c r="H68" s="2">
        <v>1.94091316025067E-2</v>
      </c>
      <c r="I68" s="9">
        <v>5.8771225954761296E-3</v>
      </c>
    </row>
    <row r="69" spans="1:9" x14ac:dyDescent="0.35">
      <c r="A69" s="8">
        <v>45584</v>
      </c>
      <c r="B69" t="s">
        <v>831</v>
      </c>
      <c r="C69" t="s">
        <v>10</v>
      </c>
      <c r="D69" s="1">
        <v>54901</v>
      </c>
      <c r="E69" s="1">
        <v>20399</v>
      </c>
      <c r="F69" s="2">
        <v>0.37155971658075398</v>
      </c>
      <c r="G69" s="1">
        <v>291</v>
      </c>
      <c r="H69" s="2">
        <v>1.42654051669199E-2</v>
      </c>
      <c r="I69" s="9">
        <v>5.30044990073041E-3</v>
      </c>
    </row>
    <row r="70" spans="1:9" x14ac:dyDescent="0.35">
      <c r="A70" s="8">
        <v>45588</v>
      </c>
      <c r="B70" t="s">
        <v>833</v>
      </c>
      <c r="C70" t="s">
        <v>834</v>
      </c>
      <c r="D70" s="1">
        <v>45892</v>
      </c>
      <c r="E70" s="1">
        <v>15712</v>
      </c>
      <c r="F70" s="2">
        <v>0.34236904035561799</v>
      </c>
      <c r="G70" s="1">
        <v>367</v>
      </c>
      <c r="H70" s="2">
        <v>2.33579429735234E-2</v>
      </c>
      <c r="I70" s="9">
        <v>7.9970365205264508E-3</v>
      </c>
    </row>
    <row r="71" spans="1:9" x14ac:dyDescent="0.35">
      <c r="A71" s="8">
        <v>45588</v>
      </c>
      <c r="B71" t="s">
        <v>833</v>
      </c>
      <c r="C71" t="s">
        <v>737</v>
      </c>
      <c r="D71" s="1">
        <v>45759</v>
      </c>
      <c r="E71" s="1">
        <v>16236</v>
      </c>
      <c r="F71" s="2">
        <v>0.35481544614174299</v>
      </c>
      <c r="G71" s="1">
        <v>319</v>
      </c>
      <c r="H71" s="2">
        <v>1.96476964769648E-2</v>
      </c>
      <c r="I71" s="9">
        <v>6.9713061911317997E-3</v>
      </c>
    </row>
    <row r="72" spans="1:9" x14ac:dyDescent="0.35">
      <c r="A72" s="8">
        <v>45588</v>
      </c>
      <c r="B72" t="s">
        <v>835</v>
      </c>
      <c r="C72" t="s">
        <v>10</v>
      </c>
      <c r="D72" s="1">
        <v>2867604</v>
      </c>
      <c r="E72" s="1">
        <v>979907</v>
      </c>
      <c r="F72" s="2">
        <v>0.34171628997588199</v>
      </c>
      <c r="G72" s="1">
        <v>7670</v>
      </c>
      <c r="H72" s="2">
        <v>7.8272734045169608E-3</v>
      </c>
      <c r="I72" s="9">
        <v>2.67470682841843E-3</v>
      </c>
    </row>
    <row r="73" spans="1:9" x14ac:dyDescent="0.35">
      <c r="A73" s="8">
        <v>45588</v>
      </c>
      <c r="B73" t="s">
        <v>835</v>
      </c>
      <c r="C73" t="s">
        <v>11</v>
      </c>
      <c r="D73" s="1">
        <v>191083</v>
      </c>
      <c r="E73" s="1">
        <v>62630</v>
      </c>
      <c r="F73" s="2">
        <v>0.32776332797789398</v>
      </c>
      <c r="G73" s="1">
        <v>789</v>
      </c>
      <c r="H73" s="2">
        <v>1.25977965831071E-2</v>
      </c>
      <c r="I73" s="9">
        <v>4.1290957332677401E-3</v>
      </c>
    </row>
    <row r="74" spans="1:9" x14ac:dyDescent="0.35">
      <c r="A74" s="8">
        <v>45588</v>
      </c>
      <c r="B74" t="s">
        <v>836</v>
      </c>
      <c r="C74" t="s">
        <v>10</v>
      </c>
      <c r="D74" s="1">
        <v>50362</v>
      </c>
      <c r="E74" s="1">
        <v>17089</v>
      </c>
      <c r="F74" s="2">
        <v>0.339323299312974</v>
      </c>
      <c r="G74" s="1">
        <v>154</v>
      </c>
      <c r="H74" s="2">
        <v>9.0116449177833693E-3</v>
      </c>
      <c r="I74" s="9">
        <v>3.0578610857392502E-3</v>
      </c>
    </row>
    <row r="75" spans="1:9" x14ac:dyDescent="0.35">
      <c r="A75" s="8">
        <v>45588</v>
      </c>
      <c r="B75" t="s">
        <v>837</v>
      </c>
      <c r="C75" t="s">
        <v>730</v>
      </c>
      <c r="D75" s="1">
        <v>959</v>
      </c>
      <c r="E75" s="1">
        <v>397</v>
      </c>
      <c r="F75" s="2">
        <v>0.413972888425443</v>
      </c>
      <c r="G75" s="1">
        <v>61</v>
      </c>
      <c r="H75" s="2">
        <v>0.15365239294710301</v>
      </c>
      <c r="I75" s="9">
        <v>6.3607924921793499E-2</v>
      </c>
    </row>
    <row r="76" spans="1:9" x14ac:dyDescent="0.35">
      <c r="A76" s="8">
        <v>45588</v>
      </c>
      <c r="B76" t="s">
        <v>837</v>
      </c>
      <c r="C76" t="s">
        <v>731</v>
      </c>
      <c r="D76" s="1">
        <v>983</v>
      </c>
      <c r="E76" s="1">
        <v>473</v>
      </c>
      <c r="F76" s="2">
        <v>0.48118006103763999</v>
      </c>
      <c r="G76" s="1">
        <v>104</v>
      </c>
      <c r="H76" s="2">
        <v>0.21987315010570799</v>
      </c>
      <c r="I76" s="9">
        <v>0.105798575788403</v>
      </c>
    </row>
    <row r="77" spans="1:9" x14ac:dyDescent="0.35">
      <c r="A77" s="8">
        <v>45589</v>
      </c>
      <c r="B77" t="s">
        <v>838</v>
      </c>
      <c r="C77" t="s">
        <v>10</v>
      </c>
      <c r="D77" s="1">
        <v>277664</v>
      </c>
      <c r="E77" s="1">
        <v>97468</v>
      </c>
      <c r="F77" s="2">
        <v>0.35102858130690301</v>
      </c>
      <c r="G77" s="1">
        <v>1129</v>
      </c>
      <c r="H77" s="2">
        <v>1.1583288874297199E-2</v>
      </c>
      <c r="I77" s="9">
        <v>4.0660654604125802E-3</v>
      </c>
    </row>
    <row r="78" spans="1:9" x14ac:dyDescent="0.35">
      <c r="A78" s="8">
        <v>45589</v>
      </c>
      <c r="B78" t="s">
        <v>838</v>
      </c>
      <c r="C78" t="s">
        <v>11</v>
      </c>
      <c r="D78" s="1">
        <v>16502</v>
      </c>
      <c r="E78" s="1">
        <v>5603</v>
      </c>
      <c r="F78" s="2">
        <v>0.33953460186644002</v>
      </c>
      <c r="G78" s="1">
        <v>106</v>
      </c>
      <c r="H78" s="2">
        <v>1.89184365518472E-2</v>
      </c>
      <c r="I78" s="9">
        <v>6.4234638225669598E-3</v>
      </c>
    </row>
    <row r="79" spans="1:9" x14ac:dyDescent="0.35">
      <c r="A79" s="8">
        <v>45589</v>
      </c>
      <c r="B79" t="s">
        <v>839</v>
      </c>
      <c r="C79" t="s">
        <v>10</v>
      </c>
      <c r="D79" s="1">
        <v>252586</v>
      </c>
      <c r="E79" s="1">
        <v>82783</v>
      </c>
      <c r="F79" s="2">
        <v>0.32774183842334897</v>
      </c>
      <c r="G79" s="1">
        <v>787</v>
      </c>
      <c r="H79" s="2">
        <v>9.5067827935687299E-3</v>
      </c>
      <c r="I79" s="9">
        <v>3.1157704702556798E-3</v>
      </c>
    </row>
    <row r="80" spans="1:9" x14ac:dyDescent="0.35">
      <c r="A80" s="8">
        <v>45589</v>
      </c>
      <c r="B80" t="s">
        <v>840</v>
      </c>
      <c r="C80" t="s">
        <v>841</v>
      </c>
      <c r="D80" s="1">
        <v>1826982</v>
      </c>
      <c r="E80" s="1">
        <v>651299</v>
      </c>
      <c r="F80" s="2">
        <v>0.356489007554535</v>
      </c>
      <c r="G80" s="1">
        <v>3366</v>
      </c>
      <c r="H80" s="2">
        <v>5.16813322298975E-3</v>
      </c>
      <c r="I80" s="9">
        <v>1.8423826835732399E-3</v>
      </c>
    </row>
    <row r="81" spans="1:9" x14ac:dyDescent="0.35">
      <c r="A81" s="8">
        <v>45589</v>
      </c>
      <c r="B81" t="s">
        <v>840</v>
      </c>
      <c r="C81" t="s">
        <v>842</v>
      </c>
      <c r="D81" s="1">
        <v>294217</v>
      </c>
      <c r="E81" s="1">
        <v>102210</v>
      </c>
      <c r="F81" s="2">
        <v>0.34739664941182902</v>
      </c>
      <c r="G81" s="1">
        <v>489</v>
      </c>
      <c r="H81" s="2">
        <v>4.7842676841796297E-3</v>
      </c>
      <c r="I81" s="9">
        <v>1.6620385633732901E-3</v>
      </c>
    </row>
    <row r="82" spans="1:9" x14ac:dyDescent="0.35">
      <c r="A82" s="8">
        <v>45589</v>
      </c>
      <c r="B82" t="s">
        <v>840</v>
      </c>
      <c r="C82" t="s">
        <v>843</v>
      </c>
      <c r="D82" s="1">
        <v>158127</v>
      </c>
      <c r="E82" s="1">
        <v>46777</v>
      </c>
      <c r="F82" s="2">
        <v>0.29581918331467699</v>
      </c>
      <c r="G82" s="1">
        <v>340</v>
      </c>
      <c r="H82" s="2">
        <v>7.2685294054770496E-3</v>
      </c>
      <c r="I82" s="9">
        <v>2.1501704326269402E-3</v>
      </c>
    </row>
    <row r="83" spans="1:9" x14ac:dyDescent="0.35">
      <c r="A83" s="8">
        <v>45589</v>
      </c>
      <c r="B83" t="s">
        <v>844</v>
      </c>
      <c r="C83" t="s">
        <v>10</v>
      </c>
      <c r="D83" s="1">
        <v>141546</v>
      </c>
      <c r="E83" s="1">
        <v>56204</v>
      </c>
      <c r="F83" s="2">
        <v>0.39707232984330199</v>
      </c>
      <c r="G83" s="1">
        <v>728</v>
      </c>
      <c r="H83" s="2">
        <v>1.29528147462814E-2</v>
      </c>
      <c r="I83" s="9">
        <v>5.1432043293346301E-3</v>
      </c>
    </row>
    <row r="84" spans="1:9" x14ac:dyDescent="0.35">
      <c r="A84" s="8">
        <v>45589</v>
      </c>
      <c r="B84" t="s">
        <v>844</v>
      </c>
      <c r="C84" t="s">
        <v>11</v>
      </c>
      <c r="D84" s="1">
        <v>7251</v>
      </c>
      <c r="E84" s="1">
        <v>2646</v>
      </c>
      <c r="F84" s="2">
        <v>0.36491518411253598</v>
      </c>
      <c r="G84" s="1">
        <v>35</v>
      </c>
      <c r="H84" s="2">
        <v>1.3227513227513201E-2</v>
      </c>
      <c r="I84" s="9">
        <v>4.8269204247689997E-3</v>
      </c>
    </row>
    <row r="85" spans="1:9" ht="16" thickBot="1" x14ac:dyDescent="0.4">
      <c r="A85" s="36" t="s">
        <v>35</v>
      </c>
      <c r="B85" s="4"/>
      <c r="C85" s="4"/>
      <c r="D85" s="33">
        <f>SUM(D55:D84)</f>
        <v>8648022</v>
      </c>
      <c r="E85" s="33">
        <f>SUM(E55:E84)</f>
        <v>2962621</v>
      </c>
      <c r="F85" s="34">
        <f>AVERAGE(F55:F84)</f>
        <v>0.36686648849549847</v>
      </c>
      <c r="G85" s="33">
        <f>SUM(G55:G84)</f>
        <v>31187</v>
      </c>
      <c r="H85" s="34">
        <f>AVERAGE(H55:H84)</f>
        <v>3.1854141300919625E-2</v>
      </c>
      <c r="I85" s="35">
        <f>AVERAGE(I55:I84)</f>
        <v>1.364533877470865E-2</v>
      </c>
    </row>
    <row r="86" spans="1:9" ht="3" customHeight="1" thickBot="1" x14ac:dyDescent="0.4">
      <c r="A86" s="139"/>
      <c r="B86" s="138"/>
      <c r="C86" s="138"/>
      <c r="D86" s="138"/>
      <c r="E86" s="138"/>
      <c r="F86" s="138"/>
      <c r="G86" s="138"/>
      <c r="H86" s="138"/>
      <c r="I86" s="140"/>
    </row>
    <row r="87" spans="1:9" x14ac:dyDescent="0.35">
      <c r="A87" s="16" t="s">
        <v>38</v>
      </c>
      <c r="B87" s="17"/>
      <c r="C87" s="17"/>
      <c r="D87" s="17"/>
      <c r="E87" s="17"/>
      <c r="F87" s="17"/>
      <c r="G87" s="17"/>
      <c r="H87" s="17"/>
      <c r="I87" s="18"/>
    </row>
    <row r="88" spans="1:9" x14ac:dyDescent="0.35">
      <c r="A88" s="8">
        <v>45589</v>
      </c>
      <c r="B88" t="s">
        <v>786</v>
      </c>
      <c r="C88" t="s">
        <v>456</v>
      </c>
      <c r="D88" s="1">
        <v>333372</v>
      </c>
      <c r="E88" s="1">
        <v>100479</v>
      </c>
      <c r="F88" s="2">
        <v>0.301402037363666</v>
      </c>
      <c r="G88" s="1">
        <v>344</v>
      </c>
      <c r="H88" s="2">
        <v>3.4236009514425898E-3</v>
      </c>
      <c r="I88" s="9">
        <v>1.0318803018849799E-3</v>
      </c>
    </row>
    <row r="89" spans="1:9" x14ac:dyDescent="0.35">
      <c r="A89" s="8">
        <v>45589</v>
      </c>
      <c r="B89" t="s">
        <v>786</v>
      </c>
      <c r="C89" t="s">
        <v>814</v>
      </c>
      <c r="D89" s="1">
        <v>65796</v>
      </c>
      <c r="E89" s="1">
        <v>23066</v>
      </c>
      <c r="F89" s="2">
        <v>0.350568423612378</v>
      </c>
      <c r="G89" s="1">
        <v>105</v>
      </c>
      <c r="H89" s="2">
        <v>4.5521546865516299E-3</v>
      </c>
      <c r="I89" s="9">
        <v>1.5958416925041E-3</v>
      </c>
    </row>
    <row r="90" spans="1:9" x14ac:dyDescent="0.35">
      <c r="A90" s="8">
        <v>45589</v>
      </c>
      <c r="B90" t="s">
        <v>786</v>
      </c>
      <c r="C90" t="s">
        <v>455</v>
      </c>
      <c r="D90" s="1">
        <v>590995</v>
      </c>
      <c r="E90" s="1">
        <v>217912</v>
      </c>
      <c r="F90" s="2">
        <v>0.36899999999999999</v>
      </c>
      <c r="G90" s="1">
        <v>744</v>
      </c>
      <c r="H90" s="2">
        <v>3.3999999999999998E-3</v>
      </c>
      <c r="I90" s="9">
        <v>1.2999999999999999E-3</v>
      </c>
    </row>
    <row r="91" spans="1:9" x14ac:dyDescent="0.35">
      <c r="A91" s="8">
        <v>45589</v>
      </c>
      <c r="B91" t="s">
        <v>787</v>
      </c>
      <c r="C91" t="s">
        <v>456</v>
      </c>
      <c r="D91" s="1">
        <v>21137</v>
      </c>
      <c r="E91" s="1">
        <v>5944</v>
      </c>
      <c r="F91" s="2">
        <v>0.28121303874722098</v>
      </c>
      <c r="G91" s="1">
        <v>39</v>
      </c>
      <c r="H91" s="2">
        <v>6.5612382234185697E-3</v>
      </c>
      <c r="I91" s="9">
        <v>1.8451057387519499E-3</v>
      </c>
    </row>
    <row r="92" spans="1:9" x14ac:dyDescent="0.35">
      <c r="A92" s="8">
        <v>45589</v>
      </c>
      <c r="B92" t="s">
        <v>787</v>
      </c>
      <c r="C92" t="s">
        <v>815</v>
      </c>
      <c r="D92" s="1">
        <v>3740</v>
      </c>
      <c r="E92" s="1">
        <v>1350</v>
      </c>
      <c r="F92" s="2">
        <v>0.36096256684492001</v>
      </c>
      <c r="G92" s="1">
        <v>11</v>
      </c>
      <c r="H92" s="2">
        <v>8.1481481481481492E-3</v>
      </c>
      <c r="I92" s="9">
        <v>2.94117647058824E-3</v>
      </c>
    </row>
    <row r="93" spans="1:9" x14ac:dyDescent="0.35">
      <c r="A93" s="8">
        <v>45589</v>
      </c>
      <c r="B93" t="s">
        <v>787</v>
      </c>
      <c r="C93" t="s">
        <v>816</v>
      </c>
      <c r="D93" s="1">
        <v>33396</v>
      </c>
      <c r="E93" s="1">
        <v>12709</v>
      </c>
      <c r="F93" s="2">
        <v>0.36070000000000002</v>
      </c>
      <c r="G93" s="1">
        <v>38</v>
      </c>
      <c r="H93" s="2">
        <v>3.0000000000000001E-3</v>
      </c>
      <c r="I93" s="9">
        <v>1.1000000000000001E-3</v>
      </c>
    </row>
    <row r="94" spans="1:9" ht="16" thickBot="1" x14ac:dyDescent="0.4">
      <c r="A94" s="36" t="s">
        <v>35</v>
      </c>
      <c r="B94" s="4"/>
      <c r="C94" s="4"/>
      <c r="D94" s="33">
        <f>SUM(D88:D93)</f>
        <v>1048436</v>
      </c>
      <c r="E94" s="33">
        <f>SUM(E88:E93)</f>
        <v>361460</v>
      </c>
      <c r="F94" s="34">
        <f>AVERAGE(F88:F93)</f>
        <v>0.33730767776136417</v>
      </c>
      <c r="G94" s="33">
        <f>SUM(G88:G93)</f>
        <v>1281</v>
      </c>
      <c r="H94" s="34">
        <f>AVERAGE(H88:H93)</f>
        <v>4.8475236682601567E-3</v>
      </c>
      <c r="I94" s="35">
        <f>AVERAGE(I88:I93)</f>
        <v>1.6356673672882117E-3</v>
      </c>
    </row>
  </sheetData>
  <mergeCells count="3">
    <mergeCell ref="A44:I44"/>
    <mergeCell ref="A53:I53"/>
    <mergeCell ref="A86:I86"/>
  </mergeCells>
  <pageMargins left="0.7" right="0.7" top="0.75" bottom="0.75" header="0.3" footer="0.3"/>
  <ignoredErrors>
    <ignoredError sqref="F43:G43 F52:G52 F85:G85 F94:G94" formula="1"/>
  </ignoredErrors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D620-3DFE-4926-BECD-876E3B203D37}">
  <dimension ref="A1:I60"/>
  <sheetViews>
    <sheetView topLeftCell="A18" workbookViewId="0">
      <selection activeCell="A2" sqref="A2"/>
    </sheetView>
  </sheetViews>
  <sheetFormatPr defaultRowHeight="14.5" x14ac:dyDescent="0.35"/>
  <cols>
    <col min="1" max="1" width="11.81640625" customWidth="1"/>
    <col min="2" max="2" width="63.81640625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45590</v>
      </c>
      <c r="B2" t="s">
        <v>845</v>
      </c>
      <c r="C2" t="s">
        <v>10</v>
      </c>
      <c r="D2" s="1">
        <v>376486</v>
      </c>
      <c r="E2" s="1">
        <v>132632</v>
      </c>
      <c r="F2" s="2">
        <v>0.35228932815562902</v>
      </c>
      <c r="G2" s="1">
        <v>2441</v>
      </c>
      <c r="H2" s="2">
        <v>1.8404306652994799E-2</v>
      </c>
      <c r="I2" s="2">
        <v>6.4836408259536897E-3</v>
      </c>
    </row>
    <row r="3" spans="1:9" x14ac:dyDescent="0.35">
      <c r="A3" s="19">
        <v>45590</v>
      </c>
      <c r="B3" t="s">
        <v>845</v>
      </c>
      <c r="C3" t="s">
        <v>11</v>
      </c>
      <c r="D3" s="1">
        <v>21298</v>
      </c>
      <c r="E3" s="1">
        <v>7207</v>
      </c>
      <c r="F3" s="2">
        <v>0.33838858108742598</v>
      </c>
      <c r="G3" s="1">
        <v>192</v>
      </c>
      <c r="H3" s="2">
        <v>2.6640765922020301E-2</v>
      </c>
      <c r="I3" s="2">
        <v>9.0149309794346905E-3</v>
      </c>
    </row>
    <row r="4" spans="1:9" x14ac:dyDescent="0.35">
      <c r="A4" s="19">
        <v>45590</v>
      </c>
      <c r="B4" t="s">
        <v>846</v>
      </c>
      <c r="C4" t="s">
        <v>10</v>
      </c>
      <c r="D4" s="1">
        <v>4613092</v>
      </c>
      <c r="E4" s="1">
        <v>1469551</v>
      </c>
      <c r="F4" s="2">
        <v>0.31856095651246502</v>
      </c>
      <c r="G4" s="1">
        <v>17724</v>
      </c>
      <c r="H4" s="2">
        <v>1.20608267423179E-2</v>
      </c>
      <c r="I4" s="2">
        <v>3.8421085033638999E-3</v>
      </c>
    </row>
    <row r="5" spans="1:9" x14ac:dyDescent="0.35">
      <c r="A5" s="19">
        <v>45590</v>
      </c>
      <c r="B5" t="s">
        <v>846</v>
      </c>
      <c r="C5" t="s">
        <v>11</v>
      </c>
      <c r="D5" s="1">
        <v>298631</v>
      </c>
      <c r="E5" s="1">
        <v>87699</v>
      </c>
      <c r="F5" s="2">
        <v>0.29367011462306303</v>
      </c>
      <c r="G5" s="1">
        <v>1361</v>
      </c>
      <c r="H5" s="2">
        <v>1.5518991094539299E-2</v>
      </c>
      <c r="I5" s="2">
        <v>4.5574638935676499E-3</v>
      </c>
    </row>
    <row r="6" spans="1:9" x14ac:dyDescent="0.35">
      <c r="A6" s="19">
        <v>45593</v>
      </c>
      <c r="B6" t="s">
        <v>847</v>
      </c>
      <c r="C6" t="s">
        <v>10</v>
      </c>
      <c r="D6" s="1">
        <v>54333</v>
      </c>
      <c r="E6" s="1">
        <v>18612</v>
      </c>
      <c r="F6" s="2">
        <v>0.34255424879907198</v>
      </c>
      <c r="G6" s="1">
        <v>300</v>
      </c>
      <c r="H6" s="2">
        <v>1.6118633139909699E-2</v>
      </c>
      <c r="I6" s="2">
        <v>5.5215062669096097E-3</v>
      </c>
    </row>
    <row r="7" spans="1:9" x14ac:dyDescent="0.35">
      <c r="A7" s="19">
        <v>45594</v>
      </c>
      <c r="B7" t="s">
        <v>848</v>
      </c>
      <c r="C7" t="s">
        <v>10</v>
      </c>
      <c r="D7" s="1">
        <v>1349771</v>
      </c>
      <c r="E7" s="1">
        <v>362723</v>
      </c>
      <c r="F7" s="2">
        <v>0.26872928815332398</v>
      </c>
      <c r="G7" s="1">
        <v>8561</v>
      </c>
      <c r="H7" s="2">
        <v>2.3602032404893E-2</v>
      </c>
      <c r="I7" s="2">
        <v>6.3425573671385699E-3</v>
      </c>
    </row>
    <row r="8" spans="1:9" x14ac:dyDescent="0.35">
      <c r="A8" s="19">
        <v>45594</v>
      </c>
      <c r="B8" t="s">
        <v>848</v>
      </c>
      <c r="C8" t="s">
        <v>11</v>
      </c>
      <c r="D8" s="1">
        <v>92026</v>
      </c>
      <c r="E8" s="1">
        <v>27083</v>
      </c>
      <c r="F8" s="2">
        <v>0.29429726381674698</v>
      </c>
      <c r="G8" s="1">
        <v>693</v>
      </c>
      <c r="H8" s="2">
        <v>2.55880072370121E-2</v>
      </c>
      <c r="I8" s="2">
        <v>7.5304805163758102E-3</v>
      </c>
    </row>
    <row r="9" spans="1:9" x14ac:dyDescent="0.35">
      <c r="A9" s="19">
        <v>45595</v>
      </c>
      <c r="B9" t="s">
        <v>849</v>
      </c>
      <c r="C9" t="s">
        <v>850</v>
      </c>
      <c r="D9" s="1">
        <v>45332</v>
      </c>
      <c r="E9" s="1">
        <v>19437</v>
      </c>
      <c r="F9" s="2">
        <v>0.42876996382246502</v>
      </c>
      <c r="G9" s="1">
        <v>369</v>
      </c>
      <c r="H9" s="2">
        <v>1.8984411174563998E-2</v>
      </c>
      <c r="I9" s="2">
        <v>8.1399452925085998E-3</v>
      </c>
    </row>
    <row r="10" spans="1:9" x14ac:dyDescent="0.35">
      <c r="A10" s="19">
        <v>45595</v>
      </c>
      <c r="B10" t="s">
        <v>849</v>
      </c>
      <c r="C10" t="s">
        <v>763</v>
      </c>
      <c r="D10" s="1">
        <v>45215</v>
      </c>
      <c r="E10" s="1">
        <v>20182</v>
      </c>
      <c r="F10" s="2">
        <v>0.44635629768882001</v>
      </c>
      <c r="G10" s="1">
        <v>334</v>
      </c>
      <c r="H10" s="2">
        <v>1.6549400455851699E-2</v>
      </c>
      <c r="I10" s="2">
        <v>7.3869291164436598E-3</v>
      </c>
    </row>
    <row r="11" spans="1:9" x14ac:dyDescent="0.35">
      <c r="A11" s="19">
        <v>45595</v>
      </c>
      <c r="B11" t="s">
        <v>851</v>
      </c>
      <c r="C11" t="s">
        <v>10</v>
      </c>
      <c r="D11" s="1">
        <v>675150</v>
      </c>
      <c r="E11" s="1">
        <v>240726</v>
      </c>
      <c r="F11" s="2">
        <v>0.35655187736058702</v>
      </c>
      <c r="G11" s="1">
        <v>2370</v>
      </c>
      <c r="H11" s="2">
        <v>9.8452182148999305E-3</v>
      </c>
      <c r="I11" s="2">
        <v>3.5103310375472099E-3</v>
      </c>
    </row>
    <row r="12" spans="1:9" x14ac:dyDescent="0.35">
      <c r="A12" s="19">
        <v>45595</v>
      </c>
      <c r="B12" t="s">
        <v>851</v>
      </c>
      <c r="C12" t="s">
        <v>11</v>
      </c>
      <c r="D12" s="1">
        <v>38606</v>
      </c>
      <c r="E12" s="1">
        <v>12693</v>
      </c>
      <c r="F12" s="2">
        <v>0.32878309071128797</v>
      </c>
      <c r="G12" s="1">
        <v>174</v>
      </c>
      <c r="H12" s="2">
        <v>1.3708343181281E-2</v>
      </c>
      <c r="I12" s="2">
        <v>4.5070714396725896E-3</v>
      </c>
    </row>
    <row r="13" spans="1:9" x14ac:dyDescent="0.35">
      <c r="A13" s="19">
        <v>45595</v>
      </c>
      <c r="B13" t="s">
        <v>852</v>
      </c>
      <c r="C13" t="s">
        <v>10</v>
      </c>
      <c r="D13" s="1">
        <v>132861</v>
      </c>
      <c r="E13" s="1">
        <v>45502</v>
      </c>
      <c r="F13" s="2">
        <v>0.34247822912668102</v>
      </c>
      <c r="G13" s="1">
        <v>527</v>
      </c>
      <c r="H13" s="2">
        <v>1.1581908487539001E-2</v>
      </c>
      <c r="I13" s="2">
        <v>3.9665515087196398E-3</v>
      </c>
    </row>
    <row r="14" spans="1:9" x14ac:dyDescent="0.35">
      <c r="A14" s="19">
        <v>45595</v>
      </c>
      <c r="B14" t="s">
        <v>853</v>
      </c>
      <c r="C14" t="s">
        <v>10</v>
      </c>
      <c r="D14" s="1">
        <v>1444992</v>
      </c>
      <c r="E14" s="1">
        <v>499112</v>
      </c>
      <c r="F14" s="2">
        <v>0.34540814066790698</v>
      </c>
      <c r="G14" s="1">
        <v>5455</v>
      </c>
      <c r="H14" s="2">
        <v>1.09294106332847E-2</v>
      </c>
      <c r="I14" s="2">
        <v>3.7751074054389201E-3</v>
      </c>
    </row>
    <row r="15" spans="1:9" x14ac:dyDescent="0.35">
      <c r="A15" s="19">
        <v>45595</v>
      </c>
      <c r="B15" t="s">
        <v>853</v>
      </c>
      <c r="C15" t="s">
        <v>11</v>
      </c>
      <c r="D15" s="1">
        <v>88357</v>
      </c>
      <c r="E15" s="1">
        <v>27925</v>
      </c>
      <c r="F15" s="2">
        <v>0.316047398621501</v>
      </c>
      <c r="G15" s="1">
        <v>332</v>
      </c>
      <c r="H15" s="2">
        <v>1.18889883616831E-2</v>
      </c>
      <c r="I15" s="2">
        <v>3.7574838439512399E-3</v>
      </c>
    </row>
    <row r="16" spans="1:9" x14ac:dyDescent="0.35">
      <c r="A16" s="19">
        <v>45596</v>
      </c>
      <c r="B16" t="s">
        <v>854</v>
      </c>
      <c r="C16" t="s">
        <v>811</v>
      </c>
      <c r="D16" s="1">
        <v>97833</v>
      </c>
      <c r="E16" s="1">
        <v>27772</v>
      </c>
      <c r="F16" s="2">
        <v>0.28387149530322098</v>
      </c>
      <c r="G16" s="1">
        <v>65</v>
      </c>
      <c r="H16" s="2">
        <v>2.3404868212588202E-3</v>
      </c>
      <c r="I16" s="2">
        <v>6.6439749368822404E-4</v>
      </c>
    </row>
    <row r="17" spans="1:9" x14ac:dyDescent="0.35">
      <c r="A17" s="19">
        <v>45596</v>
      </c>
      <c r="B17" t="s">
        <v>854</v>
      </c>
      <c r="C17" t="s">
        <v>812</v>
      </c>
      <c r="D17" s="1">
        <v>29398</v>
      </c>
      <c r="E17" s="1">
        <v>9280</v>
      </c>
      <c r="F17" s="2">
        <v>0.31566773249880897</v>
      </c>
      <c r="G17" s="1">
        <v>31</v>
      </c>
      <c r="H17" s="2">
        <v>3.3405172413793101E-3</v>
      </c>
      <c r="I17" s="2">
        <v>1.05449350295938E-3</v>
      </c>
    </row>
    <row r="18" spans="1:9" x14ac:dyDescent="0.35">
      <c r="A18" s="19">
        <v>45596</v>
      </c>
      <c r="B18" t="s">
        <v>854</v>
      </c>
      <c r="C18" t="s">
        <v>813</v>
      </c>
      <c r="D18" s="1">
        <v>265460</v>
      </c>
      <c r="E18" s="1">
        <v>84080</v>
      </c>
      <c r="F18" s="2">
        <v>0.31669999999999998</v>
      </c>
      <c r="G18">
        <v>173</v>
      </c>
      <c r="H18" s="2">
        <v>2.0999999999999999E-3</v>
      </c>
      <c r="I18" s="2">
        <v>6.9999999999999999E-4</v>
      </c>
    </row>
    <row r="19" spans="1:9" x14ac:dyDescent="0.35">
      <c r="A19" s="19">
        <v>45596</v>
      </c>
      <c r="B19" t="s">
        <v>855</v>
      </c>
      <c r="C19" t="s">
        <v>813</v>
      </c>
      <c r="D19" s="1">
        <v>11448</v>
      </c>
      <c r="E19" s="1">
        <v>3342</v>
      </c>
      <c r="F19" s="2">
        <v>0.29189999999999999</v>
      </c>
      <c r="G19">
        <v>11</v>
      </c>
      <c r="H19" s="2">
        <v>3.3E-3</v>
      </c>
      <c r="I19" s="2">
        <v>1E-3</v>
      </c>
    </row>
    <row r="20" spans="1:9" x14ac:dyDescent="0.35">
      <c r="A20" s="19">
        <v>45596</v>
      </c>
      <c r="B20" t="s">
        <v>855</v>
      </c>
      <c r="C20" t="s">
        <v>811</v>
      </c>
      <c r="D20" s="1">
        <v>4748</v>
      </c>
      <c r="E20" s="1">
        <v>1207</v>
      </c>
      <c r="F20" s="2">
        <v>0.254212299915754</v>
      </c>
      <c r="G20" s="1">
        <v>3</v>
      </c>
      <c r="H20" s="2">
        <v>2.4855012427506202E-3</v>
      </c>
      <c r="I20" s="2">
        <v>6.3184498736310003E-4</v>
      </c>
    </row>
    <row r="21" spans="1:9" x14ac:dyDescent="0.35">
      <c r="A21" s="19">
        <v>45596</v>
      </c>
      <c r="B21" t="s">
        <v>855</v>
      </c>
      <c r="C21" t="s">
        <v>812</v>
      </c>
      <c r="D21" s="1">
        <v>1393</v>
      </c>
      <c r="E21" s="1">
        <v>394</v>
      </c>
      <c r="F21" s="2">
        <v>0.28284278535534801</v>
      </c>
      <c r="G21" s="1">
        <v>1</v>
      </c>
      <c r="H21" s="2">
        <v>2.5380710659898501E-3</v>
      </c>
      <c r="I21" s="2">
        <v>7.1787508973438603E-4</v>
      </c>
    </row>
    <row r="22" spans="1:9" x14ac:dyDescent="0.35">
      <c r="A22" s="19">
        <v>45596</v>
      </c>
      <c r="B22" t="s">
        <v>856</v>
      </c>
      <c r="C22" t="s">
        <v>841</v>
      </c>
      <c r="D22" s="1">
        <v>403721</v>
      </c>
      <c r="E22" s="1">
        <v>136314</v>
      </c>
      <c r="F22" s="2">
        <v>0.33764406607533398</v>
      </c>
      <c r="G22" s="1">
        <v>773</v>
      </c>
      <c r="H22" s="2">
        <v>5.67073081268248E-3</v>
      </c>
      <c r="I22" s="2">
        <v>1.9146886092127999E-3</v>
      </c>
    </row>
    <row r="23" spans="1:9" x14ac:dyDescent="0.35">
      <c r="A23" s="19">
        <v>45596</v>
      </c>
      <c r="B23" t="s">
        <v>856</v>
      </c>
      <c r="C23" t="s">
        <v>842</v>
      </c>
      <c r="D23" s="1">
        <v>313691</v>
      </c>
      <c r="E23" s="1">
        <v>106762</v>
      </c>
      <c r="F23" s="2">
        <v>0.340341291270709</v>
      </c>
      <c r="G23" s="1">
        <v>573</v>
      </c>
      <c r="H23" s="2">
        <v>5.3670781738820901E-3</v>
      </c>
      <c r="I23" s="2">
        <v>1.8266383160498701E-3</v>
      </c>
    </row>
    <row r="24" spans="1:9" x14ac:dyDescent="0.35">
      <c r="A24" s="19">
        <v>45596</v>
      </c>
      <c r="B24" t="s">
        <v>856</v>
      </c>
      <c r="C24" t="s">
        <v>843</v>
      </c>
      <c r="D24" s="1">
        <v>662434</v>
      </c>
      <c r="E24" s="1">
        <v>199653</v>
      </c>
      <c r="F24" s="2">
        <v>0.301393044439144</v>
      </c>
      <c r="G24" s="1">
        <v>1018</v>
      </c>
      <c r="H24" s="2">
        <v>5.0988464986751999E-3</v>
      </c>
      <c r="I24" s="2">
        <v>1.53675686936359E-3</v>
      </c>
    </row>
    <row r="25" spans="1:9" x14ac:dyDescent="0.35">
      <c r="A25" s="19">
        <v>45596</v>
      </c>
      <c r="B25" t="s">
        <v>857</v>
      </c>
      <c r="C25" t="s">
        <v>10</v>
      </c>
      <c r="D25" s="1">
        <v>226946</v>
      </c>
      <c r="E25" s="1">
        <v>75487</v>
      </c>
      <c r="F25" s="2">
        <v>0.33262097591497503</v>
      </c>
      <c r="G25" s="1">
        <v>701</v>
      </c>
      <c r="H25" s="2">
        <v>9.2863671890524198E-3</v>
      </c>
      <c r="I25" s="2">
        <v>3.0888405171274201E-3</v>
      </c>
    </row>
    <row r="26" spans="1:9" ht="16" thickBot="1" x14ac:dyDescent="0.4">
      <c r="A26" s="37" t="s">
        <v>35</v>
      </c>
      <c r="D26" s="31">
        <f>SUM(D2:D25)</f>
        <v>11293222</v>
      </c>
      <c r="E26" s="31">
        <f>SUM(E2:E25)</f>
        <v>3615375</v>
      </c>
      <c r="F26" s="32">
        <f>AVERAGE(F2:F25)</f>
        <v>0.32625326958001122</v>
      </c>
      <c r="G26" s="31">
        <f>SUM(G2:G25)</f>
        <v>44182</v>
      </c>
      <c r="H26" s="32">
        <f>AVERAGE(H2:H25)</f>
        <v>1.1372868447852555E-2</v>
      </c>
      <c r="I26" s="32">
        <f>AVERAGE(I2:I25)</f>
        <v>3.8113184742718559E-3</v>
      </c>
    </row>
    <row r="27" spans="1:9" ht="15" thickBot="1" x14ac:dyDescent="0.4">
      <c r="A27" s="138" t="s">
        <v>302</v>
      </c>
      <c r="B27" s="138"/>
      <c r="C27" s="138"/>
      <c r="D27" s="138"/>
      <c r="E27" s="138"/>
      <c r="F27" s="138"/>
      <c r="G27" s="138"/>
      <c r="H27" s="138"/>
      <c r="I27" s="138"/>
    </row>
    <row r="28" spans="1:9" ht="15.5" x14ac:dyDescent="0.35">
      <c r="A28" s="38" t="s">
        <v>0</v>
      </c>
      <c r="B28" s="39" t="s">
        <v>1</v>
      </c>
      <c r="C28" s="39" t="s">
        <v>2</v>
      </c>
      <c r="D28" s="39" t="s">
        <v>3</v>
      </c>
      <c r="E28" s="39" t="s">
        <v>4</v>
      </c>
      <c r="F28" s="39" t="s">
        <v>5</v>
      </c>
      <c r="G28" s="39" t="s">
        <v>6</v>
      </c>
      <c r="H28" s="39" t="s">
        <v>7</v>
      </c>
      <c r="I28" s="40" t="s">
        <v>8</v>
      </c>
    </row>
    <row r="29" spans="1:9" x14ac:dyDescent="0.35">
      <c r="A29" s="5" t="s">
        <v>36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8">
        <v>45590</v>
      </c>
      <c r="B30" t="s">
        <v>845</v>
      </c>
      <c r="C30" t="s">
        <v>10</v>
      </c>
      <c r="D30" s="1">
        <v>376486</v>
      </c>
      <c r="E30" s="1">
        <v>132632</v>
      </c>
      <c r="F30" s="2">
        <v>0.35228932815562902</v>
      </c>
      <c r="G30" s="1">
        <v>2441</v>
      </c>
      <c r="H30" s="2">
        <v>1.8404306652994799E-2</v>
      </c>
      <c r="I30" s="9">
        <v>6.4836408259536897E-3</v>
      </c>
    </row>
    <row r="31" spans="1:9" x14ac:dyDescent="0.35">
      <c r="A31" s="8">
        <v>45590</v>
      </c>
      <c r="B31" t="s">
        <v>845</v>
      </c>
      <c r="C31" t="s">
        <v>11</v>
      </c>
      <c r="D31" s="1">
        <v>21298</v>
      </c>
      <c r="E31" s="1">
        <v>7207</v>
      </c>
      <c r="F31" s="2">
        <v>0.33838858108742598</v>
      </c>
      <c r="G31" s="1">
        <v>192</v>
      </c>
      <c r="H31" s="2">
        <v>2.6640765922020301E-2</v>
      </c>
      <c r="I31" s="9">
        <v>9.0149309794346905E-3</v>
      </c>
    </row>
    <row r="32" spans="1:9" x14ac:dyDescent="0.35">
      <c r="A32" s="8">
        <v>45590</v>
      </c>
      <c r="B32" t="s">
        <v>846</v>
      </c>
      <c r="C32" t="s">
        <v>10</v>
      </c>
      <c r="D32" s="1">
        <v>4613092</v>
      </c>
      <c r="E32" s="1">
        <v>1469551</v>
      </c>
      <c r="F32" s="2">
        <v>0.31856095651246502</v>
      </c>
      <c r="G32" s="1">
        <v>17724</v>
      </c>
      <c r="H32" s="2">
        <v>1.20608267423179E-2</v>
      </c>
      <c r="I32" s="9">
        <v>3.8421085033638999E-3</v>
      </c>
    </row>
    <row r="33" spans="1:9" x14ac:dyDescent="0.35">
      <c r="A33" s="8">
        <v>45590</v>
      </c>
      <c r="B33" t="s">
        <v>846</v>
      </c>
      <c r="C33" t="s">
        <v>11</v>
      </c>
      <c r="D33" s="1">
        <v>298631</v>
      </c>
      <c r="E33" s="1">
        <v>87699</v>
      </c>
      <c r="F33" s="2">
        <v>0.29367011462306303</v>
      </c>
      <c r="G33" s="1">
        <v>1361</v>
      </c>
      <c r="H33" s="2">
        <v>1.5518991094539299E-2</v>
      </c>
      <c r="I33" s="9">
        <v>4.5574638935676499E-3</v>
      </c>
    </row>
    <row r="34" spans="1:9" x14ac:dyDescent="0.35">
      <c r="A34" s="8">
        <v>45594</v>
      </c>
      <c r="B34" t="s">
        <v>848</v>
      </c>
      <c r="C34" t="s">
        <v>10</v>
      </c>
      <c r="D34" s="1">
        <v>1349771</v>
      </c>
      <c r="E34" s="1">
        <v>362723</v>
      </c>
      <c r="F34" s="2">
        <v>0.26872928815332398</v>
      </c>
      <c r="G34" s="1">
        <v>8561</v>
      </c>
      <c r="H34" s="2">
        <v>2.3602032404893E-2</v>
      </c>
      <c r="I34" s="9">
        <v>6.3425573671385699E-3</v>
      </c>
    </row>
    <row r="35" spans="1:9" x14ac:dyDescent="0.35">
      <c r="A35" s="8">
        <v>45594</v>
      </c>
      <c r="B35" t="s">
        <v>848</v>
      </c>
      <c r="C35" t="s">
        <v>11</v>
      </c>
      <c r="D35" s="1">
        <v>92026</v>
      </c>
      <c r="E35" s="1">
        <v>27083</v>
      </c>
      <c r="F35" s="2">
        <v>0.29429726381674698</v>
      </c>
      <c r="G35" s="1">
        <v>693</v>
      </c>
      <c r="H35" s="2">
        <v>2.55880072370121E-2</v>
      </c>
      <c r="I35" s="9">
        <v>7.5304805163758102E-3</v>
      </c>
    </row>
    <row r="36" spans="1:9" ht="16" thickBot="1" x14ac:dyDescent="0.4">
      <c r="A36" s="36" t="s">
        <v>35</v>
      </c>
      <c r="B36" s="4"/>
      <c r="C36" s="4"/>
      <c r="D36" s="33">
        <f>SUM(D30:D35)</f>
        <v>6751304</v>
      </c>
      <c r="E36" s="33">
        <f>SUM(E30:E35)</f>
        <v>2086895</v>
      </c>
      <c r="F36" s="34">
        <f>AVERAGE(F30:F35)</f>
        <v>0.31098925539144234</v>
      </c>
      <c r="G36" s="33">
        <f>SUM(G30:G35)</f>
        <v>30972</v>
      </c>
      <c r="H36" s="34">
        <f>AVERAGE(H30:H35)</f>
        <v>2.0302488342296234E-2</v>
      </c>
      <c r="I36" s="35">
        <f>AVERAGE(I30:I35)</f>
        <v>6.2951970143057178E-3</v>
      </c>
    </row>
    <row r="37" spans="1:9" ht="3" customHeight="1" thickBot="1" x14ac:dyDescent="0.4">
      <c r="A37" s="141"/>
      <c r="B37" s="142"/>
      <c r="C37" s="142"/>
      <c r="D37" s="142"/>
      <c r="E37" s="142"/>
      <c r="F37" s="142"/>
      <c r="G37" s="142"/>
      <c r="H37" s="142"/>
      <c r="I37" s="143"/>
    </row>
    <row r="38" spans="1:9" x14ac:dyDescent="0.35">
      <c r="A38" s="16" t="s">
        <v>37</v>
      </c>
      <c r="B38" s="17"/>
      <c r="C38" s="17"/>
      <c r="D38" s="17"/>
      <c r="E38" s="17"/>
      <c r="F38" s="17"/>
      <c r="G38" s="17"/>
      <c r="H38" s="17"/>
      <c r="I38" s="18"/>
    </row>
    <row r="39" spans="1:9" x14ac:dyDescent="0.35">
      <c r="A39" s="8">
        <v>45593</v>
      </c>
      <c r="B39" t="s">
        <v>847</v>
      </c>
      <c r="C39" t="s">
        <v>10</v>
      </c>
      <c r="D39" s="1">
        <v>54333</v>
      </c>
      <c r="E39" s="1">
        <v>18612</v>
      </c>
      <c r="F39" s="2">
        <v>0.34255424879907198</v>
      </c>
      <c r="G39" s="1">
        <v>300</v>
      </c>
      <c r="H39" s="2">
        <v>1.6118633139909699E-2</v>
      </c>
      <c r="I39" s="9">
        <v>5.5215062669096097E-3</v>
      </c>
    </row>
    <row r="40" spans="1:9" x14ac:dyDescent="0.35">
      <c r="A40" s="8">
        <v>45595</v>
      </c>
      <c r="B40" t="s">
        <v>849</v>
      </c>
      <c r="C40" t="s">
        <v>850</v>
      </c>
      <c r="D40" s="1">
        <v>45332</v>
      </c>
      <c r="E40" s="1">
        <v>19437</v>
      </c>
      <c r="F40" s="2">
        <v>0.42876996382246502</v>
      </c>
      <c r="G40" s="1">
        <v>369</v>
      </c>
      <c r="H40" s="2">
        <v>1.8984411174563998E-2</v>
      </c>
      <c r="I40" s="9">
        <v>8.1399452925085998E-3</v>
      </c>
    </row>
    <row r="41" spans="1:9" x14ac:dyDescent="0.35">
      <c r="A41" s="8">
        <v>45595</v>
      </c>
      <c r="B41" t="s">
        <v>849</v>
      </c>
      <c r="C41" t="s">
        <v>763</v>
      </c>
      <c r="D41" s="1">
        <v>45215</v>
      </c>
      <c r="E41" s="1">
        <v>20182</v>
      </c>
      <c r="F41" s="2">
        <v>0.44635629768882001</v>
      </c>
      <c r="G41" s="1">
        <v>334</v>
      </c>
      <c r="H41" s="2">
        <v>1.6549400455851699E-2</v>
      </c>
      <c r="I41" s="9">
        <v>7.3869291164436598E-3</v>
      </c>
    </row>
    <row r="42" spans="1:9" x14ac:dyDescent="0.35">
      <c r="A42" s="8">
        <v>45595</v>
      </c>
      <c r="B42" t="s">
        <v>851</v>
      </c>
      <c r="C42" t="s">
        <v>10</v>
      </c>
      <c r="D42" s="1">
        <v>675150</v>
      </c>
      <c r="E42" s="1">
        <v>240726</v>
      </c>
      <c r="F42" s="2">
        <v>0.35655187736058702</v>
      </c>
      <c r="G42" s="1">
        <v>2370</v>
      </c>
      <c r="H42" s="2">
        <v>9.8452182148999305E-3</v>
      </c>
      <c r="I42" s="9">
        <v>3.5103310375472099E-3</v>
      </c>
    </row>
    <row r="43" spans="1:9" x14ac:dyDescent="0.35">
      <c r="A43" s="8">
        <v>45595</v>
      </c>
      <c r="B43" t="s">
        <v>851</v>
      </c>
      <c r="C43" t="s">
        <v>11</v>
      </c>
      <c r="D43" s="1">
        <v>38606</v>
      </c>
      <c r="E43" s="1">
        <v>12693</v>
      </c>
      <c r="F43" s="2">
        <v>0.32878309071128797</v>
      </c>
      <c r="G43" s="1">
        <v>174</v>
      </c>
      <c r="H43" s="2">
        <v>1.3708343181281E-2</v>
      </c>
      <c r="I43" s="9">
        <v>4.5070714396725896E-3</v>
      </c>
    </row>
    <row r="44" spans="1:9" x14ac:dyDescent="0.35">
      <c r="A44" s="8">
        <v>45595</v>
      </c>
      <c r="B44" t="s">
        <v>852</v>
      </c>
      <c r="C44" t="s">
        <v>10</v>
      </c>
      <c r="D44" s="1">
        <v>132861</v>
      </c>
      <c r="E44" s="1">
        <v>45502</v>
      </c>
      <c r="F44" s="2">
        <v>0.34247822912668102</v>
      </c>
      <c r="G44" s="1">
        <v>527</v>
      </c>
      <c r="H44" s="2">
        <v>1.1581908487539001E-2</v>
      </c>
      <c r="I44" s="9">
        <v>3.9665515087196398E-3</v>
      </c>
    </row>
    <row r="45" spans="1:9" x14ac:dyDescent="0.35">
      <c r="A45" s="8">
        <v>45595</v>
      </c>
      <c r="B45" t="s">
        <v>853</v>
      </c>
      <c r="C45" t="s">
        <v>10</v>
      </c>
      <c r="D45" s="1">
        <v>1444992</v>
      </c>
      <c r="E45" s="1">
        <v>499112</v>
      </c>
      <c r="F45" s="2">
        <v>0.34540814066790698</v>
      </c>
      <c r="G45" s="1">
        <v>5455</v>
      </c>
      <c r="H45" s="2">
        <v>1.09294106332847E-2</v>
      </c>
      <c r="I45" s="9">
        <v>3.7751074054389201E-3</v>
      </c>
    </row>
    <row r="46" spans="1:9" x14ac:dyDescent="0.35">
      <c r="A46" s="8">
        <v>45595</v>
      </c>
      <c r="B46" t="s">
        <v>853</v>
      </c>
      <c r="C46" t="s">
        <v>11</v>
      </c>
      <c r="D46" s="1">
        <v>88357</v>
      </c>
      <c r="E46" s="1">
        <v>27925</v>
      </c>
      <c r="F46" s="2">
        <v>0.316047398621501</v>
      </c>
      <c r="G46" s="1">
        <v>332</v>
      </c>
      <c r="H46" s="2">
        <v>1.18889883616831E-2</v>
      </c>
      <c r="I46" s="9">
        <v>3.7574838439512399E-3</v>
      </c>
    </row>
    <row r="47" spans="1:9" x14ac:dyDescent="0.35">
      <c r="A47" s="8">
        <v>45596</v>
      </c>
      <c r="B47" t="s">
        <v>856</v>
      </c>
      <c r="C47" t="s">
        <v>841</v>
      </c>
      <c r="D47" s="1">
        <v>403721</v>
      </c>
      <c r="E47" s="1">
        <v>136314</v>
      </c>
      <c r="F47" s="2">
        <v>0.33764406607533398</v>
      </c>
      <c r="G47" s="1">
        <v>773</v>
      </c>
      <c r="H47" s="2">
        <v>5.67073081268248E-3</v>
      </c>
      <c r="I47" s="9">
        <v>1.9146886092127999E-3</v>
      </c>
    </row>
    <row r="48" spans="1:9" x14ac:dyDescent="0.35">
      <c r="A48" s="8">
        <v>45596</v>
      </c>
      <c r="B48" t="s">
        <v>856</v>
      </c>
      <c r="C48" t="s">
        <v>842</v>
      </c>
      <c r="D48" s="1">
        <v>313691</v>
      </c>
      <c r="E48" s="1">
        <v>106762</v>
      </c>
      <c r="F48" s="2">
        <v>0.340341291270709</v>
      </c>
      <c r="G48" s="1">
        <v>573</v>
      </c>
      <c r="H48" s="2">
        <v>5.3670781738820901E-3</v>
      </c>
      <c r="I48" s="9">
        <v>1.8266383160498701E-3</v>
      </c>
    </row>
    <row r="49" spans="1:9" x14ac:dyDescent="0.35">
      <c r="A49" s="8">
        <v>45596</v>
      </c>
      <c r="B49" t="s">
        <v>856</v>
      </c>
      <c r="C49" t="s">
        <v>843</v>
      </c>
      <c r="D49" s="1">
        <v>662434</v>
      </c>
      <c r="E49" s="1">
        <v>199653</v>
      </c>
      <c r="F49" s="2">
        <v>0.301393044439144</v>
      </c>
      <c r="G49" s="1">
        <v>1018</v>
      </c>
      <c r="H49" s="2">
        <v>5.0988464986751999E-3</v>
      </c>
      <c r="I49" s="9">
        <v>1.53675686936359E-3</v>
      </c>
    </row>
    <row r="50" spans="1:9" x14ac:dyDescent="0.35">
      <c r="A50" s="8">
        <v>45596</v>
      </c>
      <c r="B50" t="s">
        <v>857</v>
      </c>
      <c r="C50" t="s">
        <v>10</v>
      </c>
      <c r="D50" s="1">
        <v>226946</v>
      </c>
      <c r="E50" s="1">
        <v>75487</v>
      </c>
      <c r="F50" s="2">
        <v>0.33262097591497503</v>
      </c>
      <c r="G50" s="1">
        <v>701</v>
      </c>
      <c r="H50" s="2">
        <v>9.2863671890524198E-3</v>
      </c>
      <c r="I50" s="9">
        <v>3.0888405171274201E-3</v>
      </c>
    </row>
    <row r="51" spans="1:9" ht="16" thickBot="1" x14ac:dyDescent="0.4">
      <c r="A51" s="36" t="s">
        <v>35</v>
      </c>
      <c r="B51" s="4"/>
      <c r="C51" s="4"/>
      <c r="D51" s="33">
        <f>SUM(D39:D50)</f>
        <v>4131638</v>
      </c>
      <c r="E51" s="33">
        <f>SUM(E39:E50)</f>
        <v>1402405</v>
      </c>
      <c r="F51" s="34">
        <f>AVERAGE(F39:F50)</f>
        <v>0.35157905204154027</v>
      </c>
      <c r="G51" s="33">
        <f>SUM(G39:G50)</f>
        <v>12926</v>
      </c>
      <c r="H51" s="34">
        <f>AVERAGE(H39:H50)</f>
        <v>1.1252444693608777E-2</v>
      </c>
      <c r="I51" s="35">
        <f>AVERAGE(I39:I50)</f>
        <v>4.0776541852454292E-3</v>
      </c>
    </row>
    <row r="52" spans="1:9" ht="3" customHeight="1" thickBot="1" x14ac:dyDescent="0.4">
      <c r="A52" s="139"/>
      <c r="B52" s="138"/>
      <c r="C52" s="138"/>
      <c r="D52" s="138"/>
      <c r="E52" s="138"/>
      <c r="F52" s="138"/>
      <c r="G52" s="138"/>
      <c r="H52" s="138"/>
      <c r="I52" s="140"/>
    </row>
    <row r="53" spans="1:9" x14ac:dyDescent="0.35">
      <c r="A53" s="16" t="s">
        <v>38</v>
      </c>
      <c r="B53" s="17"/>
      <c r="C53" s="17"/>
      <c r="D53" s="17"/>
      <c r="E53" s="17"/>
      <c r="F53" s="17"/>
      <c r="G53" s="17"/>
      <c r="H53" s="17"/>
      <c r="I53" s="18"/>
    </row>
    <row r="54" spans="1:9" x14ac:dyDescent="0.35">
      <c r="A54" s="8">
        <v>45596</v>
      </c>
      <c r="B54" t="s">
        <v>854</v>
      </c>
      <c r="C54" t="s">
        <v>811</v>
      </c>
      <c r="D54" s="1">
        <v>97833</v>
      </c>
      <c r="E54" s="1">
        <v>27772</v>
      </c>
      <c r="F54" s="2">
        <v>0.28387149530322098</v>
      </c>
      <c r="G54" s="1">
        <v>65</v>
      </c>
      <c r="H54" s="2">
        <v>2.3404868212588202E-3</v>
      </c>
      <c r="I54" s="9">
        <v>6.6439749368822404E-4</v>
      </c>
    </row>
    <row r="55" spans="1:9" x14ac:dyDescent="0.35">
      <c r="A55" s="8">
        <v>45596</v>
      </c>
      <c r="B55" t="s">
        <v>854</v>
      </c>
      <c r="C55" t="s">
        <v>812</v>
      </c>
      <c r="D55" s="1">
        <v>29398</v>
      </c>
      <c r="E55" s="1">
        <v>9280</v>
      </c>
      <c r="F55" s="2">
        <v>0.31566773249880897</v>
      </c>
      <c r="G55" s="1">
        <v>31</v>
      </c>
      <c r="H55" s="2">
        <v>3.3405172413793101E-3</v>
      </c>
      <c r="I55" s="9">
        <v>1.05449350295938E-3</v>
      </c>
    </row>
    <row r="56" spans="1:9" x14ac:dyDescent="0.35">
      <c r="A56" s="8">
        <v>45596</v>
      </c>
      <c r="B56" t="s">
        <v>854</v>
      </c>
      <c r="C56" t="s">
        <v>813</v>
      </c>
      <c r="D56" s="1">
        <v>265460</v>
      </c>
      <c r="E56" s="1">
        <v>84080</v>
      </c>
      <c r="F56" s="2">
        <f>E56/D56</f>
        <v>0.31673321781059294</v>
      </c>
      <c r="G56">
        <v>173</v>
      </c>
      <c r="H56" s="2">
        <f>G56/E56</f>
        <v>2.0575642245480494E-3</v>
      </c>
      <c r="I56" s="9">
        <f>G56/D56</f>
        <v>6.5169893769306114E-4</v>
      </c>
    </row>
    <row r="57" spans="1:9" x14ac:dyDescent="0.35">
      <c r="A57" s="8">
        <v>45596</v>
      </c>
      <c r="B57" t="s">
        <v>855</v>
      </c>
      <c r="C57" t="s">
        <v>813</v>
      </c>
      <c r="D57" s="1">
        <v>11448</v>
      </c>
      <c r="E57" s="1">
        <v>3342</v>
      </c>
      <c r="F57" s="2">
        <f>E57/D57</f>
        <v>0.2919287211740042</v>
      </c>
      <c r="G57">
        <v>11</v>
      </c>
      <c r="H57" s="2">
        <f>G57/E57</f>
        <v>3.291442250149611E-3</v>
      </c>
      <c r="I57" s="9">
        <f>G57/D57</f>
        <v>9.6086652690426273E-4</v>
      </c>
    </row>
    <row r="58" spans="1:9" x14ac:dyDescent="0.35">
      <c r="A58" s="8">
        <v>45596</v>
      </c>
      <c r="B58" t="s">
        <v>855</v>
      </c>
      <c r="C58" t="s">
        <v>811</v>
      </c>
      <c r="D58" s="1">
        <v>4748</v>
      </c>
      <c r="E58" s="1">
        <v>1207</v>
      </c>
      <c r="F58" s="2">
        <v>0.254212299915754</v>
      </c>
      <c r="G58" s="1">
        <v>3</v>
      </c>
      <c r="H58" s="2">
        <v>2.4855012427506202E-3</v>
      </c>
      <c r="I58" s="9">
        <v>6.3184498736310003E-4</v>
      </c>
    </row>
    <row r="59" spans="1:9" x14ac:dyDescent="0.35">
      <c r="A59" s="8">
        <v>45596</v>
      </c>
      <c r="B59" t="s">
        <v>855</v>
      </c>
      <c r="C59" t="s">
        <v>812</v>
      </c>
      <c r="D59" s="1">
        <v>1393</v>
      </c>
      <c r="E59" s="1">
        <v>394</v>
      </c>
      <c r="F59" s="2">
        <v>0.28284278535534801</v>
      </c>
      <c r="G59" s="1">
        <v>1</v>
      </c>
      <c r="H59" s="2">
        <v>2.5380710659898501E-3</v>
      </c>
      <c r="I59" s="9">
        <v>7.1787508973438603E-4</v>
      </c>
    </row>
    <row r="60" spans="1:9" ht="16" thickBot="1" x14ac:dyDescent="0.4">
      <c r="A60" s="36" t="s">
        <v>35</v>
      </c>
      <c r="B60" s="4"/>
      <c r="C60" s="4"/>
      <c r="D60" s="33">
        <f>SUM(D54:D59)</f>
        <v>410280</v>
      </c>
      <c r="E60" s="33">
        <f>SUM(E54:E59)</f>
        <v>126075</v>
      </c>
      <c r="F60" s="34">
        <f>AVERAGE(F54:F59)</f>
        <v>0.29087604200962147</v>
      </c>
      <c r="G60" s="33">
        <f>SUM(G54:G59)</f>
        <v>284</v>
      </c>
      <c r="H60" s="34">
        <f>AVERAGE(H54:H59)</f>
        <v>2.6755971410127102E-3</v>
      </c>
      <c r="I60" s="35">
        <f>AVERAGE(I54:I59)</f>
        <v>7.8019608972373575E-4</v>
      </c>
    </row>
  </sheetData>
  <mergeCells count="3">
    <mergeCell ref="A27:I27"/>
    <mergeCell ref="A37:I37"/>
    <mergeCell ref="A52:I52"/>
  </mergeCells>
  <pageMargins left="0.7" right="0.7" top="0.75" bottom="0.75" header="0.3" footer="0.3"/>
  <ignoredErrors>
    <ignoredError sqref="F26:G26 F36:G36 F51:G51 F60:G60" formula="1"/>
  </ignoredErrors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9754-1385-4D12-BBA3-4A3183339924}">
  <dimension ref="A1:I64"/>
  <sheetViews>
    <sheetView topLeftCell="A18" workbookViewId="0">
      <selection activeCell="J24" sqref="J24"/>
    </sheetView>
  </sheetViews>
  <sheetFormatPr defaultRowHeight="14.5" x14ac:dyDescent="0.35"/>
  <cols>
    <col min="1" max="1" width="11.81640625" customWidth="1"/>
    <col min="2" max="2" width="75" bestFit="1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45597</v>
      </c>
      <c r="B2" t="s">
        <v>858</v>
      </c>
      <c r="C2" t="s">
        <v>10</v>
      </c>
      <c r="D2" s="1">
        <v>380975</v>
      </c>
      <c r="E2" s="1">
        <v>134579</v>
      </c>
      <c r="F2" s="2">
        <v>0.35399999999999998</v>
      </c>
      <c r="G2" s="1">
        <v>1713</v>
      </c>
      <c r="H2" s="2">
        <v>1.7018982319789999E-2</v>
      </c>
      <c r="I2" s="2">
        <v>4.3913642627468998E-3</v>
      </c>
    </row>
    <row r="3" spans="1:9" x14ac:dyDescent="0.35">
      <c r="A3" s="19">
        <v>45597</v>
      </c>
      <c r="B3" t="s">
        <v>859</v>
      </c>
      <c r="C3" t="s">
        <v>10</v>
      </c>
      <c r="D3" s="1">
        <v>4805317</v>
      </c>
      <c r="E3" s="1">
        <v>1489962</v>
      </c>
      <c r="F3" s="2">
        <v>0.30449999999999999</v>
      </c>
      <c r="G3" s="1">
        <v>12654</v>
      </c>
      <c r="H3" s="2">
        <v>1.21E-2</v>
      </c>
      <c r="I3" s="2">
        <v>4.0000000000000001E-3</v>
      </c>
    </row>
    <row r="4" spans="1:9" x14ac:dyDescent="0.35">
      <c r="A4" s="19">
        <v>45597</v>
      </c>
      <c r="B4" t="s">
        <v>859</v>
      </c>
      <c r="C4" t="s">
        <v>11</v>
      </c>
      <c r="D4" s="1">
        <v>305403</v>
      </c>
      <c r="E4" s="1">
        <v>87744</v>
      </c>
      <c r="F4" s="2">
        <v>0.28899999999999998</v>
      </c>
      <c r="G4" s="1">
        <v>1138</v>
      </c>
      <c r="H4" s="2">
        <v>1.6299999999999999E-2</v>
      </c>
      <c r="I4" s="2">
        <v>5.0000000000000001E-3</v>
      </c>
    </row>
    <row r="5" spans="1:9" x14ac:dyDescent="0.35">
      <c r="A5" s="19">
        <v>45597</v>
      </c>
      <c r="B5" t="s">
        <v>860</v>
      </c>
      <c r="C5" t="s">
        <v>10</v>
      </c>
      <c r="D5" s="1">
        <v>13898</v>
      </c>
      <c r="E5" s="1">
        <v>5705</v>
      </c>
      <c r="F5" s="2">
        <v>0.410490718088934</v>
      </c>
      <c r="G5" s="1">
        <v>169</v>
      </c>
      <c r="H5" s="2">
        <v>2.96231375985977E-2</v>
      </c>
      <c r="I5" s="2">
        <v>1.2160023024895701E-2</v>
      </c>
    </row>
    <row r="6" spans="1:9" x14ac:dyDescent="0.35">
      <c r="A6" s="19">
        <v>45598</v>
      </c>
      <c r="B6" t="s">
        <v>861</v>
      </c>
      <c r="C6" t="s">
        <v>10</v>
      </c>
      <c r="D6" s="1">
        <v>66582</v>
      </c>
      <c r="E6" s="1">
        <v>28886</v>
      </c>
      <c r="F6" s="111">
        <v>0.43380000000000002</v>
      </c>
      <c r="G6" s="1">
        <v>2277</v>
      </c>
      <c r="H6" s="3">
        <v>7.8799999999999995E-2</v>
      </c>
      <c r="I6" s="3">
        <v>3.4200000000000001E-2</v>
      </c>
    </row>
    <row r="7" spans="1:9" x14ac:dyDescent="0.35">
      <c r="A7" s="19">
        <v>45598</v>
      </c>
      <c r="B7" t="s">
        <v>861</v>
      </c>
      <c r="C7" t="s">
        <v>11</v>
      </c>
      <c r="D7" s="1">
        <v>7583</v>
      </c>
      <c r="E7" s="1">
        <v>3665</v>
      </c>
      <c r="F7" s="111">
        <v>0.48330000000000001</v>
      </c>
      <c r="G7" s="1">
        <v>392</v>
      </c>
      <c r="H7" s="3">
        <v>0.107</v>
      </c>
      <c r="I7" s="3">
        <v>5.1700000000000003E-2</v>
      </c>
    </row>
    <row r="8" spans="1:9" x14ac:dyDescent="0.35">
      <c r="A8" s="19">
        <v>45598</v>
      </c>
      <c r="B8" t="s">
        <v>862</v>
      </c>
      <c r="C8" t="s">
        <v>10</v>
      </c>
      <c r="D8" s="1">
        <v>55998</v>
      </c>
      <c r="E8" s="1">
        <v>17802</v>
      </c>
      <c r="F8" s="111">
        <v>0.31790000000000002</v>
      </c>
      <c r="G8" s="1">
        <v>347</v>
      </c>
      <c r="H8" s="3">
        <v>1.95E-2</v>
      </c>
      <c r="I8" s="3">
        <v>6.1999999999999998E-3</v>
      </c>
    </row>
    <row r="9" spans="1:9" x14ac:dyDescent="0.35">
      <c r="A9" s="19">
        <v>45598</v>
      </c>
      <c r="B9" t="s">
        <v>863</v>
      </c>
      <c r="C9" t="s">
        <v>10</v>
      </c>
      <c r="D9" s="1">
        <v>253857</v>
      </c>
      <c r="E9" s="1">
        <v>94806</v>
      </c>
      <c r="F9" s="111">
        <v>0.3735</v>
      </c>
      <c r="G9" s="1">
        <v>1872</v>
      </c>
      <c r="H9" s="3">
        <v>1.9699999999999999E-2</v>
      </c>
      <c r="I9" s="3">
        <v>7.4000000000000003E-3</v>
      </c>
    </row>
    <row r="10" spans="1:9" x14ac:dyDescent="0.35">
      <c r="A10" s="19">
        <v>45600</v>
      </c>
      <c r="B10" t="s">
        <v>864</v>
      </c>
      <c r="C10" t="s">
        <v>10</v>
      </c>
      <c r="D10" s="1">
        <v>1453384</v>
      </c>
      <c r="E10" s="1">
        <v>550578</v>
      </c>
      <c r="F10" s="2">
        <v>0.37880000000000003</v>
      </c>
      <c r="G10" s="1">
        <v>13459</v>
      </c>
      <c r="H10" s="2">
        <v>2.4400000000000002E-2</v>
      </c>
      <c r="I10" s="2">
        <v>1.1900000000000001E-2</v>
      </c>
    </row>
    <row r="11" spans="1:9" x14ac:dyDescent="0.35">
      <c r="A11" s="19">
        <v>45600</v>
      </c>
      <c r="B11" t="s">
        <v>865</v>
      </c>
      <c r="C11" t="s">
        <v>10</v>
      </c>
      <c r="D11" s="1">
        <v>39704</v>
      </c>
      <c r="E11" s="1">
        <v>15095</v>
      </c>
      <c r="F11" s="111">
        <v>0.38019999999999998</v>
      </c>
      <c r="G11" s="1">
        <v>301</v>
      </c>
      <c r="H11" s="3">
        <v>1.9900000000000001E-2</v>
      </c>
      <c r="I11" s="3">
        <v>7.6E-3</v>
      </c>
    </row>
    <row r="12" spans="1:9" x14ac:dyDescent="0.35">
      <c r="A12" s="19">
        <v>45601</v>
      </c>
      <c r="B12" t="s">
        <v>866</v>
      </c>
      <c r="C12" t="s">
        <v>10</v>
      </c>
      <c r="D12" s="1">
        <v>1387587</v>
      </c>
      <c r="E12" s="1">
        <v>403039</v>
      </c>
      <c r="F12" s="2">
        <v>0.29046034590984199</v>
      </c>
      <c r="G12" s="1">
        <v>9692</v>
      </c>
      <c r="H12" s="2">
        <v>2.4047300633437501E-2</v>
      </c>
      <c r="I12" s="2">
        <v>6.9847872601862104E-3</v>
      </c>
    </row>
    <row r="13" spans="1:9" x14ac:dyDescent="0.35">
      <c r="A13" s="19">
        <v>45601</v>
      </c>
      <c r="B13" t="s">
        <v>866</v>
      </c>
      <c r="C13" t="s">
        <v>11</v>
      </c>
      <c r="D13" s="1">
        <v>93814</v>
      </c>
      <c r="E13" s="1">
        <v>28475</v>
      </c>
      <c r="F13" s="2">
        <v>0.303526126164538</v>
      </c>
      <c r="G13" s="1">
        <v>901</v>
      </c>
      <c r="H13" s="2">
        <v>3.1641791044776102E-2</v>
      </c>
      <c r="I13" s="2">
        <v>9.6041102607286807E-3</v>
      </c>
    </row>
    <row r="14" spans="1:9" x14ac:dyDescent="0.35">
      <c r="A14" s="19">
        <v>45601</v>
      </c>
      <c r="B14" t="s">
        <v>867</v>
      </c>
      <c r="C14" t="s">
        <v>623</v>
      </c>
      <c r="D14" s="1">
        <v>6722</v>
      </c>
      <c r="E14" s="1">
        <v>2104</v>
      </c>
      <c r="F14" s="111">
        <v>0.313</v>
      </c>
      <c r="G14" s="1">
        <v>170</v>
      </c>
      <c r="H14" s="3">
        <v>8.0799999999999997E-2</v>
      </c>
      <c r="I14" s="3">
        <v>2.53E-2</v>
      </c>
    </row>
    <row r="15" spans="1:9" x14ac:dyDescent="0.35">
      <c r="A15" s="19">
        <v>45601</v>
      </c>
      <c r="B15" t="s">
        <v>867</v>
      </c>
      <c r="C15" t="s">
        <v>625</v>
      </c>
      <c r="D15" s="1">
        <v>420</v>
      </c>
      <c r="E15" s="1">
        <v>124</v>
      </c>
      <c r="F15" s="111">
        <v>0.29520000000000002</v>
      </c>
      <c r="G15" s="1">
        <v>9</v>
      </c>
      <c r="H15" s="3">
        <v>7.2599999999999998E-2</v>
      </c>
      <c r="I15" s="3">
        <v>2.1399999999999999E-2</v>
      </c>
    </row>
    <row r="16" spans="1:9" x14ac:dyDescent="0.35">
      <c r="A16" s="19">
        <v>45602</v>
      </c>
      <c r="B16" t="s">
        <v>868</v>
      </c>
      <c r="C16" t="s">
        <v>623</v>
      </c>
      <c r="D16" s="1">
        <v>13850</v>
      </c>
      <c r="E16" s="1">
        <v>2985</v>
      </c>
      <c r="F16" s="2">
        <v>0.21552346570397099</v>
      </c>
      <c r="G16" s="1">
        <v>529</v>
      </c>
      <c r="H16" s="2">
        <v>0.177219430485762</v>
      </c>
      <c r="I16" s="2">
        <v>3.8194945848375503E-2</v>
      </c>
    </row>
    <row r="17" spans="1:9" x14ac:dyDescent="0.35">
      <c r="A17" s="19">
        <v>45602</v>
      </c>
      <c r="B17" t="s">
        <v>869</v>
      </c>
      <c r="C17" t="s">
        <v>625</v>
      </c>
      <c r="D17" s="1">
        <v>3515</v>
      </c>
      <c r="E17" s="1">
        <v>449</v>
      </c>
      <c r="F17" s="2">
        <v>0.13189999999999999</v>
      </c>
      <c r="G17" s="1">
        <v>97</v>
      </c>
      <c r="H17" s="2">
        <v>0.216</v>
      </c>
      <c r="I17" s="2">
        <v>2.8500000000000001E-2</v>
      </c>
    </row>
    <row r="18" spans="1:9" x14ac:dyDescent="0.35">
      <c r="A18" s="19">
        <v>45602</v>
      </c>
      <c r="B18" t="s">
        <v>870</v>
      </c>
      <c r="C18" t="s">
        <v>10</v>
      </c>
      <c r="D18" s="1">
        <v>2611711</v>
      </c>
      <c r="E18" s="1">
        <v>954872</v>
      </c>
      <c r="F18" s="111">
        <v>0.36559999999999998</v>
      </c>
      <c r="G18" s="1">
        <v>11165</v>
      </c>
      <c r="H18" s="3">
        <v>1.17E-2</v>
      </c>
      <c r="I18" s="3">
        <v>4.3E-3</v>
      </c>
    </row>
    <row r="19" spans="1:9" x14ac:dyDescent="0.35">
      <c r="A19" s="19">
        <v>45602</v>
      </c>
      <c r="B19" t="s">
        <v>870</v>
      </c>
      <c r="C19" t="s">
        <v>11</v>
      </c>
      <c r="D19" s="1">
        <v>144536</v>
      </c>
      <c r="E19" s="1">
        <v>52950</v>
      </c>
      <c r="F19" s="111">
        <v>0.36630000000000001</v>
      </c>
      <c r="G19" s="1">
        <v>1019</v>
      </c>
      <c r="H19" s="3">
        <v>1.9199999999999998E-2</v>
      </c>
      <c r="I19" s="3">
        <v>7.1000000000000004E-3</v>
      </c>
    </row>
    <row r="20" spans="1:9" x14ac:dyDescent="0.35">
      <c r="A20" s="19">
        <v>45602</v>
      </c>
      <c r="B20" t="s">
        <v>871</v>
      </c>
      <c r="C20" t="s">
        <v>10</v>
      </c>
      <c r="D20" s="1">
        <v>512519</v>
      </c>
      <c r="E20" s="1">
        <v>180111</v>
      </c>
      <c r="F20" s="111">
        <v>0.35139999999999999</v>
      </c>
      <c r="G20" s="1">
        <v>1527</v>
      </c>
      <c r="H20" s="3">
        <v>8.5000000000000006E-3</v>
      </c>
      <c r="I20" s="3">
        <v>3.0000000000000001E-3</v>
      </c>
    </row>
    <row r="21" spans="1:9" x14ac:dyDescent="0.35">
      <c r="A21" s="19">
        <v>45602</v>
      </c>
      <c r="B21" t="s">
        <v>871</v>
      </c>
      <c r="C21" t="s">
        <v>11</v>
      </c>
      <c r="D21" s="1">
        <v>28247</v>
      </c>
      <c r="E21" s="1">
        <v>9602</v>
      </c>
      <c r="F21" s="111">
        <v>0.33989999999999998</v>
      </c>
      <c r="G21" s="1">
        <v>115</v>
      </c>
      <c r="H21" s="3">
        <v>1.2E-2</v>
      </c>
      <c r="I21" s="3">
        <v>4.0000000000000001E-3</v>
      </c>
    </row>
    <row r="22" spans="1:9" x14ac:dyDescent="0.35">
      <c r="A22" s="19">
        <v>45602</v>
      </c>
      <c r="B22" t="s">
        <v>872</v>
      </c>
      <c r="C22" t="s">
        <v>10</v>
      </c>
      <c r="D22" s="1">
        <v>311386</v>
      </c>
      <c r="E22" s="1">
        <v>128455</v>
      </c>
      <c r="F22" s="112">
        <v>0.41249999999999998</v>
      </c>
      <c r="G22" s="1">
        <v>2222</v>
      </c>
      <c r="H22" s="112">
        <v>1.2800000000000001E-2</v>
      </c>
      <c r="I22" s="112">
        <v>5.3E-3</v>
      </c>
    </row>
    <row r="23" spans="1:9" x14ac:dyDescent="0.35">
      <c r="A23" s="19">
        <v>45603</v>
      </c>
      <c r="B23" t="s">
        <v>873</v>
      </c>
      <c r="C23" t="s">
        <v>234</v>
      </c>
      <c r="D23" s="1">
        <v>869420</v>
      </c>
      <c r="E23" s="1">
        <v>288040</v>
      </c>
      <c r="F23" s="3">
        <v>0.33129999999999998</v>
      </c>
      <c r="G23">
        <v>661</v>
      </c>
      <c r="H23" s="3">
        <v>2.3E-3</v>
      </c>
      <c r="I23" s="3">
        <v>8.0000000000000004E-4</v>
      </c>
    </row>
    <row r="24" spans="1:9" x14ac:dyDescent="0.35">
      <c r="A24" s="19">
        <v>45603</v>
      </c>
      <c r="B24" t="s">
        <v>874</v>
      </c>
      <c r="C24" t="s">
        <v>235</v>
      </c>
      <c r="D24" s="1">
        <v>41463</v>
      </c>
      <c r="E24" s="1">
        <v>12644</v>
      </c>
      <c r="F24" s="3">
        <v>0.3049</v>
      </c>
      <c r="G24">
        <v>43</v>
      </c>
      <c r="H24" s="3">
        <v>3.3999999999999998E-3</v>
      </c>
      <c r="I24" s="3">
        <v>1E-3</v>
      </c>
    </row>
    <row r="25" spans="1:9" x14ac:dyDescent="0.35">
      <c r="A25" s="19">
        <v>45603</v>
      </c>
      <c r="B25" t="s">
        <v>854</v>
      </c>
      <c r="C25" t="s">
        <v>403</v>
      </c>
      <c r="D25" s="1">
        <v>387391</v>
      </c>
      <c r="E25" s="1">
        <v>128276</v>
      </c>
      <c r="F25" s="3">
        <v>0.33110000000000001</v>
      </c>
      <c r="G25">
        <v>316</v>
      </c>
      <c r="H25" s="3">
        <v>2.5000000000000001E-3</v>
      </c>
      <c r="I25" s="3">
        <v>8.0000000000000004E-4</v>
      </c>
    </row>
    <row r="26" spans="1:9" x14ac:dyDescent="0.35">
      <c r="A26" s="19">
        <v>45603</v>
      </c>
      <c r="B26" t="s">
        <v>855</v>
      </c>
      <c r="C26" t="s">
        <v>404</v>
      </c>
      <c r="D26" s="1">
        <v>17393</v>
      </c>
      <c r="E26" s="1">
        <v>5288</v>
      </c>
      <c r="F26" s="3">
        <v>0.30399999999999999</v>
      </c>
      <c r="G26">
        <v>26</v>
      </c>
      <c r="H26" s="3">
        <v>4.8999999999999998E-3</v>
      </c>
      <c r="I26" s="3">
        <v>1.5E-3</v>
      </c>
    </row>
    <row r="27" spans="1:9" x14ac:dyDescent="0.35">
      <c r="A27" s="19">
        <v>45603</v>
      </c>
      <c r="B27" t="s">
        <v>875</v>
      </c>
      <c r="C27" t="s">
        <v>10</v>
      </c>
      <c r="D27" s="1">
        <v>1242427</v>
      </c>
      <c r="E27" s="1">
        <v>421794</v>
      </c>
      <c r="F27" s="2">
        <v>0.33949197820073101</v>
      </c>
      <c r="G27" s="1">
        <v>2901</v>
      </c>
      <c r="H27" s="2">
        <v>6.8777649753197102E-3</v>
      </c>
      <c r="I27" s="2">
        <v>2.33494603707099E-3</v>
      </c>
    </row>
    <row r="28" spans="1:9" ht="16" thickBot="1" x14ac:dyDescent="0.4">
      <c r="A28" s="37" t="s">
        <v>35</v>
      </c>
      <c r="D28" s="31">
        <f>SUM(D2:D27)</f>
        <v>15055102</v>
      </c>
      <c r="E28" s="31">
        <f>SUM(E2:E27)</f>
        <v>5048030</v>
      </c>
      <c r="F28" s="32">
        <f>AVERAGE(F2:F27)</f>
        <v>0.3354458705410775</v>
      </c>
      <c r="G28" s="31">
        <f>SUM(G2:G27)</f>
        <v>65715</v>
      </c>
      <c r="H28" s="32">
        <f>AVERAGE(H2:H27)</f>
        <v>3.9647246425295497E-2</v>
      </c>
      <c r="I28" s="32">
        <f>AVERAGE(I2:I27)</f>
        <v>1.1718083719000157E-2</v>
      </c>
    </row>
    <row r="29" spans="1:9" ht="15" thickBot="1" x14ac:dyDescent="0.4">
      <c r="A29" s="138" t="s">
        <v>302</v>
      </c>
      <c r="B29" s="138"/>
      <c r="C29" s="138"/>
      <c r="D29" s="138"/>
      <c r="E29" s="138"/>
      <c r="F29" s="138"/>
      <c r="G29" s="138"/>
      <c r="H29" s="138"/>
      <c r="I29" s="138"/>
    </row>
    <row r="30" spans="1:9" ht="15.5" x14ac:dyDescent="0.35">
      <c r="A30" s="38" t="s">
        <v>0</v>
      </c>
      <c r="B30" s="39" t="s">
        <v>1</v>
      </c>
      <c r="C30" s="39" t="s">
        <v>2</v>
      </c>
      <c r="D30" s="39" t="s">
        <v>3</v>
      </c>
      <c r="E30" s="39" t="s">
        <v>4</v>
      </c>
      <c r="F30" s="39" t="s">
        <v>5</v>
      </c>
      <c r="G30" s="39" t="s">
        <v>6</v>
      </c>
      <c r="H30" s="39" t="s">
        <v>7</v>
      </c>
      <c r="I30" s="40" t="s">
        <v>8</v>
      </c>
    </row>
    <row r="31" spans="1:9" x14ac:dyDescent="0.35">
      <c r="A31" s="5" t="s">
        <v>36</v>
      </c>
      <c r="B31" s="6"/>
      <c r="C31" s="6"/>
      <c r="D31" s="6"/>
      <c r="E31" s="6"/>
      <c r="F31" s="6"/>
      <c r="G31" s="6"/>
      <c r="H31" s="6"/>
      <c r="I31" s="7"/>
    </row>
    <row r="32" spans="1:9" x14ac:dyDescent="0.35">
      <c r="A32" s="8">
        <v>45597</v>
      </c>
      <c r="B32" t="s">
        <v>858</v>
      </c>
      <c r="C32" t="s">
        <v>10</v>
      </c>
      <c r="D32" s="1">
        <v>380975</v>
      </c>
      <c r="E32" s="1">
        <v>134579</v>
      </c>
      <c r="F32" s="2">
        <v>0.35399999999999998</v>
      </c>
      <c r="G32" s="1">
        <v>1713</v>
      </c>
      <c r="H32" s="2">
        <v>1.7018982319789999E-2</v>
      </c>
      <c r="I32" s="9">
        <v>4.3913642627468998E-3</v>
      </c>
    </row>
    <row r="33" spans="1:9" x14ac:dyDescent="0.35">
      <c r="A33" s="8">
        <v>45597</v>
      </c>
      <c r="B33" t="s">
        <v>859</v>
      </c>
      <c r="C33" t="s">
        <v>10</v>
      </c>
      <c r="D33" s="1">
        <v>4805317</v>
      </c>
      <c r="E33" s="1">
        <v>1489962</v>
      </c>
      <c r="F33" s="2">
        <v>0.30449999999999999</v>
      </c>
      <c r="G33" s="1">
        <v>12654</v>
      </c>
      <c r="H33" s="2">
        <v>1.21E-2</v>
      </c>
      <c r="I33" s="9">
        <v>4.0000000000000001E-3</v>
      </c>
    </row>
    <row r="34" spans="1:9" x14ac:dyDescent="0.35">
      <c r="A34" s="8">
        <v>45597</v>
      </c>
      <c r="B34" t="s">
        <v>859</v>
      </c>
      <c r="C34" t="s">
        <v>11</v>
      </c>
      <c r="D34" s="1">
        <v>305403</v>
      </c>
      <c r="E34" s="1">
        <v>87744</v>
      </c>
      <c r="F34" s="2">
        <v>0.28899999999999998</v>
      </c>
      <c r="G34" s="1">
        <v>1138</v>
      </c>
      <c r="H34" s="2">
        <v>1.6299999999999999E-2</v>
      </c>
      <c r="I34" s="9">
        <v>5.0000000000000001E-3</v>
      </c>
    </row>
    <row r="35" spans="1:9" x14ac:dyDescent="0.35">
      <c r="A35" s="8">
        <v>45601</v>
      </c>
      <c r="B35" t="s">
        <v>866</v>
      </c>
      <c r="C35" t="s">
        <v>10</v>
      </c>
      <c r="D35" s="1">
        <v>1387587</v>
      </c>
      <c r="E35" s="1">
        <v>403039</v>
      </c>
      <c r="F35" s="2">
        <v>0.29046034590984199</v>
      </c>
      <c r="G35" s="1">
        <v>9692</v>
      </c>
      <c r="H35" s="2">
        <v>2.4047300633437501E-2</v>
      </c>
      <c r="I35" s="9">
        <v>6.9847872601862104E-3</v>
      </c>
    </row>
    <row r="36" spans="1:9" x14ac:dyDescent="0.35">
      <c r="A36" s="8">
        <v>45601</v>
      </c>
      <c r="B36" t="s">
        <v>866</v>
      </c>
      <c r="C36" t="s">
        <v>11</v>
      </c>
      <c r="D36" s="1">
        <v>93814</v>
      </c>
      <c r="E36" s="1">
        <v>28475</v>
      </c>
      <c r="F36" s="2">
        <v>0.303526126164538</v>
      </c>
      <c r="G36" s="1">
        <v>901</v>
      </c>
      <c r="H36" s="2">
        <v>3.1641791044776102E-2</v>
      </c>
      <c r="I36" s="9">
        <v>9.6041102607286807E-3</v>
      </c>
    </row>
    <row r="37" spans="1:9" ht="16" thickBot="1" x14ac:dyDescent="0.4">
      <c r="A37" s="36" t="s">
        <v>35</v>
      </c>
      <c r="B37" s="4"/>
      <c r="C37" s="4"/>
      <c r="D37" s="33">
        <f>SUM(D32:D36)</f>
        <v>6973096</v>
      </c>
      <c r="E37" s="33">
        <f>SUM(E32:E36)</f>
        <v>2143799</v>
      </c>
      <c r="F37" s="34">
        <f>AVERAGE(F32:F36)</f>
        <v>0.30829729441487597</v>
      </c>
      <c r="G37" s="33">
        <f>SUM(G32:G36)</f>
        <v>26098</v>
      </c>
      <c r="H37" s="34">
        <f>AVERAGE(H32:H36)</f>
        <v>2.0221614799600721E-2</v>
      </c>
      <c r="I37" s="35">
        <f>AVERAGE(I32:I36)</f>
        <v>5.996052356732358E-3</v>
      </c>
    </row>
    <row r="38" spans="1:9" ht="3" customHeight="1" thickBot="1" x14ac:dyDescent="0.4">
      <c r="A38" s="141"/>
      <c r="B38" s="142"/>
      <c r="C38" s="142"/>
      <c r="D38" s="142"/>
      <c r="E38" s="142"/>
      <c r="F38" s="142"/>
      <c r="G38" s="142"/>
      <c r="H38" s="142"/>
      <c r="I38" s="143"/>
    </row>
    <row r="39" spans="1:9" x14ac:dyDescent="0.35">
      <c r="A39" s="16" t="s">
        <v>37</v>
      </c>
      <c r="B39" s="17"/>
      <c r="C39" s="17"/>
      <c r="D39" s="17"/>
      <c r="E39" s="17"/>
      <c r="F39" s="17"/>
      <c r="G39" s="17"/>
      <c r="H39" s="17"/>
      <c r="I39" s="18"/>
    </row>
    <row r="40" spans="1:9" x14ac:dyDescent="0.35">
      <c r="A40" s="8">
        <v>45597</v>
      </c>
      <c r="B40" t="s">
        <v>860</v>
      </c>
      <c r="C40" t="s">
        <v>10</v>
      </c>
      <c r="D40" s="1">
        <v>13898</v>
      </c>
      <c r="E40" s="1">
        <v>5705</v>
      </c>
      <c r="F40" s="2">
        <v>0.410490718088934</v>
      </c>
      <c r="G40" s="1">
        <v>169</v>
      </c>
      <c r="H40" s="2">
        <v>2.96231375985977E-2</v>
      </c>
      <c r="I40" s="9">
        <v>1.2160023024895701E-2</v>
      </c>
    </row>
    <row r="41" spans="1:9" x14ac:dyDescent="0.35">
      <c r="A41" s="8">
        <v>45598</v>
      </c>
      <c r="B41" t="s">
        <v>861</v>
      </c>
      <c r="C41" t="s">
        <v>10</v>
      </c>
      <c r="D41" s="1">
        <v>66582</v>
      </c>
      <c r="E41" s="1">
        <v>28886</v>
      </c>
      <c r="F41" s="113">
        <v>0.43380000000000002</v>
      </c>
      <c r="G41" s="1">
        <v>2277</v>
      </c>
      <c r="H41" s="3">
        <v>7.8799999999999995E-2</v>
      </c>
      <c r="I41" s="11">
        <v>3.4200000000000001E-2</v>
      </c>
    </row>
    <row r="42" spans="1:9" x14ac:dyDescent="0.35">
      <c r="A42" s="8">
        <v>45598</v>
      </c>
      <c r="B42" t="s">
        <v>861</v>
      </c>
      <c r="C42" t="s">
        <v>11</v>
      </c>
      <c r="D42" s="1">
        <v>7583</v>
      </c>
      <c r="E42" s="1">
        <v>3665</v>
      </c>
      <c r="F42" s="113">
        <v>0.48330000000000001</v>
      </c>
      <c r="G42" s="1">
        <v>392</v>
      </c>
      <c r="H42" s="3">
        <v>0.107</v>
      </c>
      <c r="I42" s="11">
        <v>5.1700000000000003E-2</v>
      </c>
    </row>
    <row r="43" spans="1:9" x14ac:dyDescent="0.35">
      <c r="A43" s="8">
        <v>45598</v>
      </c>
      <c r="B43" t="s">
        <v>862</v>
      </c>
      <c r="C43" t="s">
        <v>10</v>
      </c>
      <c r="D43" s="1">
        <v>55998</v>
      </c>
      <c r="E43" s="1">
        <v>17802</v>
      </c>
      <c r="F43" s="113">
        <v>0.31790000000000002</v>
      </c>
      <c r="G43" s="1">
        <v>347</v>
      </c>
      <c r="H43" s="3">
        <v>1.95E-2</v>
      </c>
      <c r="I43" s="11">
        <v>6.1999999999999998E-3</v>
      </c>
    </row>
    <row r="44" spans="1:9" x14ac:dyDescent="0.35">
      <c r="A44" s="8">
        <v>45598</v>
      </c>
      <c r="B44" t="s">
        <v>863</v>
      </c>
      <c r="C44" t="s">
        <v>10</v>
      </c>
      <c r="D44" s="1">
        <v>253857</v>
      </c>
      <c r="E44" s="1">
        <v>94806</v>
      </c>
      <c r="F44" s="113">
        <v>0.3735</v>
      </c>
      <c r="G44" s="1">
        <v>1872</v>
      </c>
      <c r="H44" s="3">
        <v>1.9699999999999999E-2</v>
      </c>
      <c r="I44" s="11">
        <v>7.4000000000000003E-3</v>
      </c>
    </row>
    <row r="45" spans="1:9" x14ac:dyDescent="0.35">
      <c r="A45" s="8">
        <v>45600</v>
      </c>
      <c r="B45" t="s">
        <v>864</v>
      </c>
      <c r="C45" t="s">
        <v>10</v>
      </c>
      <c r="D45" s="1">
        <v>1453384</v>
      </c>
      <c r="E45" s="1">
        <v>550578</v>
      </c>
      <c r="F45" s="2">
        <v>0.37880000000000003</v>
      </c>
      <c r="G45" s="1">
        <v>13459</v>
      </c>
      <c r="H45" s="2">
        <v>2.4400000000000002E-2</v>
      </c>
      <c r="I45" s="9">
        <v>1.1900000000000001E-2</v>
      </c>
    </row>
    <row r="46" spans="1:9" x14ac:dyDescent="0.35">
      <c r="A46" s="8">
        <v>45600</v>
      </c>
      <c r="B46" t="s">
        <v>865</v>
      </c>
      <c r="C46" t="s">
        <v>10</v>
      </c>
      <c r="D46" s="1">
        <v>39704</v>
      </c>
      <c r="E46" s="1">
        <v>15095</v>
      </c>
      <c r="F46" s="113">
        <v>0.38019999999999998</v>
      </c>
      <c r="G46" s="1">
        <v>301</v>
      </c>
      <c r="H46" s="3">
        <v>1.9900000000000001E-2</v>
      </c>
      <c r="I46" s="11">
        <v>7.6E-3</v>
      </c>
    </row>
    <row r="47" spans="1:9" x14ac:dyDescent="0.35">
      <c r="A47" s="8">
        <v>45601</v>
      </c>
      <c r="B47" t="s">
        <v>867</v>
      </c>
      <c r="C47" t="s">
        <v>623</v>
      </c>
      <c r="D47" s="1">
        <v>6722</v>
      </c>
      <c r="E47" s="1">
        <v>2104</v>
      </c>
      <c r="F47" s="113">
        <v>0.313</v>
      </c>
      <c r="G47" s="1">
        <v>170</v>
      </c>
      <c r="H47" s="3">
        <v>8.0799999999999997E-2</v>
      </c>
      <c r="I47" s="11">
        <v>2.53E-2</v>
      </c>
    </row>
    <row r="48" spans="1:9" x14ac:dyDescent="0.35">
      <c r="A48" s="8">
        <v>45601</v>
      </c>
      <c r="B48" t="s">
        <v>867</v>
      </c>
      <c r="C48" t="s">
        <v>625</v>
      </c>
      <c r="D48" s="1">
        <v>420</v>
      </c>
      <c r="E48" s="1">
        <v>124</v>
      </c>
      <c r="F48" s="113">
        <v>0.29520000000000002</v>
      </c>
      <c r="G48" s="1">
        <v>9</v>
      </c>
      <c r="H48" s="3">
        <v>7.2599999999999998E-2</v>
      </c>
      <c r="I48" s="11">
        <v>2.1399999999999999E-2</v>
      </c>
    </row>
    <row r="49" spans="1:9" x14ac:dyDescent="0.35">
      <c r="A49" s="8">
        <v>45602</v>
      </c>
      <c r="B49" t="s">
        <v>868</v>
      </c>
      <c r="C49" t="s">
        <v>623</v>
      </c>
      <c r="D49" s="1">
        <v>13850</v>
      </c>
      <c r="E49" s="1">
        <v>2985</v>
      </c>
      <c r="F49" s="2">
        <v>0.21552346570397099</v>
      </c>
      <c r="G49" s="1">
        <v>529</v>
      </c>
      <c r="H49" s="2">
        <v>0.177219430485762</v>
      </c>
      <c r="I49" s="29">
        <v>3.8194945848375503E-2</v>
      </c>
    </row>
    <row r="50" spans="1:9" x14ac:dyDescent="0.35">
      <c r="A50" s="8">
        <v>45602</v>
      </c>
      <c r="B50" t="s">
        <v>869</v>
      </c>
      <c r="C50" t="s">
        <v>625</v>
      </c>
      <c r="D50" s="1">
        <v>3515</v>
      </c>
      <c r="E50" s="1">
        <v>449</v>
      </c>
      <c r="F50" s="2">
        <v>0.13189999999999999</v>
      </c>
      <c r="G50" s="1">
        <v>97</v>
      </c>
      <c r="H50" s="2">
        <v>0.216</v>
      </c>
      <c r="I50" s="29">
        <v>2.8500000000000001E-2</v>
      </c>
    </row>
    <row r="51" spans="1:9" x14ac:dyDescent="0.35">
      <c r="A51" s="8">
        <v>45602</v>
      </c>
      <c r="B51" t="s">
        <v>870</v>
      </c>
      <c r="C51" t="s">
        <v>10</v>
      </c>
      <c r="D51" s="1">
        <v>2611711</v>
      </c>
      <c r="E51" s="1">
        <v>954872</v>
      </c>
      <c r="F51" s="113">
        <v>0.36559999999999998</v>
      </c>
      <c r="G51" s="1">
        <v>11165</v>
      </c>
      <c r="H51" s="3">
        <v>1.17E-2</v>
      </c>
      <c r="I51" s="11">
        <v>4.3E-3</v>
      </c>
    </row>
    <row r="52" spans="1:9" x14ac:dyDescent="0.35">
      <c r="A52" s="8">
        <v>45602</v>
      </c>
      <c r="B52" t="s">
        <v>870</v>
      </c>
      <c r="C52" t="s">
        <v>11</v>
      </c>
      <c r="D52" s="1">
        <v>144536</v>
      </c>
      <c r="E52" s="1">
        <v>52950</v>
      </c>
      <c r="F52" s="113">
        <v>0.36630000000000001</v>
      </c>
      <c r="G52" s="1">
        <v>1019</v>
      </c>
      <c r="H52" s="3">
        <v>1.9199999999999998E-2</v>
      </c>
      <c r="I52" s="11">
        <v>7.1000000000000004E-3</v>
      </c>
    </row>
    <row r="53" spans="1:9" x14ac:dyDescent="0.35">
      <c r="A53" s="8">
        <v>45602</v>
      </c>
      <c r="B53" t="s">
        <v>871</v>
      </c>
      <c r="C53" t="s">
        <v>10</v>
      </c>
      <c r="D53" s="1">
        <v>512519</v>
      </c>
      <c r="E53" s="1">
        <v>180111</v>
      </c>
      <c r="F53" s="113">
        <v>0.35139999999999999</v>
      </c>
      <c r="G53" s="1">
        <v>1527</v>
      </c>
      <c r="H53" s="3">
        <v>8.5000000000000006E-3</v>
      </c>
      <c r="I53" s="11">
        <v>3.0000000000000001E-3</v>
      </c>
    </row>
    <row r="54" spans="1:9" x14ac:dyDescent="0.35">
      <c r="A54" s="8">
        <v>45602</v>
      </c>
      <c r="B54" t="s">
        <v>871</v>
      </c>
      <c r="C54" t="s">
        <v>11</v>
      </c>
      <c r="D54" s="1">
        <v>28247</v>
      </c>
      <c r="E54" s="1">
        <v>9602</v>
      </c>
      <c r="F54" s="113">
        <v>0.33989999999999998</v>
      </c>
      <c r="G54" s="1">
        <v>115</v>
      </c>
      <c r="H54" s="3">
        <v>1.2E-2</v>
      </c>
      <c r="I54" s="11">
        <v>4.0000000000000001E-3</v>
      </c>
    </row>
    <row r="55" spans="1:9" x14ac:dyDescent="0.35">
      <c r="A55" s="8">
        <v>45602</v>
      </c>
      <c r="B55" t="s">
        <v>872</v>
      </c>
      <c r="C55" t="s">
        <v>10</v>
      </c>
      <c r="D55" s="1">
        <v>311386</v>
      </c>
      <c r="E55" s="1">
        <v>128455</v>
      </c>
      <c r="F55" s="114">
        <v>0.41249999999999998</v>
      </c>
      <c r="G55" s="1">
        <v>2222</v>
      </c>
      <c r="H55" s="114">
        <v>1.2800000000000001E-2</v>
      </c>
      <c r="I55" s="115">
        <v>5.3E-3</v>
      </c>
    </row>
    <row r="56" spans="1:9" x14ac:dyDescent="0.35">
      <c r="A56" s="8">
        <v>45603</v>
      </c>
      <c r="B56" t="s">
        <v>875</v>
      </c>
      <c r="C56" t="s">
        <v>10</v>
      </c>
      <c r="D56" s="1">
        <v>1242427</v>
      </c>
      <c r="E56" s="1">
        <v>421794</v>
      </c>
      <c r="F56" s="2">
        <v>0.33949197820073101</v>
      </c>
      <c r="G56" s="1">
        <v>2901</v>
      </c>
      <c r="H56" s="2">
        <v>6.8777649753197102E-3</v>
      </c>
      <c r="I56" s="9">
        <v>2.33494603707099E-3</v>
      </c>
    </row>
    <row r="57" spans="1:9" ht="16" thickBot="1" x14ac:dyDescent="0.4">
      <c r="A57" s="36" t="s">
        <v>35</v>
      </c>
      <c r="B57" s="4"/>
      <c r="C57" s="4"/>
      <c r="D57" s="33">
        <f>SUM(D40:D56)</f>
        <v>6766339</v>
      </c>
      <c r="E57" s="33">
        <f>SUM(E40:E56)</f>
        <v>2469983</v>
      </c>
      <c r="F57" s="34">
        <f>AVERAGE(F40:F56)</f>
        <v>0.34757683305844916</v>
      </c>
      <c r="G57" s="33">
        <f>SUM(G40:G56)</f>
        <v>38571</v>
      </c>
      <c r="H57" s="34">
        <f>AVERAGE(H40:H56)</f>
        <v>5.3918843121157606E-2</v>
      </c>
      <c r="I57" s="35">
        <f>AVERAGE(I40:I56)</f>
        <v>1.5917053818255426E-2</v>
      </c>
    </row>
    <row r="58" spans="1:9" ht="3" customHeight="1" thickBot="1" x14ac:dyDescent="0.4">
      <c r="A58" s="139"/>
      <c r="B58" s="138"/>
      <c r="C58" s="138"/>
      <c r="D58" s="138"/>
      <c r="E58" s="138"/>
      <c r="F58" s="138"/>
      <c r="G58" s="138"/>
      <c r="H58" s="138"/>
      <c r="I58" s="140"/>
    </row>
    <row r="59" spans="1:9" x14ac:dyDescent="0.35">
      <c r="A59" s="16" t="s">
        <v>38</v>
      </c>
      <c r="B59" s="17"/>
      <c r="C59" s="17"/>
      <c r="D59" s="17"/>
      <c r="E59" s="17"/>
      <c r="F59" s="17"/>
      <c r="G59" s="17"/>
      <c r="H59" s="17"/>
      <c r="I59" s="18"/>
    </row>
    <row r="60" spans="1:9" x14ac:dyDescent="0.35">
      <c r="A60" s="8">
        <v>45603</v>
      </c>
      <c r="B60" t="s">
        <v>873</v>
      </c>
      <c r="C60" t="s">
        <v>234</v>
      </c>
      <c r="D60" s="1">
        <v>869420</v>
      </c>
      <c r="E60" s="1">
        <v>288040</v>
      </c>
      <c r="F60" s="3">
        <v>0.33129999999999998</v>
      </c>
      <c r="G60">
        <v>661</v>
      </c>
      <c r="H60" s="3">
        <v>2.3E-3</v>
      </c>
      <c r="I60" s="11">
        <v>8.0000000000000004E-4</v>
      </c>
    </row>
    <row r="61" spans="1:9" x14ac:dyDescent="0.35">
      <c r="A61" s="8">
        <v>45603</v>
      </c>
      <c r="B61" t="s">
        <v>874</v>
      </c>
      <c r="C61" t="s">
        <v>235</v>
      </c>
      <c r="D61" s="1">
        <v>41463</v>
      </c>
      <c r="E61" s="1">
        <v>12644</v>
      </c>
      <c r="F61" s="3">
        <v>0.3049</v>
      </c>
      <c r="G61">
        <v>43</v>
      </c>
      <c r="H61" s="3">
        <v>3.3999999999999998E-3</v>
      </c>
      <c r="I61" s="11">
        <v>1E-3</v>
      </c>
    </row>
    <row r="62" spans="1:9" x14ac:dyDescent="0.35">
      <c r="A62" s="8">
        <v>45603</v>
      </c>
      <c r="B62" t="s">
        <v>854</v>
      </c>
      <c r="C62" t="s">
        <v>403</v>
      </c>
      <c r="D62" s="1">
        <v>387391</v>
      </c>
      <c r="E62" s="1">
        <v>128276</v>
      </c>
      <c r="F62" s="3">
        <v>0.33110000000000001</v>
      </c>
      <c r="G62">
        <v>316</v>
      </c>
      <c r="H62" s="3">
        <v>2.5000000000000001E-3</v>
      </c>
      <c r="I62" s="11">
        <v>8.0000000000000004E-4</v>
      </c>
    </row>
    <row r="63" spans="1:9" x14ac:dyDescent="0.35">
      <c r="A63" s="8">
        <v>45603</v>
      </c>
      <c r="B63" t="s">
        <v>855</v>
      </c>
      <c r="C63" t="s">
        <v>404</v>
      </c>
      <c r="D63" s="1">
        <v>17393</v>
      </c>
      <c r="E63" s="1">
        <v>5288</v>
      </c>
      <c r="F63" s="3">
        <v>0.30399999999999999</v>
      </c>
      <c r="G63">
        <v>26</v>
      </c>
      <c r="H63" s="3">
        <v>4.8999999999999998E-3</v>
      </c>
      <c r="I63" s="11">
        <v>1.5E-3</v>
      </c>
    </row>
    <row r="64" spans="1:9" ht="16" thickBot="1" x14ac:dyDescent="0.4">
      <c r="A64" s="36" t="s">
        <v>35</v>
      </c>
      <c r="B64" s="4"/>
      <c r="C64" s="4"/>
      <c r="D64" s="33">
        <f>SUM(D60:D63)</f>
        <v>1315667</v>
      </c>
      <c r="E64" s="33">
        <f>SUM(E60:E63)</f>
        <v>434248</v>
      </c>
      <c r="F64" s="34">
        <f>AVERAGE(F60:F63)</f>
        <v>0.31782500000000002</v>
      </c>
      <c r="G64" s="33">
        <f>SUM(G60:G63)</f>
        <v>1046</v>
      </c>
      <c r="H64" s="34">
        <f>AVERAGE(H60:H63)</f>
        <v>3.2750000000000001E-3</v>
      </c>
      <c r="I64" s="35">
        <f>AVERAGE(I60:I63)</f>
        <v>1.0249999999999999E-3</v>
      </c>
    </row>
  </sheetData>
  <mergeCells count="3">
    <mergeCell ref="A29:I29"/>
    <mergeCell ref="A38:I38"/>
    <mergeCell ref="A58:I58"/>
  </mergeCells>
  <pageMargins left="0.7" right="0.7" top="0.75" bottom="0.75" header="0.3" footer="0.3"/>
  <ignoredErrors>
    <ignoredError sqref="F28:G28 F57:G57 F64:G64 F37:G37" formula="1"/>
  </ignoredErrors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A759-257A-4F40-8F8C-2C2221812D73}">
  <dimension ref="A1:I56"/>
  <sheetViews>
    <sheetView topLeftCell="A18" workbookViewId="0">
      <selection activeCell="A2" sqref="A2"/>
    </sheetView>
  </sheetViews>
  <sheetFormatPr defaultRowHeight="14.5" x14ac:dyDescent="0.35"/>
  <cols>
    <col min="1" max="1" width="11.81640625" customWidth="1"/>
    <col min="2" max="2" width="75" bestFit="1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45604</v>
      </c>
      <c r="B2" t="s">
        <v>876</v>
      </c>
      <c r="C2" t="s">
        <v>10</v>
      </c>
      <c r="D2" s="1">
        <v>379892</v>
      </c>
      <c r="E2" s="1">
        <v>139910</v>
      </c>
      <c r="F2" s="2">
        <v>0.36828888210333499</v>
      </c>
      <c r="G2" s="1">
        <v>2807</v>
      </c>
      <c r="H2" s="2">
        <v>2.0062897577013801E-2</v>
      </c>
      <c r="I2" s="2">
        <v>7.3889421203921102E-3</v>
      </c>
    </row>
    <row r="3" spans="1:9" x14ac:dyDescent="0.35">
      <c r="A3" s="19">
        <v>45604</v>
      </c>
      <c r="B3" t="s">
        <v>876</v>
      </c>
      <c r="C3" t="s">
        <v>11</v>
      </c>
      <c r="D3" s="1">
        <v>21581</v>
      </c>
      <c r="E3" s="1">
        <v>7523</v>
      </c>
      <c r="F3" s="2">
        <v>0.348593670358185</v>
      </c>
      <c r="G3" s="1">
        <v>230</v>
      </c>
      <c r="H3" s="2">
        <v>3.0572909743453398E-2</v>
      </c>
      <c r="I3" s="2">
        <v>1.0657522821E-2</v>
      </c>
    </row>
    <row r="4" spans="1:9" x14ac:dyDescent="0.35">
      <c r="A4" s="19">
        <v>45604</v>
      </c>
      <c r="B4" t="s">
        <v>877</v>
      </c>
      <c r="C4" t="s">
        <v>10</v>
      </c>
      <c r="D4" s="1">
        <v>4790628</v>
      </c>
      <c r="E4" s="1">
        <v>1534985</v>
      </c>
      <c r="F4" s="2">
        <v>0.32041415029511799</v>
      </c>
      <c r="G4" s="1">
        <v>16050</v>
      </c>
      <c r="H4" s="2">
        <v>1.04561282357808E-2</v>
      </c>
      <c r="I4" s="2">
        <v>3.3502914440445E-3</v>
      </c>
    </row>
    <row r="5" spans="1:9" x14ac:dyDescent="0.35">
      <c r="A5" s="19">
        <v>45604</v>
      </c>
      <c r="B5" t="s">
        <v>877</v>
      </c>
      <c r="C5" t="s">
        <v>11</v>
      </c>
      <c r="D5" s="1">
        <v>304790</v>
      </c>
      <c r="E5" s="1">
        <v>90133</v>
      </c>
      <c r="F5" s="2">
        <v>0.29572164441090598</v>
      </c>
      <c r="G5" s="1">
        <v>1015</v>
      </c>
      <c r="H5" s="2">
        <v>1.12611363207704E-2</v>
      </c>
      <c r="I5" s="2">
        <v>3.3301617507136101E-3</v>
      </c>
    </row>
    <row r="6" spans="1:9" x14ac:dyDescent="0.35">
      <c r="A6" s="19">
        <v>45605</v>
      </c>
      <c r="B6" t="s">
        <v>878</v>
      </c>
      <c r="C6" t="s">
        <v>10</v>
      </c>
      <c r="D6" s="1">
        <v>6474429</v>
      </c>
      <c r="E6" s="1">
        <v>2218573</v>
      </c>
      <c r="F6" s="2">
        <v>0.34266697495640203</v>
      </c>
      <c r="G6" s="1">
        <v>29003</v>
      </c>
      <c r="H6" s="2">
        <v>1.3072817527302501E-2</v>
      </c>
      <c r="I6" s="2">
        <v>4.4796228362377604E-3</v>
      </c>
    </row>
    <row r="7" spans="1:9" x14ac:dyDescent="0.35">
      <c r="A7" s="19">
        <v>45605</v>
      </c>
      <c r="B7" t="s">
        <v>878</v>
      </c>
      <c r="C7" t="s">
        <v>11</v>
      </c>
      <c r="D7" s="1">
        <v>414664</v>
      </c>
      <c r="E7" s="1">
        <v>133593</v>
      </c>
      <c r="F7" s="2">
        <v>0.32217168599154999</v>
      </c>
      <c r="G7" s="1">
        <v>2521</v>
      </c>
      <c r="H7" s="2">
        <v>1.8870749215902E-2</v>
      </c>
      <c r="I7" s="2">
        <v>6.0796210908108696E-3</v>
      </c>
    </row>
    <row r="8" spans="1:9" x14ac:dyDescent="0.35">
      <c r="A8" s="19">
        <v>45606</v>
      </c>
      <c r="B8" t="s">
        <v>879</v>
      </c>
      <c r="C8" t="s">
        <v>10</v>
      </c>
      <c r="D8" s="1">
        <v>56386</v>
      </c>
      <c r="E8" s="1">
        <v>19744</v>
      </c>
      <c r="F8" s="2">
        <v>0.35015784059873001</v>
      </c>
      <c r="G8" s="1">
        <v>350</v>
      </c>
      <c r="H8" s="2">
        <v>1.7726904376013E-2</v>
      </c>
      <c r="I8" s="2">
        <v>6.2072145568048799E-3</v>
      </c>
    </row>
    <row r="9" spans="1:9" x14ac:dyDescent="0.35">
      <c r="A9" s="19">
        <v>45607</v>
      </c>
      <c r="B9" t="s">
        <v>880</v>
      </c>
      <c r="C9" t="s">
        <v>10</v>
      </c>
      <c r="D9" s="1">
        <v>258746</v>
      </c>
      <c r="E9" s="1">
        <v>92474</v>
      </c>
      <c r="F9" s="2">
        <v>0.35739296452892</v>
      </c>
      <c r="G9" s="1">
        <v>1349</v>
      </c>
      <c r="H9" s="2">
        <v>1.4587884162034701E-2</v>
      </c>
      <c r="I9" s="2">
        <v>5.21360716687408E-3</v>
      </c>
    </row>
    <row r="10" spans="1:9" x14ac:dyDescent="0.35">
      <c r="A10" s="19">
        <v>45608</v>
      </c>
      <c r="B10" t="s">
        <v>881</v>
      </c>
      <c r="C10" t="s">
        <v>10</v>
      </c>
      <c r="D10" s="1">
        <v>1385460</v>
      </c>
      <c r="E10" s="1">
        <v>395964</v>
      </c>
      <c r="F10" s="2">
        <v>0.28579966220605402</v>
      </c>
      <c r="G10" s="1">
        <v>7873</v>
      </c>
      <c r="H10" s="2">
        <v>1.98831206877393E-2</v>
      </c>
      <c r="I10" s="2">
        <v>5.6825891761581003E-3</v>
      </c>
    </row>
    <row r="11" spans="1:9" x14ac:dyDescent="0.35">
      <c r="A11" s="19">
        <v>45608</v>
      </c>
      <c r="B11" t="s">
        <v>881</v>
      </c>
      <c r="C11" t="s">
        <v>11</v>
      </c>
      <c r="D11" s="1">
        <v>93571</v>
      </c>
      <c r="E11" s="1">
        <v>28542</v>
      </c>
      <c r="F11" s="2">
        <v>0.30503040471941101</v>
      </c>
      <c r="G11" s="1">
        <v>1033</v>
      </c>
      <c r="H11" s="2">
        <v>3.6192278046387798E-2</v>
      </c>
      <c r="I11" s="2">
        <v>1.1039745220207099E-2</v>
      </c>
    </row>
    <row r="12" spans="1:9" x14ac:dyDescent="0.35">
      <c r="A12" s="19">
        <v>45608</v>
      </c>
      <c r="B12" t="s">
        <v>882</v>
      </c>
      <c r="C12" t="s">
        <v>10</v>
      </c>
      <c r="D12" s="1">
        <v>204149</v>
      </c>
      <c r="E12" s="1">
        <v>68191</v>
      </c>
      <c r="F12" s="2">
        <v>0.33402563813685099</v>
      </c>
      <c r="G12" s="1">
        <v>1450</v>
      </c>
      <c r="H12" s="2">
        <v>2.1263803141176998E-2</v>
      </c>
      <c r="I12" s="2">
        <v>7.10265541344802E-3</v>
      </c>
    </row>
    <row r="13" spans="1:9" x14ac:dyDescent="0.35">
      <c r="A13" s="19">
        <v>45608</v>
      </c>
      <c r="B13" t="s">
        <v>883</v>
      </c>
      <c r="C13" t="s">
        <v>10</v>
      </c>
      <c r="D13" s="1">
        <v>56048</v>
      </c>
      <c r="E13" s="1">
        <v>19272</v>
      </c>
      <c r="F13" s="2">
        <v>0.34384813017413601</v>
      </c>
      <c r="G13" s="1">
        <v>242</v>
      </c>
      <c r="H13" s="2">
        <v>1.25570776255708E-2</v>
      </c>
      <c r="I13" s="2">
        <v>4.3177276620039997E-3</v>
      </c>
    </row>
    <row r="14" spans="1:9" x14ac:dyDescent="0.35">
      <c r="A14" s="19">
        <v>45608</v>
      </c>
      <c r="B14" t="s">
        <v>884</v>
      </c>
      <c r="C14" t="s">
        <v>10</v>
      </c>
      <c r="D14" s="1">
        <v>534589</v>
      </c>
      <c r="E14" s="1">
        <v>186751</v>
      </c>
      <c r="F14" s="2">
        <v>0.34933565786052501</v>
      </c>
      <c r="G14" s="1">
        <v>1204</v>
      </c>
      <c r="H14" s="2">
        <v>6.4470872980599801E-3</v>
      </c>
      <c r="I14" s="2">
        <v>2.2521974825520201E-3</v>
      </c>
    </row>
    <row r="15" spans="1:9" x14ac:dyDescent="0.35">
      <c r="A15" s="19">
        <v>45608</v>
      </c>
      <c r="B15" t="s">
        <v>885</v>
      </c>
      <c r="C15" t="s">
        <v>10</v>
      </c>
      <c r="D15" s="1">
        <v>229556</v>
      </c>
      <c r="E15" s="1">
        <v>82425</v>
      </c>
      <c r="F15" s="2">
        <v>0.35906271236648102</v>
      </c>
      <c r="G15" s="1">
        <v>581</v>
      </c>
      <c r="H15" s="2">
        <v>7.0488322717622096E-3</v>
      </c>
      <c r="I15" s="2">
        <v>2.5309728345153299E-3</v>
      </c>
    </row>
    <row r="16" spans="1:9" x14ac:dyDescent="0.35">
      <c r="A16" s="19">
        <v>45609</v>
      </c>
      <c r="B16" t="s">
        <v>886</v>
      </c>
      <c r="C16" t="s">
        <v>10</v>
      </c>
      <c r="D16" s="1">
        <v>56045</v>
      </c>
      <c r="E16" s="1">
        <v>18952</v>
      </c>
      <c r="F16" s="2">
        <v>0.338156838254974</v>
      </c>
      <c r="G16" s="1">
        <v>324</v>
      </c>
      <c r="H16" s="2">
        <v>1.7095821021528099E-2</v>
      </c>
      <c r="I16" s="2">
        <v>5.7810687840128498E-3</v>
      </c>
    </row>
    <row r="17" spans="1:9" x14ac:dyDescent="0.35">
      <c r="A17" s="19">
        <v>45609</v>
      </c>
      <c r="B17" t="s">
        <v>887</v>
      </c>
      <c r="C17" t="s">
        <v>10</v>
      </c>
      <c r="D17" s="1">
        <v>217861</v>
      </c>
      <c r="E17" s="1">
        <v>93493</v>
      </c>
      <c r="F17" s="2">
        <v>0.42914059882218503</v>
      </c>
      <c r="G17" s="1">
        <v>1861</v>
      </c>
      <c r="H17" s="2">
        <v>1.9905233546896599E-2</v>
      </c>
      <c r="I17" s="2">
        <v>8.5421438440106308E-3</v>
      </c>
    </row>
    <row r="18" spans="1:9" x14ac:dyDescent="0.35">
      <c r="A18" s="19">
        <v>45609</v>
      </c>
      <c r="B18" t="s">
        <v>887</v>
      </c>
      <c r="C18" t="s">
        <v>11</v>
      </c>
      <c r="D18" s="1">
        <v>13109</v>
      </c>
      <c r="E18" s="1">
        <v>5889</v>
      </c>
      <c r="F18" s="2">
        <v>0.44923335113280999</v>
      </c>
      <c r="G18" s="1">
        <v>218</v>
      </c>
      <c r="H18" s="2">
        <v>3.7018169468500603E-2</v>
      </c>
      <c r="I18" s="2">
        <v>1.6629796323136801E-2</v>
      </c>
    </row>
    <row r="19" spans="1:9" x14ac:dyDescent="0.35">
      <c r="A19" s="19">
        <v>45610</v>
      </c>
      <c r="B19" t="s">
        <v>873</v>
      </c>
      <c r="C19" t="s">
        <v>403</v>
      </c>
      <c r="D19" s="1">
        <v>856380</v>
      </c>
      <c r="E19" s="1">
        <v>278294</v>
      </c>
      <c r="F19" s="3">
        <v>0.32500000000000001</v>
      </c>
      <c r="G19">
        <v>612</v>
      </c>
      <c r="H19" s="3">
        <v>2.2000000000000001E-3</v>
      </c>
      <c r="I19" s="3">
        <v>6.9999999999999999E-4</v>
      </c>
    </row>
    <row r="20" spans="1:9" x14ac:dyDescent="0.35">
      <c r="A20" s="19">
        <v>45610</v>
      </c>
      <c r="B20" t="s">
        <v>874</v>
      </c>
      <c r="C20" t="s">
        <v>404</v>
      </c>
      <c r="D20" s="1">
        <v>40862</v>
      </c>
      <c r="E20" s="1">
        <v>12592</v>
      </c>
      <c r="F20" s="3">
        <v>0.30819999999999997</v>
      </c>
      <c r="G20">
        <v>53</v>
      </c>
      <c r="H20" s="3">
        <v>4.1999999999999997E-3</v>
      </c>
      <c r="I20" s="3">
        <v>1.2999999999999999E-3</v>
      </c>
    </row>
    <row r="21" spans="1:9" x14ac:dyDescent="0.35">
      <c r="A21" s="19">
        <v>45610</v>
      </c>
      <c r="B21" t="s">
        <v>888</v>
      </c>
      <c r="C21" t="s">
        <v>841</v>
      </c>
      <c r="D21" s="1">
        <v>940795</v>
      </c>
      <c r="E21" s="1">
        <v>347133</v>
      </c>
      <c r="F21" s="2">
        <v>0.36897836404317602</v>
      </c>
      <c r="G21" s="1">
        <v>2810</v>
      </c>
      <c r="H21" s="2">
        <v>8.0948800603803193E-3</v>
      </c>
      <c r="I21" s="2">
        <v>2.98683560180486E-3</v>
      </c>
    </row>
    <row r="22" spans="1:9" x14ac:dyDescent="0.35">
      <c r="A22" s="19">
        <v>45610</v>
      </c>
      <c r="B22" t="s">
        <v>888</v>
      </c>
      <c r="C22" t="s">
        <v>842</v>
      </c>
      <c r="D22" s="1">
        <v>135118</v>
      </c>
      <c r="E22" s="1">
        <v>50267</v>
      </c>
      <c r="F22" s="2">
        <v>0.372022972512915</v>
      </c>
      <c r="G22" s="1">
        <v>591</v>
      </c>
      <c r="H22" s="2">
        <v>1.17572164640818E-2</v>
      </c>
      <c r="I22" s="2">
        <v>4.3739546174454899E-3</v>
      </c>
    </row>
    <row r="23" spans="1:9" x14ac:dyDescent="0.35">
      <c r="A23" s="19">
        <v>45610</v>
      </c>
      <c r="B23" t="s">
        <v>888</v>
      </c>
      <c r="C23" t="s">
        <v>843</v>
      </c>
      <c r="D23" s="1">
        <v>117708</v>
      </c>
      <c r="E23" s="1">
        <v>37984</v>
      </c>
      <c r="F23" s="2">
        <v>0.32269684303530799</v>
      </c>
      <c r="G23" s="1">
        <v>427</v>
      </c>
      <c r="H23" s="2">
        <v>1.1241575400168499E-2</v>
      </c>
      <c r="I23" s="2">
        <v>3.6276208923777501E-3</v>
      </c>
    </row>
    <row r="24" spans="1:9" ht="16" thickBot="1" x14ac:dyDescent="0.4">
      <c r="A24" s="37" t="s">
        <v>35</v>
      </c>
      <c r="D24" s="31">
        <f>SUM(D2:D23)</f>
        <v>17582367</v>
      </c>
      <c r="E24" s="31">
        <f>SUM(E2:E23)</f>
        <v>5862684</v>
      </c>
      <c r="F24" s="32">
        <f>AVERAGE(F2:F23)</f>
        <v>0.34526995393218057</v>
      </c>
      <c r="G24" s="31">
        <f>SUM(G2:G23)</f>
        <v>72604</v>
      </c>
      <c r="H24" s="32">
        <f>AVERAGE(H2:H23)</f>
        <v>1.5978023735932888E-2</v>
      </c>
      <c r="I24" s="32">
        <f>AVERAGE(I2:I23)</f>
        <v>5.6170132562977622E-3</v>
      </c>
    </row>
    <row r="25" spans="1:9" ht="15" thickBot="1" x14ac:dyDescent="0.4">
      <c r="A25" s="138" t="s">
        <v>302</v>
      </c>
      <c r="B25" s="138"/>
      <c r="C25" s="138"/>
      <c r="D25" s="138"/>
      <c r="E25" s="138"/>
      <c r="F25" s="138"/>
      <c r="G25" s="138"/>
      <c r="H25" s="138"/>
      <c r="I25" s="138"/>
    </row>
    <row r="26" spans="1:9" ht="15.5" x14ac:dyDescent="0.35">
      <c r="A26" s="38" t="s">
        <v>0</v>
      </c>
      <c r="B26" s="39" t="s">
        <v>1</v>
      </c>
      <c r="C26" s="39" t="s">
        <v>2</v>
      </c>
      <c r="D26" s="39" t="s">
        <v>3</v>
      </c>
      <c r="E26" s="39" t="s">
        <v>4</v>
      </c>
      <c r="F26" s="39" t="s">
        <v>5</v>
      </c>
      <c r="G26" s="39" t="s">
        <v>6</v>
      </c>
      <c r="H26" s="39" t="s">
        <v>7</v>
      </c>
      <c r="I26" s="40" t="s">
        <v>8</v>
      </c>
    </row>
    <row r="27" spans="1:9" x14ac:dyDescent="0.35">
      <c r="A27" s="5" t="s">
        <v>36</v>
      </c>
      <c r="B27" s="6"/>
      <c r="C27" s="6"/>
      <c r="D27" s="6"/>
      <c r="E27" s="6"/>
      <c r="F27" s="6"/>
      <c r="G27" s="6"/>
      <c r="H27" s="6"/>
      <c r="I27" s="7"/>
    </row>
    <row r="28" spans="1:9" x14ac:dyDescent="0.35">
      <c r="A28" s="28">
        <v>45604</v>
      </c>
      <c r="B28" t="s">
        <v>876</v>
      </c>
      <c r="C28" t="s">
        <v>10</v>
      </c>
      <c r="D28" s="1">
        <v>379892</v>
      </c>
      <c r="E28" s="1">
        <v>139910</v>
      </c>
      <c r="F28" s="2">
        <v>0.36828888210333499</v>
      </c>
      <c r="G28" s="1">
        <v>2807</v>
      </c>
      <c r="H28" s="2">
        <v>2.0062897577013801E-2</v>
      </c>
      <c r="I28" s="29">
        <v>7.3889421203921102E-3</v>
      </c>
    </row>
    <row r="29" spans="1:9" x14ac:dyDescent="0.35">
      <c r="A29" s="28">
        <v>45604</v>
      </c>
      <c r="B29" t="s">
        <v>876</v>
      </c>
      <c r="C29" t="s">
        <v>11</v>
      </c>
      <c r="D29" s="1">
        <v>21581</v>
      </c>
      <c r="E29" s="1">
        <v>7523</v>
      </c>
      <c r="F29" s="2">
        <v>0.348593670358185</v>
      </c>
      <c r="G29" s="1">
        <v>230</v>
      </c>
      <c r="H29" s="2">
        <v>3.0572909743453398E-2</v>
      </c>
      <c r="I29" s="29">
        <v>1.0657522821E-2</v>
      </c>
    </row>
    <row r="30" spans="1:9" x14ac:dyDescent="0.35">
      <c r="A30" s="28">
        <v>45604</v>
      </c>
      <c r="B30" t="s">
        <v>877</v>
      </c>
      <c r="C30" t="s">
        <v>10</v>
      </c>
      <c r="D30" s="1">
        <v>4790628</v>
      </c>
      <c r="E30" s="1">
        <v>1534985</v>
      </c>
      <c r="F30" s="2">
        <v>0.32041415029511799</v>
      </c>
      <c r="G30" s="1">
        <v>16050</v>
      </c>
      <c r="H30" s="2">
        <v>1.04561282357808E-2</v>
      </c>
      <c r="I30" s="29">
        <v>3.3502914440445E-3</v>
      </c>
    </row>
    <row r="31" spans="1:9" x14ac:dyDescent="0.35">
      <c r="A31" s="28">
        <v>45604</v>
      </c>
      <c r="B31" t="s">
        <v>877</v>
      </c>
      <c r="C31" t="s">
        <v>11</v>
      </c>
      <c r="D31" s="1">
        <v>304790</v>
      </c>
      <c r="E31" s="1">
        <v>90133</v>
      </c>
      <c r="F31" s="2">
        <v>0.29572164441090598</v>
      </c>
      <c r="G31" s="1">
        <v>1015</v>
      </c>
      <c r="H31" s="2">
        <v>1.12611363207704E-2</v>
      </c>
      <c r="I31" s="29">
        <v>3.3301617507136101E-3</v>
      </c>
    </row>
    <row r="32" spans="1:9" x14ac:dyDescent="0.35">
      <c r="A32" s="28">
        <v>45608</v>
      </c>
      <c r="B32" t="s">
        <v>881</v>
      </c>
      <c r="C32" t="s">
        <v>10</v>
      </c>
      <c r="D32" s="1">
        <v>1385460</v>
      </c>
      <c r="E32" s="1">
        <v>395964</v>
      </c>
      <c r="F32" s="2">
        <v>0.28579966220605402</v>
      </c>
      <c r="G32" s="1">
        <v>7873</v>
      </c>
      <c r="H32" s="2">
        <v>1.98831206877393E-2</v>
      </c>
      <c r="I32" s="29">
        <v>5.6825891761581003E-3</v>
      </c>
    </row>
    <row r="33" spans="1:9" x14ac:dyDescent="0.35">
      <c r="A33" s="28">
        <v>45608</v>
      </c>
      <c r="B33" t="s">
        <v>881</v>
      </c>
      <c r="C33" t="s">
        <v>11</v>
      </c>
      <c r="D33" s="1">
        <v>93571</v>
      </c>
      <c r="E33" s="1">
        <v>28542</v>
      </c>
      <c r="F33" s="2">
        <v>0.30503040471941101</v>
      </c>
      <c r="G33" s="1">
        <v>1033</v>
      </c>
      <c r="H33" s="2">
        <v>3.6192278046387798E-2</v>
      </c>
      <c r="I33" s="29">
        <v>1.1039745220207099E-2</v>
      </c>
    </row>
    <row r="34" spans="1:9" ht="16" thickBot="1" x14ac:dyDescent="0.4">
      <c r="A34" s="36" t="s">
        <v>35</v>
      </c>
      <c r="B34" s="4"/>
      <c r="C34" s="4"/>
      <c r="D34" s="33">
        <f>SUM(D28:D33)</f>
        <v>6975922</v>
      </c>
      <c r="E34" s="33">
        <f>SUM(E28:E33)</f>
        <v>2197057</v>
      </c>
      <c r="F34" s="34">
        <f>AVERAGE(F28:F33)</f>
        <v>0.32064140234883481</v>
      </c>
      <c r="G34" s="33">
        <f>SUM(G28:G33)</f>
        <v>29008</v>
      </c>
      <c r="H34" s="34">
        <f>AVERAGE(H28:H33)</f>
        <v>2.1404745101857581E-2</v>
      </c>
      <c r="I34" s="35">
        <f>AVERAGE(I28:I33)</f>
        <v>6.9082087554192366E-3</v>
      </c>
    </row>
    <row r="35" spans="1:9" ht="3" customHeight="1" thickBot="1" x14ac:dyDescent="0.4">
      <c r="A35" s="141"/>
      <c r="B35" s="142"/>
      <c r="C35" s="142"/>
      <c r="D35" s="142"/>
      <c r="E35" s="142"/>
      <c r="F35" s="142"/>
      <c r="G35" s="142"/>
      <c r="H35" s="142"/>
      <c r="I35" s="143"/>
    </row>
    <row r="36" spans="1:9" x14ac:dyDescent="0.35">
      <c r="A36" s="16" t="s">
        <v>37</v>
      </c>
      <c r="B36" s="17"/>
      <c r="C36" s="17"/>
      <c r="D36" s="17"/>
      <c r="E36" s="17"/>
      <c r="F36" s="17"/>
      <c r="G36" s="17"/>
      <c r="H36" s="17"/>
      <c r="I36" s="18"/>
    </row>
    <row r="37" spans="1:9" x14ac:dyDescent="0.35">
      <c r="A37" s="28">
        <v>45605</v>
      </c>
      <c r="B37" t="s">
        <v>878</v>
      </c>
      <c r="C37" t="s">
        <v>10</v>
      </c>
      <c r="D37" s="1">
        <v>6474429</v>
      </c>
      <c r="E37" s="1">
        <v>2218573</v>
      </c>
      <c r="F37" s="2">
        <v>0.34266697495640203</v>
      </c>
      <c r="G37" s="1">
        <v>29003</v>
      </c>
      <c r="H37" s="2">
        <v>1.3072817527302501E-2</v>
      </c>
      <c r="I37" s="29">
        <v>4.4796228362377604E-3</v>
      </c>
    </row>
    <row r="38" spans="1:9" x14ac:dyDescent="0.35">
      <c r="A38" s="28">
        <v>45605</v>
      </c>
      <c r="B38" t="s">
        <v>878</v>
      </c>
      <c r="C38" t="s">
        <v>11</v>
      </c>
      <c r="D38" s="1">
        <v>414664</v>
      </c>
      <c r="E38" s="1">
        <v>133593</v>
      </c>
      <c r="F38" s="2">
        <v>0.32217168599154999</v>
      </c>
      <c r="G38" s="1">
        <v>2521</v>
      </c>
      <c r="H38" s="2">
        <v>1.8870749215902E-2</v>
      </c>
      <c r="I38" s="29">
        <v>6.0796210908108696E-3</v>
      </c>
    </row>
    <row r="39" spans="1:9" x14ac:dyDescent="0.35">
      <c r="A39" s="28">
        <v>45606</v>
      </c>
      <c r="B39" t="s">
        <v>879</v>
      </c>
      <c r="C39" t="s">
        <v>10</v>
      </c>
      <c r="D39" s="1">
        <v>56386</v>
      </c>
      <c r="E39" s="1">
        <v>19744</v>
      </c>
      <c r="F39" s="2">
        <v>0.35015784059873001</v>
      </c>
      <c r="G39" s="1">
        <v>350</v>
      </c>
      <c r="H39" s="2">
        <v>1.7726904376013E-2</v>
      </c>
      <c r="I39" s="29">
        <v>6.2072145568048799E-3</v>
      </c>
    </row>
    <row r="40" spans="1:9" x14ac:dyDescent="0.35">
      <c r="A40" s="28">
        <v>45607</v>
      </c>
      <c r="B40" t="s">
        <v>880</v>
      </c>
      <c r="C40" t="s">
        <v>10</v>
      </c>
      <c r="D40" s="1">
        <v>258746</v>
      </c>
      <c r="E40" s="1">
        <v>92474</v>
      </c>
      <c r="F40" s="2">
        <v>0.35739296452892</v>
      </c>
      <c r="G40" s="1">
        <v>1349</v>
      </c>
      <c r="H40" s="2">
        <v>1.4587884162034701E-2</v>
      </c>
      <c r="I40" s="29">
        <v>5.21360716687408E-3</v>
      </c>
    </row>
    <row r="41" spans="1:9" x14ac:dyDescent="0.35">
      <c r="A41" s="28">
        <v>45608</v>
      </c>
      <c r="B41" t="s">
        <v>882</v>
      </c>
      <c r="C41" t="s">
        <v>10</v>
      </c>
      <c r="D41" s="1">
        <v>204149</v>
      </c>
      <c r="E41" s="1">
        <v>68191</v>
      </c>
      <c r="F41" s="2">
        <v>0.33402563813685099</v>
      </c>
      <c r="G41" s="1">
        <v>1450</v>
      </c>
      <c r="H41" s="2">
        <v>2.1263803141176998E-2</v>
      </c>
      <c r="I41" s="29">
        <v>7.10265541344802E-3</v>
      </c>
    </row>
    <row r="42" spans="1:9" x14ac:dyDescent="0.35">
      <c r="A42" s="28">
        <v>45608</v>
      </c>
      <c r="B42" t="s">
        <v>883</v>
      </c>
      <c r="C42" t="s">
        <v>10</v>
      </c>
      <c r="D42" s="1">
        <v>56048</v>
      </c>
      <c r="E42" s="1">
        <v>19272</v>
      </c>
      <c r="F42" s="2">
        <v>0.34384813017413601</v>
      </c>
      <c r="G42" s="1">
        <v>242</v>
      </c>
      <c r="H42" s="2">
        <v>1.25570776255708E-2</v>
      </c>
      <c r="I42" s="29">
        <v>4.3177276620039997E-3</v>
      </c>
    </row>
    <row r="43" spans="1:9" x14ac:dyDescent="0.35">
      <c r="A43" s="28">
        <v>45608</v>
      </c>
      <c r="B43" t="s">
        <v>884</v>
      </c>
      <c r="C43" t="s">
        <v>10</v>
      </c>
      <c r="D43" s="1">
        <v>534589</v>
      </c>
      <c r="E43" s="1">
        <v>186751</v>
      </c>
      <c r="F43" s="2">
        <v>0.34933565786052501</v>
      </c>
      <c r="G43" s="1">
        <v>1204</v>
      </c>
      <c r="H43" s="2">
        <v>6.4470872980599801E-3</v>
      </c>
      <c r="I43" s="29">
        <v>2.2521974825520201E-3</v>
      </c>
    </row>
    <row r="44" spans="1:9" x14ac:dyDescent="0.35">
      <c r="A44" s="28">
        <v>45608</v>
      </c>
      <c r="B44" t="s">
        <v>885</v>
      </c>
      <c r="C44" t="s">
        <v>10</v>
      </c>
      <c r="D44" s="1">
        <v>229556</v>
      </c>
      <c r="E44" s="1">
        <v>82425</v>
      </c>
      <c r="F44" s="2">
        <v>0.35906271236648102</v>
      </c>
      <c r="G44" s="1">
        <v>581</v>
      </c>
      <c r="H44" s="2">
        <v>7.0488322717622096E-3</v>
      </c>
      <c r="I44" s="29">
        <v>2.5309728345153299E-3</v>
      </c>
    </row>
    <row r="45" spans="1:9" x14ac:dyDescent="0.35">
      <c r="A45" s="28">
        <v>45609</v>
      </c>
      <c r="B45" t="s">
        <v>886</v>
      </c>
      <c r="C45" t="s">
        <v>10</v>
      </c>
      <c r="D45" s="1">
        <v>56045</v>
      </c>
      <c r="E45" s="1">
        <v>18952</v>
      </c>
      <c r="F45" s="2">
        <v>0.338156838254974</v>
      </c>
      <c r="G45" s="1">
        <v>324</v>
      </c>
      <c r="H45" s="2">
        <v>1.7095821021528099E-2</v>
      </c>
      <c r="I45" s="29">
        <v>5.7810687840128498E-3</v>
      </c>
    </row>
    <row r="46" spans="1:9" x14ac:dyDescent="0.35">
      <c r="A46" s="28">
        <v>45609</v>
      </c>
      <c r="B46" t="s">
        <v>887</v>
      </c>
      <c r="C46" t="s">
        <v>10</v>
      </c>
      <c r="D46" s="1">
        <v>217861</v>
      </c>
      <c r="E46" s="1">
        <v>93493</v>
      </c>
      <c r="F46" s="2">
        <v>0.42914059882218503</v>
      </c>
      <c r="G46" s="1">
        <v>1861</v>
      </c>
      <c r="H46" s="2">
        <v>1.9905233546896599E-2</v>
      </c>
      <c r="I46" s="29">
        <v>8.5421438440106308E-3</v>
      </c>
    </row>
    <row r="47" spans="1:9" x14ac:dyDescent="0.35">
      <c r="A47" s="28">
        <v>45609</v>
      </c>
      <c r="B47" t="s">
        <v>887</v>
      </c>
      <c r="C47" t="s">
        <v>11</v>
      </c>
      <c r="D47" s="1">
        <v>13109</v>
      </c>
      <c r="E47" s="1">
        <v>5889</v>
      </c>
      <c r="F47" s="2">
        <v>0.44923335113280999</v>
      </c>
      <c r="G47" s="1">
        <v>218</v>
      </c>
      <c r="H47" s="2">
        <v>3.7018169468500603E-2</v>
      </c>
      <c r="I47" s="29">
        <v>1.6629796323136801E-2</v>
      </c>
    </row>
    <row r="48" spans="1:9" x14ac:dyDescent="0.35">
      <c r="A48" s="28">
        <v>45610</v>
      </c>
      <c r="B48" t="s">
        <v>888</v>
      </c>
      <c r="C48" t="s">
        <v>841</v>
      </c>
      <c r="D48" s="1">
        <v>940795</v>
      </c>
      <c r="E48" s="1">
        <v>347133</v>
      </c>
      <c r="F48" s="2">
        <v>0.36897836404317602</v>
      </c>
      <c r="G48" s="1">
        <v>2810</v>
      </c>
      <c r="H48" s="2">
        <v>8.0948800603803193E-3</v>
      </c>
      <c r="I48" s="29">
        <v>2.98683560180486E-3</v>
      </c>
    </row>
    <row r="49" spans="1:9" x14ac:dyDescent="0.35">
      <c r="A49" s="28">
        <v>45610</v>
      </c>
      <c r="B49" t="s">
        <v>888</v>
      </c>
      <c r="C49" t="s">
        <v>842</v>
      </c>
      <c r="D49" s="1">
        <v>135118</v>
      </c>
      <c r="E49" s="1">
        <v>50267</v>
      </c>
      <c r="F49" s="2">
        <v>0.372022972512915</v>
      </c>
      <c r="G49" s="1">
        <v>591</v>
      </c>
      <c r="H49" s="2">
        <v>1.17572164640818E-2</v>
      </c>
      <c r="I49" s="29">
        <v>4.3739546174454899E-3</v>
      </c>
    </row>
    <row r="50" spans="1:9" x14ac:dyDescent="0.35">
      <c r="A50" s="28">
        <v>45610</v>
      </c>
      <c r="B50" t="s">
        <v>888</v>
      </c>
      <c r="C50" t="s">
        <v>843</v>
      </c>
      <c r="D50" s="1">
        <v>117708</v>
      </c>
      <c r="E50" s="1">
        <v>37984</v>
      </c>
      <c r="F50" s="2">
        <v>0.32269684303530799</v>
      </c>
      <c r="G50" s="1">
        <v>427</v>
      </c>
      <c r="H50" s="2">
        <v>1.1241575400168499E-2</v>
      </c>
      <c r="I50" s="29">
        <v>3.6276208923777501E-3</v>
      </c>
    </row>
    <row r="51" spans="1:9" ht="16" thickBot="1" x14ac:dyDescent="0.4">
      <c r="A51" s="36" t="s">
        <v>35</v>
      </c>
      <c r="B51" s="4"/>
      <c r="C51" s="4"/>
      <c r="D51" s="33">
        <f>SUM(D37:D50)</f>
        <v>9709203</v>
      </c>
      <c r="E51" s="33">
        <f>SUM(E37:E50)</f>
        <v>3374741</v>
      </c>
      <c r="F51" s="34">
        <f>AVERAGE(F37:F50)</f>
        <v>0.35992075517249733</v>
      </c>
      <c r="G51" s="33">
        <f>SUM(G37:G50)</f>
        <v>42931</v>
      </c>
      <c r="H51" s="34">
        <f>AVERAGE(H37:H50)</f>
        <v>1.5477717969955578E-2</v>
      </c>
      <c r="I51" s="35">
        <f>AVERAGE(I37:I50)</f>
        <v>5.7232170790025233E-3</v>
      </c>
    </row>
    <row r="52" spans="1:9" ht="3" customHeight="1" thickBot="1" x14ac:dyDescent="0.4">
      <c r="A52" s="139"/>
      <c r="B52" s="138"/>
      <c r="C52" s="138"/>
      <c r="D52" s="138"/>
      <c r="E52" s="138"/>
      <c r="F52" s="138"/>
      <c r="G52" s="138"/>
      <c r="H52" s="138"/>
      <c r="I52" s="140"/>
    </row>
    <row r="53" spans="1:9" x14ac:dyDescent="0.35">
      <c r="A53" s="16" t="s">
        <v>38</v>
      </c>
      <c r="B53" s="17"/>
      <c r="C53" s="17"/>
      <c r="D53" s="17"/>
      <c r="E53" s="17"/>
      <c r="F53" s="17"/>
      <c r="G53" s="17"/>
      <c r="H53" s="17"/>
      <c r="I53" s="18"/>
    </row>
    <row r="54" spans="1:9" x14ac:dyDescent="0.35">
      <c r="A54" s="28">
        <v>45610</v>
      </c>
      <c r="B54" t="s">
        <v>873</v>
      </c>
      <c r="C54" t="s">
        <v>403</v>
      </c>
      <c r="D54" s="1">
        <v>856380</v>
      </c>
      <c r="E54" s="1">
        <v>278294</v>
      </c>
      <c r="F54" s="3">
        <v>0.32500000000000001</v>
      </c>
      <c r="G54">
        <v>612</v>
      </c>
      <c r="H54" s="3">
        <v>2.2000000000000001E-3</v>
      </c>
      <c r="I54" s="30">
        <v>6.9999999999999999E-4</v>
      </c>
    </row>
    <row r="55" spans="1:9" x14ac:dyDescent="0.35">
      <c r="A55" s="28">
        <v>45610</v>
      </c>
      <c r="B55" t="s">
        <v>874</v>
      </c>
      <c r="C55" t="s">
        <v>404</v>
      </c>
      <c r="D55" s="1">
        <v>40862</v>
      </c>
      <c r="E55" s="1">
        <v>12592</v>
      </c>
      <c r="F55" s="3">
        <v>0.30819999999999997</v>
      </c>
      <c r="G55">
        <v>53</v>
      </c>
      <c r="H55" s="3">
        <v>4.1999999999999997E-3</v>
      </c>
      <c r="I55" s="30">
        <v>1.2999999999999999E-3</v>
      </c>
    </row>
    <row r="56" spans="1:9" ht="16" thickBot="1" x14ac:dyDescent="0.4">
      <c r="A56" s="36" t="s">
        <v>35</v>
      </c>
      <c r="B56" s="4"/>
      <c r="C56" s="4"/>
      <c r="D56" s="33">
        <f>SUM(D54:D55)</f>
        <v>897242</v>
      </c>
      <c r="E56" s="33">
        <f>SUM(E54:E55)</f>
        <v>290886</v>
      </c>
      <c r="F56" s="34">
        <f>AVERAGE(F54:F55)</f>
        <v>0.31659999999999999</v>
      </c>
      <c r="G56" s="33">
        <f>SUM(G54:G55)</f>
        <v>665</v>
      </c>
      <c r="H56" s="34">
        <f>AVERAGE(H54:H55)</f>
        <v>3.1999999999999997E-3</v>
      </c>
      <c r="I56" s="35">
        <f>AVERAGE(I54:I55)</f>
        <v>1E-3</v>
      </c>
    </row>
  </sheetData>
  <mergeCells count="3">
    <mergeCell ref="A25:I25"/>
    <mergeCell ref="A35:I35"/>
    <mergeCell ref="A52:I52"/>
  </mergeCells>
  <pageMargins left="0.7" right="0.7" top="0.75" bottom="0.75" header="0.3" footer="0.3"/>
  <ignoredErrors>
    <ignoredError sqref="F24:G24 F34:G34 F51:G51 F56:G56" formula="1"/>
  </ignoredErrors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C73D-BA51-4724-BE98-0DD0536AF05C}">
  <dimension ref="A1:I84"/>
  <sheetViews>
    <sheetView topLeftCell="A27" zoomScaleNormal="100" workbookViewId="0">
      <selection activeCell="F35" sqref="F35"/>
    </sheetView>
  </sheetViews>
  <sheetFormatPr defaultRowHeight="14.5" x14ac:dyDescent="0.35"/>
  <cols>
    <col min="1" max="1" width="11.81640625" customWidth="1"/>
    <col min="2" max="2" width="89.81640625" customWidth="1"/>
    <col min="3" max="3" width="39.4531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45611</v>
      </c>
      <c r="B2" t="s">
        <v>889</v>
      </c>
      <c r="C2" t="s">
        <v>10</v>
      </c>
      <c r="D2" s="1">
        <v>287668</v>
      </c>
      <c r="E2" s="1">
        <v>100107</v>
      </c>
      <c r="F2" s="2">
        <v>0.34799491079994999</v>
      </c>
      <c r="G2" s="1">
        <v>1741</v>
      </c>
      <c r="H2" s="2">
        <v>1.73913912114038E-2</v>
      </c>
      <c r="I2" s="2">
        <v>6.0521156332994999E-3</v>
      </c>
    </row>
    <row r="3" spans="1:9" x14ac:dyDescent="0.35">
      <c r="A3" s="19">
        <v>45611</v>
      </c>
      <c r="B3" t="s">
        <v>890</v>
      </c>
      <c r="C3" t="s">
        <v>10</v>
      </c>
      <c r="D3" s="1">
        <v>4284487</v>
      </c>
      <c r="E3" s="1">
        <v>1353314</v>
      </c>
      <c r="F3" s="2">
        <v>0.31586371950714298</v>
      </c>
      <c r="G3" s="1">
        <v>19054</v>
      </c>
      <c r="H3" s="2">
        <v>1.40795114807059E-2</v>
      </c>
      <c r="I3" s="2">
        <v>4.4472068651392801E-3</v>
      </c>
    </row>
    <row r="4" spans="1:9" x14ac:dyDescent="0.35">
      <c r="A4" s="19">
        <v>45611</v>
      </c>
      <c r="B4" t="s">
        <v>890</v>
      </c>
      <c r="C4" t="s">
        <v>11</v>
      </c>
      <c r="D4" s="1">
        <v>282020</v>
      </c>
      <c r="E4" s="1">
        <v>77408</v>
      </c>
      <c r="F4" s="2">
        <v>0.27447698744769899</v>
      </c>
      <c r="G4" s="1">
        <v>1287</v>
      </c>
      <c r="H4" s="2">
        <v>1.6626188507647799E-2</v>
      </c>
      <c r="I4" s="2">
        <v>4.5635061343167202E-3</v>
      </c>
    </row>
    <row r="5" spans="1:9" x14ac:dyDescent="0.35">
      <c r="A5" s="19">
        <v>45611</v>
      </c>
      <c r="B5" t="s">
        <v>891</v>
      </c>
      <c r="C5" t="s">
        <v>10</v>
      </c>
      <c r="D5" s="1">
        <v>695100</v>
      </c>
      <c r="E5" s="1">
        <v>285062</v>
      </c>
      <c r="F5" s="2">
        <v>0.41010214357646402</v>
      </c>
      <c r="G5" s="1">
        <v>4450</v>
      </c>
      <c r="H5" s="2">
        <v>1.56106390890403E-2</v>
      </c>
      <c r="I5" s="2">
        <v>6.4019565530139596E-3</v>
      </c>
    </row>
    <row r="6" spans="1:9" x14ac:dyDescent="0.35">
      <c r="A6" s="19">
        <v>45611</v>
      </c>
      <c r="B6" t="s">
        <v>891</v>
      </c>
      <c r="C6" t="s">
        <v>11</v>
      </c>
      <c r="D6" s="1">
        <v>35241</v>
      </c>
      <c r="E6" s="1">
        <v>14296</v>
      </c>
      <c r="F6" s="2">
        <v>0.40566385743877897</v>
      </c>
      <c r="G6" s="1">
        <v>207</v>
      </c>
      <c r="H6" s="2">
        <v>1.4479574706211499E-2</v>
      </c>
      <c r="I6" s="2">
        <v>5.8738401293947397E-3</v>
      </c>
    </row>
    <row r="7" spans="1:9" x14ac:dyDescent="0.35">
      <c r="A7" s="19">
        <v>45611</v>
      </c>
      <c r="B7" t="s">
        <v>892</v>
      </c>
      <c r="C7" t="s">
        <v>75</v>
      </c>
      <c r="D7" s="1">
        <v>595</v>
      </c>
      <c r="E7" s="1">
        <v>294</v>
      </c>
      <c r="F7" s="2">
        <v>0.49411764705882399</v>
      </c>
      <c r="G7" s="1">
        <v>20</v>
      </c>
      <c r="H7" s="2">
        <v>6.8027210884353706E-2</v>
      </c>
      <c r="I7" s="2">
        <v>3.3613445378151301E-2</v>
      </c>
    </row>
    <row r="8" spans="1:9" x14ac:dyDescent="0.35">
      <c r="A8" s="19">
        <v>45611</v>
      </c>
      <c r="B8" t="s">
        <v>892</v>
      </c>
      <c r="C8" t="s">
        <v>73</v>
      </c>
      <c r="D8" s="1">
        <v>11010</v>
      </c>
      <c r="E8" s="1">
        <v>5831</v>
      </c>
      <c r="F8" s="2">
        <v>0.52960944595822002</v>
      </c>
      <c r="G8" s="1">
        <v>315</v>
      </c>
      <c r="H8" s="2">
        <v>5.4021608643457397E-2</v>
      </c>
      <c r="I8" s="2">
        <v>2.86103542234332E-2</v>
      </c>
    </row>
    <row r="9" spans="1:9" x14ac:dyDescent="0.35">
      <c r="A9" s="19">
        <v>45611</v>
      </c>
      <c r="B9" t="s">
        <v>893</v>
      </c>
      <c r="C9" t="s">
        <v>10</v>
      </c>
      <c r="D9" s="1">
        <v>779063</v>
      </c>
      <c r="E9" s="1">
        <v>294197</v>
      </c>
      <c r="F9" s="2">
        <v>0.37762928030210702</v>
      </c>
      <c r="G9" s="1">
        <v>5292</v>
      </c>
      <c r="H9" s="2">
        <v>1.7987946851939302E-2</v>
      </c>
      <c r="I9" s="2">
        <v>6.7927754238104E-3</v>
      </c>
    </row>
    <row r="10" spans="1:9" x14ac:dyDescent="0.35">
      <c r="A10" s="19">
        <v>45611</v>
      </c>
      <c r="B10" t="s">
        <v>893</v>
      </c>
      <c r="C10" t="s">
        <v>11</v>
      </c>
      <c r="D10" s="1">
        <v>27636</v>
      </c>
      <c r="E10" s="1">
        <v>9654</v>
      </c>
      <c r="F10" s="2">
        <v>0.34932696482848502</v>
      </c>
      <c r="G10" s="1">
        <v>200</v>
      </c>
      <c r="H10" s="2">
        <v>2.0716801325875299E-2</v>
      </c>
      <c r="I10" s="2">
        <v>7.2369373281227396E-3</v>
      </c>
    </row>
    <row r="11" spans="1:9" x14ac:dyDescent="0.35">
      <c r="A11" s="19">
        <v>45611</v>
      </c>
      <c r="B11" t="s">
        <v>894</v>
      </c>
      <c r="C11" t="s">
        <v>10</v>
      </c>
      <c r="D11" s="1">
        <v>70742</v>
      </c>
      <c r="E11" s="1">
        <v>30561</v>
      </c>
      <c r="F11" s="2">
        <v>0.43200644595855398</v>
      </c>
      <c r="G11" s="1">
        <v>822</v>
      </c>
      <c r="H11" s="2">
        <v>2.68970256208894E-2</v>
      </c>
      <c r="I11" s="2">
        <v>1.16196884453366E-2</v>
      </c>
    </row>
    <row r="12" spans="1:9" x14ac:dyDescent="0.35">
      <c r="A12" s="19">
        <v>45611</v>
      </c>
      <c r="B12" t="s">
        <v>895</v>
      </c>
      <c r="C12" t="s">
        <v>10</v>
      </c>
      <c r="D12" s="1">
        <v>120399</v>
      </c>
      <c r="E12" s="1">
        <v>46060</v>
      </c>
      <c r="F12" s="2">
        <v>0.38256131695446</v>
      </c>
      <c r="G12" s="1">
        <v>922</v>
      </c>
      <c r="H12" s="2">
        <v>2.0017368649587499E-2</v>
      </c>
      <c r="I12" s="2">
        <v>7.6578709125491098E-3</v>
      </c>
    </row>
    <row r="13" spans="1:9" x14ac:dyDescent="0.35">
      <c r="A13" s="19">
        <v>45611</v>
      </c>
      <c r="B13" t="s">
        <v>895</v>
      </c>
      <c r="C13" t="s">
        <v>11</v>
      </c>
      <c r="D13" s="1">
        <v>13958</v>
      </c>
      <c r="E13" s="1">
        <v>5147</v>
      </c>
      <c r="F13" s="2">
        <v>0.368749104456226</v>
      </c>
      <c r="G13" s="1">
        <v>123</v>
      </c>
      <c r="H13" s="2">
        <v>2.3897415970468201E-2</v>
      </c>
      <c r="I13" s="2">
        <v>8.8121507379280706E-3</v>
      </c>
    </row>
    <row r="14" spans="1:9" x14ac:dyDescent="0.35">
      <c r="A14" s="19">
        <v>45612</v>
      </c>
      <c r="B14" t="s">
        <v>896</v>
      </c>
      <c r="C14" t="s">
        <v>10</v>
      </c>
      <c r="D14" s="1">
        <v>1285130</v>
      </c>
      <c r="E14" s="1">
        <v>386174</v>
      </c>
      <c r="F14" s="2">
        <v>0.30049411343599502</v>
      </c>
      <c r="G14" s="1">
        <v>8804</v>
      </c>
      <c r="H14" s="2">
        <v>2.27980133307784E-2</v>
      </c>
      <c r="I14" s="2">
        <v>6.8506688039342298E-3</v>
      </c>
    </row>
    <row r="15" spans="1:9" x14ac:dyDescent="0.35">
      <c r="A15" s="19">
        <v>45612</v>
      </c>
      <c r="B15" t="s">
        <v>896</v>
      </c>
      <c r="C15" t="s">
        <v>11</v>
      </c>
      <c r="D15" s="1">
        <v>93865</v>
      </c>
      <c r="E15" s="1">
        <v>26448</v>
      </c>
      <c r="F15" s="2">
        <v>0.28176636659031601</v>
      </c>
      <c r="G15" s="1">
        <v>883</v>
      </c>
      <c r="H15" s="2">
        <v>3.3386267392619497E-2</v>
      </c>
      <c r="I15" s="2">
        <v>9.40712725723113E-3</v>
      </c>
    </row>
    <row r="16" spans="1:9" x14ac:dyDescent="0.35">
      <c r="A16" s="19">
        <v>45613</v>
      </c>
      <c r="B16" t="s">
        <v>897</v>
      </c>
      <c r="C16" t="s">
        <v>10</v>
      </c>
      <c r="D16" s="1">
        <v>40551</v>
      </c>
      <c r="E16" s="1">
        <v>15244</v>
      </c>
      <c r="F16" s="2">
        <v>0.37592167887351702</v>
      </c>
      <c r="G16" s="1">
        <v>309</v>
      </c>
      <c r="H16" s="2">
        <v>2.0270270270270299E-2</v>
      </c>
      <c r="I16" s="2">
        <v>7.6200340312199497E-3</v>
      </c>
    </row>
    <row r="17" spans="1:9" x14ac:dyDescent="0.35">
      <c r="A17" s="19">
        <v>45614</v>
      </c>
      <c r="B17" t="s">
        <v>898</v>
      </c>
      <c r="C17" t="s">
        <v>10</v>
      </c>
      <c r="D17" s="1">
        <v>3873</v>
      </c>
      <c r="E17" s="1">
        <v>1907</v>
      </c>
      <c r="F17" s="2">
        <v>0.49238316550477701</v>
      </c>
      <c r="G17" s="1">
        <v>232</v>
      </c>
      <c r="H17" s="2">
        <v>0.12165705296276901</v>
      </c>
      <c r="I17" s="2">
        <v>5.9901884843790297E-2</v>
      </c>
    </row>
    <row r="18" spans="1:9" x14ac:dyDescent="0.35">
      <c r="A18" s="19">
        <v>45614</v>
      </c>
      <c r="B18" t="s">
        <v>898</v>
      </c>
      <c r="C18" t="s">
        <v>11</v>
      </c>
      <c r="D18" s="1">
        <v>1428</v>
      </c>
      <c r="E18" s="1">
        <v>777</v>
      </c>
      <c r="F18" s="2">
        <v>0.54411764705882304</v>
      </c>
      <c r="G18" s="1">
        <v>115</v>
      </c>
      <c r="H18" s="2">
        <v>0.148005148005148</v>
      </c>
      <c r="I18" s="2">
        <v>8.0532212885154095E-2</v>
      </c>
    </row>
    <row r="19" spans="1:9" x14ac:dyDescent="0.35">
      <c r="A19" s="19">
        <v>45614</v>
      </c>
      <c r="B19" t="s">
        <v>899</v>
      </c>
      <c r="C19" t="s">
        <v>10</v>
      </c>
      <c r="D19" s="1">
        <v>38279</v>
      </c>
      <c r="E19" s="1">
        <v>15460</v>
      </c>
      <c r="F19" s="2">
        <v>0.40387679928942799</v>
      </c>
      <c r="G19" s="1">
        <v>585</v>
      </c>
      <c r="H19" s="2">
        <v>3.7839586028460499E-2</v>
      </c>
      <c r="I19" s="2">
        <v>1.52825308916116E-2</v>
      </c>
    </row>
    <row r="20" spans="1:9" x14ac:dyDescent="0.35">
      <c r="A20" s="19">
        <v>45614</v>
      </c>
      <c r="B20" t="s">
        <v>899</v>
      </c>
      <c r="C20" t="s">
        <v>11</v>
      </c>
      <c r="D20" s="1">
        <v>15727</v>
      </c>
      <c r="E20" s="1">
        <v>7099</v>
      </c>
      <c r="F20" s="2">
        <v>0.45138933045081697</v>
      </c>
      <c r="G20" s="1">
        <v>320</v>
      </c>
      <c r="H20" s="2">
        <v>4.5076771376250199E-2</v>
      </c>
      <c r="I20" s="2">
        <v>2.03471736504101E-2</v>
      </c>
    </row>
    <row r="21" spans="1:9" x14ac:dyDescent="0.35">
      <c r="A21" s="19">
        <v>45614</v>
      </c>
      <c r="B21" t="s">
        <v>900</v>
      </c>
      <c r="C21" t="s">
        <v>10</v>
      </c>
      <c r="D21" s="1">
        <v>37229</v>
      </c>
      <c r="E21" s="1">
        <v>14980</v>
      </c>
      <c r="F21" s="2">
        <v>0.40237449300276701</v>
      </c>
      <c r="G21" s="1">
        <v>1746</v>
      </c>
      <c r="H21" s="2">
        <v>0.11655540720961299</v>
      </c>
      <c r="I21" s="2">
        <v>4.6898922882699E-2</v>
      </c>
    </row>
    <row r="22" spans="1:9" x14ac:dyDescent="0.35">
      <c r="A22" s="19">
        <v>45615</v>
      </c>
      <c r="B22" t="s">
        <v>901</v>
      </c>
      <c r="C22" t="s">
        <v>10</v>
      </c>
      <c r="D22" s="1">
        <v>1405047</v>
      </c>
      <c r="E22" s="1">
        <v>405661</v>
      </c>
      <c r="F22" s="2">
        <v>0.28871703224162598</v>
      </c>
      <c r="G22" s="1">
        <v>11817</v>
      </c>
      <c r="H22" s="2">
        <v>2.91302343582449E-2</v>
      </c>
      <c r="I22" s="2">
        <v>8.4103948124155305E-3</v>
      </c>
    </row>
    <row r="23" spans="1:9" x14ac:dyDescent="0.35">
      <c r="A23" s="19">
        <v>45615</v>
      </c>
      <c r="B23" t="s">
        <v>901</v>
      </c>
      <c r="C23" t="s">
        <v>11</v>
      </c>
      <c r="D23" s="1">
        <v>94445</v>
      </c>
      <c r="E23" s="1">
        <v>29204</v>
      </c>
      <c r="F23" s="2">
        <v>0.30922027868366397</v>
      </c>
      <c r="G23" s="1">
        <v>1282</v>
      </c>
      <c r="H23" s="2">
        <v>4.38980961512122E-2</v>
      </c>
      <c r="I23" s="2">
        <v>1.35741815255601E-2</v>
      </c>
    </row>
    <row r="24" spans="1:9" x14ac:dyDescent="0.35">
      <c r="A24" s="19">
        <v>45615</v>
      </c>
      <c r="B24" t="s">
        <v>902</v>
      </c>
      <c r="C24" t="s">
        <v>11</v>
      </c>
      <c r="D24" s="1">
        <v>29661</v>
      </c>
      <c r="E24" s="1">
        <v>10486</v>
      </c>
      <c r="F24" s="2">
        <v>0.35352820201611501</v>
      </c>
      <c r="G24" s="1">
        <v>263</v>
      </c>
      <c r="H24" s="2">
        <v>2.50810604615678E-2</v>
      </c>
      <c r="I24" s="2">
        <v>8.8668622096355499E-3</v>
      </c>
    </row>
    <row r="25" spans="1:9" x14ac:dyDescent="0.35">
      <c r="A25" s="19">
        <v>45616</v>
      </c>
      <c r="B25" t="s">
        <v>903</v>
      </c>
      <c r="C25" t="s">
        <v>10</v>
      </c>
      <c r="D25" s="1">
        <v>93532</v>
      </c>
      <c r="E25" s="1">
        <v>42048</v>
      </c>
      <c r="F25" s="2">
        <v>0.44955737073942598</v>
      </c>
      <c r="G25" s="1">
        <v>1199</v>
      </c>
      <c r="H25" s="2">
        <v>2.8515030441400298E-2</v>
      </c>
      <c r="I25" s="2">
        <v>1.28191421117906E-2</v>
      </c>
    </row>
    <row r="26" spans="1:9" x14ac:dyDescent="0.35">
      <c r="A26" s="19">
        <v>45616</v>
      </c>
      <c r="B26" t="s">
        <v>903</v>
      </c>
      <c r="C26" t="s">
        <v>11</v>
      </c>
      <c r="D26" s="1">
        <v>5406</v>
      </c>
      <c r="E26" s="1">
        <v>2788</v>
      </c>
      <c r="F26" s="2">
        <v>0.51572327044025201</v>
      </c>
      <c r="G26" s="1">
        <v>126</v>
      </c>
      <c r="H26" s="2">
        <v>4.5193687230990001E-2</v>
      </c>
      <c r="I26" s="2">
        <v>2.3307436182020001E-2</v>
      </c>
    </row>
    <row r="27" spans="1:9" x14ac:dyDescent="0.35">
      <c r="A27" s="19">
        <v>45616</v>
      </c>
      <c r="B27" t="s">
        <v>904</v>
      </c>
      <c r="C27" t="s">
        <v>503</v>
      </c>
      <c r="D27" s="1">
        <v>44723</v>
      </c>
      <c r="E27" s="1">
        <v>14801</v>
      </c>
      <c r="F27" s="2">
        <v>0.33094828164479101</v>
      </c>
      <c r="G27" s="1">
        <v>281</v>
      </c>
      <c r="H27" s="2">
        <v>1.8985203702452502E-2</v>
      </c>
      <c r="I27" s="2">
        <v>6.2831205420030003E-3</v>
      </c>
    </row>
    <row r="28" spans="1:9" x14ac:dyDescent="0.35">
      <c r="A28" s="19">
        <v>45616</v>
      </c>
      <c r="B28" t="s">
        <v>905</v>
      </c>
      <c r="C28" t="s">
        <v>10</v>
      </c>
      <c r="D28" s="1">
        <v>7948</v>
      </c>
      <c r="E28" s="1">
        <v>4511</v>
      </c>
      <c r="F28" s="2">
        <v>0.56756416708605895</v>
      </c>
      <c r="G28" s="1">
        <v>658</v>
      </c>
      <c r="H28" s="2">
        <v>0.14586566171580601</v>
      </c>
      <c r="I28" s="2">
        <v>8.2788122798188202E-2</v>
      </c>
    </row>
    <row r="29" spans="1:9" x14ac:dyDescent="0.35">
      <c r="A29" s="19">
        <v>45616</v>
      </c>
      <c r="B29" t="s">
        <v>905</v>
      </c>
      <c r="C29" t="s">
        <v>11</v>
      </c>
      <c r="D29" s="1">
        <v>172</v>
      </c>
      <c r="E29" s="1">
        <v>101</v>
      </c>
      <c r="F29" s="2">
        <v>0.587209302325581</v>
      </c>
      <c r="G29" s="1">
        <v>16</v>
      </c>
      <c r="H29" s="2">
        <v>0.158415841584158</v>
      </c>
      <c r="I29" s="2">
        <v>9.3023255813953501E-2</v>
      </c>
    </row>
    <row r="30" spans="1:9" x14ac:dyDescent="0.35">
      <c r="A30" s="19">
        <v>45617</v>
      </c>
      <c r="B30" t="s">
        <v>906</v>
      </c>
      <c r="C30" t="s">
        <v>10</v>
      </c>
      <c r="D30" s="1">
        <v>6019639</v>
      </c>
      <c r="E30" s="1">
        <v>1959225</v>
      </c>
      <c r="F30" s="2">
        <v>0.325472175324799</v>
      </c>
      <c r="G30" s="1">
        <v>22238</v>
      </c>
      <c r="H30" s="2">
        <v>1.1350406410698099E-2</v>
      </c>
      <c r="I30" s="2">
        <v>3.6942414653104599E-3</v>
      </c>
    </row>
    <row r="31" spans="1:9" x14ac:dyDescent="0.35">
      <c r="A31" s="19">
        <v>45617</v>
      </c>
      <c r="B31" t="s">
        <v>906</v>
      </c>
      <c r="C31" t="s">
        <v>11</v>
      </c>
      <c r="D31" s="1">
        <v>404580</v>
      </c>
      <c r="E31" s="1">
        <v>124179</v>
      </c>
      <c r="F31" s="2">
        <v>0.30693311582381699</v>
      </c>
      <c r="G31" s="1">
        <v>2174</v>
      </c>
      <c r="H31" s="2">
        <v>1.7506985883281399E-2</v>
      </c>
      <c r="I31" s="2">
        <v>5.3734737258391398E-3</v>
      </c>
    </row>
    <row r="32" spans="1:9" x14ac:dyDescent="0.35">
      <c r="A32" s="19">
        <v>45617</v>
      </c>
      <c r="B32" t="s">
        <v>907</v>
      </c>
      <c r="C32" t="s">
        <v>234</v>
      </c>
      <c r="D32" s="1">
        <v>407717</v>
      </c>
      <c r="E32" s="1">
        <v>147334</v>
      </c>
      <c r="F32" s="3">
        <v>0.3614</v>
      </c>
      <c r="G32">
        <v>380</v>
      </c>
      <c r="H32" s="3">
        <v>2.5999999999999999E-3</v>
      </c>
      <c r="I32" s="3">
        <v>8.9999999999999998E-4</v>
      </c>
    </row>
    <row r="33" spans="1:9" x14ac:dyDescent="0.35">
      <c r="A33" s="19">
        <v>45617</v>
      </c>
      <c r="B33" t="s">
        <v>908</v>
      </c>
      <c r="C33" t="s">
        <v>235</v>
      </c>
      <c r="D33" s="1">
        <v>8257</v>
      </c>
      <c r="E33" s="1">
        <v>2959</v>
      </c>
      <c r="F33" s="3">
        <v>0.3584</v>
      </c>
      <c r="G33">
        <v>15</v>
      </c>
      <c r="H33" s="3">
        <v>5.1000000000000004E-3</v>
      </c>
      <c r="I33" s="3">
        <v>1.8E-3</v>
      </c>
    </row>
    <row r="34" spans="1:9" x14ac:dyDescent="0.35">
      <c r="A34" s="19">
        <v>45617</v>
      </c>
      <c r="B34" t="s">
        <v>909</v>
      </c>
      <c r="C34" t="s">
        <v>74</v>
      </c>
      <c r="D34" s="1">
        <v>10700</v>
      </c>
      <c r="E34" s="1">
        <v>3914</v>
      </c>
      <c r="F34" s="2">
        <v>0.36579439252336399</v>
      </c>
      <c r="G34" s="1">
        <v>59</v>
      </c>
      <c r="H34" s="2">
        <v>1.5074092999488999E-2</v>
      </c>
      <c r="I34" s="2">
        <v>5.5140186915887896E-3</v>
      </c>
    </row>
    <row r="35" spans="1:9" x14ac:dyDescent="0.35">
      <c r="A35" s="19">
        <v>45617</v>
      </c>
      <c r="B35" t="s">
        <v>909</v>
      </c>
      <c r="C35" t="s">
        <v>72</v>
      </c>
      <c r="D35" s="1">
        <v>201750</v>
      </c>
      <c r="E35" s="1">
        <v>75029</v>
      </c>
      <c r="F35" s="2">
        <v>0.37189095415117701</v>
      </c>
      <c r="G35" s="1">
        <v>859</v>
      </c>
      <c r="H35" s="2">
        <v>1.14489064228498E-2</v>
      </c>
      <c r="I35" s="2">
        <v>4.2577447335811602E-3</v>
      </c>
    </row>
    <row r="36" spans="1:9" x14ac:dyDescent="0.35">
      <c r="A36" s="19">
        <v>45617</v>
      </c>
      <c r="B36" t="s">
        <v>909</v>
      </c>
      <c r="C36" t="s">
        <v>75</v>
      </c>
      <c r="D36" s="1">
        <v>933</v>
      </c>
      <c r="E36" s="1">
        <v>358</v>
      </c>
      <c r="F36" s="2">
        <v>0.383708467309753</v>
      </c>
      <c r="G36" s="1">
        <v>5</v>
      </c>
      <c r="H36" s="2">
        <v>1.3966480446927399E-2</v>
      </c>
      <c r="I36" s="2">
        <v>5.3590568060021401E-3</v>
      </c>
    </row>
    <row r="37" spans="1:9" x14ac:dyDescent="0.35">
      <c r="A37" s="19">
        <v>45617</v>
      </c>
      <c r="B37" t="s">
        <v>909</v>
      </c>
      <c r="C37" t="s">
        <v>73</v>
      </c>
      <c r="D37" s="1">
        <v>17694</v>
      </c>
      <c r="E37" s="1">
        <v>7023</v>
      </c>
      <c r="F37" s="2">
        <v>0.39691420820617201</v>
      </c>
      <c r="G37" s="1">
        <v>109</v>
      </c>
      <c r="H37" s="2">
        <v>1.55204328634487E-2</v>
      </c>
      <c r="I37" s="2">
        <v>6.1602803210127699E-3</v>
      </c>
    </row>
    <row r="38" spans="1:9" ht="16" thickBot="1" x14ac:dyDescent="0.4">
      <c r="A38" s="37" t="s">
        <v>35</v>
      </c>
      <c r="D38" s="31">
        <f>SUM(D2:D37)</f>
        <v>16876205</v>
      </c>
      <c r="E38" s="31">
        <f>SUM(E2:E37)</f>
        <v>5519641</v>
      </c>
      <c r="F38" s="32">
        <f>AVERAGE(F2:F37)</f>
        <v>0.39481685102805408</v>
      </c>
      <c r="G38" s="31">
        <f>SUM(G2:G37)</f>
        <v>88908</v>
      </c>
      <c r="H38" s="32">
        <f>AVERAGE(H2:H37)</f>
        <v>4.0083147783055974E-2</v>
      </c>
      <c r="I38" s="32">
        <f>AVERAGE(I2:I37)</f>
        <v>1.8351492631929086E-2</v>
      </c>
    </row>
    <row r="39" spans="1:9" ht="15" thickBot="1" x14ac:dyDescent="0.4">
      <c r="A39" s="138" t="s">
        <v>302</v>
      </c>
      <c r="B39" s="138"/>
      <c r="C39" s="138"/>
      <c r="D39" s="138"/>
      <c r="E39" s="138"/>
      <c r="F39" s="138"/>
      <c r="G39" s="138"/>
      <c r="H39" s="138"/>
      <c r="I39" s="138"/>
    </row>
    <row r="40" spans="1:9" ht="15.5" x14ac:dyDescent="0.35">
      <c r="A40" s="38" t="s">
        <v>0</v>
      </c>
      <c r="B40" s="39" t="s">
        <v>1</v>
      </c>
      <c r="C40" s="39" t="s">
        <v>2</v>
      </c>
      <c r="D40" s="39" t="s">
        <v>3</v>
      </c>
      <c r="E40" s="39" t="s">
        <v>4</v>
      </c>
      <c r="F40" s="39" t="s">
        <v>5</v>
      </c>
      <c r="G40" s="39" t="s">
        <v>6</v>
      </c>
      <c r="H40" s="39" t="s">
        <v>7</v>
      </c>
      <c r="I40" s="40" t="s">
        <v>8</v>
      </c>
    </row>
    <row r="41" spans="1:9" x14ac:dyDescent="0.35">
      <c r="A41" s="5" t="s">
        <v>36</v>
      </c>
      <c r="B41" s="6"/>
      <c r="C41" s="6"/>
      <c r="D41" s="6"/>
      <c r="E41" s="6"/>
      <c r="F41" s="6"/>
      <c r="G41" s="6"/>
      <c r="H41" s="6"/>
      <c r="I41" s="7"/>
    </row>
    <row r="42" spans="1:9" x14ac:dyDescent="0.35">
      <c r="A42" s="28">
        <v>45611</v>
      </c>
      <c r="B42" t="s">
        <v>889</v>
      </c>
      <c r="C42" t="s">
        <v>10</v>
      </c>
      <c r="D42" s="1">
        <v>287668</v>
      </c>
      <c r="E42" s="1">
        <v>100107</v>
      </c>
      <c r="F42" s="2">
        <v>0.34799491079994999</v>
      </c>
      <c r="G42" s="1">
        <v>1741</v>
      </c>
      <c r="H42" s="2">
        <v>1.73913912114038E-2</v>
      </c>
      <c r="I42" s="29">
        <v>6.0521156332994999E-3</v>
      </c>
    </row>
    <row r="43" spans="1:9" x14ac:dyDescent="0.35">
      <c r="A43" s="28">
        <v>45611</v>
      </c>
      <c r="B43" t="s">
        <v>890</v>
      </c>
      <c r="C43" t="s">
        <v>10</v>
      </c>
      <c r="D43" s="1">
        <v>4284487</v>
      </c>
      <c r="E43" s="1">
        <v>1353314</v>
      </c>
      <c r="F43" s="2">
        <v>0.31586371950714298</v>
      </c>
      <c r="G43" s="1">
        <v>19054</v>
      </c>
      <c r="H43" s="2">
        <v>1.40795114807059E-2</v>
      </c>
      <c r="I43" s="29">
        <v>4.4472068651392801E-3</v>
      </c>
    </row>
    <row r="44" spans="1:9" x14ac:dyDescent="0.35">
      <c r="A44" s="28">
        <v>45611</v>
      </c>
      <c r="B44" t="s">
        <v>890</v>
      </c>
      <c r="C44" t="s">
        <v>11</v>
      </c>
      <c r="D44" s="1">
        <v>282020</v>
      </c>
      <c r="E44" s="1">
        <v>77408</v>
      </c>
      <c r="F44" s="2">
        <v>0.27447698744769899</v>
      </c>
      <c r="G44" s="1">
        <v>1287</v>
      </c>
      <c r="H44" s="2">
        <v>1.6626188507647799E-2</v>
      </c>
      <c r="I44" s="29">
        <v>4.5635061343167202E-3</v>
      </c>
    </row>
    <row r="45" spans="1:9" x14ac:dyDescent="0.35">
      <c r="A45" s="28">
        <v>45615</v>
      </c>
      <c r="B45" t="s">
        <v>901</v>
      </c>
      <c r="C45" t="s">
        <v>10</v>
      </c>
      <c r="D45" s="1">
        <v>1405047</v>
      </c>
      <c r="E45" s="1">
        <v>405661</v>
      </c>
      <c r="F45" s="2">
        <v>0.28871703224162598</v>
      </c>
      <c r="G45" s="1">
        <v>11817</v>
      </c>
      <c r="H45" s="2">
        <v>2.91302343582449E-2</v>
      </c>
      <c r="I45" s="29">
        <v>8.4103948124155305E-3</v>
      </c>
    </row>
    <row r="46" spans="1:9" x14ac:dyDescent="0.35">
      <c r="A46" s="28">
        <v>45615</v>
      </c>
      <c r="B46" t="s">
        <v>901</v>
      </c>
      <c r="C46" t="s">
        <v>11</v>
      </c>
      <c r="D46" s="1">
        <v>94445</v>
      </c>
      <c r="E46" s="1">
        <v>29204</v>
      </c>
      <c r="F46" s="2">
        <v>0.30922027868366397</v>
      </c>
      <c r="G46" s="1">
        <v>1282</v>
      </c>
      <c r="H46" s="2">
        <v>4.38980961512122E-2</v>
      </c>
      <c r="I46" s="29">
        <v>1.35741815255601E-2</v>
      </c>
    </row>
    <row r="47" spans="1:9" ht="16" thickBot="1" x14ac:dyDescent="0.4">
      <c r="A47" s="36" t="s">
        <v>35</v>
      </c>
      <c r="B47" s="4"/>
      <c r="C47" s="4"/>
      <c r="D47" s="33">
        <f>SUM(D42:D46)</f>
        <v>6353667</v>
      </c>
      <c r="E47" s="33">
        <f>SUM(E42:E46)</f>
        <v>1965694</v>
      </c>
      <c r="F47" s="34">
        <f>AVERAGE(F42:F46)</f>
        <v>0.30725458573601638</v>
      </c>
      <c r="G47" s="33">
        <f>SUM(G42:G46)</f>
        <v>35181</v>
      </c>
      <c r="H47" s="34">
        <f>AVERAGE(H42:H46)</f>
        <v>2.4225084341842916E-2</v>
      </c>
      <c r="I47" s="35">
        <f>AVERAGE(I42:I46)</f>
        <v>7.4094809941462267E-3</v>
      </c>
    </row>
    <row r="48" spans="1:9" ht="3" customHeight="1" thickBot="1" x14ac:dyDescent="0.4">
      <c r="A48" s="141"/>
      <c r="B48" s="142"/>
      <c r="C48" s="142"/>
      <c r="D48" s="142"/>
      <c r="E48" s="142"/>
      <c r="F48" s="142"/>
      <c r="G48" s="142"/>
      <c r="H48" s="142"/>
      <c r="I48" s="143"/>
    </row>
    <row r="49" spans="1:9" x14ac:dyDescent="0.35">
      <c r="A49" s="16" t="s">
        <v>37</v>
      </c>
      <c r="B49" s="17"/>
      <c r="C49" s="17"/>
      <c r="D49" s="17"/>
      <c r="E49" s="17"/>
      <c r="F49" s="17"/>
      <c r="G49" s="17"/>
      <c r="H49" s="17"/>
      <c r="I49" s="18"/>
    </row>
    <row r="50" spans="1:9" x14ac:dyDescent="0.35">
      <c r="A50" s="28">
        <v>45611</v>
      </c>
      <c r="B50" t="s">
        <v>891</v>
      </c>
      <c r="C50" t="s">
        <v>10</v>
      </c>
      <c r="D50" s="1">
        <v>695100</v>
      </c>
      <c r="E50" s="1">
        <v>285062</v>
      </c>
      <c r="F50" s="2">
        <v>0.41010214357646402</v>
      </c>
      <c r="G50" s="1">
        <v>4450</v>
      </c>
      <c r="H50" s="2">
        <v>1.56106390890403E-2</v>
      </c>
      <c r="I50" s="29">
        <v>6.4019565530139596E-3</v>
      </c>
    </row>
    <row r="51" spans="1:9" x14ac:dyDescent="0.35">
      <c r="A51" s="28">
        <v>45611</v>
      </c>
      <c r="B51" t="s">
        <v>891</v>
      </c>
      <c r="C51" t="s">
        <v>11</v>
      </c>
      <c r="D51" s="1">
        <v>35241</v>
      </c>
      <c r="E51" s="1">
        <v>14296</v>
      </c>
      <c r="F51" s="2">
        <v>0.40566385743877897</v>
      </c>
      <c r="G51" s="1">
        <v>207</v>
      </c>
      <c r="H51" s="2">
        <v>1.4479574706211499E-2</v>
      </c>
      <c r="I51" s="29">
        <v>5.8738401293947397E-3</v>
      </c>
    </row>
    <row r="52" spans="1:9" x14ac:dyDescent="0.35">
      <c r="A52" s="28">
        <v>45611</v>
      </c>
      <c r="B52" t="s">
        <v>892</v>
      </c>
      <c r="C52" t="s">
        <v>75</v>
      </c>
      <c r="D52" s="1">
        <v>595</v>
      </c>
      <c r="E52" s="1">
        <v>294</v>
      </c>
      <c r="F52" s="2">
        <v>0.49411764705882399</v>
      </c>
      <c r="G52" s="1">
        <v>20</v>
      </c>
      <c r="H52" s="2">
        <v>6.8027210884353706E-2</v>
      </c>
      <c r="I52" s="29">
        <v>3.3613445378151301E-2</v>
      </c>
    </row>
    <row r="53" spans="1:9" x14ac:dyDescent="0.35">
      <c r="A53" s="28">
        <v>45611</v>
      </c>
      <c r="B53" t="s">
        <v>892</v>
      </c>
      <c r="C53" t="s">
        <v>73</v>
      </c>
      <c r="D53" s="1">
        <v>11010</v>
      </c>
      <c r="E53" s="1">
        <v>5831</v>
      </c>
      <c r="F53" s="2">
        <v>0.52960944595822002</v>
      </c>
      <c r="G53" s="1">
        <v>315</v>
      </c>
      <c r="H53" s="2">
        <v>5.4021608643457397E-2</v>
      </c>
      <c r="I53" s="29">
        <v>2.86103542234332E-2</v>
      </c>
    </row>
    <row r="54" spans="1:9" x14ac:dyDescent="0.35">
      <c r="A54" s="28">
        <v>45611</v>
      </c>
      <c r="B54" t="s">
        <v>893</v>
      </c>
      <c r="C54" t="s">
        <v>10</v>
      </c>
      <c r="D54" s="1">
        <v>779063</v>
      </c>
      <c r="E54" s="1">
        <v>294197</v>
      </c>
      <c r="F54" s="2">
        <v>0.37762928030210702</v>
      </c>
      <c r="G54" s="1">
        <v>5292</v>
      </c>
      <c r="H54" s="2">
        <v>1.7987946851939302E-2</v>
      </c>
      <c r="I54" s="29">
        <v>6.7927754238104E-3</v>
      </c>
    </row>
    <row r="55" spans="1:9" x14ac:dyDescent="0.35">
      <c r="A55" s="28">
        <v>45611</v>
      </c>
      <c r="B55" t="s">
        <v>893</v>
      </c>
      <c r="C55" t="s">
        <v>11</v>
      </c>
      <c r="D55" s="1">
        <v>27636</v>
      </c>
      <c r="E55" s="1">
        <v>9654</v>
      </c>
      <c r="F55" s="2">
        <v>0.34932696482848502</v>
      </c>
      <c r="G55" s="1">
        <v>200</v>
      </c>
      <c r="H55" s="2">
        <v>2.0716801325875299E-2</v>
      </c>
      <c r="I55" s="29">
        <v>7.2369373281227396E-3</v>
      </c>
    </row>
    <row r="56" spans="1:9" x14ac:dyDescent="0.35">
      <c r="A56" s="28">
        <v>45611</v>
      </c>
      <c r="B56" t="s">
        <v>894</v>
      </c>
      <c r="C56" t="s">
        <v>10</v>
      </c>
      <c r="D56" s="1">
        <v>70742</v>
      </c>
      <c r="E56" s="1">
        <v>30561</v>
      </c>
      <c r="F56" s="2">
        <v>0.43200644595855398</v>
      </c>
      <c r="G56" s="1">
        <v>822</v>
      </c>
      <c r="H56" s="2">
        <v>2.68970256208894E-2</v>
      </c>
      <c r="I56" s="29">
        <v>1.16196884453366E-2</v>
      </c>
    </row>
    <row r="57" spans="1:9" x14ac:dyDescent="0.35">
      <c r="A57" s="28">
        <v>45611</v>
      </c>
      <c r="B57" t="s">
        <v>895</v>
      </c>
      <c r="C57" t="s">
        <v>10</v>
      </c>
      <c r="D57" s="1">
        <v>120399</v>
      </c>
      <c r="E57" s="1">
        <v>46060</v>
      </c>
      <c r="F57" s="2">
        <v>0.38256131695446</v>
      </c>
      <c r="G57" s="1">
        <v>922</v>
      </c>
      <c r="H57" s="2">
        <v>2.0017368649587499E-2</v>
      </c>
      <c r="I57" s="29">
        <v>7.6578709125491098E-3</v>
      </c>
    </row>
    <row r="58" spans="1:9" x14ac:dyDescent="0.35">
      <c r="A58" s="28">
        <v>45611</v>
      </c>
      <c r="B58" t="s">
        <v>895</v>
      </c>
      <c r="C58" t="s">
        <v>11</v>
      </c>
      <c r="D58" s="1">
        <v>13958</v>
      </c>
      <c r="E58" s="1">
        <v>5147</v>
      </c>
      <c r="F58" s="2">
        <v>0.368749104456226</v>
      </c>
      <c r="G58" s="1">
        <v>123</v>
      </c>
      <c r="H58" s="2">
        <v>2.3897415970468201E-2</v>
      </c>
      <c r="I58" s="29">
        <v>8.8121507379280706E-3</v>
      </c>
    </row>
    <row r="59" spans="1:9" x14ac:dyDescent="0.35">
      <c r="A59" s="28">
        <v>45612</v>
      </c>
      <c r="B59" t="s">
        <v>896</v>
      </c>
      <c r="C59" t="s">
        <v>10</v>
      </c>
      <c r="D59" s="1">
        <v>1285130</v>
      </c>
      <c r="E59" s="1">
        <v>386174</v>
      </c>
      <c r="F59" s="2">
        <v>0.30049411343599502</v>
      </c>
      <c r="G59" s="1">
        <v>8804</v>
      </c>
      <c r="H59" s="2">
        <v>2.27980133307784E-2</v>
      </c>
      <c r="I59" s="29">
        <v>6.8506688039342298E-3</v>
      </c>
    </row>
    <row r="60" spans="1:9" x14ac:dyDescent="0.35">
      <c r="A60" s="28">
        <v>45612</v>
      </c>
      <c r="B60" t="s">
        <v>896</v>
      </c>
      <c r="C60" t="s">
        <v>11</v>
      </c>
      <c r="D60" s="1">
        <v>93865</v>
      </c>
      <c r="E60" s="1">
        <v>26448</v>
      </c>
      <c r="F60" s="2">
        <v>0.28176636659031601</v>
      </c>
      <c r="G60" s="1">
        <v>883</v>
      </c>
      <c r="H60" s="2">
        <v>3.3386267392619497E-2</v>
      </c>
      <c r="I60" s="29">
        <v>9.40712725723113E-3</v>
      </c>
    </row>
    <row r="61" spans="1:9" x14ac:dyDescent="0.35">
      <c r="A61" s="28">
        <v>45613</v>
      </c>
      <c r="B61" t="s">
        <v>897</v>
      </c>
      <c r="C61" t="s">
        <v>10</v>
      </c>
      <c r="D61" s="1">
        <v>40551</v>
      </c>
      <c r="E61" s="1">
        <v>15244</v>
      </c>
      <c r="F61" s="2">
        <v>0.37592167887351702</v>
      </c>
      <c r="G61" s="1">
        <v>309</v>
      </c>
      <c r="H61" s="2">
        <v>2.0270270270270299E-2</v>
      </c>
      <c r="I61" s="29">
        <v>7.6200340312199497E-3</v>
      </c>
    </row>
    <row r="62" spans="1:9" x14ac:dyDescent="0.35">
      <c r="A62" s="28">
        <v>45614</v>
      </c>
      <c r="B62" t="s">
        <v>898</v>
      </c>
      <c r="C62" t="s">
        <v>10</v>
      </c>
      <c r="D62" s="1">
        <v>3873</v>
      </c>
      <c r="E62" s="1">
        <v>1907</v>
      </c>
      <c r="F62" s="2">
        <v>0.49238316550477701</v>
      </c>
      <c r="G62" s="1">
        <v>232</v>
      </c>
      <c r="H62" s="2">
        <v>0.12165705296276901</v>
      </c>
      <c r="I62" s="29">
        <v>5.9901884843790297E-2</v>
      </c>
    </row>
    <row r="63" spans="1:9" x14ac:dyDescent="0.35">
      <c r="A63" s="28">
        <v>45614</v>
      </c>
      <c r="B63" t="s">
        <v>898</v>
      </c>
      <c r="C63" t="s">
        <v>11</v>
      </c>
      <c r="D63" s="1">
        <v>1428</v>
      </c>
      <c r="E63" s="1">
        <v>777</v>
      </c>
      <c r="F63" s="2">
        <v>0.54411764705882304</v>
      </c>
      <c r="G63" s="1">
        <v>115</v>
      </c>
      <c r="H63" s="2">
        <v>0.148005148005148</v>
      </c>
      <c r="I63" s="29">
        <v>8.0532212885154095E-2</v>
      </c>
    </row>
    <row r="64" spans="1:9" x14ac:dyDescent="0.35">
      <c r="A64" s="28">
        <v>45614</v>
      </c>
      <c r="B64" t="s">
        <v>899</v>
      </c>
      <c r="C64" t="s">
        <v>10</v>
      </c>
      <c r="D64" s="1">
        <v>38279</v>
      </c>
      <c r="E64" s="1">
        <v>15460</v>
      </c>
      <c r="F64" s="2">
        <v>0.40387679928942799</v>
      </c>
      <c r="G64" s="1">
        <v>585</v>
      </c>
      <c r="H64" s="2">
        <v>3.7839586028460499E-2</v>
      </c>
      <c r="I64" s="29">
        <v>1.52825308916116E-2</v>
      </c>
    </row>
    <row r="65" spans="1:9" x14ac:dyDescent="0.35">
      <c r="A65" s="28">
        <v>45614</v>
      </c>
      <c r="B65" t="s">
        <v>899</v>
      </c>
      <c r="C65" t="s">
        <v>11</v>
      </c>
      <c r="D65" s="1">
        <v>15727</v>
      </c>
      <c r="E65" s="1">
        <v>7099</v>
      </c>
      <c r="F65" s="2">
        <v>0.45138933045081697</v>
      </c>
      <c r="G65" s="1">
        <v>320</v>
      </c>
      <c r="H65" s="2">
        <v>4.5076771376250199E-2</v>
      </c>
      <c r="I65" s="29">
        <v>2.03471736504101E-2</v>
      </c>
    </row>
    <row r="66" spans="1:9" x14ac:dyDescent="0.35">
      <c r="A66" s="28">
        <v>45614</v>
      </c>
      <c r="B66" t="s">
        <v>900</v>
      </c>
      <c r="C66" t="s">
        <v>10</v>
      </c>
      <c r="D66" s="1">
        <v>37229</v>
      </c>
      <c r="E66" s="1">
        <v>14980</v>
      </c>
      <c r="F66" s="2">
        <v>0.40237449300276701</v>
      </c>
      <c r="G66" s="1">
        <v>1746</v>
      </c>
      <c r="H66" s="2">
        <v>0.11655540720961299</v>
      </c>
      <c r="I66" s="29">
        <v>4.6898922882699E-2</v>
      </c>
    </row>
    <row r="67" spans="1:9" x14ac:dyDescent="0.35">
      <c r="A67" s="28">
        <v>45615</v>
      </c>
      <c r="B67" t="s">
        <v>902</v>
      </c>
      <c r="C67" t="s">
        <v>11</v>
      </c>
      <c r="D67" s="1">
        <v>29661</v>
      </c>
      <c r="E67" s="1">
        <v>10486</v>
      </c>
      <c r="F67" s="2">
        <v>0.35352820201611501</v>
      </c>
      <c r="G67" s="1">
        <v>263</v>
      </c>
      <c r="H67" s="2">
        <v>2.50810604615678E-2</v>
      </c>
      <c r="I67" s="29">
        <v>8.8668622096355499E-3</v>
      </c>
    </row>
    <row r="68" spans="1:9" x14ac:dyDescent="0.35">
      <c r="A68" s="28">
        <v>45616</v>
      </c>
      <c r="B68" t="s">
        <v>903</v>
      </c>
      <c r="C68" t="s">
        <v>10</v>
      </c>
      <c r="D68" s="1">
        <v>93532</v>
      </c>
      <c r="E68" s="1">
        <v>42048</v>
      </c>
      <c r="F68" s="2">
        <v>0.44955737073942598</v>
      </c>
      <c r="G68" s="1">
        <v>1199</v>
      </c>
      <c r="H68" s="2">
        <v>2.8515030441400298E-2</v>
      </c>
      <c r="I68" s="29">
        <v>1.28191421117906E-2</v>
      </c>
    </row>
    <row r="69" spans="1:9" x14ac:dyDescent="0.35">
      <c r="A69" s="28">
        <v>45616</v>
      </c>
      <c r="B69" t="s">
        <v>903</v>
      </c>
      <c r="C69" t="s">
        <v>11</v>
      </c>
      <c r="D69" s="1">
        <v>5406</v>
      </c>
      <c r="E69" s="1">
        <v>2788</v>
      </c>
      <c r="F69" s="2">
        <v>0.51572327044025201</v>
      </c>
      <c r="G69" s="1">
        <v>126</v>
      </c>
      <c r="H69" s="2">
        <v>4.5193687230990001E-2</v>
      </c>
      <c r="I69" s="29">
        <v>2.3307436182020001E-2</v>
      </c>
    </row>
    <row r="70" spans="1:9" x14ac:dyDescent="0.35">
      <c r="A70" s="28">
        <v>45616</v>
      </c>
      <c r="B70" t="s">
        <v>904</v>
      </c>
      <c r="C70" t="s">
        <v>503</v>
      </c>
      <c r="D70" s="1">
        <v>44723</v>
      </c>
      <c r="E70" s="1">
        <v>14801</v>
      </c>
      <c r="F70" s="2">
        <v>0.33094828164479101</v>
      </c>
      <c r="G70" s="1">
        <v>281</v>
      </c>
      <c r="H70" s="2">
        <v>1.8985203702452502E-2</v>
      </c>
      <c r="I70" s="29">
        <v>6.2831205420030003E-3</v>
      </c>
    </row>
    <row r="71" spans="1:9" x14ac:dyDescent="0.35">
      <c r="A71" s="28">
        <v>45616</v>
      </c>
      <c r="B71" t="s">
        <v>905</v>
      </c>
      <c r="C71" t="s">
        <v>10</v>
      </c>
      <c r="D71" s="1">
        <v>7948</v>
      </c>
      <c r="E71" s="1">
        <v>4511</v>
      </c>
      <c r="F71" s="2">
        <v>0.56756416708605895</v>
      </c>
      <c r="G71" s="1">
        <v>658</v>
      </c>
      <c r="H71" s="2">
        <v>0.14586566171580601</v>
      </c>
      <c r="I71" s="29">
        <v>8.2788122798188202E-2</v>
      </c>
    </row>
    <row r="72" spans="1:9" x14ac:dyDescent="0.35">
      <c r="A72" s="28">
        <v>45616</v>
      </c>
      <c r="B72" t="s">
        <v>905</v>
      </c>
      <c r="C72" t="s">
        <v>11</v>
      </c>
      <c r="D72" s="1">
        <v>172</v>
      </c>
      <c r="E72" s="1">
        <v>101</v>
      </c>
      <c r="F72" s="2">
        <v>0.587209302325581</v>
      </c>
      <c r="G72" s="1">
        <v>16</v>
      </c>
      <c r="H72" s="2">
        <v>0.158415841584158</v>
      </c>
      <c r="I72" s="29">
        <v>9.3023255813953501E-2</v>
      </c>
    </row>
    <row r="73" spans="1:9" x14ac:dyDescent="0.35">
      <c r="A73" s="28">
        <v>45617</v>
      </c>
      <c r="B73" t="s">
        <v>906</v>
      </c>
      <c r="C73" t="s">
        <v>10</v>
      </c>
      <c r="D73" s="1">
        <v>6019639</v>
      </c>
      <c r="E73" s="1">
        <v>1959225</v>
      </c>
      <c r="F73" s="2">
        <v>0.325472175324799</v>
      </c>
      <c r="G73" s="1">
        <v>22238</v>
      </c>
      <c r="H73" s="2">
        <v>1.1350406410698099E-2</v>
      </c>
      <c r="I73" s="29">
        <v>3.6942414653104599E-3</v>
      </c>
    </row>
    <row r="74" spans="1:9" x14ac:dyDescent="0.35">
      <c r="A74" s="28">
        <v>45617</v>
      </c>
      <c r="B74" t="s">
        <v>906</v>
      </c>
      <c r="C74" t="s">
        <v>11</v>
      </c>
      <c r="D74" s="1">
        <v>404580</v>
      </c>
      <c r="E74" s="1">
        <v>124179</v>
      </c>
      <c r="F74" s="2">
        <v>0.30693311582381699</v>
      </c>
      <c r="G74" s="1">
        <v>2174</v>
      </c>
      <c r="H74" s="2">
        <v>1.7506985883281399E-2</v>
      </c>
      <c r="I74" s="29">
        <v>5.3734737258391398E-3</v>
      </c>
    </row>
    <row r="75" spans="1:9" x14ac:dyDescent="0.35">
      <c r="A75" s="28">
        <v>45617</v>
      </c>
      <c r="B75" t="s">
        <v>909</v>
      </c>
      <c r="C75" t="s">
        <v>74</v>
      </c>
      <c r="D75" s="1">
        <v>10700</v>
      </c>
      <c r="E75" s="1">
        <v>3914</v>
      </c>
      <c r="F75" s="2">
        <v>0.36579439252336399</v>
      </c>
      <c r="G75" s="1">
        <v>59</v>
      </c>
      <c r="H75" s="2">
        <v>1.5074092999488999E-2</v>
      </c>
      <c r="I75" s="29">
        <v>5.5140186915887896E-3</v>
      </c>
    </row>
    <row r="76" spans="1:9" x14ac:dyDescent="0.35">
      <c r="A76" s="28">
        <v>45617</v>
      </c>
      <c r="B76" t="s">
        <v>909</v>
      </c>
      <c r="C76" t="s">
        <v>72</v>
      </c>
      <c r="D76" s="1">
        <v>201750</v>
      </c>
      <c r="E76" s="1">
        <v>75029</v>
      </c>
      <c r="F76" s="2">
        <v>0.37189095415117701</v>
      </c>
      <c r="G76" s="1">
        <v>859</v>
      </c>
      <c r="H76" s="2">
        <v>1.14489064228498E-2</v>
      </c>
      <c r="I76" s="29">
        <v>4.2577447335811602E-3</v>
      </c>
    </row>
    <row r="77" spans="1:9" x14ac:dyDescent="0.35">
      <c r="A77" s="28">
        <v>45617</v>
      </c>
      <c r="B77" t="s">
        <v>909</v>
      </c>
      <c r="C77" t="s">
        <v>75</v>
      </c>
      <c r="D77" s="1">
        <v>933</v>
      </c>
      <c r="E77" s="1">
        <v>358</v>
      </c>
      <c r="F77" s="2">
        <v>0.383708467309753</v>
      </c>
      <c r="G77" s="1">
        <v>5</v>
      </c>
      <c r="H77" s="2">
        <v>1.3966480446927399E-2</v>
      </c>
      <c r="I77" s="29">
        <v>5.3590568060021401E-3</v>
      </c>
    </row>
    <row r="78" spans="1:9" x14ac:dyDescent="0.35">
      <c r="A78" s="28">
        <v>45617</v>
      </c>
      <c r="B78" t="s">
        <v>909</v>
      </c>
      <c r="C78" t="s">
        <v>73</v>
      </c>
      <c r="D78" s="1">
        <v>17694</v>
      </c>
      <c r="E78" s="1">
        <v>7023</v>
      </c>
      <c r="F78" s="2">
        <v>0.39691420820617201</v>
      </c>
      <c r="G78" s="1">
        <v>109</v>
      </c>
      <c r="H78" s="2">
        <v>1.55204328634487E-2</v>
      </c>
      <c r="I78" s="29">
        <v>6.1602803210127699E-3</v>
      </c>
    </row>
    <row r="79" spans="1:9" ht="16" thickBot="1" x14ac:dyDescent="0.4">
      <c r="A79" s="36" t="s">
        <v>35</v>
      </c>
      <c r="B79" s="4"/>
      <c r="C79" s="4"/>
      <c r="D79" s="33">
        <f>SUM(D50:D78)</f>
        <v>10106564</v>
      </c>
      <c r="E79" s="33">
        <f>SUM(E50:E78)</f>
        <v>3403654</v>
      </c>
      <c r="F79" s="34">
        <f>AVERAGE(F50:F78)</f>
        <v>0.41232185201137461</v>
      </c>
      <c r="G79" s="33">
        <f>SUM(G50:G78)</f>
        <v>53332</v>
      </c>
      <c r="H79" s="34">
        <f>AVERAGE(H50:H78)</f>
        <v>4.531613443037244E-2</v>
      </c>
      <c r="I79" s="35">
        <f>AVERAGE(I50:I78)</f>
        <v>2.1410563095817788E-2</v>
      </c>
    </row>
    <row r="80" spans="1:9" ht="3" customHeight="1" thickBot="1" x14ac:dyDescent="0.4">
      <c r="A80" s="139"/>
      <c r="B80" s="138"/>
      <c r="C80" s="138"/>
      <c r="D80" s="138"/>
      <c r="E80" s="138"/>
      <c r="F80" s="138"/>
      <c r="G80" s="138"/>
      <c r="H80" s="138"/>
      <c r="I80" s="140"/>
    </row>
    <row r="81" spans="1:9" x14ac:dyDescent="0.35">
      <c r="A81" s="16" t="s">
        <v>38</v>
      </c>
      <c r="B81" s="17"/>
      <c r="C81" s="17"/>
      <c r="D81" s="17"/>
      <c r="E81" s="17"/>
      <c r="F81" s="17"/>
      <c r="G81" s="17"/>
      <c r="H81" s="17"/>
      <c r="I81" s="18"/>
    </row>
    <row r="82" spans="1:9" x14ac:dyDescent="0.35">
      <c r="A82" s="28">
        <v>45617</v>
      </c>
      <c r="B82" t="s">
        <v>907</v>
      </c>
      <c r="C82" t="s">
        <v>234</v>
      </c>
      <c r="D82" s="1">
        <v>407717</v>
      </c>
      <c r="E82" s="1">
        <v>147334</v>
      </c>
      <c r="F82" s="3">
        <v>0.3614</v>
      </c>
      <c r="G82">
        <v>380</v>
      </c>
      <c r="H82" s="3">
        <v>2.5999999999999999E-3</v>
      </c>
      <c r="I82" s="30">
        <v>8.9999999999999998E-4</v>
      </c>
    </row>
    <row r="83" spans="1:9" x14ac:dyDescent="0.35">
      <c r="A83" s="28">
        <v>45617</v>
      </c>
      <c r="B83" t="s">
        <v>908</v>
      </c>
      <c r="C83" t="s">
        <v>235</v>
      </c>
      <c r="D83" s="1">
        <v>8257</v>
      </c>
      <c r="E83" s="1">
        <v>2959</v>
      </c>
      <c r="F83" s="3">
        <v>0.3584</v>
      </c>
      <c r="G83">
        <v>15</v>
      </c>
      <c r="H83" s="3">
        <v>5.1000000000000004E-3</v>
      </c>
      <c r="I83" s="30">
        <v>1.8E-3</v>
      </c>
    </row>
    <row r="84" spans="1:9" ht="16" thickBot="1" x14ac:dyDescent="0.4">
      <c r="A84" s="36" t="s">
        <v>35</v>
      </c>
      <c r="B84" s="4"/>
      <c r="C84" s="4"/>
      <c r="D84" s="33">
        <f>SUM(D82:D83)</f>
        <v>415974</v>
      </c>
      <c r="E84" s="33">
        <f>SUM(E82:E83)</f>
        <v>150293</v>
      </c>
      <c r="F84" s="34">
        <f>AVERAGE(F82:F83)</f>
        <v>0.3599</v>
      </c>
      <c r="G84" s="33">
        <f>SUM(G82:G83)</f>
        <v>395</v>
      </c>
      <c r="H84" s="34">
        <f>AVERAGE(H82:H83)</f>
        <v>3.8500000000000001E-3</v>
      </c>
      <c r="I84" s="35">
        <f>AVERAGE(I82:I83)</f>
        <v>1.3500000000000001E-3</v>
      </c>
    </row>
  </sheetData>
  <mergeCells count="3">
    <mergeCell ref="A39:I39"/>
    <mergeCell ref="A48:I48"/>
    <mergeCell ref="A80:I80"/>
  </mergeCells>
  <pageMargins left="0.7" right="0.7" top="0.75" bottom="0.75" header="0.3" footer="0.3"/>
  <ignoredErrors>
    <ignoredError sqref="F79:G79 F84:G84 F47:G47 F38:G38" formula="1"/>
  </ignoredErrors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46F0-342B-40D4-A322-5D2A56D5A164}">
  <dimension ref="A1:I66"/>
  <sheetViews>
    <sheetView topLeftCell="A9" workbookViewId="0">
      <selection activeCell="A2" sqref="A2"/>
    </sheetView>
  </sheetViews>
  <sheetFormatPr defaultRowHeight="14.5" x14ac:dyDescent="0.35"/>
  <cols>
    <col min="1" max="1" width="11.81640625" customWidth="1"/>
    <col min="2" max="2" width="89.81640625" customWidth="1"/>
    <col min="3" max="3" width="41.816406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45618</v>
      </c>
      <c r="B2" t="s">
        <v>910</v>
      </c>
      <c r="C2" t="s">
        <v>10</v>
      </c>
      <c r="D2" s="1">
        <v>349232</v>
      </c>
      <c r="E2" s="1">
        <v>124598</v>
      </c>
      <c r="F2" s="2">
        <v>0.356777156732487</v>
      </c>
      <c r="G2" s="1">
        <v>2236</v>
      </c>
      <c r="H2" s="2">
        <v>1.7945713414340501E-2</v>
      </c>
      <c r="I2" s="2">
        <v>6.4026206075044698E-3</v>
      </c>
    </row>
    <row r="3" spans="1:9" x14ac:dyDescent="0.35">
      <c r="A3" s="19">
        <v>45618</v>
      </c>
      <c r="B3" t="s">
        <v>910</v>
      </c>
      <c r="C3" t="s">
        <v>11</v>
      </c>
      <c r="D3" s="1">
        <v>21823</v>
      </c>
      <c r="E3" s="1">
        <v>7619</v>
      </c>
      <c r="F3" s="2">
        <v>0.34912706777253399</v>
      </c>
      <c r="G3" s="1">
        <v>230</v>
      </c>
      <c r="H3" s="2">
        <v>3.01876886730542E-2</v>
      </c>
      <c r="I3" s="2">
        <v>1.05393392292535E-2</v>
      </c>
    </row>
    <row r="4" spans="1:9" x14ac:dyDescent="0.35">
      <c r="A4" s="19">
        <v>45618</v>
      </c>
      <c r="B4" t="s">
        <v>911</v>
      </c>
      <c r="C4" t="s">
        <v>10</v>
      </c>
      <c r="D4" s="1">
        <v>4611282</v>
      </c>
      <c r="E4" s="1">
        <v>1457443</v>
      </c>
      <c r="F4" s="2">
        <v>0.31606026263412201</v>
      </c>
      <c r="G4" s="1">
        <v>20847</v>
      </c>
      <c r="H4" s="2">
        <v>1.4303818399759E-2</v>
      </c>
      <c r="I4" s="2">
        <v>4.5208686000986296E-3</v>
      </c>
    </row>
    <row r="5" spans="1:9" x14ac:dyDescent="0.35">
      <c r="A5" s="19">
        <v>45618</v>
      </c>
      <c r="B5" t="s">
        <v>911</v>
      </c>
      <c r="C5" t="s">
        <v>11</v>
      </c>
      <c r="D5" s="1">
        <v>304438</v>
      </c>
      <c r="E5" s="1">
        <v>87258</v>
      </c>
      <c r="F5" s="2">
        <v>0.28661993575046502</v>
      </c>
      <c r="G5" s="1">
        <v>1425</v>
      </c>
      <c r="H5" s="2">
        <v>1.63308808361411E-2</v>
      </c>
      <c r="I5" s="2">
        <v>4.6807560160032598E-3</v>
      </c>
    </row>
    <row r="6" spans="1:9" x14ac:dyDescent="0.35">
      <c r="A6" s="19">
        <v>45618</v>
      </c>
      <c r="B6" t="s">
        <v>912</v>
      </c>
      <c r="C6" t="s">
        <v>10</v>
      </c>
      <c r="D6" s="1">
        <v>263332</v>
      </c>
      <c r="E6" s="1">
        <v>95050</v>
      </c>
      <c r="F6" s="2">
        <v>0.36095119468959302</v>
      </c>
      <c r="G6" s="1">
        <v>1566</v>
      </c>
      <c r="H6" s="2">
        <v>1.64755391899001E-2</v>
      </c>
      <c r="I6" s="2">
        <v>5.9468655537496399E-3</v>
      </c>
    </row>
    <row r="7" spans="1:9" x14ac:dyDescent="0.35">
      <c r="A7" s="19">
        <v>45618</v>
      </c>
      <c r="B7" t="s">
        <v>913</v>
      </c>
      <c r="C7" t="s">
        <v>10</v>
      </c>
      <c r="D7" s="1">
        <v>11552</v>
      </c>
      <c r="E7" s="1">
        <v>5481</v>
      </c>
      <c r="F7" s="2">
        <v>0.47446329639889201</v>
      </c>
      <c r="G7" s="1">
        <v>237</v>
      </c>
      <c r="H7" s="2">
        <v>4.3240284619594997E-2</v>
      </c>
      <c r="I7" s="2">
        <v>2.0515927977839299E-2</v>
      </c>
    </row>
    <row r="8" spans="1:9" x14ac:dyDescent="0.35">
      <c r="A8" s="19">
        <v>45618</v>
      </c>
      <c r="B8" t="s">
        <v>913</v>
      </c>
      <c r="C8" t="s">
        <v>11</v>
      </c>
      <c r="D8" s="1">
        <v>529</v>
      </c>
      <c r="E8" s="1">
        <v>251</v>
      </c>
      <c r="F8" s="2">
        <v>0.47448015122873299</v>
      </c>
      <c r="G8" s="1">
        <v>11</v>
      </c>
      <c r="H8" s="2">
        <v>4.3824701195219098E-2</v>
      </c>
      <c r="I8" s="2">
        <v>2.0793950850661599E-2</v>
      </c>
    </row>
    <row r="9" spans="1:9" x14ac:dyDescent="0.35">
      <c r="A9" s="19">
        <v>45618</v>
      </c>
      <c r="B9" t="s">
        <v>914</v>
      </c>
      <c r="C9" t="s">
        <v>10</v>
      </c>
      <c r="D9" s="1">
        <v>20405</v>
      </c>
      <c r="E9" s="1">
        <v>9977</v>
      </c>
      <c r="F9" s="2">
        <v>0.48894878706199502</v>
      </c>
      <c r="G9" s="1">
        <v>634</v>
      </c>
      <c r="H9" s="2">
        <v>6.3546156159166103E-2</v>
      </c>
      <c r="I9" s="2">
        <v>3.1070815976476401E-2</v>
      </c>
    </row>
    <row r="10" spans="1:9" x14ac:dyDescent="0.35">
      <c r="A10" s="19">
        <v>45618</v>
      </c>
      <c r="B10" t="s">
        <v>914</v>
      </c>
      <c r="C10" t="s">
        <v>11</v>
      </c>
      <c r="D10" s="1">
        <v>344</v>
      </c>
      <c r="E10" s="1">
        <v>183</v>
      </c>
      <c r="F10" s="2">
        <v>0.53197674418604601</v>
      </c>
      <c r="G10" s="1">
        <v>13</v>
      </c>
      <c r="H10" s="2">
        <v>7.10382513661202E-2</v>
      </c>
      <c r="I10" s="2">
        <v>3.7790697674418602E-2</v>
      </c>
    </row>
    <row r="11" spans="1:9" x14ac:dyDescent="0.35">
      <c r="A11" s="19">
        <v>45618</v>
      </c>
      <c r="B11" t="s">
        <v>915</v>
      </c>
      <c r="C11" t="s">
        <v>10</v>
      </c>
      <c r="D11" s="1">
        <v>82226</v>
      </c>
      <c r="E11" s="1">
        <v>27553</v>
      </c>
      <c r="F11" s="2">
        <v>0.33508865808868199</v>
      </c>
      <c r="G11" s="1">
        <v>762</v>
      </c>
      <c r="H11" s="2">
        <v>2.7655790658004602E-2</v>
      </c>
      <c r="I11" s="2">
        <v>9.2671417799722704E-3</v>
      </c>
    </row>
    <row r="12" spans="1:9" x14ac:dyDescent="0.35">
      <c r="A12" s="19">
        <v>45618</v>
      </c>
      <c r="B12" t="s">
        <v>915</v>
      </c>
      <c r="C12" t="s">
        <v>11</v>
      </c>
      <c r="D12" s="1">
        <v>1292</v>
      </c>
      <c r="E12" s="1">
        <v>507</v>
      </c>
      <c r="F12" s="2">
        <v>0.39241486068111497</v>
      </c>
      <c r="G12" s="1">
        <v>19</v>
      </c>
      <c r="H12" s="2">
        <v>3.7475345167652899E-2</v>
      </c>
      <c r="I12" s="2">
        <v>1.4705882352941201E-2</v>
      </c>
    </row>
    <row r="13" spans="1:9" x14ac:dyDescent="0.35">
      <c r="A13" s="19">
        <v>45619</v>
      </c>
      <c r="B13" t="s">
        <v>916</v>
      </c>
      <c r="C13" t="s">
        <v>10</v>
      </c>
      <c r="D13" s="1">
        <v>1752497</v>
      </c>
      <c r="E13" s="1">
        <v>613106</v>
      </c>
      <c r="F13" s="2">
        <v>0.349847103875214</v>
      </c>
      <c r="G13" s="1">
        <v>5384</v>
      </c>
      <c r="H13" s="2">
        <v>8.7815157574709698E-3</v>
      </c>
      <c r="I13" s="2">
        <v>3.0721878553857701E-3</v>
      </c>
    </row>
    <row r="14" spans="1:9" x14ac:dyDescent="0.35">
      <c r="A14" s="19">
        <v>45619</v>
      </c>
      <c r="B14" t="s">
        <v>917</v>
      </c>
      <c r="C14" t="s">
        <v>10</v>
      </c>
      <c r="D14" s="1">
        <v>516940</v>
      </c>
      <c r="E14" s="1">
        <v>206542</v>
      </c>
      <c r="F14" s="2">
        <v>0.39954733624791999</v>
      </c>
      <c r="G14" s="1">
        <v>4103</v>
      </c>
      <c r="H14" s="2">
        <v>1.9865209013178901E-2</v>
      </c>
      <c r="I14" s="2">
        <v>7.9370913452238203E-3</v>
      </c>
    </row>
    <row r="15" spans="1:9" x14ac:dyDescent="0.35">
      <c r="A15" s="19">
        <v>45621</v>
      </c>
      <c r="B15" t="s">
        <v>918</v>
      </c>
      <c r="C15" t="s">
        <v>10</v>
      </c>
      <c r="D15" s="1">
        <v>57023</v>
      </c>
      <c r="E15" s="1">
        <v>19748</v>
      </c>
      <c r="F15" s="2">
        <v>0.34631639864615998</v>
      </c>
      <c r="G15" s="1">
        <v>338</v>
      </c>
      <c r="H15" s="2">
        <v>1.7115657281750001E-2</v>
      </c>
      <c r="I15" s="2">
        <v>5.9274327902776097E-3</v>
      </c>
    </row>
    <row r="16" spans="1:9" x14ac:dyDescent="0.35">
      <c r="A16" s="19">
        <v>45621</v>
      </c>
      <c r="B16" t="s">
        <v>919</v>
      </c>
      <c r="C16" t="s">
        <v>10</v>
      </c>
      <c r="D16" s="1">
        <v>43834</v>
      </c>
      <c r="E16" s="1">
        <v>19490</v>
      </c>
      <c r="F16" s="2">
        <v>0.44463202080576703</v>
      </c>
      <c r="G16" s="1">
        <v>795</v>
      </c>
      <c r="H16" s="2">
        <v>4.0790148794253502E-2</v>
      </c>
      <c r="I16" s="2">
        <v>1.8136606287356801E-2</v>
      </c>
    </row>
    <row r="17" spans="1:9" x14ac:dyDescent="0.35">
      <c r="A17" s="19">
        <v>45622</v>
      </c>
      <c r="B17" t="s">
        <v>920</v>
      </c>
      <c r="C17" t="s">
        <v>10</v>
      </c>
      <c r="D17" s="1">
        <v>1399580</v>
      </c>
      <c r="E17" s="1">
        <v>397834</v>
      </c>
      <c r="F17" s="2">
        <v>0.28425241858271799</v>
      </c>
      <c r="G17" s="1">
        <v>10383</v>
      </c>
      <c r="H17" s="2">
        <v>2.6098825138122901E-2</v>
      </c>
      <c r="I17" s="2">
        <v>7.4186541676788797E-3</v>
      </c>
    </row>
    <row r="18" spans="1:9" x14ac:dyDescent="0.35">
      <c r="A18" s="19">
        <v>45622</v>
      </c>
      <c r="B18" t="s">
        <v>920</v>
      </c>
      <c r="C18" t="s">
        <v>11</v>
      </c>
      <c r="D18" s="1">
        <v>94198</v>
      </c>
      <c r="E18" s="1">
        <v>29134</v>
      </c>
      <c r="F18" s="2">
        <v>0.30928469818892101</v>
      </c>
      <c r="G18" s="1">
        <v>1009</v>
      </c>
      <c r="H18" s="2">
        <v>3.4633074758014699E-2</v>
      </c>
      <c r="I18" s="2">
        <v>1.0711480073886901E-2</v>
      </c>
    </row>
    <row r="19" spans="1:9" x14ac:dyDescent="0.35">
      <c r="A19" s="19">
        <v>45622</v>
      </c>
      <c r="B19" t="s">
        <v>921</v>
      </c>
      <c r="C19" t="s">
        <v>10</v>
      </c>
      <c r="D19" s="1">
        <v>7754</v>
      </c>
      <c r="E19" s="1">
        <v>3374</v>
      </c>
      <c r="F19" s="2">
        <v>0.435130255352076</v>
      </c>
      <c r="G19" s="1">
        <v>162</v>
      </c>
      <c r="H19" s="2">
        <v>4.8014226437463003E-2</v>
      </c>
      <c r="I19" s="2">
        <v>2.08924426102657E-2</v>
      </c>
    </row>
    <row r="20" spans="1:9" x14ac:dyDescent="0.35">
      <c r="A20" s="19">
        <v>45622</v>
      </c>
      <c r="B20" t="s">
        <v>921</v>
      </c>
      <c r="C20" t="s">
        <v>11</v>
      </c>
      <c r="D20" s="1">
        <v>2320</v>
      </c>
      <c r="E20" s="1">
        <v>999</v>
      </c>
      <c r="F20" s="2">
        <v>0.430603448275862</v>
      </c>
      <c r="G20" s="1">
        <v>55</v>
      </c>
      <c r="H20" s="2">
        <v>5.5055055055055098E-2</v>
      </c>
      <c r="I20" s="2">
        <v>2.3706896551724099E-2</v>
      </c>
    </row>
    <row r="21" spans="1:9" x14ac:dyDescent="0.35">
      <c r="A21" s="19">
        <v>45623</v>
      </c>
      <c r="B21" t="s">
        <v>922</v>
      </c>
      <c r="C21" t="s">
        <v>623</v>
      </c>
      <c r="D21" s="1">
        <v>13295</v>
      </c>
      <c r="E21" s="1">
        <v>3409</v>
      </c>
      <c r="F21" s="2">
        <v>0.256412185031967</v>
      </c>
      <c r="G21" s="1">
        <v>522</v>
      </c>
      <c r="H21" s="2">
        <v>0.15312408330888799</v>
      </c>
      <c r="I21" s="2">
        <v>3.9262880782249002E-2</v>
      </c>
    </row>
    <row r="22" spans="1:9" x14ac:dyDescent="0.35">
      <c r="A22" s="19">
        <v>45623</v>
      </c>
      <c r="B22" t="s">
        <v>923</v>
      </c>
      <c r="C22" t="s">
        <v>625</v>
      </c>
      <c r="D22" s="1">
        <v>3403</v>
      </c>
      <c r="E22" s="1">
        <v>528</v>
      </c>
      <c r="F22" s="2">
        <v>0.155157214222745</v>
      </c>
      <c r="G22" s="1">
        <v>84</v>
      </c>
      <c r="H22" s="2">
        <v>0.15909090909090901</v>
      </c>
      <c r="I22" s="2">
        <v>2.4684102262709399E-2</v>
      </c>
    </row>
    <row r="23" spans="1:9" x14ac:dyDescent="0.35">
      <c r="A23" s="19">
        <v>45623</v>
      </c>
      <c r="B23" t="s">
        <v>924</v>
      </c>
      <c r="C23" t="s">
        <v>10</v>
      </c>
      <c r="D23" s="1">
        <v>180024</v>
      </c>
      <c r="E23" s="1">
        <v>80703</v>
      </c>
      <c r="F23" s="2">
        <v>0.44829022796960399</v>
      </c>
      <c r="G23" s="1">
        <v>1516</v>
      </c>
      <c r="H23" s="2">
        <v>1.8784927450032799E-2</v>
      </c>
      <c r="I23" s="2">
        <v>8.4210994089676892E-3</v>
      </c>
    </row>
    <row r="24" spans="1:9" x14ac:dyDescent="0.35">
      <c r="A24" s="19">
        <v>45623</v>
      </c>
      <c r="B24" t="s">
        <v>924</v>
      </c>
      <c r="C24" t="s">
        <v>11</v>
      </c>
      <c r="D24" s="1">
        <v>12932</v>
      </c>
      <c r="E24" s="1">
        <v>6046</v>
      </c>
      <c r="F24" s="2">
        <v>0.46752242499226698</v>
      </c>
      <c r="G24" s="1">
        <v>173</v>
      </c>
      <c r="H24" s="2">
        <v>2.8613959642738999E-2</v>
      </c>
      <c r="I24" s="2">
        <v>1.33776678008042E-2</v>
      </c>
    </row>
    <row r="25" spans="1:9" x14ac:dyDescent="0.35">
      <c r="A25" s="19">
        <v>45623</v>
      </c>
      <c r="B25" t="s">
        <v>904</v>
      </c>
      <c r="C25" t="s">
        <v>925</v>
      </c>
      <c r="D25" s="1">
        <v>44578</v>
      </c>
      <c r="E25" s="1">
        <v>14895</v>
      </c>
      <c r="F25" s="2">
        <v>0.33413342904571802</v>
      </c>
      <c r="G25" s="1">
        <v>199</v>
      </c>
      <c r="H25" s="2">
        <v>1.33601879825445E-2</v>
      </c>
      <c r="I25" s="2">
        <v>4.4640854233029704E-3</v>
      </c>
    </row>
    <row r="26" spans="1:9" x14ac:dyDescent="0.35">
      <c r="A26" s="19">
        <v>45624</v>
      </c>
      <c r="B26" t="s">
        <v>926</v>
      </c>
      <c r="C26" t="s">
        <v>927</v>
      </c>
      <c r="D26" s="1">
        <v>1048540</v>
      </c>
      <c r="E26" s="1">
        <v>407424</v>
      </c>
      <c r="F26" s="3">
        <v>0.3886</v>
      </c>
      <c r="G26" s="1">
        <v>1598</v>
      </c>
      <c r="H26" s="3">
        <v>3.8999999999999998E-3</v>
      </c>
      <c r="I26" s="3">
        <v>1.5E-3</v>
      </c>
    </row>
    <row r="27" spans="1:9" x14ac:dyDescent="0.35">
      <c r="A27" s="19">
        <v>45624</v>
      </c>
      <c r="B27" t="s">
        <v>928</v>
      </c>
      <c r="C27" t="s">
        <v>927</v>
      </c>
      <c r="D27" s="1">
        <v>655437</v>
      </c>
      <c r="E27" s="1">
        <v>249074</v>
      </c>
      <c r="F27" s="3">
        <v>0.38</v>
      </c>
      <c r="G27">
        <v>831</v>
      </c>
      <c r="H27" s="3">
        <v>3.3E-3</v>
      </c>
      <c r="I27" s="3">
        <v>1.2999999999999999E-3</v>
      </c>
    </row>
    <row r="28" spans="1:9" x14ac:dyDescent="0.35">
      <c r="A28" s="19">
        <v>45624</v>
      </c>
      <c r="B28" t="s">
        <v>929</v>
      </c>
      <c r="C28" t="s">
        <v>930</v>
      </c>
      <c r="D28" s="1">
        <v>4122</v>
      </c>
      <c r="E28" s="1">
        <v>1497</v>
      </c>
      <c r="F28" s="3">
        <v>0.36320000000000002</v>
      </c>
      <c r="G28">
        <v>2</v>
      </c>
      <c r="H28" s="3">
        <v>1.2999999999999999E-3</v>
      </c>
      <c r="I28" s="3">
        <v>5.0000000000000001E-4</v>
      </c>
    </row>
    <row r="29" spans="1:9" ht="16" thickBot="1" x14ac:dyDescent="0.4">
      <c r="A29" s="37" t="s">
        <v>35</v>
      </c>
      <c r="D29" s="31">
        <f>SUM(D2:D28)</f>
        <v>11502932</v>
      </c>
      <c r="E29" s="31">
        <f>SUM(E2:E28)</f>
        <v>3869723</v>
      </c>
      <c r="F29" s="32">
        <f>AVERAGE(F2:F28)</f>
        <v>0.37629026949857802</v>
      </c>
      <c r="G29" s="31">
        <f>SUM(G2:G28)</f>
        <v>55134</v>
      </c>
      <c r="H29" s="32">
        <f>AVERAGE(H2:H28)</f>
        <v>3.7550072199606495E-2</v>
      </c>
      <c r="I29" s="32">
        <f>AVERAGE(I2:I28)</f>
        <v>1.3242499776990803E-2</v>
      </c>
    </row>
    <row r="30" spans="1:9" ht="15" thickBot="1" x14ac:dyDescent="0.4">
      <c r="A30" s="138" t="s">
        <v>302</v>
      </c>
      <c r="B30" s="138"/>
      <c r="C30" s="138"/>
      <c r="D30" s="138"/>
      <c r="E30" s="138"/>
      <c r="F30" s="138"/>
      <c r="G30" s="138"/>
      <c r="H30" s="138"/>
      <c r="I30" s="138"/>
    </row>
    <row r="31" spans="1:9" ht="15.5" x14ac:dyDescent="0.35">
      <c r="A31" s="38" t="s">
        <v>0</v>
      </c>
      <c r="B31" s="39" t="s">
        <v>1</v>
      </c>
      <c r="C31" s="39" t="s">
        <v>2</v>
      </c>
      <c r="D31" s="39" t="s">
        <v>3</v>
      </c>
      <c r="E31" s="39" t="s">
        <v>4</v>
      </c>
      <c r="F31" s="39" t="s">
        <v>5</v>
      </c>
      <c r="G31" s="39" t="s">
        <v>6</v>
      </c>
      <c r="H31" s="39" t="s">
        <v>7</v>
      </c>
      <c r="I31" s="40" t="s">
        <v>8</v>
      </c>
    </row>
    <row r="32" spans="1:9" x14ac:dyDescent="0.35">
      <c r="A32" s="5" t="s">
        <v>36</v>
      </c>
      <c r="B32" s="6"/>
      <c r="C32" s="6"/>
      <c r="D32" s="6"/>
      <c r="E32" s="6"/>
      <c r="F32" s="6"/>
      <c r="G32" s="6"/>
      <c r="H32" s="6"/>
      <c r="I32" s="7"/>
    </row>
    <row r="33" spans="1:9" ht="15" customHeight="1" x14ac:dyDescent="0.35">
      <c r="A33" s="28">
        <v>45618</v>
      </c>
      <c r="B33" t="s">
        <v>910</v>
      </c>
      <c r="C33" t="s">
        <v>10</v>
      </c>
      <c r="D33" s="1">
        <v>349232</v>
      </c>
      <c r="E33" s="1">
        <v>124598</v>
      </c>
      <c r="F33" s="2">
        <v>0.356777156732487</v>
      </c>
      <c r="G33" s="1">
        <v>2236</v>
      </c>
      <c r="H33" s="2">
        <v>1.7945713414340501E-2</v>
      </c>
      <c r="I33" s="29">
        <v>6.4026206075044698E-3</v>
      </c>
    </row>
    <row r="34" spans="1:9" ht="15" customHeight="1" x14ac:dyDescent="0.35">
      <c r="A34" s="28">
        <v>45618</v>
      </c>
      <c r="B34" t="s">
        <v>910</v>
      </c>
      <c r="C34" t="s">
        <v>11</v>
      </c>
      <c r="D34" s="1">
        <v>21823</v>
      </c>
      <c r="E34" s="1">
        <v>7619</v>
      </c>
      <c r="F34" s="2">
        <v>0.34912706777253399</v>
      </c>
      <c r="G34" s="1">
        <v>230</v>
      </c>
      <c r="H34" s="2">
        <v>3.01876886730542E-2</v>
      </c>
      <c r="I34" s="29">
        <v>1.05393392292535E-2</v>
      </c>
    </row>
    <row r="35" spans="1:9" x14ac:dyDescent="0.35">
      <c r="A35" s="28">
        <v>45618</v>
      </c>
      <c r="B35" t="s">
        <v>911</v>
      </c>
      <c r="C35" t="s">
        <v>10</v>
      </c>
      <c r="D35" s="1">
        <v>4611282</v>
      </c>
      <c r="E35" s="1">
        <v>1457443</v>
      </c>
      <c r="F35" s="2">
        <v>0.31606026263412201</v>
      </c>
      <c r="G35" s="1">
        <v>20847</v>
      </c>
      <c r="H35" s="2">
        <v>1.4303818399759E-2</v>
      </c>
      <c r="I35" s="29">
        <v>4.5208686000986296E-3</v>
      </c>
    </row>
    <row r="36" spans="1:9" x14ac:dyDescent="0.35">
      <c r="A36" s="28">
        <v>45618</v>
      </c>
      <c r="B36" t="s">
        <v>911</v>
      </c>
      <c r="C36" t="s">
        <v>11</v>
      </c>
      <c r="D36" s="1">
        <v>304438</v>
      </c>
      <c r="E36" s="1">
        <v>87258</v>
      </c>
      <c r="F36" s="2">
        <v>0.28661993575046502</v>
      </c>
      <c r="G36" s="1">
        <v>1425</v>
      </c>
      <c r="H36" s="2">
        <v>1.63308808361411E-2</v>
      </c>
      <c r="I36" s="29">
        <v>4.6807560160032598E-3</v>
      </c>
    </row>
    <row r="37" spans="1:9" x14ac:dyDescent="0.35">
      <c r="A37" s="28">
        <v>45622</v>
      </c>
      <c r="B37" t="s">
        <v>920</v>
      </c>
      <c r="C37" t="s">
        <v>10</v>
      </c>
      <c r="D37" s="1">
        <v>1399580</v>
      </c>
      <c r="E37" s="1">
        <v>397834</v>
      </c>
      <c r="F37" s="2">
        <v>0.28425241858271799</v>
      </c>
      <c r="G37" s="1">
        <v>10383</v>
      </c>
      <c r="H37" s="2">
        <v>2.6098825138122901E-2</v>
      </c>
      <c r="I37" s="29">
        <v>7.4186541676788797E-3</v>
      </c>
    </row>
    <row r="38" spans="1:9" x14ac:dyDescent="0.35">
      <c r="A38" s="28">
        <v>45622</v>
      </c>
      <c r="B38" t="s">
        <v>920</v>
      </c>
      <c r="C38" t="s">
        <v>11</v>
      </c>
      <c r="D38" s="1">
        <v>94198</v>
      </c>
      <c r="E38" s="1">
        <v>29134</v>
      </c>
      <c r="F38" s="2">
        <v>0.30928469818892101</v>
      </c>
      <c r="G38" s="1">
        <v>1009</v>
      </c>
      <c r="H38" s="2">
        <v>3.4633074758014699E-2</v>
      </c>
      <c r="I38" s="29">
        <v>1.0711480073886901E-2</v>
      </c>
    </row>
    <row r="39" spans="1:9" ht="16" thickBot="1" x14ac:dyDescent="0.4">
      <c r="A39" s="36" t="s">
        <v>35</v>
      </c>
      <c r="B39" s="4"/>
      <c r="C39" s="4"/>
      <c r="D39" s="33">
        <f>SUM(D33:D38)</f>
        <v>6780553</v>
      </c>
      <c r="E39" s="33">
        <f>SUM(E33:E38)</f>
        <v>2103886</v>
      </c>
      <c r="F39" s="34">
        <f>AVERAGE(F33:F38)</f>
        <v>0.31702025661020783</v>
      </c>
      <c r="G39" s="33">
        <f>SUM(G33:G38)</f>
        <v>36130</v>
      </c>
      <c r="H39" s="34">
        <f>AVERAGE(H33:H38)</f>
        <v>2.3250000203238735E-2</v>
      </c>
      <c r="I39" s="35">
        <f>AVERAGE(I33:I38)</f>
        <v>7.378953115737605E-3</v>
      </c>
    </row>
    <row r="40" spans="1:9" ht="3" customHeight="1" thickBot="1" x14ac:dyDescent="0.4">
      <c r="A40" s="141"/>
      <c r="B40" s="142"/>
      <c r="C40" s="142"/>
      <c r="D40" s="142"/>
      <c r="E40" s="142"/>
      <c r="F40" s="142"/>
      <c r="G40" s="142"/>
      <c r="H40" s="142"/>
      <c r="I40" s="143"/>
    </row>
    <row r="41" spans="1:9" x14ac:dyDescent="0.35">
      <c r="A41" s="16" t="s">
        <v>37</v>
      </c>
      <c r="B41" s="17"/>
      <c r="C41" s="17"/>
      <c r="D41" s="17"/>
      <c r="E41" s="17"/>
      <c r="F41" s="17"/>
      <c r="G41" s="17"/>
      <c r="H41" s="17"/>
      <c r="I41" s="18"/>
    </row>
    <row r="42" spans="1:9" x14ac:dyDescent="0.35">
      <c r="A42" s="8">
        <v>45618</v>
      </c>
      <c r="B42" t="s">
        <v>912</v>
      </c>
      <c r="C42" t="s">
        <v>10</v>
      </c>
      <c r="D42" s="1">
        <v>263332</v>
      </c>
      <c r="E42" s="1">
        <v>95050</v>
      </c>
      <c r="F42" s="2">
        <v>0.36095119468959302</v>
      </c>
      <c r="G42" s="1">
        <v>1566</v>
      </c>
      <c r="H42" s="2">
        <v>1.64755391899001E-2</v>
      </c>
      <c r="I42" s="9">
        <v>5.9468655537496399E-3</v>
      </c>
    </row>
    <row r="43" spans="1:9" x14ac:dyDescent="0.35">
      <c r="A43" s="8">
        <v>45618</v>
      </c>
      <c r="B43" t="s">
        <v>913</v>
      </c>
      <c r="C43" t="s">
        <v>10</v>
      </c>
      <c r="D43" s="1">
        <v>11552</v>
      </c>
      <c r="E43" s="1">
        <v>5481</v>
      </c>
      <c r="F43" s="2">
        <v>0.47446329639889201</v>
      </c>
      <c r="G43" s="1">
        <v>237</v>
      </c>
      <c r="H43" s="2">
        <v>4.3240284619594997E-2</v>
      </c>
      <c r="I43" s="9">
        <v>2.0515927977839299E-2</v>
      </c>
    </row>
    <row r="44" spans="1:9" x14ac:dyDescent="0.35">
      <c r="A44" s="8">
        <v>45618</v>
      </c>
      <c r="B44" t="s">
        <v>913</v>
      </c>
      <c r="C44" t="s">
        <v>11</v>
      </c>
      <c r="D44" s="1">
        <v>529</v>
      </c>
      <c r="E44" s="1">
        <v>251</v>
      </c>
      <c r="F44" s="2">
        <v>0.47448015122873299</v>
      </c>
      <c r="G44" s="1">
        <v>11</v>
      </c>
      <c r="H44" s="2">
        <v>4.3824701195219098E-2</v>
      </c>
      <c r="I44" s="9">
        <v>2.0793950850661599E-2</v>
      </c>
    </row>
    <row r="45" spans="1:9" x14ac:dyDescent="0.35">
      <c r="A45" s="8">
        <v>45618</v>
      </c>
      <c r="B45" t="s">
        <v>914</v>
      </c>
      <c r="C45" t="s">
        <v>10</v>
      </c>
      <c r="D45" s="1">
        <v>20405</v>
      </c>
      <c r="E45" s="1">
        <v>9977</v>
      </c>
      <c r="F45" s="2">
        <v>0.48894878706199502</v>
      </c>
      <c r="G45" s="1">
        <v>634</v>
      </c>
      <c r="H45" s="2">
        <v>6.3546156159166103E-2</v>
      </c>
      <c r="I45" s="9">
        <v>3.1070815976476401E-2</v>
      </c>
    </row>
    <row r="46" spans="1:9" x14ac:dyDescent="0.35">
      <c r="A46" s="8">
        <v>45618</v>
      </c>
      <c r="B46" t="s">
        <v>914</v>
      </c>
      <c r="C46" t="s">
        <v>11</v>
      </c>
      <c r="D46" s="1">
        <v>344</v>
      </c>
      <c r="E46" s="1">
        <v>183</v>
      </c>
      <c r="F46" s="2">
        <v>0.53197674418604601</v>
      </c>
      <c r="G46" s="1">
        <v>13</v>
      </c>
      <c r="H46" s="2">
        <v>7.10382513661202E-2</v>
      </c>
      <c r="I46" s="9">
        <v>3.7790697674418602E-2</v>
      </c>
    </row>
    <row r="47" spans="1:9" x14ac:dyDescent="0.35">
      <c r="A47" s="8">
        <v>45618</v>
      </c>
      <c r="B47" t="s">
        <v>915</v>
      </c>
      <c r="C47" t="s">
        <v>10</v>
      </c>
      <c r="D47" s="1">
        <v>82226</v>
      </c>
      <c r="E47" s="1">
        <v>27553</v>
      </c>
      <c r="F47" s="2">
        <v>0.33508865808868199</v>
      </c>
      <c r="G47" s="1">
        <v>762</v>
      </c>
      <c r="H47" s="2">
        <v>2.7655790658004602E-2</v>
      </c>
      <c r="I47" s="9">
        <v>9.2671417799722704E-3</v>
      </c>
    </row>
    <row r="48" spans="1:9" x14ac:dyDescent="0.35">
      <c r="A48" s="8">
        <v>45618</v>
      </c>
      <c r="B48" t="s">
        <v>915</v>
      </c>
      <c r="C48" t="s">
        <v>11</v>
      </c>
      <c r="D48" s="1">
        <v>1292</v>
      </c>
      <c r="E48" s="1">
        <v>507</v>
      </c>
      <c r="F48" s="2">
        <v>0.39241486068111497</v>
      </c>
      <c r="G48" s="1">
        <v>19</v>
      </c>
      <c r="H48" s="2">
        <v>3.7475345167652899E-2</v>
      </c>
      <c r="I48" s="9">
        <v>1.4705882352941201E-2</v>
      </c>
    </row>
    <row r="49" spans="1:9" x14ac:dyDescent="0.35">
      <c r="A49" s="8">
        <v>45619</v>
      </c>
      <c r="B49" t="s">
        <v>916</v>
      </c>
      <c r="C49" t="s">
        <v>10</v>
      </c>
      <c r="D49" s="1">
        <v>1752497</v>
      </c>
      <c r="E49" s="1">
        <v>613106</v>
      </c>
      <c r="F49" s="2">
        <v>0.349847103875214</v>
      </c>
      <c r="G49" s="1">
        <v>5384</v>
      </c>
      <c r="H49" s="2">
        <v>8.7815157574709698E-3</v>
      </c>
      <c r="I49" s="9">
        <v>3.0721878553857701E-3</v>
      </c>
    </row>
    <row r="50" spans="1:9" x14ac:dyDescent="0.35">
      <c r="A50" s="8">
        <v>45619</v>
      </c>
      <c r="B50" t="s">
        <v>917</v>
      </c>
      <c r="C50" t="s">
        <v>10</v>
      </c>
      <c r="D50" s="1">
        <v>516940</v>
      </c>
      <c r="E50" s="1">
        <v>206542</v>
      </c>
      <c r="F50" s="2">
        <v>0.39954733624791999</v>
      </c>
      <c r="G50" s="1">
        <v>4103</v>
      </c>
      <c r="H50" s="2">
        <v>1.9865209013178901E-2</v>
      </c>
      <c r="I50" s="9">
        <v>7.9370913452238203E-3</v>
      </c>
    </row>
    <row r="51" spans="1:9" x14ac:dyDescent="0.35">
      <c r="A51" s="8">
        <v>45621</v>
      </c>
      <c r="B51" t="s">
        <v>918</v>
      </c>
      <c r="C51" t="s">
        <v>10</v>
      </c>
      <c r="D51" s="1">
        <v>57023</v>
      </c>
      <c r="E51" s="1">
        <v>19748</v>
      </c>
      <c r="F51" s="2">
        <v>0.34631639864615998</v>
      </c>
      <c r="G51" s="1">
        <v>338</v>
      </c>
      <c r="H51" s="2">
        <v>1.7115657281750001E-2</v>
      </c>
      <c r="I51" s="9">
        <v>5.9274327902776097E-3</v>
      </c>
    </row>
    <row r="52" spans="1:9" x14ac:dyDescent="0.35">
      <c r="A52" s="8">
        <v>45621</v>
      </c>
      <c r="B52" t="s">
        <v>919</v>
      </c>
      <c r="C52" t="s">
        <v>10</v>
      </c>
      <c r="D52" s="1">
        <v>43834</v>
      </c>
      <c r="E52" s="1">
        <v>19490</v>
      </c>
      <c r="F52" s="2">
        <v>0.44463202080576703</v>
      </c>
      <c r="G52" s="1">
        <v>795</v>
      </c>
      <c r="H52" s="2">
        <v>4.0790148794253502E-2</v>
      </c>
      <c r="I52" s="9">
        <v>1.8136606287356801E-2</v>
      </c>
    </row>
    <row r="53" spans="1:9" x14ac:dyDescent="0.35">
      <c r="A53" s="8">
        <v>45622</v>
      </c>
      <c r="B53" t="s">
        <v>921</v>
      </c>
      <c r="C53" t="s">
        <v>10</v>
      </c>
      <c r="D53" s="1">
        <v>7754</v>
      </c>
      <c r="E53" s="1">
        <v>3374</v>
      </c>
      <c r="F53" s="2">
        <v>0.435130255352076</v>
      </c>
      <c r="G53" s="1">
        <v>162</v>
      </c>
      <c r="H53" s="2">
        <v>4.8014226437463003E-2</v>
      </c>
      <c r="I53" s="9">
        <v>2.08924426102657E-2</v>
      </c>
    </row>
    <row r="54" spans="1:9" x14ac:dyDescent="0.35">
      <c r="A54" s="8">
        <v>45622</v>
      </c>
      <c r="B54" t="s">
        <v>921</v>
      </c>
      <c r="C54" t="s">
        <v>11</v>
      </c>
      <c r="D54" s="1">
        <v>2320</v>
      </c>
      <c r="E54" s="1">
        <v>999</v>
      </c>
      <c r="F54" s="2">
        <v>0.430603448275862</v>
      </c>
      <c r="G54" s="1">
        <v>55</v>
      </c>
      <c r="H54" s="2">
        <v>5.5055055055055098E-2</v>
      </c>
      <c r="I54" s="9">
        <v>2.3706896551724099E-2</v>
      </c>
    </row>
    <row r="55" spans="1:9" x14ac:dyDescent="0.35">
      <c r="A55" s="8">
        <v>45623</v>
      </c>
      <c r="B55" t="s">
        <v>922</v>
      </c>
      <c r="C55" t="s">
        <v>623</v>
      </c>
      <c r="D55" s="1">
        <v>13295</v>
      </c>
      <c r="E55" s="1">
        <v>3409</v>
      </c>
      <c r="F55" s="2">
        <v>0.256412185031967</v>
      </c>
      <c r="G55" s="1">
        <v>522</v>
      </c>
      <c r="H55" s="2">
        <v>0.15312408330888799</v>
      </c>
      <c r="I55" s="9">
        <v>3.9262880782249002E-2</v>
      </c>
    </row>
    <row r="56" spans="1:9" x14ac:dyDescent="0.35">
      <c r="A56" s="8">
        <v>45623</v>
      </c>
      <c r="B56" t="s">
        <v>923</v>
      </c>
      <c r="C56" t="s">
        <v>625</v>
      </c>
      <c r="D56" s="1">
        <v>3403</v>
      </c>
      <c r="E56" s="1">
        <v>528</v>
      </c>
      <c r="F56" s="2">
        <v>0.155157214222745</v>
      </c>
      <c r="G56" s="1">
        <v>84</v>
      </c>
      <c r="H56" s="2">
        <v>0.15909090909090901</v>
      </c>
      <c r="I56" s="9">
        <v>2.4684102262709399E-2</v>
      </c>
    </row>
    <row r="57" spans="1:9" x14ac:dyDescent="0.35">
      <c r="A57" s="8">
        <v>45623</v>
      </c>
      <c r="B57" t="s">
        <v>924</v>
      </c>
      <c r="C57" t="s">
        <v>10</v>
      </c>
      <c r="D57" s="1">
        <v>180024</v>
      </c>
      <c r="E57" s="1">
        <v>80703</v>
      </c>
      <c r="F57" s="2">
        <v>0.44829022796960399</v>
      </c>
      <c r="G57" s="1">
        <v>1516</v>
      </c>
      <c r="H57" s="2">
        <v>1.8784927450032799E-2</v>
      </c>
      <c r="I57" s="9">
        <v>8.4210994089676892E-3</v>
      </c>
    </row>
    <row r="58" spans="1:9" x14ac:dyDescent="0.35">
      <c r="A58" s="8">
        <v>45623</v>
      </c>
      <c r="B58" t="s">
        <v>924</v>
      </c>
      <c r="C58" t="s">
        <v>11</v>
      </c>
      <c r="D58" s="1">
        <v>12932</v>
      </c>
      <c r="E58" s="1">
        <v>6046</v>
      </c>
      <c r="F58" s="2">
        <v>0.46752242499226698</v>
      </c>
      <c r="G58" s="1">
        <v>173</v>
      </c>
      <c r="H58" s="2">
        <v>2.8613959642738999E-2</v>
      </c>
      <c r="I58" s="9">
        <v>1.33776678008042E-2</v>
      </c>
    </row>
    <row r="59" spans="1:9" x14ac:dyDescent="0.35">
      <c r="A59" s="8">
        <v>45623</v>
      </c>
      <c r="B59" t="s">
        <v>904</v>
      </c>
      <c r="C59" t="s">
        <v>925</v>
      </c>
      <c r="D59" s="1">
        <v>44578</v>
      </c>
      <c r="E59" s="1">
        <v>14895</v>
      </c>
      <c r="F59" s="2">
        <v>0.33413342904571802</v>
      </c>
      <c r="G59" s="1">
        <v>199</v>
      </c>
      <c r="H59" s="2">
        <v>1.33601879825445E-2</v>
      </c>
      <c r="I59" s="9">
        <v>4.4640854233029704E-3</v>
      </c>
    </row>
    <row r="60" spans="1:9" ht="16" thickBot="1" x14ac:dyDescent="0.4">
      <c r="A60" s="36" t="s">
        <v>35</v>
      </c>
      <c r="B60" s="4"/>
      <c r="C60" s="4"/>
      <c r="D60" s="33">
        <f>SUM(D42:D59)</f>
        <v>3014280</v>
      </c>
      <c r="E60" s="33">
        <f>SUM(E42:E59)</f>
        <v>1107842</v>
      </c>
      <c r="F60" s="34">
        <f>AVERAGE(F42:F59)</f>
        <v>0.3958842076000198</v>
      </c>
      <c r="G60" s="33">
        <f>SUM(G42:G59)</f>
        <v>16573</v>
      </c>
      <c r="H60" s="34">
        <f>AVERAGE(H42:H59)</f>
        <v>4.8102886009441265E-2</v>
      </c>
      <c r="I60" s="35">
        <f>AVERAGE(I42:I59)</f>
        <v>1.7220765293573668E-2</v>
      </c>
    </row>
    <row r="61" spans="1:9" ht="3" customHeight="1" thickBot="1" x14ac:dyDescent="0.4">
      <c r="A61" s="139"/>
      <c r="B61" s="138"/>
      <c r="C61" s="138"/>
      <c r="D61" s="138"/>
      <c r="E61" s="138"/>
      <c r="F61" s="138"/>
      <c r="G61" s="138"/>
      <c r="H61" s="138"/>
      <c r="I61" s="140"/>
    </row>
    <row r="62" spans="1:9" x14ac:dyDescent="0.35">
      <c r="A62" s="16" t="s">
        <v>38</v>
      </c>
      <c r="B62" s="17"/>
      <c r="C62" s="17"/>
      <c r="D62" s="17"/>
      <c r="E62" s="17"/>
      <c r="F62" s="17"/>
      <c r="G62" s="17"/>
      <c r="H62" s="17"/>
      <c r="I62" s="18"/>
    </row>
    <row r="63" spans="1:9" x14ac:dyDescent="0.35">
      <c r="A63" s="28">
        <v>45624</v>
      </c>
      <c r="B63" t="s">
        <v>926</v>
      </c>
      <c r="C63" t="s">
        <v>927</v>
      </c>
      <c r="D63" s="1">
        <v>1048540</v>
      </c>
      <c r="E63" s="1">
        <v>407424</v>
      </c>
      <c r="F63" s="3">
        <v>0.3886</v>
      </c>
      <c r="G63" s="1">
        <v>1598</v>
      </c>
      <c r="H63" s="3">
        <v>3.8999999999999998E-3</v>
      </c>
      <c r="I63" s="30">
        <v>1.5E-3</v>
      </c>
    </row>
    <row r="64" spans="1:9" x14ac:dyDescent="0.35">
      <c r="A64" s="28">
        <v>45624</v>
      </c>
      <c r="B64" t="s">
        <v>928</v>
      </c>
      <c r="C64" t="s">
        <v>927</v>
      </c>
      <c r="D64" s="1">
        <v>655437</v>
      </c>
      <c r="E64" s="1">
        <v>249074</v>
      </c>
      <c r="F64" s="3">
        <v>0.38</v>
      </c>
      <c r="G64">
        <v>831</v>
      </c>
      <c r="H64" s="3">
        <v>3.3E-3</v>
      </c>
      <c r="I64" s="30">
        <v>1.2999999999999999E-3</v>
      </c>
    </row>
    <row r="65" spans="1:9" x14ac:dyDescent="0.35">
      <c r="A65" s="28">
        <v>45624</v>
      </c>
      <c r="B65" t="s">
        <v>929</v>
      </c>
      <c r="C65" t="s">
        <v>930</v>
      </c>
      <c r="D65" s="1">
        <v>4122</v>
      </c>
      <c r="E65" s="1">
        <v>1497</v>
      </c>
      <c r="F65" s="3">
        <v>0.36320000000000002</v>
      </c>
      <c r="G65">
        <v>2</v>
      </c>
      <c r="H65" s="3">
        <v>1.2999999999999999E-3</v>
      </c>
      <c r="I65" s="30">
        <v>5.0000000000000001E-4</v>
      </c>
    </row>
    <row r="66" spans="1:9" ht="16" thickBot="1" x14ac:dyDescent="0.4">
      <c r="A66" s="36" t="s">
        <v>35</v>
      </c>
      <c r="B66" s="4"/>
      <c r="C66" s="4"/>
      <c r="D66" s="33">
        <f>SUM(D63:D65)</f>
        <v>1708099</v>
      </c>
      <c r="E66" s="33">
        <f>SUM(E63:E65)</f>
        <v>657995</v>
      </c>
      <c r="F66" s="34">
        <f>AVERAGE(F63:F65)</f>
        <v>0.37726666666666664</v>
      </c>
      <c r="G66" s="33">
        <f>SUM(G63:G65)</f>
        <v>2431</v>
      </c>
      <c r="H66" s="34">
        <f>AVERAGE(H63:H65)</f>
        <v>2.8333333333333335E-3</v>
      </c>
      <c r="I66" s="35">
        <f>AVERAGE(I63:I65)</f>
        <v>1.1000000000000001E-3</v>
      </c>
    </row>
  </sheetData>
  <mergeCells count="3">
    <mergeCell ref="A30:I30"/>
    <mergeCell ref="A40:I40"/>
    <mergeCell ref="A61:I61"/>
  </mergeCells>
  <pageMargins left="0.7" right="0.7" top="0.75" bottom="0.75" header="0.3" footer="0.3"/>
  <ignoredErrors>
    <ignoredError sqref="F29:G29 F39:G39 F60:G60 F66:G66" formula="1"/>
  </ignoredErrors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18E5-ED52-4FFD-AD3F-F17166F2CF36}">
  <dimension ref="A1:I106"/>
  <sheetViews>
    <sheetView topLeftCell="A21" zoomScaleNormal="100" workbookViewId="0">
      <selection activeCell="A2" sqref="A2"/>
    </sheetView>
  </sheetViews>
  <sheetFormatPr defaultRowHeight="14.5" x14ac:dyDescent="0.35"/>
  <cols>
    <col min="1" max="1" width="11.81640625" customWidth="1"/>
    <col min="2" max="2" width="89.81640625" customWidth="1"/>
    <col min="3" max="3" width="41.816406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45625</v>
      </c>
      <c r="B2" t="s">
        <v>931</v>
      </c>
      <c r="C2" t="s">
        <v>10</v>
      </c>
      <c r="D2" s="1">
        <v>373030</v>
      </c>
      <c r="E2" s="1">
        <v>133645</v>
      </c>
      <c r="F2" s="2">
        <v>0.35826877194863699</v>
      </c>
      <c r="G2" s="1">
        <v>2772</v>
      </c>
      <c r="H2" s="2">
        <v>2.0741516704702801E-2</v>
      </c>
      <c r="I2" s="2">
        <v>7.4310377181459903E-3</v>
      </c>
    </row>
    <row r="3" spans="1:9" x14ac:dyDescent="0.35">
      <c r="A3" s="19">
        <v>45625</v>
      </c>
      <c r="B3" t="s">
        <v>932</v>
      </c>
      <c r="C3" t="s">
        <v>10</v>
      </c>
      <c r="D3" s="1">
        <v>4692399</v>
      </c>
      <c r="E3" s="1">
        <v>1359935</v>
      </c>
      <c r="F3" s="2">
        <v>0.28981657356929802</v>
      </c>
      <c r="G3" s="1">
        <v>16929</v>
      </c>
      <c r="H3" s="2">
        <v>1.24483890774191E-2</v>
      </c>
      <c r="I3" s="2">
        <v>3.6077494688750902E-3</v>
      </c>
    </row>
    <row r="4" spans="1:9" x14ac:dyDescent="0.35">
      <c r="A4" s="19">
        <v>45625</v>
      </c>
      <c r="B4" t="s">
        <v>932</v>
      </c>
      <c r="C4" t="s">
        <v>11</v>
      </c>
      <c r="D4" s="1">
        <v>269376</v>
      </c>
      <c r="E4" s="1">
        <v>71802</v>
      </c>
      <c r="F4" s="2">
        <v>0.26654935851746298</v>
      </c>
      <c r="G4" s="1">
        <v>1574</v>
      </c>
      <c r="H4" s="2">
        <v>2.1921394947216E-2</v>
      </c>
      <c r="I4" s="2">
        <v>5.8431337609883604E-3</v>
      </c>
    </row>
    <row r="5" spans="1:9" x14ac:dyDescent="0.35">
      <c r="A5" s="19">
        <v>45625</v>
      </c>
      <c r="B5" t="s">
        <v>933</v>
      </c>
      <c r="C5" t="s">
        <v>10</v>
      </c>
      <c r="D5" s="1">
        <v>91110</v>
      </c>
      <c r="E5" s="1">
        <v>33888</v>
      </c>
      <c r="F5" s="2">
        <v>0.371945999341455</v>
      </c>
      <c r="G5" s="1">
        <v>552</v>
      </c>
      <c r="H5" s="2">
        <v>1.6288951841359801E-2</v>
      </c>
      <c r="I5" s="2">
        <v>6.0586104708593999E-3</v>
      </c>
    </row>
    <row r="6" spans="1:9" x14ac:dyDescent="0.35">
      <c r="A6" s="19">
        <v>45625</v>
      </c>
      <c r="B6" t="s">
        <v>933</v>
      </c>
      <c r="C6" t="s">
        <v>11</v>
      </c>
      <c r="D6" s="1">
        <v>29663</v>
      </c>
      <c r="E6" s="1">
        <v>10584</v>
      </c>
      <c r="F6" s="2">
        <v>0.356808144826889</v>
      </c>
      <c r="G6" s="1">
        <v>204</v>
      </c>
      <c r="H6" s="2">
        <v>1.9274376417233601E-2</v>
      </c>
      <c r="I6" s="2">
        <v>6.8772544921282402E-3</v>
      </c>
    </row>
    <row r="7" spans="1:9" x14ac:dyDescent="0.35">
      <c r="A7" s="19">
        <v>45625</v>
      </c>
      <c r="B7" t="s">
        <v>934</v>
      </c>
      <c r="C7" t="s">
        <v>935</v>
      </c>
      <c r="D7" s="1">
        <v>109947</v>
      </c>
      <c r="E7" s="1">
        <v>48570</v>
      </c>
      <c r="F7" s="2">
        <v>0.44175830172719599</v>
      </c>
      <c r="G7" s="1">
        <v>3310</v>
      </c>
      <c r="H7" s="2">
        <v>6.8149063207741403E-2</v>
      </c>
      <c r="I7" s="2">
        <v>3.0105414426951201E-2</v>
      </c>
    </row>
    <row r="8" spans="1:9" x14ac:dyDescent="0.35">
      <c r="A8" s="19">
        <v>45625</v>
      </c>
      <c r="B8" t="s">
        <v>934</v>
      </c>
      <c r="C8" t="s">
        <v>936</v>
      </c>
      <c r="D8" s="1">
        <v>2938158</v>
      </c>
      <c r="E8" s="1">
        <v>929306</v>
      </c>
      <c r="F8" s="2">
        <v>0.31628864070618401</v>
      </c>
      <c r="G8" s="1">
        <v>9667</v>
      </c>
      <c r="H8" s="2">
        <v>1.0402386296871E-2</v>
      </c>
      <c r="I8" s="2">
        <v>3.2901566219379601E-3</v>
      </c>
    </row>
    <row r="9" spans="1:9" x14ac:dyDescent="0.35">
      <c r="A9" s="19">
        <v>45625</v>
      </c>
      <c r="B9" t="s">
        <v>934</v>
      </c>
      <c r="C9" t="s">
        <v>937</v>
      </c>
      <c r="D9" s="1">
        <v>3429383</v>
      </c>
      <c r="E9" s="1">
        <v>1258012</v>
      </c>
      <c r="F9" s="2">
        <v>0.36683333415952701</v>
      </c>
      <c r="G9" s="1">
        <v>27198</v>
      </c>
      <c r="H9" s="2">
        <v>2.1619825566051801E-2</v>
      </c>
      <c r="I9" s="2">
        <v>7.93087269634217E-3</v>
      </c>
    </row>
    <row r="10" spans="1:9" x14ac:dyDescent="0.35">
      <c r="A10" s="19">
        <v>45625</v>
      </c>
      <c r="B10" t="s">
        <v>934</v>
      </c>
      <c r="C10" t="s">
        <v>938</v>
      </c>
      <c r="D10" s="1">
        <v>5138</v>
      </c>
      <c r="E10" s="1">
        <v>2458</v>
      </c>
      <c r="F10" s="2">
        <v>0.47839626313740802</v>
      </c>
      <c r="G10" s="1">
        <v>360</v>
      </c>
      <c r="H10" s="2">
        <v>0.14646053702196901</v>
      </c>
      <c r="I10" s="2">
        <v>7.0066173608407903E-2</v>
      </c>
    </row>
    <row r="11" spans="1:9" x14ac:dyDescent="0.35">
      <c r="A11" s="19">
        <v>45625</v>
      </c>
      <c r="B11" t="s">
        <v>934</v>
      </c>
      <c r="C11" t="s">
        <v>939</v>
      </c>
      <c r="D11" s="1">
        <v>230544</v>
      </c>
      <c r="E11" s="1">
        <v>68529</v>
      </c>
      <c r="F11" s="2">
        <v>0.29724911513637298</v>
      </c>
      <c r="G11" s="1">
        <v>1016</v>
      </c>
      <c r="H11" s="2">
        <v>1.48258401552627E-2</v>
      </c>
      <c r="I11" s="2">
        <v>4.4069678673051603E-3</v>
      </c>
    </row>
    <row r="12" spans="1:9" x14ac:dyDescent="0.35">
      <c r="A12" s="19">
        <v>45625</v>
      </c>
      <c r="B12" t="s">
        <v>934</v>
      </c>
      <c r="C12" t="s">
        <v>940</v>
      </c>
      <c r="D12" s="1">
        <v>178267</v>
      </c>
      <c r="E12" s="1">
        <v>68617</v>
      </c>
      <c r="F12" s="2">
        <v>0.38491139694951998</v>
      </c>
      <c r="G12" s="1">
        <v>2213</v>
      </c>
      <c r="H12" s="2">
        <v>3.2251482868676899E-2</v>
      </c>
      <c r="I12" s="2">
        <v>1.2413963324675901E-2</v>
      </c>
    </row>
    <row r="13" spans="1:9" x14ac:dyDescent="0.35">
      <c r="A13" s="19">
        <v>45625</v>
      </c>
      <c r="B13" t="s">
        <v>941</v>
      </c>
      <c r="C13" t="s">
        <v>75</v>
      </c>
      <c r="D13" s="1">
        <v>746</v>
      </c>
      <c r="E13" s="1">
        <v>335</v>
      </c>
      <c r="F13" s="2">
        <v>0.449061662198391</v>
      </c>
      <c r="G13" s="1">
        <v>12</v>
      </c>
      <c r="H13" s="2">
        <v>3.5820895522388103E-2</v>
      </c>
      <c r="I13" s="2">
        <v>1.6085790884718499E-2</v>
      </c>
    </row>
    <row r="14" spans="1:9" x14ac:dyDescent="0.35">
      <c r="A14" s="19">
        <v>45625</v>
      </c>
      <c r="B14" t="s">
        <v>941</v>
      </c>
      <c r="C14" t="s">
        <v>73</v>
      </c>
      <c r="D14" s="1">
        <v>15424</v>
      </c>
      <c r="E14" s="1">
        <v>7300</v>
      </c>
      <c r="F14" s="2">
        <v>0.47328838174273902</v>
      </c>
      <c r="G14" s="1">
        <v>260</v>
      </c>
      <c r="H14" s="2">
        <v>3.5616438356164397E-2</v>
      </c>
      <c r="I14" s="2">
        <v>1.6856846473029E-2</v>
      </c>
    </row>
    <row r="15" spans="1:9" x14ac:dyDescent="0.35">
      <c r="A15" s="19">
        <v>45626</v>
      </c>
      <c r="B15" t="s">
        <v>942</v>
      </c>
      <c r="C15" t="s">
        <v>10</v>
      </c>
      <c r="D15" s="1">
        <v>333914</v>
      </c>
      <c r="E15" s="1">
        <v>137569</v>
      </c>
      <c r="F15" s="2">
        <v>0.411989314613943</v>
      </c>
      <c r="G15" s="1">
        <v>2475</v>
      </c>
      <c r="H15" s="2">
        <v>1.79909718032406E-2</v>
      </c>
      <c r="I15" s="2">
        <v>7.4120881424558404E-3</v>
      </c>
    </row>
    <row r="16" spans="1:9" x14ac:dyDescent="0.35">
      <c r="A16" s="19">
        <v>45626</v>
      </c>
      <c r="B16" t="s">
        <v>943</v>
      </c>
      <c r="C16" t="s">
        <v>10</v>
      </c>
      <c r="D16" s="1">
        <v>772690</v>
      </c>
      <c r="E16" s="1">
        <v>303820</v>
      </c>
      <c r="F16" s="2">
        <v>0.39319778954043699</v>
      </c>
      <c r="G16" s="1">
        <v>4317</v>
      </c>
      <c r="H16" s="2">
        <v>1.42090711605556E-2</v>
      </c>
      <c r="I16" s="2">
        <v>5.5869753717532299E-3</v>
      </c>
    </row>
    <row r="17" spans="1:9" x14ac:dyDescent="0.35">
      <c r="A17" s="19">
        <v>45626</v>
      </c>
      <c r="B17" t="s">
        <v>943</v>
      </c>
      <c r="C17" t="s">
        <v>11</v>
      </c>
      <c r="D17" s="1">
        <v>28985</v>
      </c>
      <c r="E17" s="1">
        <v>11435</v>
      </c>
      <c r="F17" s="2">
        <v>0.39451440400207</v>
      </c>
      <c r="G17" s="1">
        <v>215</v>
      </c>
      <c r="H17" s="2">
        <v>1.8801923917796198E-2</v>
      </c>
      <c r="I17" s="2">
        <v>7.41762980852165E-3</v>
      </c>
    </row>
    <row r="18" spans="1:9" x14ac:dyDescent="0.35">
      <c r="A18" s="19">
        <v>45626</v>
      </c>
      <c r="B18" t="s">
        <v>944</v>
      </c>
      <c r="C18" t="s">
        <v>10</v>
      </c>
      <c r="D18" s="1">
        <v>120405</v>
      </c>
      <c r="E18" s="1">
        <v>47432</v>
      </c>
      <c r="F18" s="2">
        <v>0.39393712885677501</v>
      </c>
      <c r="G18" s="1">
        <v>819</v>
      </c>
      <c r="H18" s="2">
        <v>1.7266824085005902E-2</v>
      </c>
      <c r="I18" s="2">
        <v>6.8020431045222396E-3</v>
      </c>
    </row>
    <row r="19" spans="1:9" x14ac:dyDescent="0.35">
      <c r="A19" s="19">
        <v>45626</v>
      </c>
      <c r="B19" t="s">
        <v>944</v>
      </c>
      <c r="C19" t="s">
        <v>11</v>
      </c>
      <c r="D19" s="1">
        <v>14701</v>
      </c>
      <c r="E19" s="1">
        <v>5955</v>
      </c>
      <c r="F19" s="2">
        <v>0.40507448472892998</v>
      </c>
      <c r="G19" s="1">
        <v>139</v>
      </c>
      <c r="H19" s="2">
        <v>2.3341729638958902E-2</v>
      </c>
      <c r="I19" s="2">
        <v>9.4551391061832493E-3</v>
      </c>
    </row>
    <row r="20" spans="1:9" x14ac:dyDescent="0.35">
      <c r="A20" s="19">
        <v>45627</v>
      </c>
      <c r="B20" t="s">
        <v>945</v>
      </c>
      <c r="C20" t="s">
        <v>946</v>
      </c>
      <c r="D20" s="1">
        <v>257691</v>
      </c>
      <c r="E20" s="1">
        <v>96069</v>
      </c>
      <c r="F20" s="2">
        <v>0.37280696648311401</v>
      </c>
      <c r="G20" s="1">
        <v>1548</v>
      </c>
      <c r="H20" s="2">
        <v>1.6113418480467202E-2</v>
      </c>
      <c r="I20" s="2">
        <v>6.0071946633758998E-3</v>
      </c>
    </row>
    <row r="21" spans="1:9" x14ac:dyDescent="0.35">
      <c r="A21" s="19">
        <v>45627</v>
      </c>
      <c r="B21" t="s">
        <v>947</v>
      </c>
      <c r="C21" t="s">
        <v>10</v>
      </c>
      <c r="D21" s="1">
        <v>56756</v>
      </c>
      <c r="E21" s="1">
        <v>17753</v>
      </c>
      <c r="F21" s="2">
        <v>0.31279512298259199</v>
      </c>
      <c r="G21" s="1">
        <v>272</v>
      </c>
      <c r="H21" s="2">
        <v>1.5321354137328901E-2</v>
      </c>
      <c r="I21" s="2">
        <v>4.7924448516456402E-3</v>
      </c>
    </row>
    <row r="22" spans="1:9" x14ac:dyDescent="0.35">
      <c r="A22" s="19">
        <v>45627</v>
      </c>
      <c r="B22" t="s">
        <v>948</v>
      </c>
      <c r="C22" t="s">
        <v>10</v>
      </c>
      <c r="D22" s="1">
        <v>38529</v>
      </c>
      <c r="E22" s="1">
        <v>15994</v>
      </c>
      <c r="F22" s="2">
        <v>0.41511588673466698</v>
      </c>
      <c r="G22" s="1">
        <v>217</v>
      </c>
      <c r="H22" s="2">
        <v>1.3567587845442E-2</v>
      </c>
      <c r="I22" s="2">
        <v>5.6321212593111701E-3</v>
      </c>
    </row>
    <row r="23" spans="1:9" x14ac:dyDescent="0.35">
      <c r="A23" s="19">
        <v>45627</v>
      </c>
      <c r="B23" t="s">
        <v>948</v>
      </c>
      <c r="C23" t="s">
        <v>11</v>
      </c>
      <c r="D23" s="1">
        <v>54206</v>
      </c>
      <c r="E23" s="1">
        <v>21674</v>
      </c>
      <c r="F23" s="2">
        <v>0.39984503560491502</v>
      </c>
      <c r="G23" s="1">
        <v>541</v>
      </c>
      <c r="H23" s="2">
        <v>2.4960782504383099E-2</v>
      </c>
      <c r="I23" s="2">
        <v>9.9804449691916E-3</v>
      </c>
    </row>
    <row r="24" spans="1:9" x14ac:dyDescent="0.35">
      <c r="A24" s="19">
        <v>45628</v>
      </c>
      <c r="B24" t="s">
        <v>949</v>
      </c>
      <c r="C24" t="s">
        <v>10</v>
      </c>
      <c r="D24" s="1">
        <v>3854</v>
      </c>
      <c r="E24" s="1">
        <v>1570</v>
      </c>
      <c r="F24" s="2">
        <v>0.40736896730669397</v>
      </c>
      <c r="G24" s="1">
        <v>36</v>
      </c>
      <c r="H24" s="2">
        <v>2.29299363057325E-2</v>
      </c>
      <c r="I24" s="2">
        <v>9.3409444732745206E-3</v>
      </c>
    </row>
    <row r="25" spans="1:9" x14ac:dyDescent="0.35">
      <c r="A25" s="19">
        <v>45628</v>
      </c>
      <c r="B25" t="s">
        <v>949</v>
      </c>
      <c r="C25" t="s">
        <v>11</v>
      </c>
      <c r="D25" s="1">
        <v>1415</v>
      </c>
      <c r="E25" s="1">
        <v>604</v>
      </c>
      <c r="F25" s="2">
        <v>0.42685512367491202</v>
      </c>
      <c r="G25" s="1">
        <v>13</v>
      </c>
      <c r="H25" s="2">
        <v>2.1523178807947001E-2</v>
      </c>
      <c r="I25" s="2">
        <v>9.1872791519434591E-3</v>
      </c>
    </row>
    <row r="26" spans="1:9" x14ac:dyDescent="0.35">
      <c r="A26" s="19">
        <v>45628</v>
      </c>
      <c r="B26" t="s">
        <v>950</v>
      </c>
      <c r="C26" t="s">
        <v>623</v>
      </c>
      <c r="D26" s="1">
        <v>897</v>
      </c>
      <c r="E26" s="1">
        <v>287</v>
      </c>
      <c r="F26" s="2">
        <v>0.31995540691192897</v>
      </c>
      <c r="G26" s="1">
        <v>36</v>
      </c>
      <c r="H26" s="2">
        <v>0.12543554006968599</v>
      </c>
      <c r="I26" s="2">
        <v>4.0133779264213999E-2</v>
      </c>
    </row>
    <row r="27" spans="1:9" x14ac:dyDescent="0.35">
      <c r="A27" s="19">
        <v>45628</v>
      </c>
      <c r="B27" t="s">
        <v>951</v>
      </c>
      <c r="C27" t="s">
        <v>625</v>
      </c>
      <c r="D27" s="1">
        <v>426</v>
      </c>
      <c r="E27" s="1">
        <v>120</v>
      </c>
      <c r="F27" s="2">
        <v>0.28169014084506999</v>
      </c>
      <c r="G27" s="1">
        <v>11</v>
      </c>
      <c r="H27" s="2">
        <v>9.1666666666666702E-2</v>
      </c>
      <c r="I27" s="2">
        <v>2.5821596244131498E-2</v>
      </c>
    </row>
    <row r="28" spans="1:9" x14ac:dyDescent="0.35">
      <c r="A28" s="19">
        <v>45628</v>
      </c>
      <c r="B28" t="s">
        <v>952</v>
      </c>
      <c r="C28" t="s">
        <v>10</v>
      </c>
      <c r="D28" s="1">
        <v>836235</v>
      </c>
      <c r="E28" s="1">
        <v>327537</v>
      </c>
      <c r="F28" s="2">
        <v>0.39168056826131398</v>
      </c>
      <c r="G28" s="1">
        <v>2910</v>
      </c>
      <c r="H28" s="2">
        <v>8.8844924390221597E-3</v>
      </c>
      <c r="I28" s="2">
        <v>3.4798830472295502E-3</v>
      </c>
    </row>
    <row r="29" spans="1:9" x14ac:dyDescent="0.35">
      <c r="A29" s="19">
        <v>45628</v>
      </c>
      <c r="B29" t="s">
        <v>952</v>
      </c>
      <c r="C29" t="s">
        <v>11</v>
      </c>
      <c r="D29" s="1">
        <v>48486</v>
      </c>
      <c r="E29" s="1">
        <v>18865</v>
      </c>
      <c r="F29" s="2">
        <v>0.38908138431712203</v>
      </c>
      <c r="G29" s="1">
        <v>224</v>
      </c>
      <c r="H29" s="2">
        <v>1.1873840445269001E-2</v>
      </c>
      <c r="I29" s="2">
        <v>4.6198902776059102E-3</v>
      </c>
    </row>
    <row r="30" spans="1:9" x14ac:dyDescent="0.35">
      <c r="A30" s="19">
        <v>45628</v>
      </c>
      <c r="B30" t="s">
        <v>953</v>
      </c>
      <c r="C30" t="s">
        <v>954</v>
      </c>
      <c r="D30" s="1">
        <v>107491</v>
      </c>
      <c r="E30" s="1">
        <v>44358</v>
      </c>
      <c r="F30" s="2">
        <v>0.41266710701360998</v>
      </c>
      <c r="G30" s="1">
        <v>1527</v>
      </c>
      <c r="H30" s="2">
        <v>3.4424455566075998E-2</v>
      </c>
      <c r="I30" s="2">
        <v>1.4205840488971199E-2</v>
      </c>
    </row>
    <row r="31" spans="1:9" x14ac:dyDescent="0.35">
      <c r="A31" s="19">
        <v>45628</v>
      </c>
      <c r="B31" t="s">
        <v>953</v>
      </c>
      <c r="C31" t="s">
        <v>955</v>
      </c>
      <c r="D31" s="1">
        <v>3407309</v>
      </c>
      <c r="E31" s="1">
        <v>1225749</v>
      </c>
      <c r="F31" s="2">
        <v>0.35974107426124302</v>
      </c>
      <c r="G31" s="1">
        <v>19049</v>
      </c>
      <c r="H31" s="2">
        <v>1.55407020523778E-2</v>
      </c>
      <c r="I31" s="2">
        <v>5.5906288510962797E-3</v>
      </c>
    </row>
    <row r="32" spans="1:9" x14ac:dyDescent="0.35">
      <c r="A32" s="19">
        <v>45628</v>
      </c>
      <c r="B32" t="s">
        <v>953</v>
      </c>
      <c r="C32" t="s">
        <v>956</v>
      </c>
      <c r="D32" s="1">
        <v>5034</v>
      </c>
      <c r="E32" s="1">
        <v>2160</v>
      </c>
      <c r="F32" s="2">
        <v>0.42908224076281298</v>
      </c>
      <c r="G32" s="1">
        <v>92</v>
      </c>
      <c r="H32" s="2">
        <v>4.2592592592592599E-2</v>
      </c>
      <c r="I32" s="2">
        <v>1.82757250695272E-2</v>
      </c>
    </row>
    <row r="33" spans="1:9" x14ac:dyDescent="0.35">
      <c r="A33" s="19">
        <v>45628</v>
      </c>
      <c r="B33" t="s">
        <v>953</v>
      </c>
      <c r="C33" t="s">
        <v>957</v>
      </c>
      <c r="D33" s="1">
        <v>177218</v>
      </c>
      <c r="E33" s="1">
        <v>66729</v>
      </c>
      <c r="F33" s="2">
        <v>0.37653624349671</v>
      </c>
      <c r="G33" s="1">
        <v>1982</v>
      </c>
      <c r="H33" s="2">
        <v>2.9702228416430599E-2</v>
      </c>
      <c r="I33" s="2">
        <v>1.1183965511404E-2</v>
      </c>
    </row>
    <row r="34" spans="1:9" x14ac:dyDescent="0.35">
      <c r="A34" s="19">
        <v>45629</v>
      </c>
      <c r="B34" t="s">
        <v>958</v>
      </c>
      <c r="C34" t="s">
        <v>10</v>
      </c>
      <c r="D34" s="1">
        <v>1396810</v>
      </c>
      <c r="E34" s="1">
        <v>382088</v>
      </c>
      <c r="F34" s="2">
        <v>0.273543287920333</v>
      </c>
      <c r="G34" s="1">
        <v>7447</v>
      </c>
      <c r="H34" s="2">
        <v>1.9490274491740098E-2</v>
      </c>
      <c r="I34" s="2">
        <v>5.3314337669403897E-3</v>
      </c>
    </row>
    <row r="35" spans="1:9" x14ac:dyDescent="0.35">
      <c r="A35" s="19">
        <v>45629</v>
      </c>
      <c r="B35" t="s">
        <v>958</v>
      </c>
      <c r="C35" t="s">
        <v>11</v>
      </c>
      <c r="D35" s="1">
        <v>93956</v>
      </c>
      <c r="E35" s="1">
        <v>29400</v>
      </c>
      <c r="F35" s="2">
        <v>0.31291242709353301</v>
      </c>
      <c r="G35" s="1">
        <v>883</v>
      </c>
      <c r="H35" s="2">
        <v>3.0034013605442202E-2</v>
      </c>
      <c r="I35" s="2">
        <v>9.3980160926391103E-3</v>
      </c>
    </row>
    <row r="36" spans="1:9" x14ac:dyDescent="0.35">
      <c r="A36" s="19">
        <v>45629</v>
      </c>
      <c r="B36" t="s">
        <v>959</v>
      </c>
      <c r="C36" t="s">
        <v>10</v>
      </c>
      <c r="D36" s="1">
        <v>56484</v>
      </c>
      <c r="E36" s="1">
        <v>20100</v>
      </c>
      <c r="F36" s="2">
        <v>0.35585298491608203</v>
      </c>
      <c r="G36" s="1">
        <v>282</v>
      </c>
      <c r="H36" s="2">
        <v>1.40298507462687E-2</v>
      </c>
      <c r="I36" s="2">
        <v>4.9925642659868303E-3</v>
      </c>
    </row>
    <row r="37" spans="1:9" x14ac:dyDescent="0.35">
      <c r="A37" s="19">
        <v>45630</v>
      </c>
      <c r="B37" t="s">
        <v>960</v>
      </c>
      <c r="C37" t="s">
        <v>10</v>
      </c>
      <c r="D37" s="1">
        <v>6115957</v>
      </c>
      <c r="E37" s="1">
        <v>2143403</v>
      </c>
      <c r="F37" s="2">
        <v>0.35046077008062698</v>
      </c>
      <c r="G37" s="1">
        <v>27115</v>
      </c>
      <c r="H37" s="2">
        <v>1.26504441768533E-2</v>
      </c>
      <c r="I37" s="2">
        <v>4.4334844080820097E-3</v>
      </c>
    </row>
    <row r="38" spans="1:9" x14ac:dyDescent="0.35">
      <c r="A38" s="19">
        <v>45630</v>
      </c>
      <c r="B38" t="s">
        <v>960</v>
      </c>
      <c r="C38" t="s">
        <v>11</v>
      </c>
      <c r="D38" s="1">
        <v>409494</v>
      </c>
      <c r="E38" s="1">
        <v>141669</v>
      </c>
      <c r="F38" s="2">
        <v>0.34596111298333998</v>
      </c>
      <c r="G38" s="1">
        <v>2454</v>
      </c>
      <c r="H38" s="2">
        <v>1.7322067636533E-2</v>
      </c>
      <c r="I38" s="2">
        <v>5.9927617987076704E-3</v>
      </c>
    </row>
    <row r="39" spans="1:9" x14ac:dyDescent="0.35">
      <c r="A39" s="19">
        <v>45630</v>
      </c>
      <c r="B39" t="s">
        <v>961</v>
      </c>
      <c r="C39" t="s">
        <v>10</v>
      </c>
      <c r="D39" s="1">
        <v>260559</v>
      </c>
      <c r="E39" s="1">
        <v>95731</v>
      </c>
      <c r="F39" s="2">
        <v>0.36740623045068499</v>
      </c>
      <c r="G39" s="1">
        <v>1733</v>
      </c>
      <c r="H39" s="2">
        <v>1.8102808912473501E-2</v>
      </c>
      <c r="I39" s="2">
        <v>6.6510847831009502E-3</v>
      </c>
    </row>
    <row r="40" spans="1:9" x14ac:dyDescent="0.35">
      <c r="A40" s="19">
        <v>45630</v>
      </c>
      <c r="B40" t="s">
        <v>962</v>
      </c>
      <c r="C40" t="s">
        <v>10</v>
      </c>
      <c r="D40" s="1">
        <v>135517</v>
      </c>
      <c r="E40" s="1">
        <v>63970</v>
      </c>
      <c r="F40" s="2">
        <v>0.47204409778846901</v>
      </c>
      <c r="G40" s="1">
        <v>1910</v>
      </c>
      <c r="H40" s="2">
        <v>2.9857745818352401E-2</v>
      </c>
      <c r="I40" s="2">
        <v>1.40941726868216E-2</v>
      </c>
    </row>
    <row r="41" spans="1:9" x14ac:dyDescent="0.35">
      <c r="A41" s="19">
        <v>45630</v>
      </c>
      <c r="B41" t="s">
        <v>962</v>
      </c>
      <c r="C41" t="s">
        <v>11</v>
      </c>
      <c r="D41" s="1">
        <v>7601</v>
      </c>
      <c r="E41" s="1">
        <v>3935</v>
      </c>
      <c r="F41" s="2">
        <v>0.51769504012629897</v>
      </c>
      <c r="G41" s="1">
        <v>149</v>
      </c>
      <c r="H41" s="2">
        <v>3.7865311308767503E-2</v>
      </c>
      <c r="I41" s="2">
        <v>1.9602683857387199E-2</v>
      </c>
    </row>
    <row r="42" spans="1:9" x14ac:dyDescent="0.35">
      <c r="A42" s="19">
        <v>45631</v>
      </c>
      <c r="B42" t="s">
        <v>963</v>
      </c>
      <c r="C42" t="s">
        <v>927</v>
      </c>
      <c r="D42" s="1">
        <v>1455191</v>
      </c>
      <c r="E42" s="1">
        <v>540347</v>
      </c>
      <c r="F42" s="3">
        <v>0.37130000000000002</v>
      </c>
      <c r="G42" s="1">
        <v>1827</v>
      </c>
      <c r="H42" s="3">
        <v>3.3999999999999998E-3</v>
      </c>
      <c r="I42" s="3">
        <v>1.2999999999999999E-3</v>
      </c>
    </row>
    <row r="43" spans="1:9" x14ac:dyDescent="0.35">
      <c r="A43" s="19">
        <v>45631</v>
      </c>
      <c r="B43" t="s">
        <v>964</v>
      </c>
      <c r="C43" t="s">
        <v>965</v>
      </c>
      <c r="D43" s="1">
        <v>85049</v>
      </c>
      <c r="E43" s="1">
        <v>30796</v>
      </c>
      <c r="F43" s="3">
        <v>0.36209999999999998</v>
      </c>
      <c r="G43">
        <v>168</v>
      </c>
      <c r="H43" s="3">
        <v>5.4999999999999997E-3</v>
      </c>
      <c r="I43" s="3">
        <v>2E-3</v>
      </c>
    </row>
    <row r="44" spans="1:9" x14ac:dyDescent="0.35">
      <c r="A44" s="19">
        <v>45631</v>
      </c>
      <c r="B44" t="s">
        <v>966</v>
      </c>
      <c r="C44" t="s">
        <v>967</v>
      </c>
      <c r="D44" s="1">
        <v>149608</v>
      </c>
      <c r="E44" s="1">
        <v>55462</v>
      </c>
      <c r="F44" s="2">
        <v>0.37071546976097502</v>
      </c>
      <c r="G44" s="1">
        <v>879</v>
      </c>
      <c r="H44" s="2">
        <v>1.5848689192600299E-2</v>
      </c>
      <c r="I44" s="2">
        <v>5.8753542591305297E-3</v>
      </c>
    </row>
    <row r="45" spans="1:9" x14ac:dyDescent="0.35">
      <c r="A45" s="19">
        <v>45631</v>
      </c>
      <c r="B45" t="s">
        <v>968</v>
      </c>
      <c r="C45" t="s">
        <v>969</v>
      </c>
      <c r="D45" s="1">
        <v>251595</v>
      </c>
      <c r="E45" s="1">
        <v>98314</v>
      </c>
      <c r="F45" s="2">
        <v>0.39076293249070898</v>
      </c>
      <c r="G45" s="1">
        <v>2689</v>
      </c>
      <c r="H45" s="2">
        <v>2.7351140224179699E-2</v>
      </c>
      <c r="I45" s="2">
        <v>1.0687811760965E-2</v>
      </c>
    </row>
    <row r="46" spans="1:9" x14ac:dyDescent="0.35">
      <c r="A46" s="19">
        <v>45631</v>
      </c>
      <c r="B46" t="s">
        <v>968</v>
      </c>
      <c r="C46" t="s">
        <v>970</v>
      </c>
      <c r="D46" s="1">
        <v>14570</v>
      </c>
      <c r="E46" s="1">
        <v>6042</v>
      </c>
      <c r="F46" s="2">
        <v>0.41468771448181202</v>
      </c>
      <c r="G46" s="1">
        <v>306</v>
      </c>
      <c r="H46" s="2">
        <v>5.0645481628599803E-2</v>
      </c>
      <c r="I46" s="2">
        <v>2.10020590253946E-2</v>
      </c>
    </row>
    <row r="47" spans="1:9" x14ac:dyDescent="0.35">
      <c r="A47" s="19">
        <v>45631</v>
      </c>
      <c r="B47" t="s">
        <v>971</v>
      </c>
      <c r="C47" t="s">
        <v>730</v>
      </c>
      <c r="D47" s="1">
        <v>2402</v>
      </c>
      <c r="E47" s="1">
        <v>961</v>
      </c>
      <c r="F47" s="2">
        <v>0.40008326394671101</v>
      </c>
      <c r="G47" s="1">
        <v>113</v>
      </c>
      <c r="H47" s="2">
        <v>0.11758584807492201</v>
      </c>
      <c r="I47" s="2">
        <v>4.7044129891756901E-2</v>
      </c>
    </row>
    <row r="48" spans="1:9" x14ac:dyDescent="0.35">
      <c r="A48" s="19">
        <v>45631</v>
      </c>
      <c r="B48" t="s">
        <v>971</v>
      </c>
      <c r="C48" t="s">
        <v>731</v>
      </c>
      <c r="D48" s="1">
        <v>2459</v>
      </c>
      <c r="E48" s="1">
        <v>1094</v>
      </c>
      <c r="F48" s="2">
        <v>0.44489629930866198</v>
      </c>
      <c r="G48" s="1">
        <v>181</v>
      </c>
      <c r="H48" s="2">
        <v>0.16544789762340001</v>
      </c>
      <c r="I48" s="2">
        <v>7.3607157381049199E-2</v>
      </c>
    </row>
    <row r="49" spans="1:9" ht="16" thickBot="1" x14ac:dyDescent="0.4">
      <c r="A49" s="37" t="s">
        <v>35</v>
      </c>
      <c r="D49" s="31">
        <f>SUM(D2:D48)</f>
        <v>29066679</v>
      </c>
      <c r="E49" s="31">
        <f>SUM(E2:E48)</f>
        <v>9951973</v>
      </c>
      <c r="F49" s="32">
        <f>AVERAGE(F2:F48)</f>
        <v>0.38075599927038672</v>
      </c>
      <c r="G49" s="31">
        <f>SUM(G2:G48)</f>
        <v>150626</v>
      </c>
      <c r="H49" s="32">
        <f>AVERAGE(H2:H48)</f>
        <v>3.3768084433152504E-2</v>
      </c>
      <c r="I49" s="32">
        <f>AVERAGE(I2:I48)</f>
        <v>1.3359836158482659E-2</v>
      </c>
    </row>
    <row r="50" spans="1:9" ht="15" thickBot="1" x14ac:dyDescent="0.4">
      <c r="A50" s="138" t="s">
        <v>302</v>
      </c>
      <c r="B50" s="138"/>
      <c r="C50" s="138"/>
      <c r="D50" s="138"/>
      <c r="E50" s="138"/>
      <c r="F50" s="138"/>
      <c r="G50" s="138"/>
      <c r="H50" s="138"/>
      <c r="I50" s="138"/>
    </row>
    <row r="51" spans="1:9" ht="15.5" x14ac:dyDescent="0.35">
      <c r="A51" s="38" t="s">
        <v>0</v>
      </c>
      <c r="B51" s="39" t="s">
        <v>1</v>
      </c>
      <c r="C51" s="39" t="s">
        <v>2</v>
      </c>
      <c r="D51" s="39" t="s">
        <v>3</v>
      </c>
      <c r="E51" s="39" t="s">
        <v>4</v>
      </c>
      <c r="F51" s="39" t="s">
        <v>5</v>
      </c>
      <c r="G51" s="39" t="s">
        <v>6</v>
      </c>
      <c r="H51" s="39" t="s">
        <v>7</v>
      </c>
      <c r="I51" s="40" t="s">
        <v>8</v>
      </c>
    </row>
    <row r="52" spans="1:9" x14ac:dyDescent="0.35">
      <c r="A52" s="5" t="s">
        <v>36</v>
      </c>
      <c r="B52" s="6"/>
      <c r="C52" s="6"/>
      <c r="D52" s="6"/>
      <c r="E52" s="6"/>
      <c r="F52" s="6"/>
      <c r="G52" s="6"/>
      <c r="H52" s="6"/>
      <c r="I52" s="7"/>
    </row>
    <row r="53" spans="1:9" ht="15" customHeight="1" x14ac:dyDescent="0.35">
      <c r="A53" s="28">
        <v>45625</v>
      </c>
      <c r="B53" t="s">
        <v>931</v>
      </c>
      <c r="C53" t="s">
        <v>10</v>
      </c>
      <c r="D53" s="1">
        <v>373030</v>
      </c>
      <c r="E53" s="1">
        <v>133645</v>
      </c>
      <c r="F53" s="2">
        <v>0.35826877194863699</v>
      </c>
      <c r="G53" s="1">
        <v>2772</v>
      </c>
      <c r="H53" s="2">
        <v>2.0741516704702801E-2</v>
      </c>
      <c r="I53" s="29">
        <v>7.4310377181459903E-3</v>
      </c>
    </row>
    <row r="54" spans="1:9" x14ac:dyDescent="0.35">
      <c r="A54" s="28">
        <v>45625</v>
      </c>
      <c r="B54" t="s">
        <v>932</v>
      </c>
      <c r="C54" t="s">
        <v>10</v>
      </c>
      <c r="D54" s="1">
        <v>4692399</v>
      </c>
      <c r="E54" s="1">
        <v>1359935</v>
      </c>
      <c r="F54" s="2">
        <v>0.28981657356929802</v>
      </c>
      <c r="G54" s="1">
        <v>16929</v>
      </c>
      <c r="H54" s="2">
        <v>1.24483890774191E-2</v>
      </c>
      <c r="I54" s="29">
        <v>3.6077494688750902E-3</v>
      </c>
    </row>
    <row r="55" spans="1:9" x14ac:dyDescent="0.35">
      <c r="A55" s="28">
        <v>45625</v>
      </c>
      <c r="B55" t="s">
        <v>932</v>
      </c>
      <c r="C55" t="s">
        <v>11</v>
      </c>
      <c r="D55" s="1">
        <v>269376</v>
      </c>
      <c r="E55" s="1">
        <v>71802</v>
      </c>
      <c r="F55" s="2">
        <v>0.26654935851746298</v>
      </c>
      <c r="G55" s="1">
        <v>1574</v>
      </c>
      <c r="H55" s="2">
        <v>2.1921394947216E-2</v>
      </c>
      <c r="I55" s="29">
        <v>5.8431337609883604E-3</v>
      </c>
    </row>
    <row r="56" spans="1:9" x14ac:dyDescent="0.35">
      <c r="A56" s="28">
        <v>45629</v>
      </c>
      <c r="B56" t="s">
        <v>958</v>
      </c>
      <c r="C56" t="s">
        <v>10</v>
      </c>
      <c r="D56" s="1">
        <v>1396810</v>
      </c>
      <c r="E56" s="1">
        <v>382088</v>
      </c>
      <c r="F56" s="2">
        <v>0.273543287920333</v>
      </c>
      <c r="G56" s="1">
        <v>7447</v>
      </c>
      <c r="H56" s="2">
        <v>1.9490274491740098E-2</v>
      </c>
      <c r="I56" s="29">
        <v>5.3314337669403897E-3</v>
      </c>
    </row>
    <row r="57" spans="1:9" x14ac:dyDescent="0.35">
      <c r="A57" s="28">
        <v>45629</v>
      </c>
      <c r="B57" t="s">
        <v>958</v>
      </c>
      <c r="C57" t="s">
        <v>11</v>
      </c>
      <c r="D57" s="1">
        <v>93956</v>
      </c>
      <c r="E57" s="1">
        <v>29400</v>
      </c>
      <c r="F57" s="2">
        <v>0.31291242709353301</v>
      </c>
      <c r="G57" s="1">
        <v>883</v>
      </c>
      <c r="H57" s="2">
        <v>3.0034013605442202E-2</v>
      </c>
      <c r="I57" s="29">
        <v>9.3980160926391103E-3</v>
      </c>
    </row>
    <row r="58" spans="1:9" ht="16" thickBot="1" x14ac:dyDescent="0.4">
      <c r="A58" s="36" t="s">
        <v>35</v>
      </c>
      <c r="B58" s="4"/>
      <c r="C58" s="4"/>
      <c r="D58" s="33">
        <f>SUM(D53:D57)</f>
        <v>6825571</v>
      </c>
      <c r="E58" s="33">
        <f>SUM(E53:E57)</f>
        <v>1976870</v>
      </c>
      <c r="F58" s="34">
        <f>AVERAGE(F53:F57)</f>
        <v>0.30021808380985282</v>
      </c>
      <c r="G58" s="33">
        <f>SUM(G53:G57)</f>
        <v>29605</v>
      </c>
      <c r="H58" s="34">
        <f>AVERAGE(H53:H57)</f>
        <v>2.0927117765304037E-2</v>
      </c>
      <c r="I58" s="35">
        <f>AVERAGE(I53:I57)</f>
        <v>6.322274161517788E-3</v>
      </c>
    </row>
    <row r="59" spans="1:9" ht="3" customHeight="1" thickBot="1" x14ac:dyDescent="0.4">
      <c r="A59" s="141"/>
      <c r="B59" s="142"/>
      <c r="C59" s="142"/>
      <c r="D59" s="142"/>
      <c r="E59" s="142"/>
      <c r="F59" s="142"/>
      <c r="G59" s="142"/>
      <c r="H59" s="142"/>
      <c r="I59" s="143"/>
    </row>
    <row r="60" spans="1:9" x14ac:dyDescent="0.35">
      <c r="A60" s="16" t="s">
        <v>37</v>
      </c>
      <c r="B60" s="17"/>
      <c r="C60" s="17"/>
      <c r="D60" s="17"/>
      <c r="E60" s="17"/>
      <c r="F60" s="17"/>
      <c r="G60" s="17"/>
      <c r="H60" s="17"/>
      <c r="I60" s="18"/>
    </row>
    <row r="61" spans="1:9" x14ac:dyDescent="0.35">
      <c r="A61" s="28">
        <v>45625</v>
      </c>
      <c r="B61" t="s">
        <v>933</v>
      </c>
      <c r="C61" t="s">
        <v>10</v>
      </c>
      <c r="D61" s="1">
        <v>91110</v>
      </c>
      <c r="E61" s="1">
        <v>33888</v>
      </c>
      <c r="F61" s="2">
        <v>0.371945999341455</v>
      </c>
      <c r="G61" s="1">
        <v>552</v>
      </c>
      <c r="H61" s="2">
        <v>1.6288951841359801E-2</v>
      </c>
      <c r="I61" s="29">
        <v>6.0586104708593999E-3</v>
      </c>
    </row>
    <row r="62" spans="1:9" x14ac:dyDescent="0.35">
      <c r="A62" s="28">
        <v>45625</v>
      </c>
      <c r="B62" t="s">
        <v>933</v>
      </c>
      <c r="C62" t="s">
        <v>11</v>
      </c>
      <c r="D62" s="1">
        <v>29663</v>
      </c>
      <c r="E62" s="1">
        <v>10584</v>
      </c>
      <c r="F62" s="2">
        <v>0.356808144826889</v>
      </c>
      <c r="G62" s="1">
        <v>204</v>
      </c>
      <c r="H62" s="2">
        <v>1.9274376417233601E-2</v>
      </c>
      <c r="I62" s="29">
        <v>6.8772544921282402E-3</v>
      </c>
    </row>
    <row r="63" spans="1:9" x14ac:dyDescent="0.35">
      <c r="A63" s="28">
        <v>45625</v>
      </c>
      <c r="B63" t="s">
        <v>934</v>
      </c>
      <c r="C63" t="s">
        <v>935</v>
      </c>
      <c r="D63" s="1">
        <v>109947</v>
      </c>
      <c r="E63" s="1">
        <v>48570</v>
      </c>
      <c r="F63" s="2">
        <v>0.44175830172719599</v>
      </c>
      <c r="G63" s="1">
        <v>3310</v>
      </c>
      <c r="H63" s="2">
        <v>6.8149063207741403E-2</v>
      </c>
      <c r="I63" s="29">
        <v>3.0105414426951201E-2</v>
      </c>
    </row>
    <row r="64" spans="1:9" x14ac:dyDescent="0.35">
      <c r="A64" s="28">
        <v>45625</v>
      </c>
      <c r="B64" t="s">
        <v>934</v>
      </c>
      <c r="C64" t="s">
        <v>936</v>
      </c>
      <c r="D64" s="1">
        <v>2938158</v>
      </c>
      <c r="E64" s="1">
        <v>929306</v>
      </c>
      <c r="F64" s="2">
        <v>0.31628864070618401</v>
      </c>
      <c r="G64" s="1">
        <v>9667</v>
      </c>
      <c r="H64" s="2">
        <v>1.0402386296871E-2</v>
      </c>
      <c r="I64" s="29">
        <v>3.2901566219379601E-3</v>
      </c>
    </row>
    <row r="65" spans="1:9" x14ac:dyDescent="0.35">
      <c r="A65" s="28">
        <v>45625</v>
      </c>
      <c r="B65" t="s">
        <v>934</v>
      </c>
      <c r="C65" t="s">
        <v>937</v>
      </c>
      <c r="D65" s="1">
        <v>3429383</v>
      </c>
      <c r="E65" s="1">
        <v>1258012</v>
      </c>
      <c r="F65" s="2">
        <v>0.36683333415952701</v>
      </c>
      <c r="G65" s="1">
        <v>27198</v>
      </c>
      <c r="H65" s="2">
        <v>2.1619825566051801E-2</v>
      </c>
      <c r="I65" s="29">
        <v>7.93087269634217E-3</v>
      </c>
    </row>
    <row r="66" spans="1:9" x14ac:dyDescent="0.35">
      <c r="A66" s="28">
        <v>45625</v>
      </c>
      <c r="B66" t="s">
        <v>934</v>
      </c>
      <c r="C66" t="s">
        <v>938</v>
      </c>
      <c r="D66" s="1">
        <v>5138</v>
      </c>
      <c r="E66" s="1">
        <v>2458</v>
      </c>
      <c r="F66" s="2">
        <v>0.47839626313740802</v>
      </c>
      <c r="G66" s="1">
        <v>360</v>
      </c>
      <c r="H66" s="2">
        <v>0.14646053702196901</v>
      </c>
      <c r="I66" s="29">
        <v>7.0066173608407903E-2</v>
      </c>
    </row>
    <row r="67" spans="1:9" x14ac:dyDescent="0.35">
      <c r="A67" s="28">
        <v>45625</v>
      </c>
      <c r="B67" t="s">
        <v>934</v>
      </c>
      <c r="C67" t="s">
        <v>939</v>
      </c>
      <c r="D67" s="1">
        <v>230544</v>
      </c>
      <c r="E67" s="1">
        <v>68529</v>
      </c>
      <c r="F67" s="2">
        <v>0.29724911513637298</v>
      </c>
      <c r="G67" s="1">
        <v>1016</v>
      </c>
      <c r="H67" s="2">
        <v>1.48258401552627E-2</v>
      </c>
      <c r="I67" s="29">
        <v>4.4069678673051603E-3</v>
      </c>
    </row>
    <row r="68" spans="1:9" x14ac:dyDescent="0.35">
      <c r="A68" s="28">
        <v>45625</v>
      </c>
      <c r="B68" t="s">
        <v>934</v>
      </c>
      <c r="C68" t="s">
        <v>940</v>
      </c>
      <c r="D68" s="1">
        <v>178267</v>
      </c>
      <c r="E68" s="1">
        <v>68617</v>
      </c>
      <c r="F68" s="2">
        <v>0.38491139694951998</v>
      </c>
      <c r="G68" s="1">
        <v>2213</v>
      </c>
      <c r="H68" s="2">
        <v>3.2251482868676899E-2</v>
      </c>
      <c r="I68" s="29">
        <v>1.2413963324675901E-2</v>
      </c>
    </row>
    <row r="69" spans="1:9" x14ac:dyDescent="0.35">
      <c r="A69" s="28">
        <v>45625</v>
      </c>
      <c r="B69" t="s">
        <v>941</v>
      </c>
      <c r="C69" t="s">
        <v>75</v>
      </c>
      <c r="D69" s="1">
        <v>746</v>
      </c>
      <c r="E69" s="1">
        <v>335</v>
      </c>
      <c r="F69" s="2">
        <v>0.449061662198391</v>
      </c>
      <c r="G69" s="1">
        <v>12</v>
      </c>
      <c r="H69" s="2">
        <v>3.5820895522388103E-2</v>
      </c>
      <c r="I69" s="29">
        <v>1.6085790884718499E-2</v>
      </c>
    </row>
    <row r="70" spans="1:9" x14ac:dyDescent="0.35">
      <c r="A70" s="28">
        <v>45625</v>
      </c>
      <c r="B70" t="s">
        <v>941</v>
      </c>
      <c r="C70" t="s">
        <v>73</v>
      </c>
      <c r="D70" s="1">
        <v>15424</v>
      </c>
      <c r="E70" s="1">
        <v>7300</v>
      </c>
      <c r="F70" s="2">
        <v>0.47328838174273902</v>
      </c>
      <c r="G70" s="1">
        <v>260</v>
      </c>
      <c r="H70" s="2">
        <v>3.5616438356164397E-2</v>
      </c>
      <c r="I70" s="29">
        <v>1.6856846473029E-2</v>
      </c>
    </row>
    <row r="71" spans="1:9" x14ac:dyDescent="0.35">
      <c r="A71" s="28">
        <v>45626</v>
      </c>
      <c r="B71" t="s">
        <v>942</v>
      </c>
      <c r="C71" t="s">
        <v>10</v>
      </c>
      <c r="D71" s="1">
        <v>333914</v>
      </c>
      <c r="E71" s="1">
        <v>137569</v>
      </c>
      <c r="F71" s="2">
        <v>0.411989314613943</v>
      </c>
      <c r="G71" s="1">
        <v>2475</v>
      </c>
      <c r="H71" s="2">
        <v>1.79909718032406E-2</v>
      </c>
      <c r="I71" s="29">
        <v>7.4120881424558404E-3</v>
      </c>
    </row>
    <row r="72" spans="1:9" x14ac:dyDescent="0.35">
      <c r="A72" s="28">
        <v>45626</v>
      </c>
      <c r="B72" t="s">
        <v>943</v>
      </c>
      <c r="C72" t="s">
        <v>10</v>
      </c>
      <c r="D72" s="1">
        <v>772690</v>
      </c>
      <c r="E72" s="1">
        <v>303820</v>
      </c>
      <c r="F72" s="2">
        <v>0.39319778954043699</v>
      </c>
      <c r="G72" s="1">
        <v>4317</v>
      </c>
      <c r="H72" s="2">
        <v>1.42090711605556E-2</v>
      </c>
      <c r="I72" s="29">
        <v>5.5869753717532299E-3</v>
      </c>
    </row>
    <row r="73" spans="1:9" x14ac:dyDescent="0.35">
      <c r="A73" s="28">
        <v>45626</v>
      </c>
      <c r="B73" t="s">
        <v>943</v>
      </c>
      <c r="C73" t="s">
        <v>11</v>
      </c>
      <c r="D73" s="1">
        <v>28985</v>
      </c>
      <c r="E73" s="1">
        <v>11435</v>
      </c>
      <c r="F73" s="2">
        <v>0.39451440400207</v>
      </c>
      <c r="G73" s="1">
        <v>215</v>
      </c>
      <c r="H73" s="2">
        <v>1.8801923917796198E-2</v>
      </c>
      <c r="I73" s="29">
        <v>7.41762980852165E-3</v>
      </c>
    </row>
    <row r="74" spans="1:9" x14ac:dyDescent="0.35">
      <c r="A74" s="28">
        <v>45626</v>
      </c>
      <c r="B74" t="s">
        <v>944</v>
      </c>
      <c r="C74" t="s">
        <v>10</v>
      </c>
      <c r="D74" s="1">
        <v>120405</v>
      </c>
      <c r="E74" s="1">
        <v>47432</v>
      </c>
      <c r="F74" s="2">
        <v>0.39393712885677501</v>
      </c>
      <c r="G74" s="1">
        <v>819</v>
      </c>
      <c r="H74" s="2">
        <v>1.7266824085005902E-2</v>
      </c>
      <c r="I74" s="29">
        <v>6.8020431045222396E-3</v>
      </c>
    </row>
    <row r="75" spans="1:9" x14ac:dyDescent="0.35">
      <c r="A75" s="28">
        <v>45626</v>
      </c>
      <c r="B75" t="s">
        <v>944</v>
      </c>
      <c r="C75" t="s">
        <v>11</v>
      </c>
      <c r="D75" s="1">
        <v>14701</v>
      </c>
      <c r="E75" s="1">
        <v>5955</v>
      </c>
      <c r="F75" s="2">
        <v>0.40507448472892998</v>
      </c>
      <c r="G75" s="1">
        <v>139</v>
      </c>
      <c r="H75" s="2">
        <v>2.3341729638958902E-2</v>
      </c>
      <c r="I75" s="29">
        <v>9.4551391061832493E-3</v>
      </c>
    </row>
    <row r="76" spans="1:9" x14ac:dyDescent="0.35">
      <c r="A76" s="28">
        <v>45627</v>
      </c>
      <c r="B76" t="s">
        <v>945</v>
      </c>
      <c r="C76" t="s">
        <v>946</v>
      </c>
      <c r="D76" s="1">
        <v>257691</v>
      </c>
      <c r="E76" s="1">
        <v>96069</v>
      </c>
      <c r="F76" s="2">
        <v>0.37280696648311401</v>
      </c>
      <c r="G76" s="1">
        <v>1548</v>
      </c>
      <c r="H76" s="2">
        <v>1.6113418480467202E-2</v>
      </c>
      <c r="I76" s="29">
        <v>6.0071946633758998E-3</v>
      </c>
    </row>
    <row r="77" spans="1:9" x14ac:dyDescent="0.35">
      <c r="A77" s="28">
        <v>45627</v>
      </c>
      <c r="B77" t="s">
        <v>947</v>
      </c>
      <c r="C77" t="s">
        <v>10</v>
      </c>
      <c r="D77" s="1">
        <v>56756</v>
      </c>
      <c r="E77" s="1">
        <v>17753</v>
      </c>
      <c r="F77" s="2">
        <v>0.31279512298259199</v>
      </c>
      <c r="G77" s="1">
        <v>272</v>
      </c>
      <c r="H77" s="2">
        <v>1.5321354137328901E-2</v>
      </c>
      <c r="I77" s="29">
        <v>4.7924448516456402E-3</v>
      </c>
    </row>
    <row r="78" spans="1:9" x14ac:dyDescent="0.35">
      <c r="A78" s="28">
        <v>45627</v>
      </c>
      <c r="B78" t="s">
        <v>948</v>
      </c>
      <c r="C78" t="s">
        <v>10</v>
      </c>
      <c r="D78" s="1">
        <v>38529</v>
      </c>
      <c r="E78" s="1">
        <v>15994</v>
      </c>
      <c r="F78" s="2">
        <v>0.41511588673466698</v>
      </c>
      <c r="G78" s="1">
        <v>217</v>
      </c>
      <c r="H78" s="2">
        <v>1.3567587845442E-2</v>
      </c>
      <c r="I78" s="29">
        <v>5.6321212593111701E-3</v>
      </c>
    </row>
    <row r="79" spans="1:9" x14ac:dyDescent="0.35">
      <c r="A79" s="28">
        <v>45627</v>
      </c>
      <c r="B79" t="s">
        <v>948</v>
      </c>
      <c r="C79" t="s">
        <v>11</v>
      </c>
      <c r="D79" s="1">
        <v>54206</v>
      </c>
      <c r="E79" s="1">
        <v>21674</v>
      </c>
      <c r="F79" s="2">
        <v>0.39984503560491502</v>
      </c>
      <c r="G79" s="1">
        <v>541</v>
      </c>
      <c r="H79" s="2">
        <v>2.4960782504383099E-2</v>
      </c>
      <c r="I79" s="29">
        <v>9.9804449691916E-3</v>
      </c>
    </row>
    <row r="80" spans="1:9" x14ac:dyDescent="0.35">
      <c r="A80" s="28">
        <v>45628</v>
      </c>
      <c r="B80" t="s">
        <v>949</v>
      </c>
      <c r="C80" t="s">
        <v>10</v>
      </c>
      <c r="D80" s="1">
        <v>3854</v>
      </c>
      <c r="E80" s="1">
        <v>1570</v>
      </c>
      <c r="F80" s="2">
        <v>0.40736896730669397</v>
      </c>
      <c r="G80" s="1">
        <v>36</v>
      </c>
      <c r="H80" s="2">
        <v>2.29299363057325E-2</v>
      </c>
      <c r="I80" s="29">
        <v>9.3409444732745206E-3</v>
      </c>
    </row>
    <row r="81" spans="1:9" x14ac:dyDescent="0.35">
      <c r="A81" s="28">
        <v>45628</v>
      </c>
      <c r="B81" t="s">
        <v>949</v>
      </c>
      <c r="C81" t="s">
        <v>11</v>
      </c>
      <c r="D81" s="1">
        <v>1415</v>
      </c>
      <c r="E81" s="1">
        <v>604</v>
      </c>
      <c r="F81" s="2">
        <v>0.42685512367491202</v>
      </c>
      <c r="G81" s="1">
        <v>13</v>
      </c>
      <c r="H81" s="2">
        <v>2.1523178807947001E-2</v>
      </c>
      <c r="I81" s="29">
        <v>9.1872791519434591E-3</v>
      </c>
    </row>
    <row r="82" spans="1:9" x14ac:dyDescent="0.35">
      <c r="A82" s="28">
        <v>45628</v>
      </c>
      <c r="B82" t="s">
        <v>950</v>
      </c>
      <c r="C82" t="s">
        <v>623</v>
      </c>
      <c r="D82" s="1">
        <v>897</v>
      </c>
      <c r="E82" s="1">
        <v>287</v>
      </c>
      <c r="F82" s="2">
        <v>0.31995540691192897</v>
      </c>
      <c r="G82" s="1">
        <v>36</v>
      </c>
      <c r="H82" s="2">
        <v>0.12543554006968599</v>
      </c>
      <c r="I82" s="29">
        <v>4.0133779264213999E-2</v>
      </c>
    </row>
    <row r="83" spans="1:9" x14ac:dyDescent="0.35">
      <c r="A83" s="28">
        <v>45628</v>
      </c>
      <c r="B83" t="s">
        <v>951</v>
      </c>
      <c r="C83" t="s">
        <v>625</v>
      </c>
      <c r="D83" s="1">
        <v>426</v>
      </c>
      <c r="E83" s="1">
        <v>120</v>
      </c>
      <c r="F83" s="2">
        <v>0.28169014084506999</v>
      </c>
      <c r="G83" s="1">
        <v>11</v>
      </c>
      <c r="H83" s="2">
        <v>9.1666666666666702E-2</v>
      </c>
      <c r="I83" s="29">
        <v>2.5821596244131498E-2</v>
      </c>
    </row>
    <row r="84" spans="1:9" x14ac:dyDescent="0.35">
      <c r="A84" s="28">
        <v>45628</v>
      </c>
      <c r="B84" t="s">
        <v>952</v>
      </c>
      <c r="C84" t="s">
        <v>10</v>
      </c>
      <c r="D84" s="1">
        <v>836235</v>
      </c>
      <c r="E84" s="1">
        <v>327537</v>
      </c>
      <c r="F84" s="2">
        <v>0.39168056826131398</v>
      </c>
      <c r="G84" s="1">
        <v>2910</v>
      </c>
      <c r="H84" s="2">
        <v>8.8844924390221597E-3</v>
      </c>
      <c r="I84" s="29">
        <v>3.4798830472295502E-3</v>
      </c>
    </row>
    <row r="85" spans="1:9" x14ac:dyDescent="0.35">
      <c r="A85" s="28">
        <v>45628</v>
      </c>
      <c r="B85" t="s">
        <v>952</v>
      </c>
      <c r="C85" t="s">
        <v>11</v>
      </c>
      <c r="D85" s="1">
        <v>48486</v>
      </c>
      <c r="E85" s="1">
        <v>18865</v>
      </c>
      <c r="F85" s="2">
        <v>0.38908138431712203</v>
      </c>
      <c r="G85" s="1">
        <v>224</v>
      </c>
      <c r="H85" s="2">
        <v>1.1873840445269001E-2</v>
      </c>
      <c r="I85" s="29">
        <v>4.6198902776059102E-3</v>
      </c>
    </row>
    <row r="86" spans="1:9" x14ac:dyDescent="0.35">
      <c r="A86" s="28">
        <v>45628</v>
      </c>
      <c r="B86" t="s">
        <v>953</v>
      </c>
      <c r="C86" t="s">
        <v>954</v>
      </c>
      <c r="D86" s="1">
        <v>107491</v>
      </c>
      <c r="E86" s="1">
        <v>44358</v>
      </c>
      <c r="F86" s="2">
        <v>0.41266710701360998</v>
      </c>
      <c r="G86" s="1">
        <v>1527</v>
      </c>
      <c r="H86" s="2">
        <v>3.4424455566075998E-2</v>
      </c>
      <c r="I86" s="29">
        <v>1.4205840488971199E-2</v>
      </c>
    </row>
    <row r="87" spans="1:9" x14ac:dyDescent="0.35">
      <c r="A87" s="28">
        <v>45628</v>
      </c>
      <c r="B87" t="s">
        <v>953</v>
      </c>
      <c r="C87" t="s">
        <v>955</v>
      </c>
      <c r="D87" s="1">
        <v>3407309</v>
      </c>
      <c r="E87" s="1">
        <v>1225749</v>
      </c>
      <c r="F87" s="2">
        <v>0.35974107426124302</v>
      </c>
      <c r="G87" s="1">
        <v>19049</v>
      </c>
      <c r="H87" s="2">
        <v>1.55407020523778E-2</v>
      </c>
      <c r="I87" s="29">
        <v>5.5906288510962797E-3</v>
      </c>
    </row>
    <row r="88" spans="1:9" x14ac:dyDescent="0.35">
      <c r="A88" s="28">
        <v>45628</v>
      </c>
      <c r="B88" t="s">
        <v>953</v>
      </c>
      <c r="C88" t="s">
        <v>956</v>
      </c>
      <c r="D88" s="1">
        <v>5034</v>
      </c>
      <c r="E88" s="1">
        <v>2160</v>
      </c>
      <c r="F88" s="2">
        <v>0.42908224076281298</v>
      </c>
      <c r="G88" s="1">
        <v>92</v>
      </c>
      <c r="H88" s="2">
        <v>4.2592592592592599E-2</v>
      </c>
      <c r="I88" s="29">
        <v>1.82757250695272E-2</v>
      </c>
    </row>
    <row r="89" spans="1:9" x14ac:dyDescent="0.35">
      <c r="A89" s="28">
        <v>45628</v>
      </c>
      <c r="B89" t="s">
        <v>953</v>
      </c>
      <c r="C89" t="s">
        <v>957</v>
      </c>
      <c r="D89" s="1">
        <v>177218</v>
      </c>
      <c r="E89" s="1">
        <v>66729</v>
      </c>
      <c r="F89" s="2">
        <v>0.37653624349671</v>
      </c>
      <c r="G89" s="1">
        <v>1982</v>
      </c>
      <c r="H89" s="2">
        <v>2.9702228416430599E-2</v>
      </c>
      <c r="I89" s="29">
        <v>1.1183965511404E-2</v>
      </c>
    </row>
    <row r="90" spans="1:9" x14ac:dyDescent="0.35">
      <c r="A90" s="28">
        <v>45629</v>
      </c>
      <c r="B90" t="s">
        <v>959</v>
      </c>
      <c r="C90" t="s">
        <v>10</v>
      </c>
      <c r="D90" s="1">
        <v>56484</v>
      </c>
      <c r="E90" s="1">
        <v>20100</v>
      </c>
      <c r="F90" s="2">
        <v>0.35585298491608203</v>
      </c>
      <c r="G90" s="1">
        <v>282</v>
      </c>
      <c r="H90" s="2">
        <v>1.40298507462687E-2</v>
      </c>
      <c r="I90" s="29">
        <v>4.9925642659868303E-3</v>
      </c>
    </row>
    <row r="91" spans="1:9" x14ac:dyDescent="0.35">
      <c r="A91" s="28">
        <v>45630</v>
      </c>
      <c r="B91" t="s">
        <v>960</v>
      </c>
      <c r="C91" t="s">
        <v>10</v>
      </c>
      <c r="D91" s="1">
        <v>6115957</v>
      </c>
      <c r="E91" s="1">
        <v>2143403</v>
      </c>
      <c r="F91" s="2">
        <v>0.35046077008062698</v>
      </c>
      <c r="G91" s="1">
        <v>27115</v>
      </c>
      <c r="H91" s="2">
        <v>1.26504441768533E-2</v>
      </c>
      <c r="I91" s="29">
        <v>4.4334844080820097E-3</v>
      </c>
    </row>
    <row r="92" spans="1:9" x14ac:dyDescent="0.35">
      <c r="A92" s="28">
        <v>45630</v>
      </c>
      <c r="B92" t="s">
        <v>960</v>
      </c>
      <c r="C92" t="s">
        <v>11</v>
      </c>
      <c r="D92" s="1">
        <v>409494</v>
      </c>
      <c r="E92" s="1">
        <v>141669</v>
      </c>
      <c r="F92" s="2">
        <v>0.34596111298333998</v>
      </c>
      <c r="G92" s="1">
        <v>2454</v>
      </c>
      <c r="H92" s="2">
        <v>1.7322067636533E-2</v>
      </c>
      <c r="I92" s="29">
        <v>5.9927617987076704E-3</v>
      </c>
    </row>
    <row r="93" spans="1:9" x14ac:dyDescent="0.35">
      <c r="A93" s="28">
        <v>45630</v>
      </c>
      <c r="B93" t="s">
        <v>961</v>
      </c>
      <c r="C93" t="s">
        <v>10</v>
      </c>
      <c r="D93" s="1">
        <v>260559</v>
      </c>
      <c r="E93" s="1">
        <v>95731</v>
      </c>
      <c r="F93" s="2">
        <v>0.36740623045068499</v>
      </c>
      <c r="G93" s="1">
        <v>1733</v>
      </c>
      <c r="H93" s="2">
        <v>1.8102808912473501E-2</v>
      </c>
      <c r="I93" s="29">
        <v>6.6510847831009502E-3</v>
      </c>
    </row>
    <row r="94" spans="1:9" x14ac:dyDescent="0.35">
      <c r="A94" s="28">
        <v>45630</v>
      </c>
      <c r="B94" t="s">
        <v>962</v>
      </c>
      <c r="C94" t="s">
        <v>10</v>
      </c>
      <c r="D94" s="1">
        <v>135517</v>
      </c>
      <c r="E94" s="1">
        <v>63970</v>
      </c>
      <c r="F94" s="2">
        <v>0.47204409778846901</v>
      </c>
      <c r="G94" s="1">
        <v>1910</v>
      </c>
      <c r="H94" s="2">
        <v>2.9857745818352401E-2</v>
      </c>
      <c r="I94" s="29">
        <v>1.40941726868216E-2</v>
      </c>
    </row>
    <row r="95" spans="1:9" x14ac:dyDescent="0.35">
      <c r="A95" s="28">
        <v>45630</v>
      </c>
      <c r="B95" t="s">
        <v>962</v>
      </c>
      <c r="C95" t="s">
        <v>11</v>
      </c>
      <c r="D95" s="1">
        <v>7601</v>
      </c>
      <c r="E95" s="1">
        <v>3935</v>
      </c>
      <c r="F95" s="2">
        <v>0.51769504012629897</v>
      </c>
      <c r="G95" s="1">
        <v>149</v>
      </c>
      <c r="H95" s="2">
        <v>3.7865311308767503E-2</v>
      </c>
      <c r="I95" s="29">
        <v>1.9602683857387199E-2</v>
      </c>
    </row>
    <row r="96" spans="1:9" x14ac:dyDescent="0.35">
      <c r="A96" s="28">
        <v>45631</v>
      </c>
      <c r="B96" t="s">
        <v>966</v>
      </c>
      <c r="C96" t="s">
        <v>967</v>
      </c>
      <c r="D96" s="1">
        <v>149608</v>
      </c>
      <c r="E96" s="1">
        <v>55462</v>
      </c>
      <c r="F96" s="2">
        <v>0.37071546976097502</v>
      </c>
      <c r="G96" s="1">
        <v>879</v>
      </c>
      <c r="H96" s="2">
        <v>1.5848689192600299E-2</v>
      </c>
      <c r="I96" s="29">
        <v>5.8753542591305297E-3</v>
      </c>
    </row>
    <row r="97" spans="1:9" x14ac:dyDescent="0.35">
      <c r="A97" s="28">
        <v>45631</v>
      </c>
      <c r="B97" t="s">
        <v>972</v>
      </c>
      <c r="C97" t="s">
        <v>969</v>
      </c>
      <c r="D97" s="1">
        <v>251595</v>
      </c>
      <c r="E97" s="1">
        <v>98314</v>
      </c>
      <c r="F97" s="2">
        <v>0.39076293249070898</v>
      </c>
      <c r="G97" s="1">
        <v>2689</v>
      </c>
      <c r="H97" s="2">
        <v>2.7351140224179699E-2</v>
      </c>
      <c r="I97" s="29">
        <v>1.0687811760965E-2</v>
      </c>
    </row>
    <row r="98" spans="1:9" x14ac:dyDescent="0.35">
      <c r="A98" s="28">
        <v>45631</v>
      </c>
      <c r="B98" t="s">
        <v>972</v>
      </c>
      <c r="C98" t="s">
        <v>970</v>
      </c>
      <c r="D98" s="1">
        <v>14570</v>
      </c>
      <c r="E98" s="1">
        <v>6042</v>
      </c>
      <c r="F98" s="2">
        <v>0.41468771448181202</v>
      </c>
      <c r="G98" s="1">
        <v>306</v>
      </c>
      <c r="H98" s="2">
        <v>5.0645481628599803E-2</v>
      </c>
      <c r="I98" s="29">
        <v>2.10020590253946E-2</v>
      </c>
    </row>
    <row r="99" spans="1:9" x14ac:dyDescent="0.35">
      <c r="A99" s="28">
        <v>45631</v>
      </c>
      <c r="B99" t="s">
        <v>971</v>
      </c>
      <c r="C99" t="s">
        <v>730</v>
      </c>
      <c r="D99" s="1">
        <v>2402</v>
      </c>
      <c r="E99" s="1">
        <v>961</v>
      </c>
      <c r="F99" s="2">
        <v>0.40008326394671101</v>
      </c>
      <c r="G99" s="1">
        <v>113</v>
      </c>
      <c r="H99" s="2">
        <v>0.11758584807492201</v>
      </c>
      <c r="I99" s="29">
        <v>4.7044129891756901E-2</v>
      </c>
    </row>
    <row r="100" spans="1:9" x14ac:dyDescent="0.35">
      <c r="A100" s="28">
        <v>45631</v>
      </c>
      <c r="B100" t="s">
        <v>971</v>
      </c>
      <c r="C100" t="s">
        <v>731</v>
      </c>
      <c r="D100" s="1">
        <v>2459</v>
      </c>
      <c r="E100" s="1">
        <v>1094</v>
      </c>
      <c r="F100" s="2">
        <v>0.44489629930866198</v>
      </c>
      <c r="G100" s="1">
        <v>181</v>
      </c>
      <c r="H100" s="2">
        <v>0.16544789762340001</v>
      </c>
      <c r="I100" s="29">
        <v>7.3607157381049199E-2</v>
      </c>
    </row>
    <row r="101" spans="1:9" ht="16" thickBot="1" x14ac:dyDescent="0.4">
      <c r="A101" s="36" t="s">
        <v>35</v>
      </c>
      <c r="B101" s="4"/>
      <c r="C101" s="4"/>
      <c r="D101" s="33">
        <f>SUM(D61:D100)</f>
        <v>20700868</v>
      </c>
      <c r="E101" s="33">
        <f>SUM(E61:E100)</f>
        <v>7403960</v>
      </c>
      <c r="F101" s="34">
        <f>AVERAGE(F61:F100)</f>
        <v>0.39152603866647279</v>
      </c>
      <c r="G101" s="33">
        <f>SUM(G61:G100)</f>
        <v>119026</v>
      </c>
      <c r="H101" s="34">
        <f>AVERAGE(H61:H100)</f>
        <v>3.6839109488291187E-2</v>
      </c>
      <c r="I101" s="35">
        <f>AVERAGE(I61:I100)</f>
        <v>1.4825023216027402E-2</v>
      </c>
    </row>
    <row r="102" spans="1:9" ht="3" customHeight="1" thickBot="1" x14ac:dyDescent="0.4">
      <c r="A102" s="139"/>
      <c r="B102" s="138"/>
      <c r="C102" s="138"/>
      <c r="D102" s="138"/>
      <c r="E102" s="138"/>
      <c r="F102" s="138"/>
      <c r="G102" s="138"/>
      <c r="H102" s="138"/>
      <c r="I102" s="140"/>
    </row>
    <row r="103" spans="1:9" x14ac:dyDescent="0.35">
      <c r="A103" s="16" t="s">
        <v>38</v>
      </c>
      <c r="B103" s="17"/>
      <c r="C103" s="17"/>
      <c r="D103" s="17"/>
      <c r="E103" s="17"/>
      <c r="F103" s="17"/>
      <c r="G103" s="17"/>
      <c r="H103" s="17"/>
      <c r="I103" s="18"/>
    </row>
    <row r="104" spans="1:9" x14ac:dyDescent="0.35">
      <c r="A104" s="28">
        <v>45631</v>
      </c>
      <c r="B104" t="s">
        <v>963</v>
      </c>
      <c r="C104" t="s">
        <v>927</v>
      </c>
      <c r="D104" s="1">
        <v>1455191</v>
      </c>
      <c r="E104" s="1">
        <v>540347</v>
      </c>
      <c r="F104" s="3">
        <v>0.37130000000000002</v>
      </c>
      <c r="G104" s="1">
        <v>1827</v>
      </c>
      <c r="H104" s="3">
        <v>3.3999999999999998E-3</v>
      </c>
      <c r="I104" s="30">
        <v>1.2999999999999999E-3</v>
      </c>
    </row>
    <row r="105" spans="1:9" x14ac:dyDescent="0.35">
      <c r="A105" s="28">
        <v>45631</v>
      </c>
      <c r="B105" t="s">
        <v>964</v>
      </c>
      <c r="C105" t="s">
        <v>965</v>
      </c>
      <c r="D105" s="1">
        <v>85049</v>
      </c>
      <c r="E105" s="1">
        <v>30796</v>
      </c>
      <c r="F105" s="3">
        <v>0.36209999999999998</v>
      </c>
      <c r="G105">
        <v>168</v>
      </c>
      <c r="H105" s="3">
        <v>5.4999999999999997E-3</v>
      </c>
      <c r="I105" s="30">
        <v>2E-3</v>
      </c>
    </row>
    <row r="106" spans="1:9" ht="16" thickBot="1" x14ac:dyDescent="0.4">
      <c r="A106" s="36" t="s">
        <v>35</v>
      </c>
      <c r="B106" s="4"/>
      <c r="C106" s="4"/>
      <c r="D106" s="33">
        <f>SUM(D104:D105)</f>
        <v>1540240</v>
      </c>
      <c r="E106" s="33">
        <f>SUM(E104:E105)</f>
        <v>571143</v>
      </c>
      <c r="F106" s="34">
        <f>AVERAGE(F104:F105)</f>
        <v>0.36670000000000003</v>
      </c>
      <c r="G106" s="33">
        <f>SUM(G104:G105)</f>
        <v>1995</v>
      </c>
      <c r="H106" s="34">
        <f>AVERAGE(H104:H105)</f>
        <v>4.45E-3</v>
      </c>
      <c r="I106" s="35">
        <f>AVERAGE(I104:I105)</f>
        <v>1.65E-3</v>
      </c>
    </row>
  </sheetData>
  <mergeCells count="3">
    <mergeCell ref="A50:I50"/>
    <mergeCell ref="A59:I59"/>
    <mergeCell ref="A102:I102"/>
  </mergeCells>
  <pageMargins left="0.7" right="0.7" top="0.75" bottom="0.75" header="0.3" footer="0.3"/>
  <ignoredErrors>
    <ignoredError sqref="F49:G49 F58:G58 F106:G106 F101:G101" formula="1"/>
  </ignoredErrors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D2C1-80AE-4881-A2D1-B9E494300C93}">
  <dimension ref="A1:I76"/>
  <sheetViews>
    <sheetView zoomScaleNormal="100" workbookViewId="0">
      <selection activeCell="A2" sqref="A2"/>
    </sheetView>
  </sheetViews>
  <sheetFormatPr defaultRowHeight="14.5" x14ac:dyDescent="0.35"/>
  <cols>
    <col min="1" max="1" width="11.81640625" customWidth="1"/>
    <col min="2" max="2" width="89.81640625" customWidth="1"/>
    <col min="3" max="3" width="41.816406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45632</v>
      </c>
      <c r="B2" t="s">
        <v>973</v>
      </c>
      <c r="C2" t="s">
        <v>974</v>
      </c>
      <c r="D2" s="1">
        <v>183270</v>
      </c>
      <c r="E2" s="1">
        <v>68688</v>
      </c>
      <c r="F2" s="2">
        <v>0.37479129153707602</v>
      </c>
      <c r="G2" s="1">
        <v>1649</v>
      </c>
      <c r="H2" s="2">
        <v>2.40071045888656E-2</v>
      </c>
      <c r="I2" s="2">
        <v>8.9976537349266104E-3</v>
      </c>
    </row>
    <row r="3" spans="1:9" x14ac:dyDescent="0.35">
      <c r="A3" s="19">
        <v>45632</v>
      </c>
      <c r="B3" t="s">
        <v>973</v>
      </c>
      <c r="C3" t="s">
        <v>975</v>
      </c>
      <c r="D3" s="1">
        <v>183307</v>
      </c>
      <c r="E3" s="1">
        <v>68266</v>
      </c>
      <c r="F3" s="2">
        <v>0.37241349211977698</v>
      </c>
      <c r="G3" s="1">
        <v>1204</v>
      </c>
      <c r="H3" s="2">
        <v>1.7636890985263502E-2</v>
      </c>
      <c r="I3" s="2">
        <v>6.56821616195781E-3</v>
      </c>
    </row>
    <row r="4" spans="1:9" x14ac:dyDescent="0.35">
      <c r="A4" s="19">
        <v>45632</v>
      </c>
      <c r="B4" t="s">
        <v>973</v>
      </c>
      <c r="C4" t="s">
        <v>976</v>
      </c>
      <c r="D4" s="1">
        <v>183323</v>
      </c>
      <c r="E4" s="1">
        <v>68097</v>
      </c>
      <c r="F4" s="2">
        <v>0.37145911860486702</v>
      </c>
      <c r="G4" s="1">
        <v>1149</v>
      </c>
      <c r="H4" s="2">
        <v>1.6872989999559499E-2</v>
      </c>
      <c r="I4" s="2">
        <v>6.2676259934650903E-3</v>
      </c>
    </row>
    <row r="5" spans="1:9" x14ac:dyDescent="0.35">
      <c r="A5" s="19">
        <v>45632</v>
      </c>
      <c r="B5" t="s">
        <v>977</v>
      </c>
      <c r="C5" t="s">
        <v>10</v>
      </c>
      <c r="D5" s="1">
        <v>316182</v>
      </c>
      <c r="E5" s="1">
        <v>116357</v>
      </c>
      <c r="F5" s="2">
        <v>0.36800640137642199</v>
      </c>
      <c r="G5" s="1">
        <v>2769</v>
      </c>
      <c r="H5" s="2">
        <v>2.3797450948374401E-2</v>
      </c>
      <c r="I5" s="2">
        <v>8.7576142854431903E-3</v>
      </c>
    </row>
    <row r="6" spans="1:9" x14ac:dyDescent="0.35">
      <c r="A6" s="19">
        <v>45632</v>
      </c>
      <c r="B6" t="s">
        <v>977</v>
      </c>
      <c r="C6" t="s">
        <v>11</v>
      </c>
      <c r="D6" s="1">
        <v>18144</v>
      </c>
      <c r="E6" s="1">
        <v>6670</v>
      </c>
      <c r="F6" s="2">
        <v>0.36761463844797199</v>
      </c>
      <c r="G6" s="1">
        <v>185</v>
      </c>
      <c r="H6" s="2">
        <v>2.7736131934033001E-2</v>
      </c>
      <c r="I6" s="2">
        <v>1.01962081128748E-2</v>
      </c>
    </row>
    <row r="7" spans="1:9" x14ac:dyDescent="0.35">
      <c r="A7" s="19">
        <v>45632</v>
      </c>
      <c r="B7" t="s">
        <v>978</v>
      </c>
      <c r="C7" t="s">
        <v>10</v>
      </c>
      <c r="D7" s="1">
        <v>4627183</v>
      </c>
      <c r="E7" s="1">
        <v>1312868</v>
      </c>
      <c r="F7" s="2">
        <v>0.28372943105989101</v>
      </c>
      <c r="G7" s="1">
        <v>15900</v>
      </c>
      <c r="H7" s="2">
        <v>1.21108900513989E-2</v>
      </c>
      <c r="I7" s="2">
        <v>3.4362159439123101E-3</v>
      </c>
    </row>
    <row r="8" spans="1:9" x14ac:dyDescent="0.35">
      <c r="A8" s="19">
        <v>45632</v>
      </c>
      <c r="B8" t="s">
        <v>978</v>
      </c>
      <c r="C8" t="s">
        <v>11</v>
      </c>
      <c r="D8" s="1">
        <v>293731</v>
      </c>
      <c r="E8" s="1">
        <v>85104</v>
      </c>
      <c r="F8" s="2">
        <v>0.28973448495392001</v>
      </c>
      <c r="G8" s="1">
        <v>1190</v>
      </c>
      <c r="H8" s="2">
        <v>1.39828915209626E-2</v>
      </c>
      <c r="I8" s="2">
        <v>4.0513258729926397E-3</v>
      </c>
    </row>
    <row r="9" spans="1:9" x14ac:dyDescent="0.35">
      <c r="A9" s="19">
        <v>45632</v>
      </c>
      <c r="B9" t="s">
        <v>979</v>
      </c>
      <c r="C9" t="s">
        <v>10</v>
      </c>
      <c r="D9" s="1">
        <v>4706</v>
      </c>
      <c r="E9" s="1">
        <v>2463</v>
      </c>
      <c r="F9" s="2">
        <v>0.52337441563960896</v>
      </c>
      <c r="G9" s="1">
        <v>54</v>
      </c>
      <c r="H9" s="2">
        <v>2.1924482338611401E-2</v>
      </c>
      <c r="I9" s="2">
        <v>1.14747131321717E-2</v>
      </c>
    </row>
    <row r="10" spans="1:9" x14ac:dyDescent="0.35">
      <c r="A10" s="19">
        <v>45632</v>
      </c>
      <c r="B10" t="s">
        <v>979</v>
      </c>
      <c r="C10" t="s">
        <v>11</v>
      </c>
      <c r="D10" s="1">
        <v>95</v>
      </c>
      <c r="E10" s="1">
        <v>48</v>
      </c>
      <c r="F10" s="2">
        <v>0.50526315789473697</v>
      </c>
      <c r="G10" s="1">
        <v>1</v>
      </c>
      <c r="H10" s="2">
        <v>2.0833333333333301E-2</v>
      </c>
      <c r="I10" s="2">
        <v>1.05263157894737E-2</v>
      </c>
    </row>
    <row r="11" spans="1:9" x14ac:dyDescent="0.35">
      <c r="A11" s="19">
        <v>45633</v>
      </c>
      <c r="B11" t="s">
        <v>980</v>
      </c>
      <c r="C11" t="s">
        <v>10</v>
      </c>
      <c r="D11" s="1">
        <v>66775</v>
      </c>
      <c r="E11" s="1">
        <v>29560</v>
      </c>
      <c r="F11" s="2">
        <v>0.44268064395357498</v>
      </c>
      <c r="G11" s="1">
        <v>1678</v>
      </c>
      <c r="H11" s="2">
        <v>5.6765899864682001E-2</v>
      </c>
      <c r="I11" s="2">
        <v>2.5129165106701601E-2</v>
      </c>
    </row>
    <row r="12" spans="1:9" x14ac:dyDescent="0.35">
      <c r="A12" s="19">
        <v>45633</v>
      </c>
      <c r="B12" t="s">
        <v>980</v>
      </c>
      <c r="C12" t="s">
        <v>11</v>
      </c>
      <c r="D12" s="1">
        <v>7807</v>
      </c>
      <c r="E12" s="1">
        <v>3873</v>
      </c>
      <c r="F12" s="2">
        <v>0.49609324964775198</v>
      </c>
      <c r="G12" s="1">
        <v>252</v>
      </c>
      <c r="H12" s="2">
        <v>6.5065840433772296E-2</v>
      </c>
      <c r="I12" s="2">
        <v>3.2278724221852198E-2</v>
      </c>
    </row>
    <row r="13" spans="1:9" x14ac:dyDescent="0.35">
      <c r="A13" s="19">
        <v>45633</v>
      </c>
      <c r="B13" t="s">
        <v>981</v>
      </c>
      <c r="C13" t="s">
        <v>10</v>
      </c>
      <c r="D13" s="1">
        <v>1398</v>
      </c>
      <c r="E13" s="1">
        <v>688</v>
      </c>
      <c r="F13" s="2">
        <v>0.49213161659513599</v>
      </c>
      <c r="G13" s="1">
        <v>49</v>
      </c>
      <c r="H13" s="2">
        <v>7.12209302325581E-2</v>
      </c>
      <c r="I13" s="2">
        <v>3.5050071530758203E-2</v>
      </c>
    </row>
    <row r="14" spans="1:9" x14ac:dyDescent="0.35">
      <c r="A14" s="19">
        <v>45633</v>
      </c>
      <c r="B14" t="s">
        <v>981</v>
      </c>
      <c r="C14" t="s">
        <v>11</v>
      </c>
      <c r="D14" s="1">
        <v>547</v>
      </c>
      <c r="E14" s="1">
        <v>233</v>
      </c>
      <c r="F14" s="2">
        <v>0.42595978062157203</v>
      </c>
      <c r="G14" s="1">
        <v>3</v>
      </c>
      <c r="H14" s="2">
        <v>1.28755364806867E-2</v>
      </c>
      <c r="I14" s="2">
        <v>5.4844606946983501E-3</v>
      </c>
    </row>
    <row r="15" spans="1:9" x14ac:dyDescent="0.35">
      <c r="A15" s="19">
        <v>45633</v>
      </c>
      <c r="B15" t="s">
        <v>982</v>
      </c>
      <c r="C15" t="s">
        <v>10</v>
      </c>
      <c r="D15" s="1">
        <v>954082</v>
      </c>
      <c r="E15" s="1">
        <v>373112</v>
      </c>
      <c r="F15" s="2">
        <v>0.39106911146002099</v>
      </c>
      <c r="G15" s="1">
        <v>4421</v>
      </c>
      <c r="H15" s="2">
        <v>1.18489890435044E-2</v>
      </c>
      <c r="I15" s="2">
        <v>4.6337736169427797E-3</v>
      </c>
    </row>
    <row r="16" spans="1:9" x14ac:dyDescent="0.35">
      <c r="A16" s="19">
        <v>45633</v>
      </c>
      <c r="B16" t="s">
        <v>982</v>
      </c>
      <c r="C16" t="s">
        <v>11</v>
      </c>
      <c r="D16" s="1">
        <v>34606</v>
      </c>
      <c r="E16" s="1">
        <v>13418</v>
      </c>
      <c r="F16" s="2">
        <v>0.38773623071143698</v>
      </c>
      <c r="G16" s="1">
        <v>194</v>
      </c>
      <c r="H16" s="2">
        <v>1.4458190490386E-2</v>
      </c>
      <c r="I16" s="2">
        <v>5.6059642836502298E-3</v>
      </c>
    </row>
    <row r="17" spans="1:9" x14ac:dyDescent="0.35">
      <c r="A17" s="19">
        <v>45636</v>
      </c>
      <c r="B17" t="s">
        <v>983</v>
      </c>
      <c r="C17" t="s">
        <v>10</v>
      </c>
      <c r="D17" s="1">
        <v>1394915</v>
      </c>
      <c r="E17" s="1">
        <v>388839</v>
      </c>
      <c r="F17" s="2">
        <v>0.27875461945710001</v>
      </c>
      <c r="G17" s="1">
        <v>8892</v>
      </c>
      <c r="H17" s="2">
        <v>2.2868076504671601E-2</v>
      </c>
      <c r="I17" s="2">
        <v>6.3745819637755696E-3</v>
      </c>
    </row>
    <row r="18" spans="1:9" x14ac:dyDescent="0.35">
      <c r="A18" s="19">
        <v>45636</v>
      </c>
      <c r="B18" t="s">
        <v>983</v>
      </c>
      <c r="C18" t="s">
        <v>11</v>
      </c>
      <c r="D18" s="1">
        <v>93763</v>
      </c>
      <c r="E18" s="1">
        <v>30625</v>
      </c>
      <c r="F18" s="2">
        <v>0.32662137516931</v>
      </c>
      <c r="G18" s="1">
        <v>880</v>
      </c>
      <c r="H18" s="2">
        <v>2.8734693877550999E-2</v>
      </c>
      <c r="I18" s="2">
        <v>9.3853652293548594E-3</v>
      </c>
    </row>
    <row r="19" spans="1:9" x14ac:dyDescent="0.35">
      <c r="A19" s="19">
        <v>45636</v>
      </c>
      <c r="B19" t="s">
        <v>984</v>
      </c>
      <c r="C19" t="s">
        <v>985</v>
      </c>
      <c r="D19" s="1">
        <v>1320</v>
      </c>
      <c r="E19" s="1">
        <v>834</v>
      </c>
      <c r="F19" s="2">
        <v>0.63759999999999994</v>
      </c>
      <c r="G19" s="1">
        <v>30</v>
      </c>
      <c r="H19" s="2">
        <v>3.5971223021582698E-2</v>
      </c>
      <c r="I19" s="2">
        <v>2.2700000000000001E-2</v>
      </c>
    </row>
    <row r="20" spans="1:9" x14ac:dyDescent="0.35">
      <c r="A20" s="19">
        <v>45636</v>
      </c>
      <c r="B20" t="s">
        <v>984</v>
      </c>
      <c r="C20" t="s">
        <v>986</v>
      </c>
      <c r="D20" s="1">
        <v>20154</v>
      </c>
      <c r="E20" s="1">
        <v>14680</v>
      </c>
      <c r="F20" s="2">
        <v>0.72839138632529499</v>
      </c>
      <c r="G20" s="1">
        <v>477</v>
      </c>
      <c r="H20" s="2">
        <v>3.2493188010899197E-2</v>
      </c>
      <c r="I20" s="2">
        <v>2.3667758261387301E-2</v>
      </c>
    </row>
    <row r="21" spans="1:9" x14ac:dyDescent="0.35">
      <c r="A21" s="19">
        <v>45636</v>
      </c>
      <c r="B21" t="s">
        <v>984</v>
      </c>
      <c r="C21" t="s">
        <v>987</v>
      </c>
      <c r="D21" s="1">
        <v>164491</v>
      </c>
      <c r="E21" s="1">
        <v>77282</v>
      </c>
      <c r="F21" s="2">
        <v>0.46982509681380702</v>
      </c>
      <c r="G21" s="1">
        <v>4737</v>
      </c>
      <c r="H21" s="2">
        <v>6.1294997541471503E-2</v>
      </c>
      <c r="I21" s="2">
        <v>2.8797928154123902E-2</v>
      </c>
    </row>
    <row r="22" spans="1:9" x14ac:dyDescent="0.35">
      <c r="A22" s="19">
        <v>45636</v>
      </c>
      <c r="B22" t="s">
        <v>984</v>
      </c>
      <c r="C22" t="s">
        <v>988</v>
      </c>
      <c r="D22" s="1">
        <v>6757</v>
      </c>
      <c r="E22" s="1">
        <v>3097</v>
      </c>
      <c r="F22" s="2">
        <v>0.45833949977800797</v>
      </c>
      <c r="G22" s="1">
        <v>277</v>
      </c>
      <c r="H22" s="2">
        <v>8.9441394898288701E-2</v>
      </c>
      <c r="I22" s="2">
        <v>4.0994524197128901E-2</v>
      </c>
    </row>
    <row r="23" spans="1:9" x14ac:dyDescent="0.35">
      <c r="A23" s="19">
        <v>45637</v>
      </c>
      <c r="B23" t="s">
        <v>989</v>
      </c>
      <c r="C23" t="s">
        <v>10</v>
      </c>
      <c r="D23" s="1">
        <v>115079</v>
      </c>
      <c r="E23" s="1">
        <v>51042</v>
      </c>
      <c r="F23" s="2">
        <v>0.44353878639890898</v>
      </c>
      <c r="G23" s="1">
        <v>961</v>
      </c>
      <c r="H23" s="2">
        <v>1.8827632146075801E-2</v>
      </c>
      <c r="I23" s="2">
        <v>8.3507851128355303E-3</v>
      </c>
    </row>
    <row r="24" spans="1:9" x14ac:dyDescent="0.35">
      <c r="A24" s="19">
        <v>45637</v>
      </c>
      <c r="B24" t="s">
        <v>989</v>
      </c>
      <c r="C24" t="s">
        <v>11</v>
      </c>
      <c r="D24" s="1">
        <v>7800</v>
      </c>
      <c r="E24" s="1">
        <v>3732</v>
      </c>
      <c r="F24" s="2">
        <v>0.47846153846153799</v>
      </c>
      <c r="G24" s="1">
        <v>80</v>
      </c>
      <c r="H24" s="2">
        <v>2.1436227224008599E-2</v>
      </c>
      <c r="I24" s="2">
        <v>1.02564102564103E-2</v>
      </c>
    </row>
    <row r="25" spans="1:9" x14ac:dyDescent="0.35">
      <c r="A25" s="19">
        <v>45637</v>
      </c>
      <c r="B25" t="s">
        <v>904</v>
      </c>
      <c r="C25" t="s">
        <v>990</v>
      </c>
      <c r="D25" s="1">
        <v>44425</v>
      </c>
      <c r="E25" s="1">
        <v>15568</v>
      </c>
      <c r="F25" s="2">
        <v>0.350433314575127</v>
      </c>
      <c r="G25" s="1">
        <v>187</v>
      </c>
      <c r="H25" s="2">
        <v>1.20118191161357E-2</v>
      </c>
      <c r="I25" s="2">
        <v>4.2093415869442902E-3</v>
      </c>
    </row>
    <row r="26" spans="1:9" x14ac:dyDescent="0.35">
      <c r="A26" s="19">
        <v>45638</v>
      </c>
      <c r="B26" t="s">
        <v>926</v>
      </c>
      <c r="C26" t="s">
        <v>991</v>
      </c>
      <c r="D26" s="1">
        <v>1373903</v>
      </c>
      <c r="E26" s="1">
        <v>551226</v>
      </c>
      <c r="F26" s="3">
        <v>0.4012</v>
      </c>
      <c r="G26" s="1">
        <v>1714</v>
      </c>
      <c r="H26" s="3">
        <v>3.0999999999999999E-3</v>
      </c>
      <c r="I26" s="3">
        <v>1.1999999999999999E-3</v>
      </c>
    </row>
    <row r="27" spans="1:9" x14ac:dyDescent="0.35">
      <c r="A27" s="19">
        <v>45638</v>
      </c>
      <c r="B27" t="s">
        <v>928</v>
      </c>
      <c r="C27" t="s">
        <v>991</v>
      </c>
      <c r="D27" s="1">
        <v>952448</v>
      </c>
      <c r="E27" s="1">
        <v>360811</v>
      </c>
      <c r="F27" s="3">
        <v>0.37880000000000003</v>
      </c>
      <c r="G27" s="1">
        <v>1308</v>
      </c>
      <c r="H27" s="3">
        <v>3.5999999999999999E-3</v>
      </c>
      <c r="I27" s="3">
        <v>1.4E-3</v>
      </c>
    </row>
    <row r="28" spans="1:9" x14ac:dyDescent="0.35">
      <c r="A28" s="19">
        <v>45638</v>
      </c>
      <c r="B28" t="s">
        <v>929</v>
      </c>
      <c r="C28" t="s">
        <v>992</v>
      </c>
      <c r="D28" s="1">
        <v>80385</v>
      </c>
      <c r="E28" s="1">
        <v>32339</v>
      </c>
      <c r="F28" s="3">
        <v>0.40229999999999999</v>
      </c>
      <c r="G28">
        <v>163</v>
      </c>
      <c r="H28" s="3">
        <v>5.0000000000000001E-3</v>
      </c>
      <c r="I28" s="3">
        <v>2E-3</v>
      </c>
    </row>
    <row r="29" spans="1:9" x14ac:dyDescent="0.35">
      <c r="A29" s="19">
        <v>45638</v>
      </c>
      <c r="B29" t="s">
        <v>963</v>
      </c>
      <c r="C29" t="s">
        <v>234</v>
      </c>
      <c r="D29" s="1">
        <v>1368045</v>
      </c>
      <c r="E29" s="1">
        <v>519342</v>
      </c>
      <c r="F29" s="3">
        <v>0.37959999999999999</v>
      </c>
      <c r="G29" s="1">
        <v>1504</v>
      </c>
      <c r="H29" s="3">
        <v>2.8999999999999998E-3</v>
      </c>
      <c r="I29" s="3">
        <v>1.1000000000000001E-3</v>
      </c>
    </row>
    <row r="30" spans="1:9" x14ac:dyDescent="0.35">
      <c r="A30" s="19">
        <v>45638</v>
      </c>
      <c r="B30" t="s">
        <v>993</v>
      </c>
      <c r="C30" t="s">
        <v>235</v>
      </c>
      <c r="D30" s="1">
        <v>79787</v>
      </c>
      <c r="E30" s="1">
        <v>29630</v>
      </c>
      <c r="F30" s="3">
        <v>0.37140000000000001</v>
      </c>
      <c r="G30">
        <v>125</v>
      </c>
      <c r="H30" s="3">
        <v>4.1999999999999997E-3</v>
      </c>
      <c r="I30" s="3">
        <v>1.6000000000000001E-3</v>
      </c>
    </row>
    <row r="31" spans="1:9" x14ac:dyDescent="0.35">
      <c r="A31" s="19">
        <v>45638</v>
      </c>
      <c r="B31" t="s">
        <v>994</v>
      </c>
      <c r="C31" t="s">
        <v>10</v>
      </c>
      <c r="D31" s="1">
        <v>1067640</v>
      </c>
      <c r="E31" s="1">
        <v>363076</v>
      </c>
      <c r="F31" s="2">
        <v>0.34007343299239401</v>
      </c>
      <c r="G31" s="1">
        <v>2591</v>
      </c>
      <c r="H31" s="2">
        <v>7.1362469565600601E-3</v>
      </c>
      <c r="I31" s="2">
        <v>2.42684800119891E-3</v>
      </c>
    </row>
    <row r="32" spans="1:9" x14ac:dyDescent="0.35">
      <c r="A32" s="19">
        <v>45638</v>
      </c>
      <c r="B32" t="s">
        <v>995</v>
      </c>
      <c r="C32" t="s">
        <v>72</v>
      </c>
      <c r="D32" s="1">
        <v>133372</v>
      </c>
      <c r="E32" s="1">
        <v>44834</v>
      </c>
      <c r="F32" s="2">
        <v>0.33615751432084701</v>
      </c>
      <c r="G32" s="1">
        <v>294</v>
      </c>
      <c r="H32" s="2">
        <v>6.5575233082035998E-3</v>
      </c>
      <c r="I32" s="2">
        <v>2.20436073538674E-3</v>
      </c>
    </row>
    <row r="33" spans="1:9" x14ac:dyDescent="0.35">
      <c r="A33" s="19">
        <v>45638</v>
      </c>
      <c r="B33" t="s">
        <v>995</v>
      </c>
      <c r="C33" t="s">
        <v>73</v>
      </c>
      <c r="D33" s="1">
        <v>6481</v>
      </c>
      <c r="E33" s="1">
        <v>1972</v>
      </c>
      <c r="F33" s="2">
        <v>0.304274031785218</v>
      </c>
      <c r="G33" s="1">
        <v>21</v>
      </c>
      <c r="H33" s="2">
        <v>1.06490872210953E-2</v>
      </c>
      <c r="I33" s="2">
        <v>3.2402407035951198E-3</v>
      </c>
    </row>
    <row r="34" spans="1:9" ht="16" thickBot="1" x14ac:dyDescent="0.4">
      <c r="A34" s="37" t="s">
        <v>35</v>
      </c>
      <c r="D34" s="31">
        <f>SUM(D2:D33)</f>
        <v>13785921</v>
      </c>
      <c r="E34" s="31">
        <f>SUM(E2:E33)</f>
        <v>4638374</v>
      </c>
      <c r="F34" s="32">
        <f>AVERAGE(F2:F33)</f>
        <v>0.41180711439691614</v>
      </c>
      <c r="G34" s="31">
        <f>SUM(G2:G33)</f>
        <v>54939</v>
      </c>
      <c r="H34" s="32">
        <f>AVERAGE(H2:H33)</f>
        <v>2.4292489439766734E-2</v>
      </c>
      <c r="I34" s="32">
        <f>AVERAGE(I2:I33)</f>
        <v>1.0886443521373834E-2</v>
      </c>
    </row>
    <row r="35" spans="1:9" ht="15" thickBot="1" x14ac:dyDescent="0.4">
      <c r="A35" s="138" t="s">
        <v>302</v>
      </c>
      <c r="B35" s="138"/>
      <c r="C35" s="138"/>
      <c r="D35" s="138"/>
      <c r="E35" s="138"/>
      <c r="F35" s="138"/>
      <c r="G35" s="138"/>
      <c r="H35" s="138"/>
      <c r="I35" s="138"/>
    </row>
    <row r="36" spans="1:9" ht="15.5" x14ac:dyDescent="0.35">
      <c r="A36" s="38" t="s">
        <v>0</v>
      </c>
      <c r="B36" s="39" t="s">
        <v>1</v>
      </c>
      <c r="C36" s="39" t="s">
        <v>2</v>
      </c>
      <c r="D36" s="39" t="s">
        <v>3</v>
      </c>
      <c r="E36" s="39" t="s">
        <v>4</v>
      </c>
      <c r="F36" s="39" t="s">
        <v>5</v>
      </c>
      <c r="G36" s="39" t="s">
        <v>6</v>
      </c>
      <c r="H36" s="39" t="s">
        <v>7</v>
      </c>
      <c r="I36" s="40" t="s">
        <v>8</v>
      </c>
    </row>
    <row r="37" spans="1:9" x14ac:dyDescent="0.35">
      <c r="A37" s="5" t="s">
        <v>36</v>
      </c>
      <c r="B37" s="6"/>
      <c r="C37" s="6"/>
      <c r="D37" s="6"/>
      <c r="E37" s="6"/>
      <c r="F37" s="6"/>
      <c r="G37" s="6"/>
      <c r="H37" s="6"/>
      <c r="I37" s="7"/>
    </row>
    <row r="38" spans="1:9" x14ac:dyDescent="0.35">
      <c r="A38" s="8">
        <v>45632</v>
      </c>
      <c r="B38" t="s">
        <v>977</v>
      </c>
      <c r="C38" t="s">
        <v>10</v>
      </c>
      <c r="D38" s="1">
        <v>316182</v>
      </c>
      <c r="E38" s="1">
        <v>116357</v>
      </c>
      <c r="F38" s="2">
        <v>0.36800640137642199</v>
      </c>
      <c r="G38" s="1">
        <v>2769</v>
      </c>
      <c r="H38" s="2">
        <v>2.3797450948374401E-2</v>
      </c>
      <c r="I38" s="9">
        <v>8.7576142854431903E-3</v>
      </c>
    </row>
    <row r="39" spans="1:9" x14ac:dyDescent="0.35">
      <c r="A39" s="8">
        <v>45632</v>
      </c>
      <c r="B39" t="s">
        <v>977</v>
      </c>
      <c r="C39" t="s">
        <v>11</v>
      </c>
      <c r="D39" s="1">
        <v>18144</v>
      </c>
      <c r="E39" s="1">
        <v>6670</v>
      </c>
      <c r="F39" s="2">
        <v>0.36761463844797199</v>
      </c>
      <c r="G39" s="1">
        <v>185</v>
      </c>
      <c r="H39" s="2">
        <v>2.7736131934033001E-2</v>
      </c>
      <c r="I39" s="9">
        <v>1.01962081128748E-2</v>
      </c>
    </row>
    <row r="40" spans="1:9" x14ac:dyDescent="0.35">
      <c r="A40" s="8">
        <v>45632</v>
      </c>
      <c r="B40" t="s">
        <v>978</v>
      </c>
      <c r="C40" t="s">
        <v>10</v>
      </c>
      <c r="D40" s="1">
        <v>4627183</v>
      </c>
      <c r="E40" s="1">
        <v>1312868</v>
      </c>
      <c r="F40" s="2">
        <v>0.28372943105989101</v>
      </c>
      <c r="G40" s="1">
        <v>15900</v>
      </c>
      <c r="H40" s="2">
        <v>1.21108900513989E-2</v>
      </c>
      <c r="I40" s="9">
        <v>3.4362159439123101E-3</v>
      </c>
    </row>
    <row r="41" spans="1:9" x14ac:dyDescent="0.35">
      <c r="A41" s="8">
        <v>45632</v>
      </c>
      <c r="B41" t="s">
        <v>978</v>
      </c>
      <c r="C41" t="s">
        <v>11</v>
      </c>
      <c r="D41" s="1">
        <v>293731</v>
      </c>
      <c r="E41" s="1">
        <v>85104</v>
      </c>
      <c r="F41" s="2">
        <v>0.28973448495392001</v>
      </c>
      <c r="G41" s="1">
        <v>1190</v>
      </c>
      <c r="H41" s="2">
        <v>1.39828915209626E-2</v>
      </c>
      <c r="I41" s="9">
        <v>4.0513258729926397E-3</v>
      </c>
    </row>
    <row r="42" spans="1:9" x14ac:dyDescent="0.35">
      <c r="A42" s="8">
        <v>45636</v>
      </c>
      <c r="B42" t="s">
        <v>983</v>
      </c>
      <c r="C42" t="s">
        <v>10</v>
      </c>
      <c r="D42" s="1">
        <v>1394915</v>
      </c>
      <c r="E42" s="1">
        <v>388839</v>
      </c>
      <c r="F42" s="2">
        <v>0.27875461945710001</v>
      </c>
      <c r="G42" s="1">
        <v>8892</v>
      </c>
      <c r="H42" s="2">
        <v>2.2868076504671601E-2</v>
      </c>
      <c r="I42" s="9">
        <v>6.3745819637755696E-3</v>
      </c>
    </row>
    <row r="43" spans="1:9" x14ac:dyDescent="0.35">
      <c r="A43" s="8">
        <v>45636</v>
      </c>
      <c r="B43" t="s">
        <v>983</v>
      </c>
      <c r="C43" t="s">
        <v>11</v>
      </c>
      <c r="D43" s="1">
        <v>93763</v>
      </c>
      <c r="E43" s="1">
        <v>30625</v>
      </c>
      <c r="F43" s="2">
        <v>0.32662137516931</v>
      </c>
      <c r="G43" s="1">
        <v>880</v>
      </c>
      <c r="H43" s="2">
        <v>2.8734693877550999E-2</v>
      </c>
      <c r="I43" s="9">
        <v>9.3853652293548594E-3</v>
      </c>
    </row>
    <row r="44" spans="1:9" ht="16" thickBot="1" x14ac:dyDescent="0.4">
      <c r="A44" s="36" t="s">
        <v>35</v>
      </c>
      <c r="B44" s="4"/>
      <c r="C44" s="4"/>
      <c r="D44" s="33">
        <f>SUM(D38:D43)</f>
        <v>6743918</v>
      </c>
      <c r="E44" s="33">
        <f>SUM(E38:E43)</f>
        <v>1940463</v>
      </c>
      <c r="F44" s="34">
        <f>AVERAGE(F38:F43)</f>
        <v>0.31907682507743584</v>
      </c>
      <c r="G44" s="33">
        <f>SUM(G38:G43)</f>
        <v>29816</v>
      </c>
      <c r="H44" s="34">
        <f>AVERAGE(H38:H43)</f>
        <v>2.1538355806165251E-2</v>
      </c>
      <c r="I44" s="35">
        <f>AVERAGE(I38:I43)</f>
        <v>7.0335519013922281E-3</v>
      </c>
    </row>
    <row r="45" spans="1:9" ht="3" customHeight="1" thickBot="1" x14ac:dyDescent="0.4">
      <c r="A45" s="141"/>
      <c r="B45" s="142"/>
      <c r="C45" s="142"/>
      <c r="D45" s="142"/>
      <c r="E45" s="142"/>
      <c r="F45" s="142"/>
      <c r="G45" s="142"/>
      <c r="H45" s="142"/>
      <c r="I45" s="143"/>
    </row>
    <row r="46" spans="1:9" x14ac:dyDescent="0.35">
      <c r="A46" s="16" t="s">
        <v>37</v>
      </c>
      <c r="B46" s="17"/>
      <c r="C46" s="17"/>
      <c r="D46" s="17"/>
      <c r="E46" s="17"/>
      <c r="F46" s="17"/>
      <c r="G46" s="17"/>
      <c r="H46" s="17"/>
      <c r="I46" s="18"/>
    </row>
    <row r="47" spans="1:9" x14ac:dyDescent="0.35">
      <c r="A47" s="28">
        <v>45632</v>
      </c>
      <c r="B47" t="s">
        <v>973</v>
      </c>
      <c r="C47" t="s">
        <v>974</v>
      </c>
      <c r="D47" s="1">
        <v>183270</v>
      </c>
      <c r="E47" s="1">
        <v>68688</v>
      </c>
      <c r="F47" s="2">
        <v>0.37479129153707602</v>
      </c>
      <c r="G47" s="1">
        <v>1649</v>
      </c>
      <c r="H47" s="2">
        <v>2.40071045888656E-2</v>
      </c>
      <c r="I47" s="29">
        <v>8.9976537349266104E-3</v>
      </c>
    </row>
    <row r="48" spans="1:9" x14ac:dyDescent="0.35">
      <c r="A48" s="28">
        <v>45632</v>
      </c>
      <c r="B48" t="s">
        <v>973</v>
      </c>
      <c r="C48" t="s">
        <v>975</v>
      </c>
      <c r="D48" s="1">
        <v>183307</v>
      </c>
      <c r="E48" s="1">
        <v>68266</v>
      </c>
      <c r="F48" s="2">
        <v>0.37241349211977698</v>
      </c>
      <c r="G48" s="1">
        <v>1204</v>
      </c>
      <c r="H48" s="2">
        <v>1.7636890985263502E-2</v>
      </c>
      <c r="I48" s="29">
        <v>6.56821616195781E-3</v>
      </c>
    </row>
    <row r="49" spans="1:9" x14ac:dyDescent="0.35">
      <c r="A49" s="28">
        <v>45632</v>
      </c>
      <c r="B49" t="s">
        <v>973</v>
      </c>
      <c r="C49" t="s">
        <v>976</v>
      </c>
      <c r="D49" s="1">
        <v>183323</v>
      </c>
      <c r="E49" s="1">
        <v>68097</v>
      </c>
      <c r="F49" s="2">
        <v>0.37145911860486702</v>
      </c>
      <c r="G49" s="1">
        <v>1149</v>
      </c>
      <c r="H49" s="2">
        <v>1.6872989999559499E-2</v>
      </c>
      <c r="I49" s="29">
        <v>6.2676259934650903E-3</v>
      </c>
    </row>
    <row r="50" spans="1:9" x14ac:dyDescent="0.35">
      <c r="A50" s="28">
        <v>45632</v>
      </c>
      <c r="B50" t="s">
        <v>979</v>
      </c>
      <c r="C50" t="s">
        <v>10</v>
      </c>
      <c r="D50" s="1">
        <v>4706</v>
      </c>
      <c r="E50" s="1">
        <v>2463</v>
      </c>
      <c r="F50" s="2">
        <v>0.52337441563960896</v>
      </c>
      <c r="G50" s="1">
        <v>54</v>
      </c>
      <c r="H50" s="2">
        <v>2.1924482338611401E-2</v>
      </c>
      <c r="I50" s="29">
        <v>1.14747131321717E-2</v>
      </c>
    </row>
    <row r="51" spans="1:9" x14ac:dyDescent="0.35">
      <c r="A51" s="28">
        <v>45632</v>
      </c>
      <c r="B51" t="s">
        <v>979</v>
      </c>
      <c r="C51" t="s">
        <v>11</v>
      </c>
      <c r="D51" s="1">
        <v>95</v>
      </c>
      <c r="E51" s="1">
        <v>48</v>
      </c>
      <c r="F51" s="2">
        <v>0.50526315789473697</v>
      </c>
      <c r="G51" s="1">
        <v>1</v>
      </c>
      <c r="H51" s="2">
        <v>2.0833333333333301E-2</v>
      </c>
      <c r="I51" s="29">
        <v>1.05263157894737E-2</v>
      </c>
    </row>
    <row r="52" spans="1:9" x14ac:dyDescent="0.35">
      <c r="A52" s="28">
        <v>45633</v>
      </c>
      <c r="B52" t="s">
        <v>980</v>
      </c>
      <c r="C52" t="s">
        <v>10</v>
      </c>
      <c r="D52" s="1">
        <v>66775</v>
      </c>
      <c r="E52" s="1">
        <v>29560</v>
      </c>
      <c r="F52" s="2">
        <v>0.44268064395357498</v>
      </c>
      <c r="G52" s="1">
        <v>1678</v>
      </c>
      <c r="H52" s="2">
        <v>5.6765899864682001E-2</v>
      </c>
      <c r="I52" s="29">
        <v>2.5129165106701601E-2</v>
      </c>
    </row>
    <row r="53" spans="1:9" x14ac:dyDescent="0.35">
      <c r="A53" s="28">
        <v>45633</v>
      </c>
      <c r="B53" t="s">
        <v>980</v>
      </c>
      <c r="C53" t="s">
        <v>11</v>
      </c>
      <c r="D53" s="1">
        <v>7807</v>
      </c>
      <c r="E53" s="1">
        <v>3873</v>
      </c>
      <c r="F53" s="2">
        <v>0.49609324964775198</v>
      </c>
      <c r="G53" s="1">
        <v>252</v>
      </c>
      <c r="H53" s="2">
        <v>6.5065840433772296E-2</v>
      </c>
      <c r="I53" s="29">
        <v>3.2278724221852198E-2</v>
      </c>
    </row>
    <row r="54" spans="1:9" x14ac:dyDescent="0.35">
      <c r="A54" s="28">
        <v>45633</v>
      </c>
      <c r="B54" t="s">
        <v>981</v>
      </c>
      <c r="C54" t="s">
        <v>10</v>
      </c>
      <c r="D54" s="1">
        <v>1398</v>
      </c>
      <c r="E54" s="1">
        <v>688</v>
      </c>
      <c r="F54" s="2">
        <v>0.49213161659513599</v>
      </c>
      <c r="G54" s="1">
        <v>49</v>
      </c>
      <c r="H54" s="2">
        <v>7.12209302325581E-2</v>
      </c>
      <c r="I54" s="29">
        <v>3.5050071530758203E-2</v>
      </c>
    </row>
    <row r="55" spans="1:9" x14ac:dyDescent="0.35">
      <c r="A55" s="28">
        <v>45633</v>
      </c>
      <c r="B55" t="s">
        <v>981</v>
      </c>
      <c r="C55" t="s">
        <v>11</v>
      </c>
      <c r="D55" s="1">
        <v>547</v>
      </c>
      <c r="E55" s="1">
        <v>233</v>
      </c>
      <c r="F55" s="2">
        <v>0.42595978062157203</v>
      </c>
      <c r="G55" s="1">
        <v>3</v>
      </c>
      <c r="H55" s="2">
        <v>1.28755364806867E-2</v>
      </c>
      <c r="I55" s="29">
        <v>5.4844606946983501E-3</v>
      </c>
    </row>
    <row r="56" spans="1:9" x14ac:dyDescent="0.35">
      <c r="A56" s="28">
        <v>45633</v>
      </c>
      <c r="B56" t="s">
        <v>982</v>
      </c>
      <c r="C56" t="s">
        <v>10</v>
      </c>
      <c r="D56" s="1">
        <v>954082</v>
      </c>
      <c r="E56" s="1">
        <v>373112</v>
      </c>
      <c r="F56" s="2">
        <v>0.39106911146002099</v>
      </c>
      <c r="G56" s="1">
        <v>4421</v>
      </c>
      <c r="H56" s="2">
        <v>1.18489890435044E-2</v>
      </c>
      <c r="I56" s="29">
        <v>4.6337736169427797E-3</v>
      </c>
    </row>
    <row r="57" spans="1:9" x14ac:dyDescent="0.35">
      <c r="A57" s="28">
        <v>45633</v>
      </c>
      <c r="B57" t="s">
        <v>982</v>
      </c>
      <c r="C57" t="s">
        <v>11</v>
      </c>
      <c r="D57" s="1">
        <v>34606</v>
      </c>
      <c r="E57" s="1">
        <v>13418</v>
      </c>
      <c r="F57" s="2">
        <v>0.38773623071143698</v>
      </c>
      <c r="G57" s="1">
        <v>194</v>
      </c>
      <c r="H57" s="2">
        <v>1.4458190490386E-2</v>
      </c>
      <c r="I57" s="29">
        <v>5.6059642836502298E-3</v>
      </c>
    </row>
    <row r="58" spans="1:9" x14ac:dyDescent="0.35">
      <c r="A58" s="28">
        <v>45636</v>
      </c>
      <c r="B58" t="s">
        <v>984</v>
      </c>
      <c r="C58" t="s">
        <v>985</v>
      </c>
      <c r="D58" s="1">
        <v>1320</v>
      </c>
      <c r="E58" s="1">
        <v>834</v>
      </c>
      <c r="F58" s="2">
        <v>0.63759999999999994</v>
      </c>
      <c r="G58" s="1">
        <v>30</v>
      </c>
      <c r="H58" s="2">
        <v>3.5971223021582698E-2</v>
      </c>
      <c r="I58" s="29">
        <v>2.2700000000000001E-2</v>
      </c>
    </row>
    <row r="59" spans="1:9" x14ac:dyDescent="0.35">
      <c r="A59" s="28">
        <v>45636</v>
      </c>
      <c r="B59" t="s">
        <v>984</v>
      </c>
      <c r="C59" t="s">
        <v>986</v>
      </c>
      <c r="D59" s="1">
        <v>20154</v>
      </c>
      <c r="E59" s="1">
        <v>14680</v>
      </c>
      <c r="F59" s="2">
        <v>0.72839138632529499</v>
      </c>
      <c r="G59" s="1">
        <v>477</v>
      </c>
      <c r="H59" s="2">
        <v>3.2493188010899197E-2</v>
      </c>
      <c r="I59" s="29">
        <v>2.3667758261387301E-2</v>
      </c>
    </row>
    <row r="60" spans="1:9" x14ac:dyDescent="0.35">
      <c r="A60" s="28">
        <v>45636</v>
      </c>
      <c r="B60" t="s">
        <v>984</v>
      </c>
      <c r="C60" t="s">
        <v>987</v>
      </c>
      <c r="D60" s="1">
        <v>164491</v>
      </c>
      <c r="E60" s="1">
        <v>77282</v>
      </c>
      <c r="F60" s="2">
        <v>0.46982509681380702</v>
      </c>
      <c r="G60" s="1">
        <v>4737</v>
      </c>
      <c r="H60" s="2">
        <v>6.1294997541471503E-2</v>
      </c>
      <c r="I60" s="29">
        <v>2.8797928154123902E-2</v>
      </c>
    </row>
    <row r="61" spans="1:9" x14ac:dyDescent="0.35">
      <c r="A61" s="28">
        <v>45636</v>
      </c>
      <c r="B61" t="s">
        <v>984</v>
      </c>
      <c r="C61" t="s">
        <v>988</v>
      </c>
      <c r="D61" s="1">
        <v>6757</v>
      </c>
      <c r="E61" s="1">
        <v>3097</v>
      </c>
      <c r="F61" s="2">
        <v>0.45833949977800797</v>
      </c>
      <c r="G61" s="1">
        <v>277</v>
      </c>
      <c r="H61" s="2">
        <v>8.9441394898288701E-2</v>
      </c>
      <c r="I61" s="29">
        <v>4.0994524197128901E-2</v>
      </c>
    </row>
    <row r="62" spans="1:9" x14ac:dyDescent="0.35">
      <c r="A62" s="28">
        <v>45637</v>
      </c>
      <c r="B62" t="s">
        <v>989</v>
      </c>
      <c r="C62" t="s">
        <v>10</v>
      </c>
      <c r="D62" s="1">
        <v>115079</v>
      </c>
      <c r="E62" s="1">
        <v>51042</v>
      </c>
      <c r="F62" s="2">
        <v>0.44353878639890898</v>
      </c>
      <c r="G62" s="1">
        <v>961</v>
      </c>
      <c r="H62" s="2">
        <v>1.8827632146075801E-2</v>
      </c>
      <c r="I62" s="29">
        <v>8.3507851128355303E-3</v>
      </c>
    </row>
    <row r="63" spans="1:9" x14ac:dyDescent="0.35">
      <c r="A63" s="28">
        <v>45637</v>
      </c>
      <c r="B63" t="s">
        <v>989</v>
      </c>
      <c r="C63" t="s">
        <v>11</v>
      </c>
      <c r="D63" s="1">
        <v>7800</v>
      </c>
      <c r="E63" s="1">
        <v>3732</v>
      </c>
      <c r="F63" s="2">
        <v>0.47846153846153799</v>
      </c>
      <c r="G63" s="1">
        <v>80</v>
      </c>
      <c r="H63" s="2">
        <v>2.1436227224008599E-2</v>
      </c>
      <c r="I63" s="29">
        <v>1.02564102564103E-2</v>
      </c>
    </row>
    <row r="64" spans="1:9" x14ac:dyDescent="0.35">
      <c r="A64" s="28">
        <v>45637</v>
      </c>
      <c r="B64" t="s">
        <v>904</v>
      </c>
      <c r="C64" t="s">
        <v>990</v>
      </c>
      <c r="D64" s="1">
        <v>44425</v>
      </c>
      <c r="E64" s="1">
        <v>15568</v>
      </c>
      <c r="F64" s="2">
        <v>0.350433314575127</v>
      </c>
      <c r="G64" s="1">
        <v>187</v>
      </c>
      <c r="H64" s="2">
        <v>1.20118191161357E-2</v>
      </c>
      <c r="I64" s="29">
        <v>4.2093415869442902E-3</v>
      </c>
    </row>
    <row r="65" spans="1:9" x14ac:dyDescent="0.35">
      <c r="A65" s="28">
        <v>45638</v>
      </c>
      <c r="B65" t="s">
        <v>994</v>
      </c>
      <c r="C65" t="s">
        <v>10</v>
      </c>
      <c r="D65" s="1">
        <v>1067640</v>
      </c>
      <c r="E65" s="1">
        <v>363076</v>
      </c>
      <c r="F65" s="2">
        <v>0.34007343299239401</v>
      </c>
      <c r="G65" s="1">
        <v>2591</v>
      </c>
      <c r="H65" s="2">
        <v>7.1362469565600601E-3</v>
      </c>
      <c r="I65" s="29">
        <v>2.42684800119891E-3</v>
      </c>
    </row>
    <row r="66" spans="1:9" x14ac:dyDescent="0.35">
      <c r="A66" s="28">
        <v>45638</v>
      </c>
      <c r="B66" t="s">
        <v>995</v>
      </c>
      <c r="C66" t="s">
        <v>72</v>
      </c>
      <c r="D66" s="1">
        <v>133372</v>
      </c>
      <c r="E66" s="1">
        <v>44834</v>
      </c>
      <c r="F66" s="2">
        <v>0.33615751432084701</v>
      </c>
      <c r="G66" s="1">
        <v>294</v>
      </c>
      <c r="H66" s="2">
        <v>6.5575233082035998E-3</v>
      </c>
      <c r="I66" s="29">
        <v>2.20436073538674E-3</v>
      </c>
    </row>
    <row r="67" spans="1:9" x14ac:dyDescent="0.35">
      <c r="A67" s="28">
        <v>45638</v>
      </c>
      <c r="B67" t="s">
        <v>995</v>
      </c>
      <c r="C67" t="s">
        <v>73</v>
      </c>
      <c r="D67" s="1">
        <v>6481</v>
      </c>
      <c r="E67" s="1">
        <v>1972</v>
      </c>
      <c r="F67" s="2">
        <v>0.304274031785218</v>
      </c>
      <c r="G67" s="1">
        <v>21</v>
      </c>
      <c r="H67" s="2">
        <v>1.06490872210953E-2</v>
      </c>
      <c r="I67" s="29">
        <v>3.2402407035951198E-3</v>
      </c>
    </row>
    <row r="68" spans="1:9" ht="16" thickBot="1" x14ac:dyDescent="0.4">
      <c r="A68" s="36" t="s">
        <v>35</v>
      </c>
      <c r="B68" s="4"/>
      <c r="C68" s="4"/>
      <c r="D68" s="33">
        <f>SUM(D47:D67)</f>
        <v>3187435</v>
      </c>
      <c r="E68" s="33">
        <f>SUM(E47:E67)</f>
        <v>1204563</v>
      </c>
      <c r="F68" s="34">
        <f>AVERAGE(F47:F67)</f>
        <v>0.44428889096365237</v>
      </c>
      <c r="G68" s="33">
        <f>SUM(G47:G67)</f>
        <v>20309</v>
      </c>
      <c r="H68" s="34">
        <f>AVERAGE(H47:H67)</f>
        <v>2.996807272550208E-2</v>
      </c>
      <c r="I68" s="35">
        <f>AVERAGE(I47:I67)</f>
        <v>1.4231661013124255E-2</v>
      </c>
    </row>
    <row r="69" spans="1:9" ht="3" customHeight="1" thickBot="1" x14ac:dyDescent="0.4">
      <c r="A69" s="139"/>
      <c r="B69" s="138"/>
      <c r="C69" s="138"/>
      <c r="D69" s="138"/>
      <c r="E69" s="138"/>
      <c r="F69" s="138"/>
      <c r="G69" s="138"/>
      <c r="H69" s="138"/>
      <c r="I69" s="140"/>
    </row>
    <row r="70" spans="1:9" x14ac:dyDescent="0.35">
      <c r="A70" s="16" t="s">
        <v>38</v>
      </c>
      <c r="B70" s="17"/>
      <c r="C70" s="17"/>
      <c r="D70" s="17"/>
      <c r="E70" s="17"/>
      <c r="F70" s="17"/>
      <c r="G70" s="17"/>
      <c r="H70" s="17"/>
      <c r="I70" s="18"/>
    </row>
    <row r="71" spans="1:9" x14ac:dyDescent="0.35">
      <c r="A71" s="28">
        <v>45638</v>
      </c>
      <c r="B71" t="s">
        <v>926</v>
      </c>
      <c r="C71" t="s">
        <v>991</v>
      </c>
      <c r="D71" s="1">
        <v>1373903</v>
      </c>
      <c r="E71" s="1">
        <v>551226</v>
      </c>
      <c r="F71" s="3">
        <v>0.4012</v>
      </c>
      <c r="G71" s="1">
        <v>1714</v>
      </c>
      <c r="H71" s="3">
        <v>3.0999999999999999E-3</v>
      </c>
      <c r="I71" s="30">
        <v>1.1999999999999999E-3</v>
      </c>
    </row>
    <row r="72" spans="1:9" x14ac:dyDescent="0.35">
      <c r="A72" s="28">
        <v>45638</v>
      </c>
      <c r="B72" t="s">
        <v>928</v>
      </c>
      <c r="C72" t="s">
        <v>991</v>
      </c>
      <c r="D72" s="1">
        <v>952448</v>
      </c>
      <c r="E72" s="1">
        <v>360811</v>
      </c>
      <c r="F72" s="3">
        <v>0.37880000000000003</v>
      </c>
      <c r="G72" s="1">
        <v>1308</v>
      </c>
      <c r="H72" s="3">
        <v>3.5999999999999999E-3</v>
      </c>
      <c r="I72" s="30">
        <v>1.4E-3</v>
      </c>
    </row>
    <row r="73" spans="1:9" x14ac:dyDescent="0.35">
      <c r="A73" s="28">
        <v>45638</v>
      </c>
      <c r="B73" t="s">
        <v>929</v>
      </c>
      <c r="C73" t="s">
        <v>992</v>
      </c>
      <c r="D73" s="1">
        <v>80385</v>
      </c>
      <c r="E73" s="1">
        <v>32339</v>
      </c>
      <c r="F73" s="3">
        <v>0.40229999999999999</v>
      </c>
      <c r="G73">
        <v>163</v>
      </c>
      <c r="H73" s="3">
        <v>5.0000000000000001E-3</v>
      </c>
      <c r="I73" s="30">
        <v>2E-3</v>
      </c>
    </row>
    <row r="74" spans="1:9" x14ac:dyDescent="0.35">
      <c r="A74" s="28">
        <v>45638</v>
      </c>
      <c r="B74" t="s">
        <v>963</v>
      </c>
      <c r="C74" t="s">
        <v>234</v>
      </c>
      <c r="D74" s="1">
        <v>1368045</v>
      </c>
      <c r="E74" s="1">
        <v>519342</v>
      </c>
      <c r="F74" s="3">
        <v>0.37959999999999999</v>
      </c>
      <c r="G74" s="1">
        <v>1504</v>
      </c>
      <c r="H74" s="3">
        <v>2.8999999999999998E-3</v>
      </c>
      <c r="I74" s="30">
        <v>1.1000000000000001E-3</v>
      </c>
    </row>
    <row r="75" spans="1:9" x14ac:dyDescent="0.35">
      <c r="A75" s="28">
        <v>45638</v>
      </c>
      <c r="B75" t="s">
        <v>993</v>
      </c>
      <c r="C75" t="s">
        <v>235</v>
      </c>
      <c r="D75" s="1">
        <v>79787</v>
      </c>
      <c r="E75" s="1">
        <v>29630</v>
      </c>
      <c r="F75" s="3">
        <v>0.37140000000000001</v>
      </c>
      <c r="G75">
        <v>125</v>
      </c>
      <c r="H75" s="3">
        <v>4.1999999999999997E-3</v>
      </c>
      <c r="I75" s="30">
        <v>1.6000000000000001E-3</v>
      </c>
    </row>
    <row r="76" spans="1:9" ht="16" thickBot="1" x14ac:dyDescent="0.4">
      <c r="A76" s="36" t="s">
        <v>35</v>
      </c>
      <c r="B76" s="4"/>
      <c r="C76" s="4"/>
      <c r="D76" s="33">
        <f>SUM(D75:D75)</f>
        <v>79787</v>
      </c>
      <c r="E76" s="33">
        <f>SUM(E75:E75)</f>
        <v>29630</v>
      </c>
      <c r="F76" s="34">
        <f>AVERAGE(F75:F75)</f>
        <v>0.37140000000000001</v>
      </c>
      <c r="G76" s="33">
        <f>SUM(G75:G75)</f>
        <v>125</v>
      </c>
      <c r="H76" s="34">
        <f>AVERAGE(H75:H75)</f>
        <v>4.1999999999999997E-3</v>
      </c>
      <c r="I76" s="35">
        <f>AVERAGE(I75:I75)</f>
        <v>1.6000000000000001E-3</v>
      </c>
    </row>
  </sheetData>
  <mergeCells count="3">
    <mergeCell ref="A35:I35"/>
    <mergeCell ref="A45:I45"/>
    <mergeCell ref="A69:I69"/>
  </mergeCells>
  <pageMargins left="0.7" right="0.7" top="0.75" bottom="0.75" header="0.3" footer="0.3"/>
  <ignoredErrors>
    <ignoredError sqref="F34:G34 F44:G44 F76:G76 F68:G68" formula="1"/>
  </ignoredErrors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4530-DF4F-4CC9-805D-04B914E5F396}">
  <dimension ref="A1:I70"/>
  <sheetViews>
    <sheetView topLeftCell="A9" workbookViewId="0">
      <selection activeCell="A2" sqref="A2"/>
    </sheetView>
  </sheetViews>
  <sheetFormatPr defaultRowHeight="14.5" x14ac:dyDescent="0.35"/>
  <cols>
    <col min="1" max="1" width="11.81640625" customWidth="1"/>
    <col min="2" max="2" width="89.81640625" customWidth="1"/>
    <col min="3" max="3" width="41.816406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46004</v>
      </c>
      <c r="B2" t="s">
        <v>996</v>
      </c>
      <c r="C2" t="s">
        <v>10</v>
      </c>
      <c r="D2" s="1">
        <v>380820</v>
      </c>
      <c r="E2" s="1">
        <v>137046</v>
      </c>
      <c r="F2" s="2">
        <v>0.35987080510477398</v>
      </c>
      <c r="G2" s="1">
        <v>2159</v>
      </c>
      <c r="H2" s="2">
        <v>1.5753834478934099E-2</v>
      </c>
      <c r="I2" s="2">
        <v>5.6693450974213497E-3</v>
      </c>
    </row>
    <row r="3" spans="1:9" x14ac:dyDescent="0.35">
      <c r="A3" s="19">
        <v>46004</v>
      </c>
      <c r="B3" t="s">
        <v>997</v>
      </c>
      <c r="C3" t="s">
        <v>10</v>
      </c>
      <c r="D3" s="1">
        <v>4710750</v>
      </c>
      <c r="E3" s="1">
        <v>1264177</v>
      </c>
      <c r="F3" s="2">
        <v>0.268360027596455</v>
      </c>
      <c r="G3" s="1">
        <v>21851</v>
      </c>
      <c r="H3" s="2">
        <v>1.72847631304794E-2</v>
      </c>
      <c r="I3" s="2">
        <v>4.6385395106936303E-3</v>
      </c>
    </row>
    <row r="4" spans="1:9" x14ac:dyDescent="0.35">
      <c r="A4" s="19">
        <v>46004</v>
      </c>
      <c r="B4" t="s">
        <v>997</v>
      </c>
      <c r="C4" t="s">
        <v>11</v>
      </c>
      <c r="D4" s="1">
        <v>300513</v>
      </c>
      <c r="E4" s="1">
        <v>85644</v>
      </c>
      <c r="F4" s="2">
        <v>0.28499266254704497</v>
      </c>
      <c r="G4" s="1">
        <v>1781</v>
      </c>
      <c r="H4" s="2">
        <v>2.0795385549483899E-2</v>
      </c>
      <c r="I4" s="2">
        <v>5.9265322964397503E-3</v>
      </c>
    </row>
    <row r="5" spans="1:9" x14ac:dyDescent="0.35">
      <c r="A5" s="19">
        <v>46004</v>
      </c>
      <c r="B5" t="s">
        <v>998</v>
      </c>
      <c r="C5" t="s">
        <v>10</v>
      </c>
      <c r="D5" s="1">
        <v>3524</v>
      </c>
      <c r="E5" s="1">
        <v>1631</v>
      </c>
      <c r="F5" s="2">
        <v>0.46282633371169102</v>
      </c>
      <c r="G5" s="1">
        <v>46</v>
      </c>
      <c r="H5" s="2">
        <v>2.8203556100551801E-2</v>
      </c>
      <c r="I5" s="2">
        <v>1.30533484676504E-2</v>
      </c>
    </row>
    <row r="6" spans="1:9" x14ac:dyDescent="0.35">
      <c r="A6" s="19">
        <v>46004</v>
      </c>
      <c r="B6" t="s">
        <v>999</v>
      </c>
      <c r="C6" t="s">
        <v>10</v>
      </c>
      <c r="D6" s="1">
        <v>37972</v>
      </c>
      <c r="E6" s="1">
        <v>15934</v>
      </c>
      <c r="F6" s="2">
        <v>0.41962498683240301</v>
      </c>
      <c r="G6" s="1">
        <v>325</v>
      </c>
      <c r="H6" s="2">
        <v>2.0396636124011502E-2</v>
      </c>
      <c r="I6" s="2">
        <v>8.5589381649636594E-3</v>
      </c>
    </row>
    <row r="7" spans="1:9" x14ac:dyDescent="0.35">
      <c r="A7" s="19">
        <v>46005</v>
      </c>
      <c r="B7" t="s">
        <v>1000</v>
      </c>
      <c r="C7" t="s">
        <v>10</v>
      </c>
      <c r="D7" s="1">
        <v>3137181</v>
      </c>
      <c r="E7" s="1">
        <v>1237416</v>
      </c>
      <c r="F7" s="2">
        <v>0.39443564142457799</v>
      </c>
      <c r="G7" s="1">
        <v>11995</v>
      </c>
      <c r="H7" s="2">
        <v>9.6935872818841792E-3</v>
      </c>
      <c r="I7" s="2">
        <v>3.8234963172351201E-3</v>
      </c>
    </row>
    <row r="8" spans="1:9" x14ac:dyDescent="0.35">
      <c r="A8" s="19">
        <v>46005</v>
      </c>
      <c r="B8" t="s">
        <v>1000</v>
      </c>
      <c r="C8" t="s">
        <v>11</v>
      </c>
      <c r="D8" s="1">
        <v>165143</v>
      </c>
      <c r="E8" s="1">
        <v>68059</v>
      </c>
      <c r="F8" s="2">
        <v>0.412121615811751</v>
      </c>
      <c r="G8" s="1">
        <v>1032</v>
      </c>
      <c r="H8" s="2">
        <v>1.5163314183282201E-2</v>
      </c>
      <c r="I8" s="2">
        <v>6.2491295422754797E-3</v>
      </c>
    </row>
    <row r="9" spans="1:9" x14ac:dyDescent="0.35">
      <c r="A9" s="19">
        <v>46007</v>
      </c>
      <c r="B9" t="s">
        <v>1001</v>
      </c>
      <c r="C9" t="s">
        <v>1002</v>
      </c>
      <c r="D9" s="1">
        <v>169829</v>
      </c>
      <c r="E9" s="1">
        <v>66973</v>
      </c>
      <c r="F9" s="2">
        <v>0.39435549876640602</v>
      </c>
      <c r="G9" s="1">
        <v>1395</v>
      </c>
      <c r="H9" s="2">
        <v>2.0829289415137401E-2</v>
      </c>
      <c r="I9" s="2">
        <v>8.2141448162563503E-3</v>
      </c>
    </row>
    <row r="10" spans="1:9" x14ac:dyDescent="0.35">
      <c r="A10" s="19">
        <v>46007</v>
      </c>
      <c r="B10" t="s">
        <v>1001</v>
      </c>
      <c r="C10" t="s">
        <v>1003</v>
      </c>
      <c r="D10" s="1">
        <v>141</v>
      </c>
      <c r="E10" s="1">
        <v>40</v>
      </c>
      <c r="F10" s="2">
        <v>0.28368794326241098</v>
      </c>
      <c r="G10" s="1">
        <v>1</v>
      </c>
      <c r="H10" s="2">
        <v>2.5000000000000001E-2</v>
      </c>
      <c r="I10" s="2">
        <v>7.09219858156028E-3</v>
      </c>
    </row>
    <row r="11" spans="1:9" x14ac:dyDescent="0.35">
      <c r="A11" s="19">
        <v>46007</v>
      </c>
      <c r="B11" t="s">
        <v>1001</v>
      </c>
      <c r="C11" t="s">
        <v>1004</v>
      </c>
      <c r="D11" s="1">
        <v>169991</v>
      </c>
      <c r="E11" s="1">
        <v>66349</v>
      </c>
      <c r="F11" s="2">
        <v>0.39030889870640201</v>
      </c>
      <c r="G11" s="1">
        <v>1097</v>
      </c>
      <c r="H11" s="2">
        <v>1.6533783478274E-2</v>
      </c>
      <c r="I11" s="2">
        <v>6.45328282085522E-3</v>
      </c>
    </row>
    <row r="12" spans="1:9" x14ac:dyDescent="0.35">
      <c r="A12" s="19">
        <v>46007</v>
      </c>
      <c r="B12" t="s">
        <v>1001</v>
      </c>
      <c r="C12" t="s">
        <v>1005</v>
      </c>
      <c r="D12" s="1">
        <v>156</v>
      </c>
      <c r="E12" s="1">
        <v>45</v>
      </c>
      <c r="F12" s="2">
        <v>0.28846153846153799</v>
      </c>
      <c r="G12" s="1">
        <v>0</v>
      </c>
      <c r="H12" s="2">
        <v>0</v>
      </c>
      <c r="I12" s="2">
        <v>0</v>
      </c>
    </row>
    <row r="13" spans="1:9" x14ac:dyDescent="0.35">
      <c r="A13" s="19">
        <v>46007</v>
      </c>
      <c r="B13" t="s">
        <v>1001</v>
      </c>
      <c r="C13" t="s">
        <v>1006</v>
      </c>
      <c r="D13" s="1">
        <v>170136</v>
      </c>
      <c r="E13" s="1">
        <v>66758</v>
      </c>
      <c r="F13" s="2">
        <v>0.39238021347627799</v>
      </c>
      <c r="G13" s="1">
        <v>958</v>
      </c>
      <c r="H13" s="2">
        <v>1.4350340034153201E-2</v>
      </c>
      <c r="I13" s="2">
        <v>5.6307894860582099E-3</v>
      </c>
    </row>
    <row r="14" spans="1:9" x14ac:dyDescent="0.35">
      <c r="A14" s="19">
        <v>46007</v>
      </c>
      <c r="B14" t="s">
        <v>1001</v>
      </c>
      <c r="C14" t="s">
        <v>1007</v>
      </c>
      <c r="D14" s="1">
        <v>181</v>
      </c>
      <c r="E14" s="1">
        <v>59</v>
      </c>
      <c r="F14" s="2">
        <v>0.325966850828729</v>
      </c>
      <c r="G14" s="1">
        <v>0</v>
      </c>
      <c r="H14" s="2">
        <v>0</v>
      </c>
      <c r="I14" s="2">
        <v>0</v>
      </c>
    </row>
    <row r="15" spans="1:9" x14ac:dyDescent="0.35">
      <c r="A15" s="19">
        <v>46007</v>
      </c>
      <c r="B15" t="s">
        <v>1008</v>
      </c>
      <c r="C15" t="s">
        <v>10</v>
      </c>
      <c r="D15" s="1">
        <v>56932</v>
      </c>
      <c r="E15" s="1">
        <v>21348</v>
      </c>
      <c r="F15" s="2">
        <v>0.374973652778754</v>
      </c>
      <c r="G15" s="1">
        <v>224</v>
      </c>
      <c r="H15" s="2">
        <v>1.0492786209481001E-2</v>
      </c>
      <c r="I15" s="2">
        <v>3.9345183727956196E-3</v>
      </c>
    </row>
    <row r="16" spans="1:9" x14ac:dyDescent="0.35">
      <c r="A16" s="19">
        <v>46008</v>
      </c>
      <c r="B16" t="s">
        <v>1009</v>
      </c>
      <c r="C16" t="s">
        <v>10</v>
      </c>
      <c r="D16" s="1">
        <v>1408954</v>
      </c>
      <c r="E16" s="1">
        <v>399259</v>
      </c>
      <c r="F16" s="2">
        <v>0.28337262962453003</v>
      </c>
      <c r="G16" s="1">
        <v>8393</v>
      </c>
      <c r="H16" s="2">
        <v>2.1021442221715699E-2</v>
      </c>
      <c r="I16" s="2">
        <v>5.9569013608677104E-3</v>
      </c>
    </row>
    <row r="17" spans="1:9" x14ac:dyDescent="0.35">
      <c r="A17" s="19">
        <v>46008</v>
      </c>
      <c r="B17" t="s">
        <v>1009</v>
      </c>
      <c r="C17" t="s">
        <v>11</v>
      </c>
      <c r="D17" s="1">
        <v>94109</v>
      </c>
      <c r="E17" s="1">
        <v>31418</v>
      </c>
      <c r="F17" s="2">
        <v>0.333846922185976</v>
      </c>
      <c r="G17" s="1">
        <v>1005</v>
      </c>
      <c r="H17" s="2">
        <v>3.1988032338150098E-2</v>
      </c>
      <c r="I17" s="2">
        <v>1.06791061428769E-2</v>
      </c>
    </row>
    <row r="18" spans="1:9" x14ac:dyDescent="0.35">
      <c r="A18" s="19">
        <v>46009</v>
      </c>
      <c r="B18" t="s">
        <v>1010</v>
      </c>
      <c r="C18" t="s">
        <v>10</v>
      </c>
      <c r="D18" s="1">
        <v>6397171</v>
      </c>
      <c r="E18" s="1">
        <v>2327431</v>
      </c>
      <c r="F18" s="2">
        <v>0.36382191440560202</v>
      </c>
      <c r="G18" s="1">
        <v>22969</v>
      </c>
      <c r="H18" s="2">
        <v>9.8688210305697601E-3</v>
      </c>
      <c r="I18" s="2">
        <v>3.5904933602681601E-3</v>
      </c>
    </row>
    <row r="19" spans="1:9" x14ac:dyDescent="0.35">
      <c r="A19" s="19">
        <v>46009</v>
      </c>
      <c r="B19" t="s">
        <v>1010</v>
      </c>
      <c r="C19" t="s">
        <v>11</v>
      </c>
      <c r="D19" s="1">
        <v>408987</v>
      </c>
      <c r="E19" s="1">
        <v>145055</v>
      </c>
      <c r="F19" s="2">
        <v>0.35466897480849002</v>
      </c>
      <c r="G19" s="1">
        <v>1875</v>
      </c>
      <c r="H19" s="2">
        <v>1.29261314673744E-2</v>
      </c>
      <c r="I19" s="2">
        <v>4.58449779577346E-3</v>
      </c>
    </row>
    <row r="20" spans="1:9" x14ac:dyDescent="0.35">
      <c r="A20" s="19">
        <v>46009</v>
      </c>
      <c r="B20" t="s">
        <v>904</v>
      </c>
      <c r="C20" t="s">
        <v>1011</v>
      </c>
      <c r="D20" s="1">
        <v>44370</v>
      </c>
      <c r="E20" s="1">
        <v>16232</v>
      </c>
      <c r="F20" s="2">
        <v>0.36583276988956498</v>
      </c>
      <c r="G20" s="1">
        <v>167</v>
      </c>
      <c r="H20" s="2">
        <v>1.0288319369147401E-2</v>
      </c>
      <c r="I20" s="2">
        <v>3.7638043723236402E-3</v>
      </c>
    </row>
    <row r="21" spans="1:9" x14ac:dyDescent="0.35">
      <c r="A21" s="19">
        <v>46010</v>
      </c>
      <c r="B21" t="s">
        <v>1012</v>
      </c>
      <c r="C21" t="s">
        <v>403</v>
      </c>
      <c r="D21" s="1">
        <v>1418407</v>
      </c>
      <c r="E21" s="1">
        <v>565895</v>
      </c>
      <c r="F21" s="3">
        <v>0.39900000000000002</v>
      </c>
      <c r="G21" s="1">
        <v>1844</v>
      </c>
      <c r="H21" s="3">
        <v>3.3E-3</v>
      </c>
      <c r="I21" s="3">
        <v>1.2999999999999999E-3</v>
      </c>
    </row>
    <row r="22" spans="1:9" x14ac:dyDescent="0.35">
      <c r="A22" s="19">
        <v>46010</v>
      </c>
      <c r="B22" t="s">
        <v>993</v>
      </c>
      <c r="C22" t="s">
        <v>404</v>
      </c>
      <c r="D22" s="1">
        <v>82755</v>
      </c>
      <c r="E22" s="1">
        <v>32576</v>
      </c>
      <c r="F22" s="3">
        <v>0.39360000000000001</v>
      </c>
      <c r="G22">
        <v>165</v>
      </c>
      <c r="H22" s="3">
        <v>5.1000000000000004E-3</v>
      </c>
      <c r="I22" s="3">
        <v>2E-3</v>
      </c>
    </row>
    <row r="23" spans="1:9" x14ac:dyDescent="0.35">
      <c r="A23" s="19">
        <v>46010</v>
      </c>
      <c r="B23" t="s">
        <v>1013</v>
      </c>
      <c r="C23" t="s">
        <v>10</v>
      </c>
      <c r="D23" s="1">
        <v>776979</v>
      </c>
      <c r="E23" s="1">
        <v>319030</v>
      </c>
      <c r="F23" s="2">
        <v>0.41060311797358701</v>
      </c>
      <c r="G23" s="1">
        <v>3939</v>
      </c>
      <c r="H23" s="2">
        <v>1.2343666739805E-2</v>
      </c>
      <c r="I23" s="2">
        <v>5.0683480505908096E-3</v>
      </c>
    </row>
    <row r="24" spans="1:9" x14ac:dyDescent="0.35">
      <c r="A24" s="19">
        <v>46010</v>
      </c>
      <c r="B24" t="s">
        <v>1013</v>
      </c>
      <c r="C24" t="s">
        <v>11</v>
      </c>
      <c r="D24" s="1">
        <v>29110</v>
      </c>
      <c r="E24" s="1">
        <v>12164</v>
      </c>
      <c r="F24" s="2">
        <v>0.41786327722432198</v>
      </c>
      <c r="G24" s="1">
        <v>151</v>
      </c>
      <c r="H24" s="2">
        <v>1.24136797106215E-2</v>
      </c>
      <c r="I24" s="2">
        <v>5.1872208862933696E-3</v>
      </c>
    </row>
    <row r="25" spans="1:9" x14ac:dyDescent="0.35">
      <c r="A25" s="19">
        <v>46010</v>
      </c>
      <c r="B25" t="s">
        <v>1014</v>
      </c>
      <c r="C25" t="s">
        <v>74</v>
      </c>
      <c r="D25" s="1">
        <v>25256</v>
      </c>
      <c r="E25" s="1">
        <v>9219</v>
      </c>
      <c r="F25" s="2">
        <v>0.36502217294900202</v>
      </c>
      <c r="G25" s="1">
        <v>71</v>
      </c>
      <c r="H25" s="2">
        <v>7.7014860613949503E-3</v>
      </c>
      <c r="I25" s="2">
        <v>2.8112131770668398E-3</v>
      </c>
    </row>
    <row r="26" spans="1:9" x14ac:dyDescent="0.35">
      <c r="A26" s="19">
        <v>46010</v>
      </c>
      <c r="B26" t="s">
        <v>1014</v>
      </c>
      <c r="C26" t="s">
        <v>72</v>
      </c>
      <c r="D26" s="1">
        <v>479418</v>
      </c>
      <c r="E26" s="1">
        <v>175630</v>
      </c>
      <c r="F26" s="2">
        <v>0.36634002060832099</v>
      </c>
      <c r="G26" s="1">
        <v>1381</v>
      </c>
      <c r="H26" s="2">
        <v>7.8631213346239195E-3</v>
      </c>
      <c r="I26" s="2">
        <v>2.88057603177186E-3</v>
      </c>
    </row>
    <row r="27" spans="1:9" x14ac:dyDescent="0.35">
      <c r="A27" s="19">
        <v>46010</v>
      </c>
      <c r="B27" t="s">
        <v>1014</v>
      </c>
      <c r="C27" t="s">
        <v>75</v>
      </c>
      <c r="D27" s="1">
        <v>1508</v>
      </c>
      <c r="E27" s="1">
        <v>526</v>
      </c>
      <c r="F27" s="2">
        <v>0.34880636604774501</v>
      </c>
      <c r="G27" s="1">
        <v>4</v>
      </c>
      <c r="H27" s="2">
        <v>7.6045627376425898E-3</v>
      </c>
      <c r="I27" s="2">
        <v>2.6525198938992002E-3</v>
      </c>
    </row>
    <row r="28" spans="1:9" x14ac:dyDescent="0.35">
      <c r="A28" s="19">
        <v>46010</v>
      </c>
      <c r="B28" t="s">
        <v>1014</v>
      </c>
      <c r="C28" t="s">
        <v>73</v>
      </c>
      <c r="D28" s="1">
        <v>29366</v>
      </c>
      <c r="E28" s="1">
        <v>10432</v>
      </c>
      <c r="F28" s="2">
        <v>0.35524075461417998</v>
      </c>
      <c r="G28" s="1">
        <v>131</v>
      </c>
      <c r="H28" s="2">
        <v>1.2557515337423299E-2</v>
      </c>
      <c r="I28" s="2">
        <v>4.4609412245453896E-3</v>
      </c>
    </row>
    <row r="29" spans="1:9" x14ac:dyDescent="0.35">
      <c r="A29" s="19">
        <v>46010</v>
      </c>
      <c r="B29" t="s">
        <v>1015</v>
      </c>
      <c r="C29" t="s">
        <v>10</v>
      </c>
      <c r="D29" s="1">
        <v>123355</v>
      </c>
      <c r="E29" s="1">
        <v>51638</v>
      </c>
      <c r="F29" s="2">
        <v>0.41861294637428598</v>
      </c>
      <c r="G29" s="1">
        <v>814</v>
      </c>
      <c r="H29" s="2">
        <v>1.5763584956814701E-2</v>
      </c>
      <c r="I29" s="2">
        <v>6.5988407441935903E-3</v>
      </c>
    </row>
    <row r="30" spans="1:9" x14ac:dyDescent="0.35">
      <c r="A30" s="19">
        <v>46010</v>
      </c>
      <c r="B30" t="s">
        <v>1015</v>
      </c>
      <c r="C30" t="s">
        <v>11</v>
      </c>
      <c r="D30" s="1">
        <v>14743</v>
      </c>
      <c r="E30" s="1">
        <v>6320</v>
      </c>
      <c r="F30" s="2">
        <v>0.42867801668588501</v>
      </c>
      <c r="G30" s="1">
        <v>92</v>
      </c>
      <c r="H30" s="2">
        <v>1.45569620253165E-2</v>
      </c>
      <c r="I30" s="2">
        <v>6.2402496099843996E-3</v>
      </c>
    </row>
    <row r="31" spans="1:9" ht="16" thickBot="1" x14ac:dyDescent="0.4">
      <c r="A31" s="37" t="s">
        <v>35</v>
      </c>
      <c r="D31" s="31">
        <f>SUM(D2:D30)</f>
        <v>20637757</v>
      </c>
      <c r="E31" s="31">
        <f>SUM(E2:E30)</f>
        <v>7134304</v>
      </c>
      <c r="F31" s="32">
        <f>AVERAGE(F2:F30)</f>
        <v>0.36750608802416224</v>
      </c>
      <c r="G31" s="31">
        <f>SUM(G2:G30)</f>
        <v>85865</v>
      </c>
      <c r="H31" s="32">
        <f>AVERAGE(H2:H30)</f>
        <v>1.3786020735043879E-2</v>
      </c>
      <c r="I31" s="32">
        <f>AVERAGE(I2:I30)</f>
        <v>5.0696198663675992E-3</v>
      </c>
    </row>
    <row r="32" spans="1:9" ht="15" thickBot="1" x14ac:dyDescent="0.4">
      <c r="A32" s="138" t="s">
        <v>302</v>
      </c>
      <c r="B32" s="138"/>
      <c r="C32" s="138"/>
      <c r="D32" s="138"/>
      <c r="E32" s="138"/>
      <c r="F32" s="138"/>
      <c r="G32" s="138"/>
      <c r="H32" s="138"/>
      <c r="I32" s="138"/>
    </row>
    <row r="33" spans="1:9" ht="15.5" x14ac:dyDescent="0.35">
      <c r="A33" s="38" t="s">
        <v>0</v>
      </c>
      <c r="B33" s="39" t="s">
        <v>1</v>
      </c>
      <c r="C33" s="39" t="s">
        <v>2</v>
      </c>
      <c r="D33" s="39" t="s">
        <v>3</v>
      </c>
      <c r="E33" s="39" t="s">
        <v>4</v>
      </c>
      <c r="F33" s="39" t="s">
        <v>5</v>
      </c>
      <c r="G33" s="39" t="s">
        <v>6</v>
      </c>
      <c r="H33" s="39" t="s">
        <v>7</v>
      </c>
      <c r="I33" s="40" t="s">
        <v>8</v>
      </c>
    </row>
    <row r="34" spans="1:9" x14ac:dyDescent="0.35">
      <c r="A34" s="5" t="s">
        <v>36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28">
        <v>46004</v>
      </c>
      <c r="B35" t="s">
        <v>996</v>
      </c>
      <c r="C35" t="s">
        <v>10</v>
      </c>
      <c r="D35" s="1">
        <v>380820</v>
      </c>
      <c r="E35" s="1">
        <v>137046</v>
      </c>
      <c r="F35" s="2">
        <v>0.35987080510477398</v>
      </c>
      <c r="G35" s="1">
        <v>2159</v>
      </c>
      <c r="H35" s="2">
        <v>1.5753834478934099E-2</v>
      </c>
      <c r="I35" s="29">
        <v>5.6693450974213497E-3</v>
      </c>
    </row>
    <row r="36" spans="1:9" x14ac:dyDescent="0.35">
      <c r="A36" s="28">
        <v>46004</v>
      </c>
      <c r="B36" t="s">
        <v>997</v>
      </c>
      <c r="C36" t="s">
        <v>10</v>
      </c>
      <c r="D36" s="1">
        <v>4710750</v>
      </c>
      <c r="E36" s="1">
        <v>1264177</v>
      </c>
      <c r="F36" s="2">
        <v>0.268360027596455</v>
      </c>
      <c r="G36" s="1">
        <v>21851</v>
      </c>
      <c r="H36" s="2">
        <v>1.72847631304794E-2</v>
      </c>
      <c r="I36" s="29">
        <v>4.6385395106936303E-3</v>
      </c>
    </row>
    <row r="37" spans="1:9" x14ac:dyDescent="0.35">
      <c r="A37" s="28">
        <v>46004</v>
      </c>
      <c r="B37" t="s">
        <v>997</v>
      </c>
      <c r="C37" t="s">
        <v>11</v>
      </c>
      <c r="D37" s="1">
        <v>300513</v>
      </c>
      <c r="E37" s="1">
        <v>85644</v>
      </c>
      <c r="F37" s="2">
        <v>0.28499266254704497</v>
      </c>
      <c r="G37" s="1">
        <v>1781</v>
      </c>
      <c r="H37" s="2">
        <v>2.0795385549483899E-2</v>
      </c>
      <c r="I37" s="29">
        <v>5.9265322964397503E-3</v>
      </c>
    </row>
    <row r="38" spans="1:9" x14ac:dyDescent="0.35">
      <c r="A38" s="28">
        <v>46008</v>
      </c>
      <c r="B38" t="s">
        <v>1009</v>
      </c>
      <c r="C38" t="s">
        <v>10</v>
      </c>
      <c r="D38" s="1">
        <v>1408954</v>
      </c>
      <c r="E38" s="1">
        <v>399259</v>
      </c>
      <c r="F38" s="2">
        <v>0.28337262962453003</v>
      </c>
      <c r="G38" s="1">
        <v>8393</v>
      </c>
      <c r="H38" s="2">
        <v>2.1021442221715699E-2</v>
      </c>
      <c r="I38" s="29">
        <v>5.9569013608677104E-3</v>
      </c>
    </row>
    <row r="39" spans="1:9" x14ac:dyDescent="0.35">
      <c r="A39" s="28">
        <v>46008</v>
      </c>
      <c r="B39" t="s">
        <v>1009</v>
      </c>
      <c r="C39" t="s">
        <v>11</v>
      </c>
      <c r="D39" s="1">
        <v>94109</v>
      </c>
      <c r="E39" s="1">
        <v>31418</v>
      </c>
      <c r="F39" s="2">
        <v>0.333846922185976</v>
      </c>
      <c r="G39" s="1">
        <v>1005</v>
      </c>
      <c r="H39" s="2">
        <v>3.1988032338150098E-2</v>
      </c>
      <c r="I39" s="29">
        <v>1.06791061428769E-2</v>
      </c>
    </row>
    <row r="40" spans="1:9" ht="16" thickBot="1" x14ac:dyDescent="0.4">
      <c r="A40" s="36" t="s">
        <v>35</v>
      </c>
      <c r="B40" s="4"/>
      <c r="C40" s="4"/>
      <c r="D40" s="33">
        <f>SUM(D35:D39)</f>
        <v>6895146</v>
      </c>
      <c r="E40" s="33">
        <f>SUM(E35:E39)</f>
        <v>1917544</v>
      </c>
      <c r="F40" s="34">
        <f>AVERAGE(F35:F39)</f>
        <v>0.30608860941175597</v>
      </c>
      <c r="G40" s="33">
        <f>SUM(G35:G39)</f>
        <v>35189</v>
      </c>
      <c r="H40" s="34">
        <f>AVERAGE(H35:H39)</f>
        <v>2.1368691543752639E-2</v>
      </c>
      <c r="I40" s="35">
        <f>AVERAGE(I35:I39)</f>
        <v>6.5740848816598684E-3</v>
      </c>
    </row>
    <row r="41" spans="1:9" ht="3" customHeight="1" thickBot="1" x14ac:dyDescent="0.4">
      <c r="A41" s="141"/>
      <c r="B41" s="142"/>
      <c r="C41" s="142"/>
      <c r="D41" s="142"/>
      <c r="E41" s="142"/>
      <c r="F41" s="142"/>
      <c r="G41" s="142"/>
      <c r="H41" s="142"/>
      <c r="I41" s="143"/>
    </row>
    <row r="42" spans="1:9" x14ac:dyDescent="0.35">
      <c r="A42" s="16" t="s">
        <v>37</v>
      </c>
      <c r="B42" s="17"/>
      <c r="C42" s="17"/>
      <c r="D42" s="17"/>
      <c r="E42" s="17"/>
      <c r="F42" s="17"/>
      <c r="G42" s="17"/>
      <c r="H42" s="17"/>
      <c r="I42" s="18"/>
    </row>
    <row r="43" spans="1:9" x14ac:dyDescent="0.35">
      <c r="A43" s="28">
        <v>46004</v>
      </c>
      <c r="B43" t="s">
        <v>998</v>
      </c>
      <c r="C43" t="s">
        <v>10</v>
      </c>
      <c r="D43" s="1">
        <v>3524</v>
      </c>
      <c r="E43" s="1">
        <v>1631</v>
      </c>
      <c r="F43" s="2">
        <v>0.46282633371169102</v>
      </c>
      <c r="G43" s="1">
        <v>46</v>
      </c>
      <c r="H43" s="2">
        <v>2.8203556100551801E-2</v>
      </c>
      <c r="I43" s="29">
        <v>1.30533484676504E-2</v>
      </c>
    </row>
    <row r="44" spans="1:9" x14ac:dyDescent="0.35">
      <c r="A44" s="28">
        <v>46004</v>
      </c>
      <c r="B44" t="s">
        <v>999</v>
      </c>
      <c r="C44" t="s">
        <v>10</v>
      </c>
      <c r="D44" s="1">
        <v>37972</v>
      </c>
      <c r="E44" s="1">
        <v>15934</v>
      </c>
      <c r="F44" s="2">
        <v>0.41962498683240301</v>
      </c>
      <c r="G44" s="1">
        <v>325</v>
      </c>
      <c r="H44" s="2">
        <v>2.0396636124011502E-2</v>
      </c>
      <c r="I44" s="29">
        <v>8.5589381649636594E-3</v>
      </c>
    </row>
    <row r="45" spans="1:9" x14ac:dyDescent="0.35">
      <c r="A45" s="28">
        <v>46005</v>
      </c>
      <c r="B45" t="s">
        <v>1000</v>
      </c>
      <c r="C45" t="s">
        <v>10</v>
      </c>
      <c r="D45" s="1">
        <v>3137181</v>
      </c>
      <c r="E45" s="1">
        <v>1237416</v>
      </c>
      <c r="F45" s="2">
        <v>0.39443564142457799</v>
      </c>
      <c r="G45" s="1">
        <v>11995</v>
      </c>
      <c r="H45" s="2">
        <v>9.6935872818841792E-3</v>
      </c>
      <c r="I45" s="29">
        <v>3.8234963172351201E-3</v>
      </c>
    </row>
    <row r="46" spans="1:9" x14ac:dyDescent="0.35">
      <c r="A46" s="28">
        <v>46005</v>
      </c>
      <c r="B46" t="s">
        <v>1000</v>
      </c>
      <c r="C46" t="s">
        <v>11</v>
      </c>
      <c r="D46" s="1">
        <v>165143</v>
      </c>
      <c r="E46" s="1">
        <v>68059</v>
      </c>
      <c r="F46" s="2">
        <v>0.412121615811751</v>
      </c>
      <c r="G46" s="1">
        <v>1032</v>
      </c>
      <c r="H46" s="2">
        <v>1.5163314183282201E-2</v>
      </c>
      <c r="I46" s="29">
        <v>6.2491295422754797E-3</v>
      </c>
    </row>
    <row r="47" spans="1:9" x14ac:dyDescent="0.35">
      <c r="A47" s="28">
        <v>46007</v>
      </c>
      <c r="B47" t="s">
        <v>1001</v>
      </c>
      <c r="C47" t="s">
        <v>1002</v>
      </c>
      <c r="D47" s="1">
        <v>169829</v>
      </c>
      <c r="E47" s="1">
        <v>66973</v>
      </c>
      <c r="F47" s="2">
        <v>0.39435549876640602</v>
      </c>
      <c r="G47" s="1">
        <v>1395</v>
      </c>
      <c r="H47" s="2">
        <v>2.0829289415137401E-2</v>
      </c>
      <c r="I47" s="29">
        <v>8.2141448162563503E-3</v>
      </c>
    </row>
    <row r="48" spans="1:9" x14ac:dyDescent="0.35">
      <c r="A48" s="28">
        <v>46007</v>
      </c>
      <c r="B48" t="s">
        <v>1001</v>
      </c>
      <c r="C48" t="s">
        <v>1003</v>
      </c>
      <c r="D48" s="1">
        <v>141</v>
      </c>
      <c r="E48" s="1">
        <v>40</v>
      </c>
      <c r="F48" s="2">
        <v>0.28368794326241098</v>
      </c>
      <c r="G48" s="1">
        <v>1</v>
      </c>
      <c r="H48" s="2">
        <v>2.5000000000000001E-2</v>
      </c>
      <c r="I48" s="29">
        <v>7.09219858156028E-3</v>
      </c>
    </row>
    <row r="49" spans="1:9" x14ac:dyDescent="0.35">
      <c r="A49" s="28">
        <v>46007</v>
      </c>
      <c r="B49" t="s">
        <v>1001</v>
      </c>
      <c r="C49" t="s">
        <v>1004</v>
      </c>
      <c r="D49" s="1">
        <v>169991</v>
      </c>
      <c r="E49" s="1">
        <v>66349</v>
      </c>
      <c r="F49" s="2">
        <v>0.39030889870640201</v>
      </c>
      <c r="G49" s="1">
        <v>1097</v>
      </c>
      <c r="H49" s="2">
        <v>1.6533783478274E-2</v>
      </c>
      <c r="I49" s="29">
        <v>6.45328282085522E-3</v>
      </c>
    </row>
    <row r="50" spans="1:9" x14ac:dyDescent="0.35">
      <c r="A50" s="28">
        <v>46007</v>
      </c>
      <c r="B50" t="s">
        <v>1001</v>
      </c>
      <c r="C50" t="s">
        <v>1005</v>
      </c>
      <c r="D50" s="1">
        <v>156</v>
      </c>
      <c r="E50" s="1">
        <v>45</v>
      </c>
      <c r="F50" s="2">
        <v>0.28846153846153799</v>
      </c>
      <c r="G50" s="1">
        <v>0</v>
      </c>
      <c r="H50" s="2">
        <v>0</v>
      </c>
      <c r="I50" s="29">
        <v>0</v>
      </c>
    </row>
    <row r="51" spans="1:9" x14ac:dyDescent="0.35">
      <c r="A51" s="28">
        <v>46007</v>
      </c>
      <c r="B51" t="s">
        <v>1001</v>
      </c>
      <c r="C51" t="s">
        <v>1006</v>
      </c>
      <c r="D51" s="1">
        <v>170136</v>
      </c>
      <c r="E51" s="1">
        <v>66758</v>
      </c>
      <c r="F51" s="2">
        <v>0.39238021347627799</v>
      </c>
      <c r="G51" s="1">
        <v>958</v>
      </c>
      <c r="H51" s="2">
        <v>1.4350340034153201E-2</v>
      </c>
      <c r="I51" s="29">
        <v>5.6307894860582099E-3</v>
      </c>
    </row>
    <row r="52" spans="1:9" x14ac:dyDescent="0.35">
      <c r="A52" s="28">
        <v>46007</v>
      </c>
      <c r="B52" t="s">
        <v>1001</v>
      </c>
      <c r="C52" t="s">
        <v>1007</v>
      </c>
      <c r="D52" s="1">
        <v>181</v>
      </c>
      <c r="E52" s="1">
        <v>59</v>
      </c>
      <c r="F52" s="2">
        <v>0.325966850828729</v>
      </c>
      <c r="G52" s="1">
        <v>0</v>
      </c>
      <c r="H52" s="2">
        <v>0</v>
      </c>
      <c r="I52" s="29">
        <v>0</v>
      </c>
    </row>
    <row r="53" spans="1:9" x14ac:dyDescent="0.35">
      <c r="A53" s="28">
        <v>46007</v>
      </c>
      <c r="B53" t="s">
        <v>1008</v>
      </c>
      <c r="C53" t="s">
        <v>10</v>
      </c>
      <c r="D53" s="1">
        <v>56932</v>
      </c>
      <c r="E53" s="1">
        <v>21348</v>
      </c>
      <c r="F53" s="2">
        <v>0.374973652778754</v>
      </c>
      <c r="G53" s="1">
        <v>224</v>
      </c>
      <c r="H53" s="2">
        <v>1.0492786209481001E-2</v>
      </c>
      <c r="I53" s="29">
        <v>3.9345183727956196E-3</v>
      </c>
    </row>
    <row r="54" spans="1:9" x14ac:dyDescent="0.35">
      <c r="A54" s="28">
        <v>46009</v>
      </c>
      <c r="B54" t="s">
        <v>1010</v>
      </c>
      <c r="C54" t="s">
        <v>10</v>
      </c>
      <c r="D54" s="1">
        <v>6397171</v>
      </c>
      <c r="E54" s="1">
        <v>2327431</v>
      </c>
      <c r="F54" s="2">
        <v>0.36382191440560202</v>
      </c>
      <c r="G54" s="1">
        <v>22969</v>
      </c>
      <c r="H54" s="2">
        <v>9.8688210305697601E-3</v>
      </c>
      <c r="I54" s="29">
        <v>3.5904933602681601E-3</v>
      </c>
    </row>
    <row r="55" spans="1:9" x14ac:dyDescent="0.35">
      <c r="A55" s="28">
        <v>46009</v>
      </c>
      <c r="B55" t="s">
        <v>1010</v>
      </c>
      <c r="C55" t="s">
        <v>11</v>
      </c>
      <c r="D55" s="1">
        <v>408987</v>
      </c>
      <c r="E55" s="1">
        <v>145055</v>
      </c>
      <c r="F55" s="2">
        <v>0.35466897480849002</v>
      </c>
      <c r="G55" s="1">
        <v>1875</v>
      </c>
      <c r="H55" s="2">
        <v>1.29261314673744E-2</v>
      </c>
      <c r="I55" s="29">
        <v>4.58449779577346E-3</v>
      </c>
    </row>
    <row r="56" spans="1:9" x14ac:dyDescent="0.35">
      <c r="A56" s="28">
        <v>46009</v>
      </c>
      <c r="B56" t="s">
        <v>904</v>
      </c>
      <c r="C56" t="s">
        <v>1011</v>
      </c>
      <c r="D56" s="1">
        <v>44370</v>
      </c>
      <c r="E56" s="1">
        <v>16232</v>
      </c>
      <c r="F56" s="2">
        <v>0.36583276988956498</v>
      </c>
      <c r="G56" s="1">
        <v>167</v>
      </c>
      <c r="H56" s="2">
        <v>1.0288319369147401E-2</v>
      </c>
      <c r="I56" s="29">
        <v>3.7638043723236402E-3</v>
      </c>
    </row>
    <row r="57" spans="1:9" x14ac:dyDescent="0.35">
      <c r="A57" s="28">
        <v>46010</v>
      </c>
      <c r="B57" t="s">
        <v>1013</v>
      </c>
      <c r="C57" t="s">
        <v>10</v>
      </c>
      <c r="D57" s="1">
        <v>776979</v>
      </c>
      <c r="E57" s="1">
        <v>319030</v>
      </c>
      <c r="F57" s="2">
        <v>0.41060311797358701</v>
      </c>
      <c r="G57" s="1">
        <v>3939</v>
      </c>
      <c r="H57" s="2">
        <v>1.2343666739805E-2</v>
      </c>
      <c r="I57" s="29">
        <v>5.0683480505908096E-3</v>
      </c>
    </row>
    <row r="58" spans="1:9" x14ac:dyDescent="0.35">
      <c r="A58" s="28">
        <v>46010</v>
      </c>
      <c r="B58" t="s">
        <v>1013</v>
      </c>
      <c r="C58" t="s">
        <v>11</v>
      </c>
      <c r="D58" s="1">
        <v>29110</v>
      </c>
      <c r="E58" s="1">
        <v>12164</v>
      </c>
      <c r="F58" s="2">
        <v>0.41786327722432198</v>
      </c>
      <c r="G58" s="1">
        <v>151</v>
      </c>
      <c r="H58" s="2">
        <v>1.24136797106215E-2</v>
      </c>
      <c r="I58" s="29">
        <v>5.1872208862933696E-3</v>
      </c>
    </row>
    <row r="59" spans="1:9" x14ac:dyDescent="0.35">
      <c r="A59" s="28">
        <v>46010</v>
      </c>
      <c r="B59" t="s">
        <v>1014</v>
      </c>
      <c r="C59" t="s">
        <v>74</v>
      </c>
      <c r="D59" s="1">
        <v>25256</v>
      </c>
      <c r="E59" s="1">
        <v>9219</v>
      </c>
      <c r="F59" s="2">
        <v>0.36502217294900202</v>
      </c>
      <c r="G59" s="1">
        <v>71</v>
      </c>
      <c r="H59" s="2">
        <v>7.7014860613949503E-3</v>
      </c>
      <c r="I59" s="29">
        <v>2.8112131770668398E-3</v>
      </c>
    </row>
    <row r="60" spans="1:9" x14ac:dyDescent="0.35">
      <c r="A60" s="28">
        <v>46010</v>
      </c>
      <c r="B60" t="s">
        <v>1014</v>
      </c>
      <c r="C60" t="s">
        <v>72</v>
      </c>
      <c r="D60" s="1">
        <v>479418</v>
      </c>
      <c r="E60" s="1">
        <v>175630</v>
      </c>
      <c r="F60" s="2">
        <v>0.36634002060832099</v>
      </c>
      <c r="G60" s="1">
        <v>1381</v>
      </c>
      <c r="H60" s="2">
        <v>7.8631213346239195E-3</v>
      </c>
      <c r="I60" s="29">
        <v>2.88057603177186E-3</v>
      </c>
    </row>
    <row r="61" spans="1:9" x14ac:dyDescent="0.35">
      <c r="A61" s="28">
        <v>46010</v>
      </c>
      <c r="B61" t="s">
        <v>1014</v>
      </c>
      <c r="C61" t="s">
        <v>75</v>
      </c>
      <c r="D61" s="1">
        <v>1508</v>
      </c>
      <c r="E61" s="1">
        <v>526</v>
      </c>
      <c r="F61" s="2">
        <v>0.34880636604774501</v>
      </c>
      <c r="G61" s="1">
        <v>4</v>
      </c>
      <c r="H61" s="2">
        <v>7.6045627376425898E-3</v>
      </c>
      <c r="I61" s="29">
        <v>2.6525198938992002E-3</v>
      </c>
    </row>
    <row r="62" spans="1:9" x14ac:dyDescent="0.35">
      <c r="A62" s="28">
        <v>46010</v>
      </c>
      <c r="B62" t="s">
        <v>1014</v>
      </c>
      <c r="C62" t="s">
        <v>73</v>
      </c>
      <c r="D62" s="1">
        <v>29366</v>
      </c>
      <c r="E62" s="1">
        <v>10432</v>
      </c>
      <c r="F62" s="2">
        <v>0.35524075461417998</v>
      </c>
      <c r="G62" s="1">
        <v>131</v>
      </c>
      <c r="H62" s="2">
        <v>1.2557515337423299E-2</v>
      </c>
      <c r="I62" s="29">
        <v>4.4609412245453896E-3</v>
      </c>
    </row>
    <row r="63" spans="1:9" x14ac:dyDescent="0.35">
      <c r="A63" s="28">
        <v>46010</v>
      </c>
      <c r="B63" t="s">
        <v>1015</v>
      </c>
      <c r="C63" t="s">
        <v>10</v>
      </c>
      <c r="D63" s="1">
        <v>123355</v>
      </c>
      <c r="E63" s="1">
        <v>51638</v>
      </c>
      <c r="F63" s="2">
        <v>0.41861294637428598</v>
      </c>
      <c r="G63" s="1">
        <v>814</v>
      </c>
      <c r="H63" s="2">
        <v>1.5763584956814701E-2</v>
      </c>
      <c r="I63" s="29">
        <v>6.5988407441935903E-3</v>
      </c>
    </row>
    <row r="64" spans="1:9" x14ac:dyDescent="0.35">
      <c r="A64" s="28">
        <v>46010</v>
      </c>
      <c r="B64" t="s">
        <v>1015</v>
      </c>
      <c r="C64" t="s">
        <v>11</v>
      </c>
      <c r="D64" s="1">
        <v>14743</v>
      </c>
      <c r="E64" s="1">
        <v>6320</v>
      </c>
      <c r="F64" s="2">
        <v>0.42867801668588501</v>
      </c>
      <c r="G64" s="1">
        <v>92</v>
      </c>
      <c r="H64" s="2">
        <v>1.45569620253165E-2</v>
      </c>
      <c r="I64" s="29">
        <v>6.2402496099843996E-3</v>
      </c>
    </row>
    <row r="65" spans="1:9" ht="16" thickBot="1" x14ac:dyDescent="0.4">
      <c r="A65" s="36" t="s">
        <v>35</v>
      </c>
      <c r="B65" s="4"/>
      <c r="C65" s="4"/>
      <c r="D65" s="33">
        <f>SUM(D43:D64)</f>
        <v>12241449</v>
      </c>
      <c r="E65" s="33">
        <f>SUM(E43:E64)</f>
        <v>4618289</v>
      </c>
      <c r="F65" s="34">
        <f>AVERAGE(F43:F64)</f>
        <v>0.37884697752917851</v>
      </c>
      <c r="G65" s="33">
        <f>SUM(G43:G64)</f>
        <v>48667</v>
      </c>
      <c r="H65" s="34">
        <f>AVERAGE(H43:H64)</f>
        <v>1.2934142890795874E-2</v>
      </c>
      <c r="I65" s="35">
        <f>AVERAGE(I43:I64)</f>
        <v>5.0385705325618653E-3</v>
      </c>
    </row>
    <row r="66" spans="1:9" ht="3" customHeight="1" thickBot="1" x14ac:dyDescent="0.4">
      <c r="A66" s="139"/>
      <c r="B66" s="138"/>
      <c r="C66" s="138"/>
      <c r="D66" s="138"/>
      <c r="E66" s="138"/>
      <c r="F66" s="138"/>
      <c r="G66" s="138"/>
      <c r="H66" s="138"/>
      <c r="I66" s="140"/>
    </row>
    <row r="67" spans="1:9" x14ac:dyDescent="0.35">
      <c r="A67" s="16" t="s">
        <v>38</v>
      </c>
      <c r="B67" s="17"/>
      <c r="C67" s="17"/>
      <c r="D67" s="17"/>
      <c r="E67" s="17"/>
      <c r="F67" s="17"/>
      <c r="G67" s="17"/>
      <c r="H67" s="17"/>
      <c r="I67" s="18"/>
    </row>
    <row r="68" spans="1:9" x14ac:dyDescent="0.35">
      <c r="A68" s="8">
        <v>46010</v>
      </c>
      <c r="B68" t="s">
        <v>1012</v>
      </c>
      <c r="C68" t="s">
        <v>403</v>
      </c>
      <c r="D68" s="1">
        <v>1418407</v>
      </c>
      <c r="E68" s="1">
        <v>565895</v>
      </c>
      <c r="F68" s="3">
        <v>0.39900000000000002</v>
      </c>
      <c r="G68" s="1">
        <v>1844</v>
      </c>
      <c r="H68" s="3">
        <v>3.3E-3</v>
      </c>
      <c r="I68" s="11">
        <v>1.2999999999999999E-3</v>
      </c>
    </row>
    <row r="69" spans="1:9" x14ac:dyDescent="0.35">
      <c r="A69" s="8">
        <v>46010</v>
      </c>
      <c r="B69" t="s">
        <v>993</v>
      </c>
      <c r="C69" t="s">
        <v>404</v>
      </c>
      <c r="D69" s="1">
        <v>82755</v>
      </c>
      <c r="E69" s="1">
        <v>32576</v>
      </c>
      <c r="F69" s="3">
        <v>0.39360000000000001</v>
      </c>
      <c r="G69">
        <v>165</v>
      </c>
      <c r="H69" s="3">
        <v>5.1000000000000004E-3</v>
      </c>
      <c r="I69" s="11">
        <v>2E-3</v>
      </c>
    </row>
    <row r="70" spans="1:9" ht="16" thickBot="1" x14ac:dyDescent="0.4">
      <c r="A70" s="36" t="s">
        <v>35</v>
      </c>
      <c r="B70" s="4"/>
      <c r="C70" s="4"/>
      <c r="D70" s="33">
        <f>SUM(D68:D69)</f>
        <v>1501162</v>
      </c>
      <c r="E70" s="33">
        <f>SUM(E68:E69)</f>
        <v>598471</v>
      </c>
      <c r="F70" s="34">
        <f>AVERAGE(F68:F69)</f>
        <v>0.39629999999999999</v>
      </c>
      <c r="G70" s="33">
        <f>SUM(G68:G69)</f>
        <v>2009</v>
      </c>
      <c r="H70" s="34">
        <f>AVERAGE(H68:H69)</f>
        <v>4.2000000000000006E-3</v>
      </c>
      <c r="I70" s="35">
        <f>AVERAGE(I68:I69)</f>
        <v>1.65E-3</v>
      </c>
    </row>
  </sheetData>
  <mergeCells count="3">
    <mergeCell ref="A32:I32"/>
    <mergeCell ref="A41:I41"/>
    <mergeCell ref="A66:I66"/>
  </mergeCells>
  <pageMargins left="0.7" right="0.7" top="0.75" bottom="0.75" header="0.3" footer="0.3"/>
  <ignoredErrors>
    <ignoredError sqref="F31:G31 F40:G40 F70:G70 F65:G65" formula="1"/>
  </ignoredErrors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037E-8D72-4D80-9A56-9E5DF0E6D2A0}">
  <dimension ref="A1:I54"/>
  <sheetViews>
    <sheetView workbookViewId="0">
      <selection activeCell="A2" sqref="A2"/>
    </sheetView>
  </sheetViews>
  <sheetFormatPr defaultRowHeight="14.5" x14ac:dyDescent="0.35"/>
  <cols>
    <col min="1" max="1" width="11.81640625" customWidth="1"/>
    <col min="2" max="2" width="89.81640625" customWidth="1"/>
    <col min="3" max="3" width="41.816406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46011</v>
      </c>
      <c r="B2" t="s">
        <v>1016</v>
      </c>
      <c r="C2" t="s">
        <v>10</v>
      </c>
      <c r="D2" s="1">
        <v>379256</v>
      </c>
      <c r="E2" s="1">
        <v>149648</v>
      </c>
      <c r="F2" s="2">
        <v>0.39458307844833002</v>
      </c>
      <c r="G2" s="1">
        <v>1842</v>
      </c>
      <c r="H2" s="2">
        <v>1.23088848497808E-2</v>
      </c>
      <c r="I2" s="2">
        <v>4.8568776762925297E-3</v>
      </c>
    </row>
    <row r="3" spans="1:9" x14ac:dyDescent="0.35">
      <c r="A3" s="19">
        <v>46011</v>
      </c>
      <c r="B3" t="s">
        <v>1016</v>
      </c>
      <c r="C3" t="s">
        <v>11</v>
      </c>
      <c r="D3" s="1">
        <v>21760</v>
      </c>
      <c r="E3" s="1">
        <v>9039</v>
      </c>
      <c r="F3" s="2">
        <v>0.41539522058823503</v>
      </c>
      <c r="G3" s="1">
        <v>288</v>
      </c>
      <c r="H3" s="2">
        <v>3.1861931629605003E-2</v>
      </c>
      <c r="I3" s="2">
        <v>1.32352941176471E-2</v>
      </c>
    </row>
    <row r="4" spans="1:9" x14ac:dyDescent="0.35">
      <c r="A4" s="19">
        <v>46011</v>
      </c>
      <c r="B4" t="s">
        <v>1017</v>
      </c>
      <c r="C4" t="s">
        <v>10</v>
      </c>
      <c r="D4" s="1">
        <v>4721395</v>
      </c>
      <c r="E4" s="1">
        <v>1232029</v>
      </c>
      <c r="F4" s="2">
        <v>0.260945970417641</v>
      </c>
      <c r="G4" s="1">
        <v>18903</v>
      </c>
      <c r="H4" s="2">
        <v>1.5342982997965099E-2</v>
      </c>
      <c r="I4" s="2">
        <v>4.0036895875053902E-3</v>
      </c>
    </row>
    <row r="5" spans="1:9" x14ac:dyDescent="0.35">
      <c r="A5" s="19">
        <v>46011</v>
      </c>
      <c r="B5" t="s">
        <v>1017</v>
      </c>
      <c r="C5" t="s">
        <v>11</v>
      </c>
      <c r="D5" s="1">
        <v>299618</v>
      </c>
      <c r="E5" s="1">
        <v>84348</v>
      </c>
      <c r="F5" s="2">
        <v>0.28151846684778598</v>
      </c>
      <c r="G5" s="1">
        <v>1592</v>
      </c>
      <c r="H5" s="2">
        <v>1.8874187888272401E-2</v>
      </c>
      <c r="I5" s="2">
        <v>5.3134324373034997E-3</v>
      </c>
    </row>
    <row r="6" spans="1:9" x14ac:dyDescent="0.35">
      <c r="A6" s="19">
        <v>46011</v>
      </c>
      <c r="B6" t="s">
        <v>1018</v>
      </c>
      <c r="C6" t="s">
        <v>10</v>
      </c>
      <c r="D6" s="1">
        <v>33644</v>
      </c>
      <c r="E6" s="1">
        <v>12310</v>
      </c>
      <c r="F6" s="2">
        <v>0.36588990607537702</v>
      </c>
      <c r="G6" s="1">
        <v>143</v>
      </c>
      <c r="H6" s="2">
        <v>1.16165718927701E-2</v>
      </c>
      <c r="I6" s="2">
        <v>4.2503863987635197E-3</v>
      </c>
    </row>
    <row r="7" spans="1:9" x14ac:dyDescent="0.35">
      <c r="A7" s="19">
        <v>46011</v>
      </c>
      <c r="B7" t="s">
        <v>1019</v>
      </c>
      <c r="C7" t="s">
        <v>10</v>
      </c>
      <c r="D7" s="1">
        <v>262572</v>
      </c>
      <c r="E7" s="1">
        <v>101739</v>
      </c>
      <c r="F7" s="2">
        <v>0.38747086513413498</v>
      </c>
      <c r="G7" s="1">
        <v>1408</v>
      </c>
      <c r="H7" s="2">
        <v>1.38393339820521E-2</v>
      </c>
      <c r="I7" s="2">
        <v>5.3623387109059603E-3</v>
      </c>
    </row>
    <row r="8" spans="1:9" x14ac:dyDescent="0.35">
      <c r="A8" s="19">
        <v>46012</v>
      </c>
      <c r="B8" t="s">
        <v>1020</v>
      </c>
      <c r="C8" t="s">
        <v>10</v>
      </c>
      <c r="D8" s="1">
        <v>1293747</v>
      </c>
      <c r="E8" s="1">
        <v>478287</v>
      </c>
      <c r="F8" s="2">
        <v>0.36969129203777901</v>
      </c>
      <c r="G8" s="1">
        <v>5444</v>
      </c>
      <c r="H8" s="2">
        <v>1.1382287204126399E-2</v>
      </c>
      <c r="I8" s="2">
        <v>4.2079324628385602E-3</v>
      </c>
    </row>
    <row r="9" spans="1:9" x14ac:dyDescent="0.35">
      <c r="A9" s="19">
        <v>46012</v>
      </c>
      <c r="B9" t="s">
        <v>1020</v>
      </c>
      <c r="C9" t="s">
        <v>11</v>
      </c>
      <c r="D9" s="1">
        <v>94069</v>
      </c>
      <c r="E9" s="1">
        <v>33756</v>
      </c>
      <c r="F9" s="2">
        <v>0.35884297696371797</v>
      </c>
      <c r="G9" s="1">
        <v>552</v>
      </c>
      <c r="H9" s="2">
        <v>1.6352648418059001E-2</v>
      </c>
      <c r="I9" s="2">
        <v>5.8680330395773301E-3</v>
      </c>
    </row>
    <row r="10" spans="1:9" x14ac:dyDescent="0.35">
      <c r="A10" s="19">
        <v>46013</v>
      </c>
      <c r="B10" t="s">
        <v>1021</v>
      </c>
      <c r="C10" t="s">
        <v>10</v>
      </c>
      <c r="D10" s="1">
        <v>47915</v>
      </c>
      <c r="E10" s="1">
        <v>21702</v>
      </c>
      <c r="F10" s="2">
        <v>0.45292705833246399</v>
      </c>
      <c r="G10" s="1">
        <v>437</v>
      </c>
      <c r="H10" s="2">
        <v>2.0136392959174299E-2</v>
      </c>
      <c r="I10" s="2">
        <v>9.1203172284253405E-3</v>
      </c>
    </row>
    <row r="11" spans="1:9" x14ac:dyDescent="0.35">
      <c r="A11" s="19">
        <v>46013</v>
      </c>
      <c r="B11" t="s">
        <v>1022</v>
      </c>
      <c r="C11" t="s">
        <v>10</v>
      </c>
      <c r="D11" s="1">
        <v>216806</v>
      </c>
      <c r="E11" s="1">
        <v>82364</v>
      </c>
      <c r="F11" s="2">
        <v>0.37989723531636599</v>
      </c>
      <c r="G11" s="1">
        <v>1091</v>
      </c>
      <c r="H11" s="2">
        <v>1.32460783837599E-2</v>
      </c>
      <c r="I11" s="2">
        <v>5.0321485567742597E-3</v>
      </c>
    </row>
    <row r="12" spans="1:9" x14ac:dyDescent="0.35">
      <c r="A12" s="19">
        <v>46014</v>
      </c>
      <c r="B12" t="s">
        <v>1023</v>
      </c>
      <c r="C12" t="s">
        <v>10</v>
      </c>
      <c r="D12" s="1">
        <v>5577715</v>
      </c>
      <c r="E12" s="1">
        <v>2027469</v>
      </c>
      <c r="F12" s="2">
        <v>0.36349454929124198</v>
      </c>
      <c r="G12" s="1">
        <v>19099</v>
      </c>
      <c r="H12" s="2">
        <v>9.4201193705057903E-3</v>
      </c>
      <c r="I12" s="2">
        <v>3.4241620448517002E-3</v>
      </c>
    </row>
    <row r="13" spans="1:9" x14ac:dyDescent="0.35">
      <c r="A13" s="19">
        <v>46014</v>
      </c>
      <c r="B13" t="s">
        <v>1023</v>
      </c>
      <c r="C13" t="s">
        <v>11</v>
      </c>
      <c r="D13" s="1">
        <v>368432</v>
      </c>
      <c r="E13" s="1">
        <v>134441</v>
      </c>
      <c r="F13" s="2">
        <v>0.36490044295826601</v>
      </c>
      <c r="G13" s="1">
        <v>1907</v>
      </c>
      <c r="H13" s="2">
        <v>1.4184660929329599E-2</v>
      </c>
      <c r="I13" s="2">
        <v>5.1759890563251804E-3</v>
      </c>
    </row>
    <row r="14" spans="1:9" x14ac:dyDescent="0.35">
      <c r="A14" s="19">
        <v>46014</v>
      </c>
      <c r="B14" t="s">
        <v>1024</v>
      </c>
      <c r="C14" t="s">
        <v>10</v>
      </c>
      <c r="D14" s="1">
        <v>747282</v>
      </c>
      <c r="E14" s="1">
        <v>274847</v>
      </c>
      <c r="F14" s="2">
        <v>0.36779555776801798</v>
      </c>
      <c r="G14" s="1">
        <v>2630</v>
      </c>
      <c r="H14" s="2">
        <v>9.5689601851211802E-3</v>
      </c>
      <c r="I14" s="2">
        <v>3.5194210485465999E-3</v>
      </c>
    </row>
    <row r="15" spans="1:9" x14ac:dyDescent="0.35">
      <c r="A15" s="19">
        <v>46014</v>
      </c>
      <c r="B15" t="s">
        <v>1024</v>
      </c>
      <c r="C15" t="s">
        <v>11</v>
      </c>
      <c r="D15" s="1">
        <v>38802</v>
      </c>
      <c r="E15" s="1">
        <v>13827</v>
      </c>
      <c r="F15" s="2">
        <v>0.35634761094788903</v>
      </c>
      <c r="G15" s="1">
        <v>187</v>
      </c>
      <c r="H15" s="2">
        <v>1.3524264120922801E-2</v>
      </c>
      <c r="I15" s="2">
        <v>4.8193392093191104E-3</v>
      </c>
    </row>
    <row r="16" spans="1:9" x14ac:dyDescent="0.35">
      <c r="A16" s="19">
        <v>46014</v>
      </c>
      <c r="B16" t="s">
        <v>1025</v>
      </c>
      <c r="C16" t="s">
        <v>10</v>
      </c>
      <c r="D16" s="1">
        <v>56570</v>
      </c>
      <c r="E16" s="1">
        <v>21157</v>
      </c>
      <c r="F16" s="2">
        <v>0.37399681810146701</v>
      </c>
      <c r="G16" s="1">
        <v>303</v>
      </c>
      <c r="H16" s="2">
        <v>1.43215011580092E-2</v>
      </c>
      <c r="I16" s="2">
        <v>5.3561958635319103E-3</v>
      </c>
    </row>
    <row r="17" spans="1:9" x14ac:dyDescent="0.35">
      <c r="A17" s="19">
        <v>46015</v>
      </c>
      <c r="B17" t="s">
        <v>1026</v>
      </c>
      <c r="C17" t="s">
        <v>10</v>
      </c>
      <c r="D17" s="1">
        <v>1407523</v>
      </c>
      <c r="E17" s="1">
        <v>390588</v>
      </c>
      <c r="F17" s="2">
        <v>0.27750026109697701</v>
      </c>
      <c r="G17" s="1">
        <v>9669</v>
      </c>
      <c r="H17" s="2">
        <v>2.4754984792159498E-2</v>
      </c>
      <c r="I17" s="2">
        <v>6.8695147432759496E-3</v>
      </c>
    </row>
    <row r="18" spans="1:9" x14ac:dyDescent="0.35">
      <c r="A18" s="19">
        <v>46015</v>
      </c>
      <c r="B18" t="s">
        <v>1026</v>
      </c>
      <c r="C18" t="s">
        <v>11</v>
      </c>
      <c r="D18" s="1">
        <v>93416</v>
      </c>
      <c r="E18" s="1">
        <v>30174</v>
      </c>
      <c r="F18" s="2">
        <v>0.323006765436328</v>
      </c>
      <c r="G18" s="1">
        <v>835</v>
      </c>
      <c r="H18" s="2">
        <v>2.7672830914031901E-2</v>
      </c>
      <c r="I18" s="2">
        <v>8.9385116040078798E-3</v>
      </c>
    </row>
    <row r="19" spans="1:9" x14ac:dyDescent="0.35">
      <c r="A19" s="19">
        <v>46017</v>
      </c>
      <c r="B19" t="s">
        <v>1027</v>
      </c>
      <c r="C19" t="s">
        <v>1028</v>
      </c>
      <c r="D19" s="1">
        <v>587142</v>
      </c>
      <c r="E19" s="1">
        <v>205902</v>
      </c>
      <c r="F19" s="3">
        <v>0.35070000000000001</v>
      </c>
      <c r="G19">
        <v>641</v>
      </c>
      <c r="H19" s="3">
        <v>3.0999999999999999E-3</v>
      </c>
      <c r="I19" s="3">
        <v>1.1000000000000001E-3</v>
      </c>
    </row>
    <row r="20" spans="1:9" x14ac:dyDescent="0.35">
      <c r="A20" s="19">
        <v>46017</v>
      </c>
      <c r="B20" t="s">
        <v>1029</v>
      </c>
      <c r="C20" t="s">
        <v>1030</v>
      </c>
      <c r="D20" s="1">
        <v>41390</v>
      </c>
      <c r="E20" s="1">
        <v>13397</v>
      </c>
      <c r="F20" s="3">
        <v>0.32369999999999999</v>
      </c>
      <c r="G20">
        <v>71</v>
      </c>
      <c r="H20" s="3">
        <v>5.3E-3</v>
      </c>
      <c r="I20" s="3">
        <v>1.6999999999999999E-3</v>
      </c>
    </row>
    <row r="21" spans="1:9" x14ac:dyDescent="0.35">
      <c r="A21" s="19">
        <v>46017</v>
      </c>
      <c r="B21" t="s">
        <v>1031</v>
      </c>
      <c r="C21" t="s">
        <v>1028</v>
      </c>
      <c r="D21" s="1">
        <v>771139</v>
      </c>
      <c r="E21" s="1">
        <v>294554</v>
      </c>
      <c r="F21" s="3">
        <v>0.38200000000000001</v>
      </c>
      <c r="G21">
        <v>979</v>
      </c>
      <c r="H21" s="3">
        <v>3.3E-3</v>
      </c>
      <c r="I21" s="3">
        <v>1.2999999999999999E-3</v>
      </c>
    </row>
    <row r="22" spans="1:9" x14ac:dyDescent="0.35">
      <c r="A22" s="19">
        <v>46017</v>
      </c>
      <c r="B22" t="s">
        <v>1032</v>
      </c>
      <c r="C22" t="s">
        <v>1030</v>
      </c>
      <c r="D22" s="1">
        <v>47136</v>
      </c>
      <c r="E22" s="1">
        <v>17213</v>
      </c>
      <c r="F22" s="3">
        <v>0.36520000000000002</v>
      </c>
      <c r="G22">
        <v>92</v>
      </c>
      <c r="H22" s="3">
        <v>5.3E-3</v>
      </c>
      <c r="I22" s="3">
        <v>2E-3</v>
      </c>
    </row>
    <row r="23" spans="1:9" ht="16" thickBot="1" x14ac:dyDescent="0.4">
      <c r="A23" s="37" t="s">
        <v>35</v>
      </c>
      <c r="D23" s="31">
        <f>SUM(D2:D22)</f>
        <v>17107329</v>
      </c>
      <c r="E23" s="31">
        <f>SUM(E2:E22)</f>
        <v>5628791</v>
      </c>
      <c r="F23" s="32">
        <f>AVERAGE(F2:F22)</f>
        <v>0.35789543217914366</v>
      </c>
      <c r="G23" s="31">
        <f>SUM(G2:G22)</f>
        <v>68113</v>
      </c>
      <c r="H23" s="32">
        <f>AVERAGE(H2:H22)</f>
        <v>1.4067077222649767E-2</v>
      </c>
      <c r="I23" s="32">
        <f>AVERAGE(I2:I22)</f>
        <v>5.0215992278996105E-3</v>
      </c>
    </row>
    <row r="24" spans="1:9" ht="15" thickBot="1" x14ac:dyDescent="0.4">
      <c r="A24" s="138" t="s">
        <v>302</v>
      </c>
      <c r="B24" s="138"/>
      <c r="C24" s="138"/>
      <c r="D24" s="138"/>
      <c r="E24" s="138"/>
      <c r="F24" s="138"/>
      <c r="G24" s="138"/>
      <c r="H24" s="138"/>
      <c r="I24" s="138"/>
    </row>
    <row r="25" spans="1:9" ht="15.5" x14ac:dyDescent="0.35">
      <c r="A25" s="38" t="s">
        <v>0</v>
      </c>
      <c r="B25" s="39" t="s">
        <v>1</v>
      </c>
      <c r="C25" s="39" t="s">
        <v>2</v>
      </c>
      <c r="D25" s="39" t="s">
        <v>3</v>
      </c>
      <c r="E25" s="39" t="s">
        <v>4</v>
      </c>
      <c r="F25" s="39" t="s">
        <v>5</v>
      </c>
      <c r="G25" s="39" t="s">
        <v>6</v>
      </c>
      <c r="H25" s="39" t="s">
        <v>7</v>
      </c>
      <c r="I25" s="40" t="s">
        <v>8</v>
      </c>
    </row>
    <row r="26" spans="1:9" x14ac:dyDescent="0.35">
      <c r="A26" s="5" t="s">
        <v>36</v>
      </c>
      <c r="B26" s="6"/>
      <c r="C26" s="6"/>
      <c r="D26" s="6"/>
      <c r="E26" s="6"/>
      <c r="F26" s="6"/>
      <c r="G26" s="6"/>
      <c r="H26" s="6"/>
      <c r="I26" s="7"/>
    </row>
    <row r="27" spans="1:9" x14ac:dyDescent="0.35">
      <c r="A27" s="28">
        <v>46011</v>
      </c>
      <c r="B27" t="s">
        <v>1016</v>
      </c>
      <c r="C27" t="s">
        <v>10</v>
      </c>
      <c r="D27" s="1">
        <v>379256</v>
      </c>
      <c r="E27" s="1">
        <v>149648</v>
      </c>
      <c r="F27" s="2">
        <v>0.39458307844833002</v>
      </c>
      <c r="G27" s="1">
        <v>1842</v>
      </c>
      <c r="H27" s="2">
        <v>1.23088848497808E-2</v>
      </c>
      <c r="I27" s="29">
        <v>4.8568776762925297E-3</v>
      </c>
    </row>
    <row r="28" spans="1:9" x14ac:dyDescent="0.35">
      <c r="A28" s="28">
        <v>46011</v>
      </c>
      <c r="B28" t="s">
        <v>1016</v>
      </c>
      <c r="C28" t="s">
        <v>11</v>
      </c>
      <c r="D28" s="1">
        <v>21760</v>
      </c>
      <c r="E28" s="1">
        <v>9039</v>
      </c>
      <c r="F28" s="2">
        <v>0.41539522058823503</v>
      </c>
      <c r="G28" s="1">
        <v>288</v>
      </c>
      <c r="H28" s="2">
        <v>3.1861931629605003E-2</v>
      </c>
      <c r="I28" s="29">
        <v>1.32352941176471E-2</v>
      </c>
    </row>
    <row r="29" spans="1:9" x14ac:dyDescent="0.35">
      <c r="A29" s="28">
        <v>46011</v>
      </c>
      <c r="B29" t="s">
        <v>1017</v>
      </c>
      <c r="C29" t="s">
        <v>10</v>
      </c>
      <c r="D29" s="1">
        <v>4721395</v>
      </c>
      <c r="E29" s="1">
        <v>1232029</v>
      </c>
      <c r="F29" s="2">
        <v>0.260945970417641</v>
      </c>
      <c r="G29" s="1">
        <v>18903</v>
      </c>
      <c r="H29" s="2">
        <v>1.5342982997965099E-2</v>
      </c>
      <c r="I29" s="29">
        <v>4.0036895875053902E-3</v>
      </c>
    </row>
    <row r="30" spans="1:9" x14ac:dyDescent="0.35">
      <c r="A30" s="28">
        <v>46011</v>
      </c>
      <c r="B30" t="s">
        <v>1017</v>
      </c>
      <c r="C30" t="s">
        <v>11</v>
      </c>
      <c r="D30" s="1">
        <v>299618</v>
      </c>
      <c r="E30" s="1">
        <v>84348</v>
      </c>
      <c r="F30" s="2">
        <v>0.28151846684778598</v>
      </c>
      <c r="G30" s="1">
        <v>1592</v>
      </c>
      <c r="H30" s="2">
        <v>1.8874187888272401E-2</v>
      </c>
      <c r="I30" s="29">
        <v>5.3134324373034997E-3</v>
      </c>
    </row>
    <row r="31" spans="1:9" x14ac:dyDescent="0.35">
      <c r="A31" s="28">
        <v>46015</v>
      </c>
      <c r="B31" t="s">
        <v>1026</v>
      </c>
      <c r="C31" t="s">
        <v>10</v>
      </c>
      <c r="D31" s="1">
        <v>1407523</v>
      </c>
      <c r="E31" s="1">
        <v>390588</v>
      </c>
      <c r="F31" s="2">
        <v>0.27750026109697701</v>
      </c>
      <c r="G31" s="1">
        <v>9669</v>
      </c>
      <c r="H31" s="2">
        <v>2.4754984792159498E-2</v>
      </c>
      <c r="I31" s="29">
        <v>6.8695147432759496E-3</v>
      </c>
    </row>
    <row r="32" spans="1:9" x14ac:dyDescent="0.35">
      <c r="A32" s="28">
        <v>46015</v>
      </c>
      <c r="B32" t="s">
        <v>1026</v>
      </c>
      <c r="C32" t="s">
        <v>11</v>
      </c>
      <c r="D32" s="1">
        <v>93416</v>
      </c>
      <c r="E32" s="1">
        <v>30174</v>
      </c>
      <c r="F32" s="2">
        <v>0.323006765436328</v>
      </c>
      <c r="G32" s="1">
        <v>835</v>
      </c>
      <c r="H32" s="2">
        <v>2.7672830914031901E-2</v>
      </c>
      <c r="I32" s="29">
        <v>8.9385116040078798E-3</v>
      </c>
    </row>
    <row r="33" spans="1:9" ht="16" thickBot="1" x14ac:dyDescent="0.4">
      <c r="A33" s="36" t="s">
        <v>35</v>
      </c>
      <c r="B33" s="4"/>
      <c r="C33" s="4"/>
      <c r="D33" s="33">
        <f>SUM(D27:D32)</f>
        <v>6922968</v>
      </c>
      <c r="E33" s="33">
        <f>SUM(E27:E32)</f>
        <v>1895826</v>
      </c>
      <c r="F33" s="34">
        <f>AVERAGE(F27:F32)</f>
        <v>0.32549162713921614</v>
      </c>
      <c r="G33" s="33">
        <f>SUM(G27:G32)</f>
        <v>33129</v>
      </c>
      <c r="H33" s="34">
        <f>AVERAGE(H27:H32)</f>
        <v>2.1802633845302451E-2</v>
      </c>
      <c r="I33" s="35">
        <f>AVERAGE(I27:I32)</f>
        <v>7.2028866943387249E-3</v>
      </c>
    </row>
    <row r="34" spans="1:9" ht="3" customHeight="1" thickBot="1" x14ac:dyDescent="0.4">
      <c r="A34" s="141"/>
      <c r="B34" s="142"/>
      <c r="C34" s="142"/>
      <c r="D34" s="142"/>
      <c r="E34" s="142"/>
      <c r="F34" s="142"/>
      <c r="G34" s="142"/>
      <c r="H34" s="142"/>
      <c r="I34" s="143"/>
    </row>
    <row r="35" spans="1:9" x14ac:dyDescent="0.35">
      <c r="A35" s="16" t="s">
        <v>37</v>
      </c>
      <c r="B35" s="17"/>
      <c r="C35" s="17"/>
      <c r="D35" s="17"/>
      <c r="E35" s="17"/>
      <c r="F35" s="17"/>
      <c r="G35" s="17"/>
      <c r="H35" s="17"/>
      <c r="I35" s="18"/>
    </row>
    <row r="36" spans="1:9" x14ac:dyDescent="0.35">
      <c r="A36" s="28">
        <v>46011</v>
      </c>
      <c r="B36" t="s">
        <v>1018</v>
      </c>
      <c r="C36" t="s">
        <v>10</v>
      </c>
      <c r="D36" s="1">
        <v>33644</v>
      </c>
      <c r="E36" s="1">
        <v>12310</v>
      </c>
      <c r="F36" s="2">
        <v>0.36588990607537702</v>
      </c>
      <c r="G36" s="1">
        <v>143</v>
      </c>
      <c r="H36" s="2">
        <v>1.16165718927701E-2</v>
      </c>
      <c r="I36" s="29">
        <v>4.2503863987635197E-3</v>
      </c>
    </row>
    <row r="37" spans="1:9" x14ac:dyDescent="0.35">
      <c r="A37" s="28">
        <v>46011</v>
      </c>
      <c r="B37" t="s">
        <v>1019</v>
      </c>
      <c r="C37" t="s">
        <v>10</v>
      </c>
      <c r="D37" s="1">
        <v>262572</v>
      </c>
      <c r="E37" s="1">
        <v>101739</v>
      </c>
      <c r="F37" s="2">
        <v>0.38747086513413498</v>
      </c>
      <c r="G37" s="1">
        <v>1408</v>
      </c>
      <c r="H37" s="2">
        <v>1.38393339820521E-2</v>
      </c>
      <c r="I37" s="29">
        <v>5.3623387109059603E-3</v>
      </c>
    </row>
    <row r="38" spans="1:9" x14ac:dyDescent="0.35">
      <c r="A38" s="28">
        <v>46012</v>
      </c>
      <c r="B38" t="s">
        <v>1020</v>
      </c>
      <c r="C38" t="s">
        <v>10</v>
      </c>
      <c r="D38" s="1">
        <v>1293747</v>
      </c>
      <c r="E38" s="1">
        <v>478287</v>
      </c>
      <c r="F38" s="2">
        <v>0.36969129203777901</v>
      </c>
      <c r="G38" s="1">
        <v>5444</v>
      </c>
      <c r="H38" s="2">
        <v>1.1382287204126399E-2</v>
      </c>
      <c r="I38" s="29">
        <v>4.2079324628385602E-3</v>
      </c>
    </row>
    <row r="39" spans="1:9" x14ac:dyDescent="0.35">
      <c r="A39" s="28">
        <v>46012</v>
      </c>
      <c r="B39" t="s">
        <v>1020</v>
      </c>
      <c r="C39" t="s">
        <v>11</v>
      </c>
      <c r="D39" s="1">
        <v>94069</v>
      </c>
      <c r="E39" s="1">
        <v>33756</v>
      </c>
      <c r="F39" s="2">
        <v>0.35884297696371797</v>
      </c>
      <c r="G39" s="1">
        <v>552</v>
      </c>
      <c r="H39" s="2">
        <v>1.6352648418059001E-2</v>
      </c>
      <c r="I39" s="29">
        <v>5.8680330395773301E-3</v>
      </c>
    </row>
    <row r="40" spans="1:9" x14ac:dyDescent="0.35">
      <c r="A40" s="28">
        <v>46013</v>
      </c>
      <c r="B40" t="s">
        <v>1021</v>
      </c>
      <c r="C40" t="s">
        <v>10</v>
      </c>
      <c r="D40" s="1">
        <v>47915</v>
      </c>
      <c r="E40" s="1">
        <v>21702</v>
      </c>
      <c r="F40" s="2">
        <v>0.45292705833246399</v>
      </c>
      <c r="G40" s="1">
        <v>437</v>
      </c>
      <c r="H40" s="2">
        <v>2.0136392959174299E-2</v>
      </c>
      <c r="I40" s="29">
        <v>9.1203172284253405E-3</v>
      </c>
    </row>
    <row r="41" spans="1:9" x14ac:dyDescent="0.35">
      <c r="A41" s="28">
        <v>46013</v>
      </c>
      <c r="B41" t="s">
        <v>1022</v>
      </c>
      <c r="C41" t="s">
        <v>10</v>
      </c>
      <c r="D41" s="1">
        <v>216806</v>
      </c>
      <c r="E41" s="1">
        <v>82364</v>
      </c>
      <c r="F41" s="2">
        <v>0.37989723531636599</v>
      </c>
      <c r="G41" s="1">
        <v>1091</v>
      </c>
      <c r="H41" s="2">
        <v>1.32460783837599E-2</v>
      </c>
      <c r="I41" s="29">
        <v>5.0321485567742597E-3</v>
      </c>
    </row>
    <row r="42" spans="1:9" x14ac:dyDescent="0.35">
      <c r="A42" s="28">
        <v>46014</v>
      </c>
      <c r="B42" t="s">
        <v>1023</v>
      </c>
      <c r="C42" t="s">
        <v>10</v>
      </c>
      <c r="D42" s="1">
        <v>5577715</v>
      </c>
      <c r="E42" s="1">
        <v>2027469</v>
      </c>
      <c r="F42" s="2">
        <v>0.36349454929124198</v>
      </c>
      <c r="G42" s="1">
        <v>19099</v>
      </c>
      <c r="H42" s="2">
        <v>9.4201193705057903E-3</v>
      </c>
      <c r="I42" s="29">
        <v>3.4241620448517002E-3</v>
      </c>
    </row>
    <row r="43" spans="1:9" x14ac:dyDescent="0.35">
      <c r="A43" s="28">
        <v>46014</v>
      </c>
      <c r="B43" t="s">
        <v>1023</v>
      </c>
      <c r="C43" t="s">
        <v>11</v>
      </c>
      <c r="D43" s="1">
        <v>368432</v>
      </c>
      <c r="E43" s="1">
        <v>134441</v>
      </c>
      <c r="F43" s="2">
        <v>0.36490044295826601</v>
      </c>
      <c r="G43" s="1">
        <v>1907</v>
      </c>
      <c r="H43" s="2">
        <v>1.4184660929329599E-2</v>
      </c>
      <c r="I43" s="29">
        <v>5.1759890563251804E-3</v>
      </c>
    </row>
    <row r="44" spans="1:9" x14ac:dyDescent="0.35">
      <c r="A44" s="28">
        <v>46014</v>
      </c>
      <c r="B44" t="s">
        <v>1024</v>
      </c>
      <c r="C44" t="s">
        <v>10</v>
      </c>
      <c r="D44" s="1">
        <v>747282</v>
      </c>
      <c r="E44" s="1">
        <v>274847</v>
      </c>
      <c r="F44" s="2">
        <v>0.36779555776801798</v>
      </c>
      <c r="G44" s="1">
        <v>2630</v>
      </c>
      <c r="H44" s="2">
        <v>9.5689601851211802E-3</v>
      </c>
      <c r="I44" s="29">
        <v>3.5194210485465999E-3</v>
      </c>
    </row>
    <row r="45" spans="1:9" x14ac:dyDescent="0.35">
      <c r="A45" s="28">
        <v>46014</v>
      </c>
      <c r="B45" t="s">
        <v>1024</v>
      </c>
      <c r="C45" t="s">
        <v>11</v>
      </c>
      <c r="D45" s="1">
        <v>38802</v>
      </c>
      <c r="E45" s="1">
        <v>13827</v>
      </c>
      <c r="F45" s="2">
        <v>0.35634761094788903</v>
      </c>
      <c r="G45" s="1">
        <v>187</v>
      </c>
      <c r="H45" s="2">
        <v>1.3524264120922801E-2</v>
      </c>
      <c r="I45" s="29">
        <v>4.8193392093191104E-3</v>
      </c>
    </row>
    <row r="46" spans="1:9" x14ac:dyDescent="0.35">
      <c r="A46" s="28">
        <v>46014</v>
      </c>
      <c r="B46" t="s">
        <v>1025</v>
      </c>
      <c r="C46" t="s">
        <v>10</v>
      </c>
      <c r="D46" s="1">
        <v>56570</v>
      </c>
      <c r="E46" s="1">
        <v>21157</v>
      </c>
      <c r="F46" s="2">
        <v>0.37399681810146701</v>
      </c>
      <c r="G46" s="1">
        <v>303</v>
      </c>
      <c r="H46" s="2">
        <v>1.43215011580092E-2</v>
      </c>
      <c r="I46" s="29">
        <v>5.3561958635319103E-3</v>
      </c>
    </row>
    <row r="47" spans="1:9" ht="16" thickBot="1" x14ac:dyDescent="0.4">
      <c r="A47" s="36" t="s">
        <v>35</v>
      </c>
      <c r="B47" s="4"/>
      <c r="C47" s="4"/>
      <c r="D47" s="33">
        <f>SUM(D36:D46)</f>
        <v>8737554</v>
      </c>
      <c r="E47" s="33">
        <f>SUM(E36:E46)</f>
        <v>3201899</v>
      </c>
      <c r="F47" s="34">
        <f>AVERAGE(F36:F46)</f>
        <v>0.37647766481152006</v>
      </c>
      <c r="G47" s="33">
        <f>SUM(G36:G46)</f>
        <v>33201</v>
      </c>
      <c r="H47" s="34">
        <f>AVERAGE(H36:H46)</f>
        <v>1.3417528963984581E-2</v>
      </c>
      <c r="I47" s="35">
        <f>AVERAGE(I36:I46)</f>
        <v>5.103296692714498E-3</v>
      </c>
    </row>
    <row r="48" spans="1:9" ht="3" customHeight="1" thickBot="1" x14ac:dyDescent="0.4">
      <c r="A48" s="139"/>
      <c r="B48" s="138"/>
      <c r="C48" s="138"/>
      <c r="D48" s="138"/>
      <c r="E48" s="138"/>
      <c r="F48" s="138"/>
      <c r="G48" s="138"/>
      <c r="H48" s="138"/>
      <c r="I48" s="140"/>
    </row>
    <row r="49" spans="1:9" x14ac:dyDescent="0.35">
      <c r="A49" s="16" t="s">
        <v>38</v>
      </c>
      <c r="B49" s="17"/>
      <c r="C49" s="17"/>
      <c r="D49" s="17"/>
      <c r="E49" s="17"/>
      <c r="F49" s="17"/>
      <c r="G49" s="17"/>
      <c r="H49" s="17"/>
      <c r="I49" s="18"/>
    </row>
    <row r="50" spans="1:9" x14ac:dyDescent="0.35">
      <c r="A50" s="28">
        <v>46017</v>
      </c>
      <c r="B50" t="s">
        <v>1027</v>
      </c>
      <c r="C50" t="s">
        <v>1028</v>
      </c>
      <c r="D50" s="1">
        <v>587142</v>
      </c>
      <c r="E50" s="1">
        <v>205902</v>
      </c>
      <c r="F50" s="3">
        <v>0.35070000000000001</v>
      </c>
      <c r="G50">
        <v>641</v>
      </c>
      <c r="H50" s="3">
        <v>3.0999999999999999E-3</v>
      </c>
      <c r="I50" s="30">
        <v>1.1000000000000001E-3</v>
      </c>
    </row>
    <row r="51" spans="1:9" x14ac:dyDescent="0.35">
      <c r="A51" s="28">
        <v>46017</v>
      </c>
      <c r="B51" t="s">
        <v>1029</v>
      </c>
      <c r="C51" t="s">
        <v>1030</v>
      </c>
      <c r="D51" s="1">
        <v>41390</v>
      </c>
      <c r="E51" s="1">
        <v>13397</v>
      </c>
      <c r="F51" s="3">
        <v>0.32369999999999999</v>
      </c>
      <c r="G51">
        <v>71</v>
      </c>
      <c r="H51" s="3">
        <v>5.3E-3</v>
      </c>
      <c r="I51" s="30">
        <v>1.6999999999999999E-3</v>
      </c>
    </row>
    <row r="52" spans="1:9" x14ac:dyDescent="0.35">
      <c r="A52" s="28">
        <v>46017</v>
      </c>
      <c r="B52" t="s">
        <v>1031</v>
      </c>
      <c r="C52" t="s">
        <v>1028</v>
      </c>
      <c r="D52" s="1">
        <v>771139</v>
      </c>
      <c r="E52" s="1">
        <v>294554</v>
      </c>
      <c r="F52" s="3">
        <v>0.38200000000000001</v>
      </c>
      <c r="G52">
        <v>979</v>
      </c>
      <c r="H52" s="3">
        <v>3.3E-3</v>
      </c>
      <c r="I52" s="30">
        <v>1.2999999999999999E-3</v>
      </c>
    </row>
    <row r="53" spans="1:9" x14ac:dyDescent="0.35">
      <c r="A53" s="28">
        <v>46017</v>
      </c>
      <c r="B53" t="s">
        <v>1032</v>
      </c>
      <c r="C53" t="s">
        <v>1030</v>
      </c>
      <c r="D53" s="1">
        <v>47136</v>
      </c>
      <c r="E53" s="1">
        <v>17213</v>
      </c>
      <c r="F53" s="3">
        <v>0.36520000000000002</v>
      </c>
      <c r="G53">
        <v>92</v>
      </c>
      <c r="H53" s="3">
        <v>5.3E-3</v>
      </c>
      <c r="I53" s="30">
        <v>2E-3</v>
      </c>
    </row>
    <row r="54" spans="1:9" ht="16" thickBot="1" x14ac:dyDescent="0.4">
      <c r="A54" s="36" t="s">
        <v>35</v>
      </c>
      <c r="B54" s="4"/>
      <c r="C54" s="4"/>
      <c r="D54" s="33">
        <f>SUM(D50:D53)</f>
        <v>1446807</v>
      </c>
      <c r="E54" s="33">
        <f>SUM(E50:E53)</f>
        <v>531066</v>
      </c>
      <c r="F54" s="34">
        <f>AVERAGE(F50:F53)</f>
        <v>0.35539999999999999</v>
      </c>
      <c r="G54" s="33">
        <f>SUM(G50:G53)</f>
        <v>1783</v>
      </c>
      <c r="H54" s="34">
        <f>AVERAGE(H50:H53)</f>
        <v>4.2499999999999994E-3</v>
      </c>
      <c r="I54" s="34">
        <f>AVERAGE(I50:I53)</f>
        <v>1.5249999999999999E-3</v>
      </c>
    </row>
  </sheetData>
  <mergeCells count="3">
    <mergeCell ref="A24:I24"/>
    <mergeCell ref="A34:I34"/>
    <mergeCell ref="A48:I48"/>
  </mergeCells>
  <pageMargins left="0.7" right="0.7" top="0.75" bottom="0.75" header="0.3" footer="0.3"/>
  <ignoredErrors>
    <ignoredError sqref="F23:G23 F33:G33 F47:G47 F54:G54" formula="1"/>
  </ignoredErrors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FDF9-560C-465B-842E-DBA0D4A64C75}">
  <dimension ref="A1:I64"/>
  <sheetViews>
    <sheetView workbookViewId="0">
      <selection activeCell="A2" sqref="A2"/>
    </sheetView>
  </sheetViews>
  <sheetFormatPr defaultRowHeight="14.5" x14ac:dyDescent="0.35"/>
  <cols>
    <col min="1" max="1" width="11.81640625" customWidth="1"/>
    <col min="2" max="2" width="89.81640625" customWidth="1"/>
    <col min="3" max="3" width="41.81640625" bestFit="1" customWidth="1"/>
    <col min="4" max="4" width="13" customWidth="1"/>
    <col min="5" max="5" width="14.54296875" customWidth="1"/>
    <col min="6" max="6" width="18.54296875" bestFit="1" customWidth="1"/>
    <col min="7" max="7" width="13.1796875" customWidth="1"/>
    <col min="8" max="8" width="9.453125" customWidth="1"/>
    <col min="9" max="9" width="8" customWidth="1"/>
  </cols>
  <sheetData>
    <row r="1" spans="1:9" ht="20.5" customHeight="1" x14ac:dyDescent="0.3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 spans="1:9" x14ac:dyDescent="0.35">
      <c r="A2" s="19">
        <v>46018</v>
      </c>
      <c r="B2" t="s">
        <v>1033</v>
      </c>
      <c r="C2" t="s">
        <v>10</v>
      </c>
      <c r="D2" s="1">
        <v>373066</v>
      </c>
      <c r="E2" s="1">
        <v>147595</v>
      </c>
      <c r="F2" s="2">
        <v>0.39562704722488801</v>
      </c>
      <c r="G2" s="1">
        <v>3640</v>
      </c>
      <c r="H2" s="2">
        <v>2.4662082048849902E-2</v>
      </c>
      <c r="I2" s="2">
        <v>9.7569866994043908E-3</v>
      </c>
    </row>
    <row r="3" spans="1:9" x14ac:dyDescent="0.35">
      <c r="A3" s="19">
        <v>46018</v>
      </c>
      <c r="B3" t="s">
        <v>1034</v>
      </c>
      <c r="C3" t="s">
        <v>10</v>
      </c>
      <c r="D3" s="1">
        <v>4689876</v>
      </c>
      <c r="E3" s="1">
        <v>1192120</v>
      </c>
      <c r="F3" s="2">
        <v>0.25419008946078703</v>
      </c>
      <c r="G3" s="1">
        <v>25053</v>
      </c>
      <c r="H3" s="2">
        <v>2.1015501795121301E-2</v>
      </c>
      <c r="I3" s="2">
        <v>5.3419322813652199E-3</v>
      </c>
    </row>
    <row r="4" spans="1:9" x14ac:dyDescent="0.35">
      <c r="A4" s="19">
        <v>46018</v>
      </c>
      <c r="B4" t="s">
        <v>1034</v>
      </c>
      <c r="C4" t="s">
        <v>11</v>
      </c>
      <c r="D4" s="1">
        <v>298743</v>
      </c>
      <c r="E4" s="1">
        <v>81484</v>
      </c>
      <c r="F4" s="2">
        <v>0.27275618173480198</v>
      </c>
      <c r="G4" s="1">
        <v>1717</v>
      </c>
      <c r="H4" s="2">
        <v>2.1071621422610601E-2</v>
      </c>
      <c r="I4" s="2">
        <v>5.7474150021925201E-3</v>
      </c>
    </row>
    <row r="5" spans="1:9" x14ac:dyDescent="0.35">
      <c r="A5" s="19">
        <v>46018</v>
      </c>
      <c r="B5" t="s">
        <v>1035</v>
      </c>
      <c r="C5" t="s">
        <v>10</v>
      </c>
      <c r="D5" s="1">
        <v>263698</v>
      </c>
      <c r="E5" s="1">
        <v>99092</v>
      </c>
      <c r="F5" s="2">
        <v>0.37577835250931002</v>
      </c>
      <c r="G5" s="1">
        <v>1411</v>
      </c>
      <c r="H5" s="2">
        <v>1.42392927784281E-2</v>
      </c>
      <c r="I5" s="2">
        <v>5.3508179811754403E-3</v>
      </c>
    </row>
    <row r="6" spans="1:9" x14ac:dyDescent="0.35">
      <c r="A6" s="19">
        <v>46019</v>
      </c>
      <c r="B6" t="s">
        <v>1036</v>
      </c>
      <c r="C6" t="s">
        <v>10</v>
      </c>
      <c r="D6" s="1">
        <v>6306002</v>
      </c>
      <c r="E6" s="1">
        <v>2256429</v>
      </c>
      <c r="F6" s="2">
        <v>0.35782243646608403</v>
      </c>
      <c r="G6" s="1">
        <v>30763</v>
      </c>
      <c r="H6" s="2">
        <v>1.36334890218128E-2</v>
      </c>
      <c r="I6" s="2">
        <v>4.8783682593186604E-3</v>
      </c>
    </row>
    <row r="7" spans="1:9" x14ac:dyDescent="0.35">
      <c r="A7" s="19">
        <v>46019</v>
      </c>
      <c r="B7" t="s">
        <v>1036</v>
      </c>
      <c r="C7" t="s">
        <v>11</v>
      </c>
      <c r="D7" s="1">
        <v>406333</v>
      </c>
      <c r="E7" s="1">
        <v>143042</v>
      </c>
      <c r="F7" s="2">
        <v>0.35203146187978801</v>
      </c>
      <c r="G7" s="1">
        <v>2291</v>
      </c>
      <c r="H7" s="2">
        <v>1.6016274940227299E-2</v>
      </c>
      <c r="I7" s="2">
        <v>5.6382326810768503E-3</v>
      </c>
    </row>
    <row r="8" spans="1:9" x14ac:dyDescent="0.35">
      <c r="A8" s="19">
        <v>46019</v>
      </c>
      <c r="B8" t="s">
        <v>1037</v>
      </c>
      <c r="C8" t="s">
        <v>10</v>
      </c>
      <c r="D8" s="1">
        <v>56778</v>
      </c>
      <c r="E8" s="1">
        <v>19535</v>
      </c>
      <c r="F8" s="2">
        <v>0.34405931875022</v>
      </c>
      <c r="G8" s="1">
        <v>257</v>
      </c>
      <c r="H8" s="2">
        <v>1.31558740721781E-2</v>
      </c>
      <c r="I8" s="2">
        <v>4.5264010708372998E-3</v>
      </c>
    </row>
    <row r="9" spans="1:9" x14ac:dyDescent="0.35">
      <c r="A9" s="19">
        <v>46019</v>
      </c>
      <c r="B9" t="s">
        <v>904</v>
      </c>
      <c r="C9" t="s">
        <v>1038</v>
      </c>
      <c r="D9" s="1">
        <v>44237</v>
      </c>
      <c r="E9" s="1">
        <v>15892</v>
      </c>
      <c r="F9" s="2">
        <v>0.35924678436602803</v>
      </c>
      <c r="G9" s="1">
        <v>240</v>
      </c>
      <c r="H9" s="2">
        <v>1.5101938082053901E-2</v>
      </c>
      <c r="I9" s="2">
        <v>5.4253226936727197E-3</v>
      </c>
    </row>
    <row r="10" spans="1:9" x14ac:dyDescent="0.35">
      <c r="A10" s="19">
        <v>46022</v>
      </c>
      <c r="B10" t="s">
        <v>1039</v>
      </c>
      <c r="C10" t="s">
        <v>10</v>
      </c>
      <c r="D10" s="1">
        <v>541078</v>
      </c>
      <c r="E10" s="1">
        <v>217353</v>
      </c>
      <c r="F10" s="2">
        <v>0.40170363607465098</v>
      </c>
      <c r="G10" s="1">
        <v>4122</v>
      </c>
      <c r="H10" s="2">
        <v>1.8964541552221499E-2</v>
      </c>
      <c r="I10" s="2">
        <v>7.6181252980161802E-3</v>
      </c>
    </row>
    <row r="11" spans="1:9" x14ac:dyDescent="0.35">
      <c r="A11" s="19">
        <v>46022</v>
      </c>
      <c r="B11" t="s">
        <v>1039</v>
      </c>
      <c r="C11" t="s">
        <v>11</v>
      </c>
      <c r="D11" s="1">
        <v>25196</v>
      </c>
      <c r="E11" s="1">
        <v>9765</v>
      </c>
      <c r="F11" s="2">
        <v>0.38756151770122199</v>
      </c>
      <c r="G11" s="1">
        <v>289</v>
      </c>
      <c r="H11" s="2">
        <v>2.95954941116231E-2</v>
      </c>
      <c r="I11" s="2">
        <v>1.14700746150183E-2</v>
      </c>
    </row>
    <row r="12" spans="1:9" x14ac:dyDescent="0.35">
      <c r="A12" s="19">
        <v>46022</v>
      </c>
      <c r="B12" t="s">
        <v>1040</v>
      </c>
      <c r="C12" t="s">
        <v>10</v>
      </c>
      <c r="D12" s="1">
        <v>1393247</v>
      </c>
      <c r="E12" s="1">
        <v>365756</v>
      </c>
      <c r="F12" s="2">
        <v>0.26252057244695298</v>
      </c>
      <c r="G12" s="1">
        <v>9624</v>
      </c>
      <c r="H12" s="2">
        <v>2.6312623716357401E-2</v>
      </c>
      <c r="I12" s="2">
        <v>6.9076050405994099E-3</v>
      </c>
    </row>
    <row r="13" spans="1:9" x14ac:dyDescent="0.35">
      <c r="A13" s="19">
        <v>46022</v>
      </c>
      <c r="B13" t="s">
        <v>1040</v>
      </c>
      <c r="C13" t="s">
        <v>11</v>
      </c>
      <c r="D13" s="1">
        <v>91391</v>
      </c>
      <c r="E13" s="1">
        <v>28481</v>
      </c>
      <c r="F13" s="2">
        <v>0.31163900165224101</v>
      </c>
      <c r="G13" s="1">
        <v>891</v>
      </c>
      <c r="H13" s="2">
        <v>3.1284013904006203E-2</v>
      </c>
      <c r="I13" s="2">
        <v>9.7493188607193308E-3</v>
      </c>
    </row>
    <row r="14" spans="1:9" x14ac:dyDescent="0.35">
      <c r="A14" s="19">
        <v>45658</v>
      </c>
      <c r="B14" t="s">
        <v>1041</v>
      </c>
      <c r="C14" t="s">
        <v>11</v>
      </c>
      <c r="D14" s="1">
        <v>16232</v>
      </c>
      <c r="E14" s="1">
        <v>8158</v>
      </c>
      <c r="F14" s="2">
        <v>0.50258748151798904</v>
      </c>
      <c r="G14" s="1">
        <v>166</v>
      </c>
      <c r="H14" s="2">
        <v>2.0348124540328499E-2</v>
      </c>
      <c r="I14" s="2">
        <v>1.02267126663381E-2</v>
      </c>
    </row>
    <row r="15" spans="1:9" x14ac:dyDescent="0.35">
      <c r="A15" s="19">
        <v>45659</v>
      </c>
      <c r="B15" t="s">
        <v>1027</v>
      </c>
      <c r="C15" t="s">
        <v>234</v>
      </c>
      <c r="D15" s="1">
        <v>564205</v>
      </c>
      <c r="E15" s="1">
        <v>181571</v>
      </c>
      <c r="F15" s="3">
        <v>0.32179999999999997</v>
      </c>
      <c r="G15">
        <v>665</v>
      </c>
      <c r="H15" s="3">
        <v>3.7000000000000002E-3</v>
      </c>
      <c r="I15" s="3">
        <v>1.1999999999999999E-3</v>
      </c>
    </row>
    <row r="16" spans="1:9" x14ac:dyDescent="0.35">
      <c r="A16" s="19">
        <v>45659</v>
      </c>
      <c r="B16" t="s">
        <v>1029</v>
      </c>
      <c r="C16" t="s">
        <v>235</v>
      </c>
      <c r="D16" s="1">
        <v>39847</v>
      </c>
      <c r="E16" s="1">
        <v>11679</v>
      </c>
      <c r="F16" s="3">
        <v>0.29310000000000003</v>
      </c>
      <c r="G16">
        <v>74</v>
      </c>
      <c r="H16" s="3">
        <v>6.3E-3</v>
      </c>
      <c r="I16" s="3">
        <v>1.9E-3</v>
      </c>
    </row>
    <row r="17" spans="1:9" x14ac:dyDescent="0.35">
      <c r="A17" s="19">
        <v>45659</v>
      </c>
      <c r="B17" t="s">
        <v>1031</v>
      </c>
      <c r="C17" t="s">
        <v>234</v>
      </c>
      <c r="D17" s="1">
        <v>750841</v>
      </c>
      <c r="E17" s="1">
        <v>267233</v>
      </c>
      <c r="F17" s="3">
        <v>0.35589999999999999</v>
      </c>
      <c r="G17" s="1">
        <v>1012</v>
      </c>
      <c r="H17" s="3">
        <v>3.8E-3</v>
      </c>
      <c r="I17" s="3">
        <v>1.2999999999999999E-3</v>
      </c>
    </row>
    <row r="18" spans="1:9" x14ac:dyDescent="0.35">
      <c r="A18" s="19">
        <v>45659</v>
      </c>
      <c r="B18" t="s">
        <v>1032</v>
      </c>
      <c r="C18" t="s">
        <v>235</v>
      </c>
      <c r="D18" s="1">
        <v>45838</v>
      </c>
      <c r="E18" s="1">
        <v>15276</v>
      </c>
      <c r="F18" s="3">
        <v>0.33329999999999999</v>
      </c>
      <c r="G18">
        <v>67</v>
      </c>
      <c r="H18" s="3">
        <v>4.4000000000000003E-3</v>
      </c>
      <c r="I18" s="3">
        <v>1.5E-3</v>
      </c>
    </row>
    <row r="19" spans="1:9" x14ac:dyDescent="0.35">
      <c r="A19" s="19">
        <v>45659</v>
      </c>
      <c r="B19" t="s">
        <v>1042</v>
      </c>
      <c r="C19" t="s">
        <v>1028</v>
      </c>
      <c r="D19" s="1">
        <v>683385</v>
      </c>
      <c r="E19" s="1">
        <v>229955</v>
      </c>
      <c r="F19" s="3">
        <v>0.33650000000000002</v>
      </c>
      <c r="G19">
        <v>787</v>
      </c>
      <c r="H19" s="3">
        <v>3.3999999999999998E-3</v>
      </c>
      <c r="I19" s="3">
        <v>1.1999999999999999E-3</v>
      </c>
    </row>
    <row r="20" spans="1:9" x14ac:dyDescent="0.35">
      <c r="A20" s="19">
        <v>45659</v>
      </c>
      <c r="B20" t="s">
        <v>1043</v>
      </c>
      <c r="C20" t="s">
        <v>1030</v>
      </c>
      <c r="D20" s="1">
        <v>36026</v>
      </c>
      <c r="E20" s="1">
        <v>11604</v>
      </c>
      <c r="F20" s="3">
        <v>0.3221</v>
      </c>
      <c r="G20">
        <v>74</v>
      </c>
      <c r="H20" s="3">
        <v>6.4000000000000003E-3</v>
      </c>
      <c r="I20" s="3">
        <v>2.0999999999999999E-3</v>
      </c>
    </row>
    <row r="21" spans="1:9" x14ac:dyDescent="0.35">
      <c r="A21" s="19">
        <v>45659</v>
      </c>
      <c r="B21" t="s">
        <v>1044</v>
      </c>
      <c r="C21" t="s">
        <v>1045</v>
      </c>
      <c r="D21" s="1">
        <v>626910</v>
      </c>
      <c r="E21" s="1">
        <v>255285</v>
      </c>
      <c r="F21" s="3">
        <v>0.40720000000000001</v>
      </c>
      <c r="G21" s="1">
        <v>1280</v>
      </c>
      <c r="H21" s="3">
        <v>5.0000000000000001E-3</v>
      </c>
      <c r="I21" s="3">
        <v>2E-3</v>
      </c>
    </row>
    <row r="22" spans="1:9" x14ac:dyDescent="0.35">
      <c r="A22" s="19">
        <v>45659</v>
      </c>
      <c r="B22" t="s">
        <v>1046</v>
      </c>
      <c r="C22" t="s">
        <v>1030</v>
      </c>
      <c r="D22" s="1">
        <v>36081</v>
      </c>
      <c r="E22" s="1">
        <v>14799</v>
      </c>
      <c r="F22" s="3">
        <v>0.41020000000000001</v>
      </c>
      <c r="G22">
        <v>103</v>
      </c>
      <c r="H22" s="3">
        <v>7.0000000000000001E-3</v>
      </c>
      <c r="I22" s="3">
        <v>2.8999999999999998E-3</v>
      </c>
    </row>
    <row r="23" spans="1:9" x14ac:dyDescent="0.35">
      <c r="A23" s="19">
        <v>45659</v>
      </c>
      <c r="B23" t="s">
        <v>1047</v>
      </c>
      <c r="C23" t="s">
        <v>10</v>
      </c>
      <c r="D23" s="1">
        <v>57789</v>
      </c>
      <c r="E23" s="1">
        <v>19285</v>
      </c>
      <c r="F23" s="2">
        <v>0.33371402862136401</v>
      </c>
      <c r="G23" s="1">
        <v>400</v>
      </c>
      <c r="H23" s="2">
        <v>2.0741508944775701E-2</v>
      </c>
      <c r="I23" s="2">
        <v>6.9217325096471603E-3</v>
      </c>
    </row>
    <row r="24" spans="1:9" x14ac:dyDescent="0.35">
      <c r="A24" s="19">
        <v>45659</v>
      </c>
      <c r="B24" t="s">
        <v>1048</v>
      </c>
      <c r="C24" t="s">
        <v>10</v>
      </c>
      <c r="D24" s="1">
        <v>218356</v>
      </c>
      <c r="E24" s="1">
        <v>75890</v>
      </c>
      <c r="F24" s="2">
        <v>0.34755170455586298</v>
      </c>
      <c r="G24" s="1">
        <v>1882</v>
      </c>
      <c r="H24" s="2">
        <v>2.47990512584003E-2</v>
      </c>
      <c r="I24" s="2">
        <v>8.6189525362252491E-3</v>
      </c>
    </row>
    <row r="25" spans="1:9" x14ac:dyDescent="0.35">
      <c r="A25" s="19">
        <v>45659</v>
      </c>
      <c r="B25" t="s">
        <v>1048</v>
      </c>
      <c r="C25" t="s">
        <v>11</v>
      </c>
      <c r="D25" s="1">
        <v>12118</v>
      </c>
      <c r="E25" s="1">
        <v>4542</v>
      </c>
      <c r="F25" s="2">
        <v>0.374814325796336</v>
      </c>
      <c r="G25" s="1">
        <v>144</v>
      </c>
      <c r="H25" s="2">
        <v>3.1704095112285301E-2</v>
      </c>
      <c r="I25" s="2">
        <v>1.1883149034494099E-2</v>
      </c>
    </row>
    <row r="26" spans="1:9" x14ac:dyDescent="0.35">
      <c r="A26" s="19">
        <v>45659</v>
      </c>
      <c r="B26" t="s">
        <v>1049</v>
      </c>
      <c r="C26" t="s">
        <v>10</v>
      </c>
      <c r="D26" s="1">
        <v>262648</v>
      </c>
      <c r="E26" s="1">
        <v>93723</v>
      </c>
      <c r="F26" s="2">
        <v>0.356838810879961</v>
      </c>
      <c r="G26" s="1">
        <v>1651</v>
      </c>
      <c r="H26" s="2">
        <v>1.7615739999786599E-2</v>
      </c>
      <c r="I26" s="2">
        <v>6.2859797142944202E-3</v>
      </c>
    </row>
    <row r="27" spans="1:9" x14ac:dyDescent="0.35">
      <c r="A27" s="19">
        <v>45659</v>
      </c>
      <c r="B27" t="s">
        <v>1049</v>
      </c>
      <c r="C27" t="s">
        <v>11</v>
      </c>
      <c r="D27" s="1">
        <v>746</v>
      </c>
      <c r="E27" s="1">
        <v>348</v>
      </c>
      <c r="F27" s="2">
        <v>0.46648793565683599</v>
      </c>
      <c r="G27" s="1">
        <v>10</v>
      </c>
      <c r="H27" s="2">
        <v>2.8735632183908E-2</v>
      </c>
      <c r="I27" s="2">
        <v>1.34048257372654E-2</v>
      </c>
    </row>
    <row r="28" spans="1:9" ht="16" thickBot="1" x14ac:dyDescent="0.4">
      <c r="A28" s="37" t="s">
        <v>35</v>
      </c>
      <c r="D28" s="31">
        <f>SUM(D2:D27)</f>
        <v>17840667</v>
      </c>
      <c r="E28" s="31">
        <f>SUM(E2:E27)</f>
        <v>5765892</v>
      </c>
      <c r="F28" s="32">
        <f>AVERAGE(F2:F27)</f>
        <v>0.35527041104982016</v>
      </c>
      <c r="G28" s="31">
        <f>SUM(G2:G27)</f>
        <v>88613</v>
      </c>
      <c r="H28" s="32">
        <f>AVERAGE(H2:H27)</f>
        <v>1.6499880749422102E-2</v>
      </c>
      <c r="I28" s="32">
        <f>AVERAGE(I2:I27)</f>
        <v>5.9173827954484915E-3</v>
      </c>
    </row>
    <row r="29" spans="1:9" ht="15" thickBot="1" x14ac:dyDescent="0.4">
      <c r="A29" s="138" t="s">
        <v>302</v>
      </c>
      <c r="B29" s="138"/>
      <c r="C29" s="138"/>
      <c r="D29" s="138"/>
      <c r="E29" s="138"/>
      <c r="F29" s="138"/>
      <c r="G29" s="138"/>
      <c r="H29" s="138"/>
      <c r="I29" s="138"/>
    </row>
    <row r="30" spans="1:9" ht="15.5" x14ac:dyDescent="0.35">
      <c r="A30" s="38" t="s">
        <v>0</v>
      </c>
      <c r="B30" s="39" t="s">
        <v>1</v>
      </c>
      <c r="C30" s="39" t="s">
        <v>2</v>
      </c>
      <c r="D30" s="39" t="s">
        <v>3</v>
      </c>
      <c r="E30" s="39" t="s">
        <v>4</v>
      </c>
      <c r="F30" s="39" t="s">
        <v>5</v>
      </c>
      <c r="G30" s="39" t="s">
        <v>6</v>
      </c>
      <c r="H30" s="39" t="s">
        <v>7</v>
      </c>
      <c r="I30" s="40" t="s">
        <v>8</v>
      </c>
    </row>
    <row r="31" spans="1:9" x14ac:dyDescent="0.35">
      <c r="A31" s="5" t="s">
        <v>36</v>
      </c>
      <c r="B31" s="6"/>
      <c r="C31" s="6"/>
      <c r="D31" s="6"/>
      <c r="E31" s="6"/>
      <c r="F31" s="6"/>
      <c r="G31" s="6"/>
      <c r="H31" s="6"/>
      <c r="I31" s="7"/>
    </row>
    <row r="32" spans="1:9" x14ac:dyDescent="0.35">
      <c r="A32" s="28">
        <v>46018</v>
      </c>
      <c r="B32" t="s">
        <v>1033</v>
      </c>
      <c r="C32" t="s">
        <v>10</v>
      </c>
      <c r="D32" s="1">
        <v>373066</v>
      </c>
      <c r="E32" s="1">
        <v>147595</v>
      </c>
      <c r="F32" s="2">
        <v>0.39562704722488801</v>
      </c>
      <c r="G32" s="1">
        <v>3640</v>
      </c>
      <c r="H32" s="2">
        <v>2.4662082048849902E-2</v>
      </c>
      <c r="I32" s="29">
        <v>9.7569866994043908E-3</v>
      </c>
    </row>
    <row r="33" spans="1:9" x14ac:dyDescent="0.35">
      <c r="A33" s="28">
        <v>46018</v>
      </c>
      <c r="B33" t="s">
        <v>1034</v>
      </c>
      <c r="C33" t="s">
        <v>10</v>
      </c>
      <c r="D33" s="1">
        <v>4689876</v>
      </c>
      <c r="E33" s="1">
        <v>1192120</v>
      </c>
      <c r="F33" s="2">
        <v>0.25419008946078703</v>
      </c>
      <c r="G33" s="1">
        <v>25053</v>
      </c>
      <c r="H33" s="2">
        <v>2.1015501795121301E-2</v>
      </c>
      <c r="I33" s="29">
        <v>5.3419322813652199E-3</v>
      </c>
    </row>
    <row r="34" spans="1:9" x14ac:dyDescent="0.35">
      <c r="A34" s="28">
        <v>46018</v>
      </c>
      <c r="B34" t="s">
        <v>1034</v>
      </c>
      <c r="C34" t="s">
        <v>11</v>
      </c>
      <c r="D34" s="1">
        <v>298743</v>
      </c>
      <c r="E34" s="1">
        <v>81484</v>
      </c>
      <c r="F34" s="2">
        <v>0.27275618173480198</v>
      </c>
      <c r="G34" s="1">
        <v>1717</v>
      </c>
      <c r="H34" s="2">
        <v>2.1071621422610601E-2</v>
      </c>
      <c r="I34" s="29">
        <v>5.7474150021925201E-3</v>
      </c>
    </row>
    <row r="35" spans="1:9" x14ac:dyDescent="0.35">
      <c r="A35" s="28">
        <v>46022</v>
      </c>
      <c r="B35" t="s">
        <v>1040</v>
      </c>
      <c r="C35" t="s">
        <v>10</v>
      </c>
      <c r="D35" s="1">
        <v>1393247</v>
      </c>
      <c r="E35" s="1">
        <v>365756</v>
      </c>
      <c r="F35" s="2">
        <v>0.26252057244695298</v>
      </c>
      <c r="G35" s="1">
        <v>9624</v>
      </c>
      <c r="H35" s="2">
        <v>2.6312623716357401E-2</v>
      </c>
      <c r="I35" s="29">
        <v>6.9076050405994099E-3</v>
      </c>
    </row>
    <row r="36" spans="1:9" x14ac:dyDescent="0.35">
      <c r="A36" s="28">
        <v>46022</v>
      </c>
      <c r="B36" t="s">
        <v>1040</v>
      </c>
      <c r="C36" t="s">
        <v>11</v>
      </c>
      <c r="D36" s="1">
        <v>91391</v>
      </c>
      <c r="E36" s="1">
        <v>28481</v>
      </c>
      <c r="F36" s="2">
        <v>0.31163900165224101</v>
      </c>
      <c r="G36" s="1">
        <v>891</v>
      </c>
      <c r="H36" s="2">
        <v>3.1284013904006203E-2</v>
      </c>
      <c r="I36" s="29">
        <v>9.7493188607193308E-3</v>
      </c>
    </row>
    <row r="37" spans="1:9" ht="16" thickBot="1" x14ac:dyDescent="0.4">
      <c r="A37" s="36" t="s">
        <v>35</v>
      </c>
      <c r="B37" s="4"/>
      <c r="C37" s="4"/>
      <c r="D37" s="33">
        <f>SUM(D32:D36)</f>
        <v>6846323</v>
      </c>
      <c r="E37" s="33">
        <f>SUM(E32:E36)</f>
        <v>1815436</v>
      </c>
      <c r="F37" s="34">
        <f>AVERAGE(F32:F36)</f>
        <v>0.2993465785039342</v>
      </c>
      <c r="G37" s="33">
        <f>SUM(G32:G36)</f>
        <v>40925</v>
      </c>
      <c r="H37" s="34">
        <f>AVERAGE(H32:H36)</f>
        <v>2.4869168577389082E-2</v>
      </c>
      <c r="I37" s="35">
        <f>AVERAGE(I32:I36)</f>
        <v>7.5006515768561736E-3</v>
      </c>
    </row>
    <row r="38" spans="1:9" ht="3" customHeight="1" thickBot="1" x14ac:dyDescent="0.4">
      <c r="A38" s="141"/>
      <c r="B38" s="142"/>
      <c r="C38" s="142"/>
      <c r="D38" s="142"/>
      <c r="E38" s="142"/>
      <c r="F38" s="142"/>
      <c r="G38" s="142"/>
      <c r="H38" s="142"/>
      <c r="I38" s="143"/>
    </row>
    <row r="39" spans="1:9" x14ac:dyDescent="0.35">
      <c r="A39" s="16" t="s">
        <v>37</v>
      </c>
      <c r="B39" s="17"/>
      <c r="C39" s="17"/>
      <c r="D39" s="17"/>
      <c r="E39" s="17"/>
      <c r="F39" s="17"/>
      <c r="G39" s="17"/>
      <c r="H39" s="17"/>
      <c r="I39" s="18"/>
    </row>
    <row r="40" spans="1:9" x14ac:dyDescent="0.35">
      <c r="A40" s="28">
        <v>46018</v>
      </c>
      <c r="B40" t="s">
        <v>1035</v>
      </c>
      <c r="C40" t="s">
        <v>10</v>
      </c>
      <c r="D40" s="1">
        <v>263698</v>
      </c>
      <c r="E40" s="1">
        <v>99092</v>
      </c>
      <c r="F40" s="2">
        <v>0.37577835250931002</v>
      </c>
      <c r="G40" s="1">
        <v>1411</v>
      </c>
      <c r="H40" s="2">
        <v>1.42392927784281E-2</v>
      </c>
      <c r="I40" s="29">
        <v>5.3508179811754403E-3</v>
      </c>
    </row>
    <row r="41" spans="1:9" x14ac:dyDescent="0.35">
      <c r="A41" s="28">
        <v>46019</v>
      </c>
      <c r="B41" t="s">
        <v>1036</v>
      </c>
      <c r="C41" t="s">
        <v>10</v>
      </c>
      <c r="D41" s="1">
        <v>6306002</v>
      </c>
      <c r="E41" s="1">
        <v>2256429</v>
      </c>
      <c r="F41" s="2">
        <v>0.35782243646608403</v>
      </c>
      <c r="G41" s="1">
        <v>30763</v>
      </c>
      <c r="H41" s="2">
        <v>1.36334890218128E-2</v>
      </c>
      <c r="I41" s="29">
        <v>4.8783682593186604E-3</v>
      </c>
    </row>
    <row r="42" spans="1:9" x14ac:dyDescent="0.35">
      <c r="A42" s="28">
        <v>46019</v>
      </c>
      <c r="B42" t="s">
        <v>1036</v>
      </c>
      <c r="C42" t="s">
        <v>11</v>
      </c>
      <c r="D42" s="1">
        <v>406333</v>
      </c>
      <c r="E42" s="1">
        <v>143042</v>
      </c>
      <c r="F42" s="2">
        <v>0.35203146187978801</v>
      </c>
      <c r="G42" s="1">
        <v>2291</v>
      </c>
      <c r="H42" s="2">
        <v>1.6016274940227299E-2</v>
      </c>
      <c r="I42" s="29">
        <v>5.6382326810768503E-3</v>
      </c>
    </row>
    <row r="43" spans="1:9" x14ac:dyDescent="0.35">
      <c r="A43" s="28">
        <v>46019</v>
      </c>
      <c r="B43" t="s">
        <v>1037</v>
      </c>
      <c r="C43" t="s">
        <v>10</v>
      </c>
      <c r="D43" s="1">
        <v>56778</v>
      </c>
      <c r="E43" s="1">
        <v>19535</v>
      </c>
      <c r="F43" s="2">
        <v>0.34405931875022</v>
      </c>
      <c r="G43" s="1">
        <v>257</v>
      </c>
      <c r="H43" s="2">
        <v>1.31558740721781E-2</v>
      </c>
      <c r="I43" s="29">
        <v>4.5264010708372998E-3</v>
      </c>
    </row>
    <row r="44" spans="1:9" x14ac:dyDescent="0.35">
      <c r="A44" s="28">
        <v>46019</v>
      </c>
      <c r="B44" t="s">
        <v>904</v>
      </c>
      <c r="C44" t="s">
        <v>1038</v>
      </c>
      <c r="D44" s="1">
        <v>44237</v>
      </c>
      <c r="E44" s="1">
        <v>15892</v>
      </c>
      <c r="F44" s="2">
        <v>0.35924678436602803</v>
      </c>
      <c r="G44" s="1">
        <v>240</v>
      </c>
      <c r="H44" s="2">
        <v>1.5101938082053901E-2</v>
      </c>
      <c r="I44" s="29">
        <v>5.4253226936727197E-3</v>
      </c>
    </row>
    <row r="45" spans="1:9" x14ac:dyDescent="0.35">
      <c r="A45" s="28">
        <v>46022</v>
      </c>
      <c r="B45" t="s">
        <v>1039</v>
      </c>
      <c r="C45" t="s">
        <v>10</v>
      </c>
      <c r="D45" s="1">
        <v>541078</v>
      </c>
      <c r="E45" s="1">
        <v>217353</v>
      </c>
      <c r="F45" s="2">
        <v>0.40170363607465098</v>
      </c>
      <c r="G45" s="1">
        <v>4122</v>
      </c>
      <c r="H45" s="2">
        <v>1.8964541552221499E-2</v>
      </c>
      <c r="I45" s="29">
        <v>7.6181252980161802E-3</v>
      </c>
    </row>
    <row r="46" spans="1:9" x14ac:dyDescent="0.35">
      <c r="A46" s="28">
        <v>46022</v>
      </c>
      <c r="B46" t="s">
        <v>1039</v>
      </c>
      <c r="C46" t="s">
        <v>11</v>
      </c>
      <c r="D46" s="1">
        <v>25196</v>
      </c>
      <c r="E46" s="1">
        <v>9765</v>
      </c>
      <c r="F46" s="2">
        <v>0.38756151770122199</v>
      </c>
      <c r="G46" s="1">
        <v>289</v>
      </c>
      <c r="H46" s="2">
        <v>2.95954941116231E-2</v>
      </c>
      <c r="I46" s="29">
        <v>1.14700746150183E-2</v>
      </c>
    </row>
    <row r="47" spans="1:9" x14ac:dyDescent="0.35">
      <c r="A47" s="28">
        <v>45658</v>
      </c>
      <c r="B47" t="s">
        <v>1041</v>
      </c>
      <c r="C47" t="s">
        <v>11</v>
      </c>
      <c r="D47" s="1">
        <v>16232</v>
      </c>
      <c r="E47" s="1">
        <v>8158</v>
      </c>
      <c r="F47" s="2">
        <v>0.50258748151798904</v>
      </c>
      <c r="G47" s="1">
        <v>166</v>
      </c>
      <c r="H47" s="2">
        <v>2.0348124540328499E-2</v>
      </c>
      <c r="I47" s="29">
        <v>1.02267126663381E-2</v>
      </c>
    </row>
    <row r="48" spans="1:9" x14ac:dyDescent="0.35">
      <c r="A48" s="28">
        <v>45659</v>
      </c>
      <c r="B48" t="s">
        <v>1047</v>
      </c>
      <c r="C48" t="s">
        <v>10</v>
      </c>
      <c r="D48" s="1">
        <v>57789</v>
      </c>
      <c r="E48" s="1">
        <v>19285</v>
      </c>
      <c r="F48" s="2">
        <v>0.33371402862136401</v>
      </c>
      <c r="G48" s="1">
        <v>400</v>
      </c>
      <c r="H48" s="2">
        <v>2.0741508944775701E-2</v>
      </c>
      <c r="I48" s="29">
        <v>6.9217325096471603E-3</v>
      </c>
    </row>
    <row r="49" spans="1:9" x14ac:dyDescent="0.35">
      <c r="A49" s="28">
        <v>45659</v>
      </c>
      <c r="B49" t="s">
        <v>1048</v>
      </c>
      <c r="C49" t="s">
        <v>10</v>
      </c>
      <c r="D49" s="1">
        <v>218356</v>
      </c>
      <c r="E49" s="1">
        <v>75890</v>
      </c>
      <c r="F49" s="2">
        <v>0.34755170455586298</v>
      </c>
      <c r="G49" s="1">
        <v>1882</v>
      </c>
      <c r="H49" s="2">
        <v>2.47990512584003E-2</v>
      </c>
      <c r="I49" s="29">
        <v>8.6189525362252491E-3</v>
      </c>
    </row>
    <row r="50" spans="1:9" x14ac:dyDescent="0.35">
      <c r="A50" s="28">
        <v>45659</v>
      </c>
      <c r="B50" t="s">
        <v>1048</v>
      </c>
      <c r="C50" t="s">
        <v>11</v>
      </c>
      <c r="D50" s="1">
        <v>12118</v>
      </c>
      <c r="E50" s="1">
        <v>4542</v>
      </c>
      <c r="F50" s="2">
        <v>0.374814325796336</v>
      </c>
      <c r="G50" s="1">
        <v>144</v>
      </c>
      <c r="H50" s="2">
        <v>3.1704095112285301E-2</v>
      </c>
      <c r="I50" s="29">
        <v>1.1883149034494099E-2</v>
      </c>
    </row>
    <row r="51" spans="1:9" x14ac:dyDescent="0.35">
      <c r="A51" s="28">
        <v>45659</v>
      </c>
      <c r="B51" t="s">
        <v>1049</v>
      </c>
      <c r="C51" t="s">
        <v>10</v>
      </c>
      <c r="D51" s="1">
        <v>262648</v>
      </c>
      <c r="E51" s="1">
        <v>93723</v>
      </c>
      <c r="F51" s="2">
        <v>0.356838810879961</v>
      </c>
      <c r="G51" s="1">
        <v>1651</v>
      </c>
      <c r="H51" s="2">
        <v>1.7615739999786599E-2</v>
      </c>
      <c r="I51" s="29">
        <v>6.2859797142944202E-3</v>
      </c>
    </row>
    <row r="52" spans="1:9" x14ac:dyDescent="0.35">
      <c r="A52" s="28">
        <v>45659</v>
      </c>
      <c r="B52" t="s">
        <v>1049</v>
      </c>
      <c r="C52" t="s">
        <v>11</v>
      </c>
      <c r="D52" s="1">
        <v>746</v>
      </c>
      <c r="E52" s="1">
        <v>348</v>
      </c>
      <c r="F52" s="2">
        <v>0.46648793565683599</v>
      </c>
      <c r="G52" s="1">
        <v>10</v>
      </c>
      <c r="H52" s="2">
        <v>2.8735632183908E-2</v>
      </c>
      <c r="I52" s="29">
        <v>1.34048257372654E-2</v>
      </c>
    </row>
    <row r="53" spans="1:9" ht="16" thickBot="1" x14ac:dyDescent="0.4">
      <c r="A53" s="36" t="s">
        <v>35</v>
      </c>
      <c r="B53" s="4"/>
      <c r="C53" s="4"/>
      <c r="D53" s="33">
        <f>SUM(D40:D52)</f>
        <v>8211211</v>
      </c>
      <c r="E53" s="33">
        <f>SUM(E40:E52)</f>
        <v>2963054</v>
      </c>
      <c r="F53" s="34">
        <f>AVERAGE(F40:F52)</f>
        <v>0.38155367652120409</v>
      </c>
      <c r="G53" s="33">
        <f>SUM(G40:G52)</f>
        <v>43626</v>
      </c>
      <c r="H53" s="34">
        <f>AVERAGE(H40:H52)</f>
        <v>2.0357773584463782E-2</v>
      </c>
      <c r="I53" s="35">
        <f>AVERAGE(I40:I52)</f>
        <v>7.8652842151830677E-3</v>
      </c>
    </row>
    <row r="54" spans="1:9" ht="3" customHeight="1" thickBot="1" x14ac:dyDescent="0.4">
      <c r="A54" s="139"/>
      <c r="B54" s="138"/>
      <c r="C54" s="138"/>
      <c r="D54" s="138"/>
      <c r="E54" s="138"/>
      <c r="F54" s="138"/>
      <c r="G54" s="138"/>
      <c r="H54" s="138"/>
      <c r="I54" s="140"/>
    </row>
    <row r="55" spans="1:9" x14ac:dyDescent="0.35">
      <c r="A55" s="16" t="s">
        <v>38</v>
      </c>
      <c r="B55" s="17"/>
      <c r="C55" s="17"/>
      <c r="D55" s="17"/>
      <c r="E55" s="17"/>
      <c r="F55" s="17"/>
      <c r="G55" s="17"/>
      <c r="H55" s="17"/>
      <c r="I55" s="18"/>
    </row>
    <row r="56" spans="1:9" x14ac:dyDescent="0.35">
      <c r="A56" s="8">
        <v>45659</v>
      </c>
      <c r="B56" t="s">
        <v>1027</v>
      </c>
      <c r="C56" t="s">
        <v>234</v>
      </c>
      <c r="D56" s="1">
        <v>564205</v>
      </c>
      <c r="E56" s="1">
        <v>181571</v>
      </c>
      <c r="F56" s="3">
        <v>0.32179999999999997</v>
      </c>
      <c r="G56">
        <v>665</v>
      </c>
      <c r="H56" s="3">
        <v>3.7000000000000002E-3</v>
      </c>
      <c r="I56" s="11">
        <v>1.1999999999999999E-3</v>
      </c>
    </row>
    <row r="57" spans="1:9" x14ac:dyDescent="0.35">
      <c r="A57" s="8">
        <v>45659</v>
      </c>
      <c r="B57" t="s">
        <v>1029</v>
      </c>
      <c r="C57" t="s">
        <v>235</v>
      </c>
      <c r="D57" s="1">
        <v>39847</v>
      </c>
      <c r="E57" s="1">
        <v>11679</v>
      </c>
      <c r="F57" s="3">
        <v>0.29310000000000003</v>
      </c>
      <c r="G57">
        <v>74</v>
      </c>
      <c r="H57" s="3">
        <v>6.3E-3</v>
      </c>
      <c r="I57" s="11">
        <v>1.9E-3</v>
      </c>
    </row>
    <row r="58" spans="1:9" x14ac:dyDescent="0.35">
      <c r="A58" s="8">
        <v>45659</v>
      </c>
      <c r="B58" t="s">
        <v>1031</v>
      </c>
      <c r="C58" t="s">
        <v>234</v>
      </c>
      <c r="D58" s="1">
        <v>750841</v>
      </c>
      <c r="E58" s="1">
        <v>267233</v>
      </c>
      <c r="F58" s="3">
        <v>0.35589999999999999</v>
      </c>
      <c r="G58" s="1">
        <v>1012</v>
      </c>
      <c r="H58" s="3">
        <v>3.8E-3</v>
      </c>
      <c r="I58" s="11">
        <v>1.2999999999999999E-3</v>
      </c>
    </row>
    <row r="59" spans="1:9" x14ac:dyDescent="0.35">
      <c r="A59" s="8">
        <v>45659</v>
      </c>
      <c r="B59" t="s">
        <v>1032</v>
      </c>
      <c r="C59" t="s">
        <v>235</v>
      </c>
      <c r="D59" s="1">
        <v>45838</v>
      </c>
      <c r="E59" s="1">
        <v>15276</v>
      </c>
      <c r="F59" s="3">
        <v>0.33329999999999999</v>
      </c>
      <c r="G59">
        <v>67</v>
      </c>
      <c r="H59" s="3">
        <v>4.4000000000000003E-3</v>
      </c>
      <c r="I59" s="11">
        <v>1.5E-3</v>
      </c>
    </row>
    <row r="60" spans="1:9" x14ac:dyDescent="0.35">
      <c r="A60" s="8">
        <v>45659</v>
      </c>
      <c r="B60" t="s">
        <v>1042</v>
      </c>
      <c r="C60" t="s">
        <v>1028</v>
      </c>
      <c r="D60" s="1">
        <v>683385</v>
      </c>
      <c r="E60" s="1">
        <v>229955</v>
      </c>
      <c r="F60" s="3">
        <v>0.33650000000000002</v>
      </c>
      <c r="G60">
        <v>787</v>
      </c>
      <c r="H60" s="3">
        <v>3.3999999999999998E-3</v>
      </c>
      <c r="I60" s="11">
        <v>1.1999999999999999E-3</v>
      </c>
    </row>
    <row r="61" spans="1:9" x14ac:dyDescent="0.35">
      <c r="A61" s="8">
        <v>45659</v>
      </c>
      <c r="B61" t="s">
        <v>1043</v>
      </c>
      <c r="C61" t="s">
        <v>1030</v>
      </c>
      <c r="D61" s="1">
        <v>36026</v>
      </c>
      <c r="E61" s="1">
        <v>11604</v>
      </c>
      <c r="F61" s="3">
        <v>0.3221</v>
      </c>
      <c r="G61">
        <v>74</v>
      </c>
      <c r="H61" s="3">
        <v>6.4000000000000003E-3</v>
      </c>
      <c r="I61" s="11">
        <v>2.0999999999999999E-3</v>
      </c>
    </row>
    <row r="62" spans="1:9" x14ac:dyDescent="0.35">
      <c r="A62" s="8">
        <v>45659</v>
      </c>
      <c r="B62" t="s">
        <v>1044</v>
      </c>
      <c r="C62" t="s">
        <v>1045</v>
      </c>
      <c r="D62" s="1">
        <v>626910</v>
      </c>
      <c r="E62" s="1">
        <v>255285</v>
      </c>
      <c r="F62" s="3">
        <v>0.40720000000000001</v>
      </c>
      <c r="G62" s="1">
        <v>1280</v>
      </c>
      <c r="H62" s="3">
        <v>5.0000000000000001E-3</v>
      </c>
      <c r="I62" s="11">
        <v>2E-3</v>
      </c>
    </row>
    <row r="63" spans="1:9" x14ac:dyDescent="0.35">
      <c r="A63" s="8">
        <v>45659</v>
      </c>
      <c r="B63" t="s">
        <v>1046</v>
      </c>
      <c r="C63" t="s">
        <v>1030</v>
      </c>
      <c r="D63" s="1">
        <v>36081</v>
      </c>
      <c r="E63" s="1">
        <v>14799</v>
      </c>
      <c r="F63" s="3">
        <v>0.41020000000000001</v>
      </c>
      <c r="G63">
        <v>103</v>
      </c>
      <c r="H63" s="3">
        <v>7.0000000000000001E-3</v>
      </c>
      <c r="I63" s="11">
        <v>2.8999999999999998E-3</v>
      </c>
    </row>
    <row r="64" spans="1:9" ht="16" thickBot="1" x14ac:dyDescent="0.4">
      <c r="A64" s="36" t="s">
        <v>35</v>
      </c>
      <c r="B64" s="4"/>
      <c r="C64" s="4"/>
      <c r="D64" s="33">
        <f>SUM(D56:D63)</f>
        <v>2783133</v>
      </c>
      <c r="E64" s="33">
        <f>SUM(E56:E63)</f>
        <v>987402</v>
      </c>
      <c r="F64" s="34">
        <f>AVERAGE(F56:F63)</f>
        <v>0.34751250000000006</v>
      </c>
      <c r="G64" s="33">
        <f>SUM(G56:G63)</f>
        <v>4062</v>
      </c>
      <c r="H64" s="34">
        <f>AVERAGE(H56:H63)</f>
        <v>5.0000000000000001E-3</v>
      </c>
      <c r="I64" s="35">
        <f>AVERAGE(I56:I63)</f>
        <v>1.7624999999999997E-3</v>
      </c>
    </row>
  </sheetData>
  <mergeCells count="3">
    <mergeCell ref="A29:I29"/>
    <mergeCell ref="A38:I38"/>
    <mergeCell ref="A54:I54"/>
  </mergeCells>
  <pageMargins left="0.7" right="0.7" top="0.75" bottom="0.75" header="0.3" footer="0.3"/>
  <ignoredErrors>
    <ignoredError sqref="F53:G53 F64:G64 F37:G37 F28:G28" formula="1"/>
  </ignoredErrors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B75B-0DED-4505-9872-7E39608551D1}">
  <sheetPr>
    <tabColor theme="4" tint="0.39997558519241921"/>
  </sheetPr>
  <dimension ref="A1:K1513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54296875" style="44" bestFit="1" customWidth="1"/>
    <col min="2" max="2" width="106.1796875" bestFit="1" customWidth="1"/>
    <col min="3" max="3" width="44.54296875" bestFit="1" customWidth="1"/>
    <col min="4" max="4" width="14" customWidth="1"/>
    <col min="5" max="5" width="15.54296875" bestFit="1" customWidth="1"/>
    <col min="6" max="6" width="19.453125" bestFit="1" customWidth="1"/>
    <col min="7" max="7" width="15" bestFit="1" customWidth="1"/>
    <col min="8" max="9" width="7" bestFit="1" customWidth="1"/>
    <col min="10" max="10" width="8.54296875" style="44" customWidth="1"/>
    <col min="11" max="11" width="12.54296875" style="44" bestFit="1" customWidth="1"/>
  </cols>
  <sheetData>
    <row r="1" spans="1:11" x14ac:dyDescent="0.35">
      <c r="A1" s="58" t="s">
        <v>0</v>
      </c>
      <c r="B1" s="59" t="s">
        <v>1</v>
      </c>
      <c r="C1" s="59" t="s">
        <v>1050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3" t="s">
        <v>1051</v>
      </c>
      <c r="K1" s="137" t="s">
        <v>1052</v>
      </c>
    </row>
    <row r="2" spans="1:11" x14ac:dyDescent="0.35">
      <c r="A2" s="61">
        <v>45292</v>
      </c>
      <c r="B2" s="49" t="s">
        <v>15</v>
      </c>
      <c r="C2" s="49" t="s">
        <v>10</v>
      </c>
      <c r="D2" s="50">
        <v>88514</v>
      </c>
      <c r="E2" s="50">
        <v>36552</v>
      </c>
      <c r="F2" s="51">
        <v>0.41295162347199299</v>
      </c>
      <c r="G2" s="50">
        <v>4703</v>
      </c>
      <c r="H2" s="51">
        <v>0.128666010067849</v>
      </c>
      <c r="I2" s="51">
        <v>5.31328377431819E-2</v>
      </c>
      <c r="J2" s="52" t="s">
        <v>1053</v>
      </c>
      <c r="K2" s="109" t="s">
        <v>1054</v>
      </c>
    </row>
    <row r="3" spans="1:11" x14ac:dyDescent="0.35">
      <c r="A3" s="61">
        <v>45292</v>
      </c>
      <c r="B3" s="49" t="s">
        <v>15</v>
      </c>
      <c r="C3" s="49" t="s">
        <v>11</v>
      </c>
      <c r="D3" s="50">
        <v>9858</v>
      </c>
      <c r="E3" s="50">
        <v>3731</v>
      </c>
      <c r="F3" s="51">
        <v>0.37847433556502302</v>
      </c>
      <c r="G3" s="50">
        <v>643</v>
      </c>
      <c r="H3" s="51">
        <v>0.17233985526668499</v>
      </c>
      <c r="I3" s="51">
        <v>6.5226212213430695E-2</v>
      </c>
      <c r="J3" s="52" t="s">
        <v>1053</v>
      </c>
      <c r="K3" s="109" t="s">
        <v>1054</v>
      </c>
    </row>
    <row r="4" spans="1:11" x14ac:dyDescent="0.35">
      <c r="A4" s="61">
        <v>45293</v>
      </c>
      <c r="B4" s="49" t="s">
        <v>16</v>
      </c>
      <c r="C4" s="49" t="s">
        <v>10</v>
      </c>
      <c r="D4" s="50">
        <v>1009160</v>
      </c>
      <c r="E4" s="50">
        <v>373012</v>
      </c>
      <c r="F4" s="51">
        <v>0.36962622379008298</v>
      </c>
      <c r="G4" s="50">
        <v>6289</v>
      </c>
      <c r="H4" s="51">
        <v>1.68600473979389E-2</v>
      </c>
      <c r="I4" s="51">
        <v>6.2319156526219801E-3</v>
      </c>
      <c r="J4" s="52" t="s">
        <v>1055</v>
      </c>
      <c r="K4" s="109" t="s">
        <v>1056</v>
      </c>
    </row>
    <row r="5" spans="1:11" x14ac:dyDescent="0.35">
      <c r="A5" s="61">
        <v>45293</v>
      </c>
      <c r="B5" s="49" t="s">
        <v>16</v>
      </c>
      <c r="C5" s="49" t="s">
        <v>11</v>
      </c>
      <c r="D5" s="50">
        <v>79165</v>
      </c>
      <c r="E5" s="50">
        <v>25552</v>
      </c>
      <c r="F5" s="51">
        <v>0.32276890039790301</v>
      </c>
      <c r="G5" s="50">
        <v>808</v>
      </c>
      <c r="H5" s="51">
        <v>3.1621790857858503E-2</v>
      </c>
      <c r="I5" s="51">
        <v>1.02065306638034E-2</v>
      </c>
      <c r="J5" s="52" t="s">
        <v>1055</v>
      </c>
      <c r="K5" s="109" t="s">
        <v>1056</v>
      </c>
    </row>
    <row r="6" spans="1:11" x14ac:dyDescent="0.35">
      <c r="A6" s="61">
        <v>45294</v>
      </c>
      <c r="B6" s="49" t="s">
        <v>17</v>
      </c>
      <c r="C6" s="49" t="s">
        <v>10</v>
      </c>
      <c r="D6" s="50">
        <v>311954</v>
      </c>
      <c r="E6" s="50">
        <v>111066</v>
      </c>
      <c r="F6" s="51">
        <v>0.35603326131416801</v>
      </c>
      <c r="G6" s="50">
        <v>1000</v>
      </c>
      <c r="H6" s="51">
        <v>9.0036554841265593E-3</v>
      </c>
      <c r="I6" s="51">
        <v>3.2056008257627701E-3</v>
      </c>
      <c r="J6" s="52" t="s">
        <v>1055</v>
      </c>
      <c r="K6" s="109" t="s">
        <v>1056</v>
      </c>
    </row>
    <row r="7" spans="1:11" x14ac:dyDescent="0.35">
      <c r="A7" s="61">
        <v>45294</v>
      </c>
      <c r="B7" s="49" t="s">
        <v>17</v>
      </c>
      <c r="C7" s="49" t="s">
        <v>11</v>
      </c>
      <c r="D7" s="50">
        <v>16728</v>
      </c>
      <c r="E7" s="50">
        <v>5267</v>
      </c>
      <c r="F7" s="51">
        <v>0.31486131037781001</v>
      </c>
      <c r="G7" s="50">
        <v>78</v>
      </c>
      <c r="H7" s="51">
        <v>1.4809189291817E-2</v>
      </c>
      <c r="I7" s="51">
        <v>4.6628407460545199E-3</v>
      </c>
      <c r="J7" s="52" t="s">
        <v>1055</v>
      </c>
      <c r="K7" s="109" t="s">
        <v>1056</v>
      </c>
    </row>
    <row r="8" spans="1:11" x14ac:dyDescent="0.35">
      <c r="A8" s="61">
        <v>45295</v>
      </c>
      <c r="B8" s="49" t="s">
        <v>18</v>
      </c>
      <c r="C8" s="49" t="s">
        <v>19</v>
      </c>
      <c r="D8" s="50">
        <v>625792</v>
      </c>
      <c r="E8" s="50">
        <v>196666</v>
      </c>
      <c r="F8" s="60">
        <v>0.31430000000000002</v>
      </c>
      <c r="G8" s="50">
        <v>1423</v>
      </c>
      <c r="H8" s="60">
        <v>7.1999999999999998E-3</v>
      </c>
      <c r="I8" s="60">
        <v>2.3E-3</v>
      </c>
      <c r="J8" s="52" t="s">
        <v>1055</v>
      </c>
      <c r="K8" s="109" t="s">
        <v>1056</v>
      </c>
    </row>
    <row r="9" spans="1:11" x14ac:dyDescent="0.35">
      <c r="A9" s="61">
        <v>45295</v>
      </c>
      <c r="B9" s="49" t="s">
        <v>20</v>
      </c>
      <c r="C9" s="49" t="s">
        <v>21</v>
      </c>
      <c r="D9" s="50">
        <v>50557</v>
      </c>
      <c r="E9" s="50">
        <v>13149</v>
      </c>
      <c r="F9" s="60">
        <v>0.2601</v>
      </c>
      <c r="G9" s="49">
        <v>145</v>
      </c>
      <c r="H9" s="60">
        <v>1.0999999999999999E-2</v>
      </c>
      <c r="I9" s="60">
        <v>2.8999999999999998E-3</v>
      </c>
      <c r="J9" s="52" t="s">
        <v>1055</v>
      </c>
      <c r="K9" s="109" t="s">
        <v>1056</v>
      </c>
    </row>
    <row r="10" spans="1:11" x14ac:dyDescent="0.35">
      <c r="A10" s="61">
        <v>45295</v>
      </c>
      <c r="B10" s="49" t="s">
        <v>22</v>
      </c>
      <c r="C10" s="49" t="s">
        <v>23</v>
      </c>
      <c r="D10" s="50">
        <v>199925</v>
      </c>
      <c r="E10" s="50">
        <v>83797</v>
      </c>
      <c r="F10" s="60">
        <v>0.41909999999999997</v>
      </c>
      <c r="G10" s="50">
        <v>1275</v>
      </c>
      <c r="H10" s="60">
        <v>1.52E-2</v>
      </c>
      <c r="I10" s="60">
        <v>6.4000000000000003E-3</v>
      </c>
      <c r="J10" s="52" t="s">
        <v>1055</v>
      </c>
      <c r="K10" s="109" t="s">
        <v>1056</v>
      </c>
    </row>
    <row r="11" spans="1:11" x14ac:dyDescent="0.35">
      <c r="A11" s="61">
        <v>45295</v>
      </c>
      <c r="B11" s="49" t="s">
        <v>24</v>
      </c>
      <c r="C11" s="49" t="s">
        <v>25</v>
      </c>
      <c r="D11" s="50">
        <v>15255</v>
      </c>
      <c r="E11" s="50">
        <v>5936</v>
      </c>
      <c r="F11" s="60">
        <v>0.3891</v>
      </c>
      <c r="G11" s="49">
        <v>92</v>
      </c>
      <c r="H11" s="60">
        <v>1.55E-2</v>
      </c>
      <c r="I11" s="60">
        <v>6.0000000000000001E-3</v>
      </c>
      <c r="J11" s="52" t="s">
        <v>1055</v>
      </c>
      <c r="K11" s="109" t="s">
        <v>1056</v>
      </c>
    </row>
    <row r="12" spans="1:11" x14ac:dyDescent="0.35">
      <c r="A12" s="61">
        <v>45295</v>
      </c>
      <c r="B12" s="49" t="s">
        <v>26</v>
      </c>
      <c r="C12" s="49" t="s">
        <v>27</v>
      </c>
      <c r="D12" s="50">
        <v>302289</v>
      </c>
      <c r="E12" s="50">
        <v>103737</v>
      </c>
      <c r="F12" s="60">
        <v>0.34320000000000001</v>
      </c>
      <c r="G12" s="49">
        <v>727</v>
      </c>
      <c r="H12" s="60">
        <v>7.0000000000000001E-3</v>
      </c>
      <c r="I12" s="60">
        <v>2.3999999999999998E-3</v>
      </c>
      <c r="J12" s="52" t="s">
        <v>1055</v>
      </c>
      <c r="K12" s="109" t="s">
        <v>1056</v>
      </c>
    </row>
    <row r="13" spans="1:11" x14ac:dyDescent="0.35">
      <c r="A13" s="61">
        <v>45295</v>
      </c>
      <c r="B13" s="49" t="s">
        <v>28</v>
      </c>
      <c r="C13" s="49" t="s">
        <v>21</v>
      </c>
      <c r="D13" s="50">
        <v>21059</v>
      </c>
      <c r="E13" s="50">
        <v>6341</v>
      </c>
      <c r="F13" s="60">
        <v>0.30109999999999998</v>
      </c>
      <c r="G13" s="49">
        <v>95</v>
      </c>
      <c r="H13" s="60">
        <v>1.4999999999999999E-2</v>
      </c>
      <c r="I13" s="60">
        <v>4.4999999999999997E-3</v>
      </c>
      <c r="J13" s="52" t="s">
        <v>1055</v>
      </c>
      <c r="K13" s="109" t="s">
        <v>1056</v>
      </c>
    </row>
    <row r="14" spans="1:11" x14ac:dyDescent="0.35">
      <c r="A14" s="61">
        <v>45295</v>
      </c>
      <c r="B14" s="49" t="s">
        <v>29</v>
      </c>
      <c r="C14" s="49" t="s">
        <v>23</v>
      </c>
      <c r="D14" s="50">
        <v>53876</v>
      </c>
      <c r="E14" s="50">
        <v>20331</v>
      </c>
      <c r="F14" s="60">
        <v>0.37740000000000001</v>
      </c>
      <c r="G14" s="49">
        <v>258</v>
      </c>
      <c r="H14" s="60">
        <v>1.2699999999999999E-2</v>
      </c>
      <c r="I14" s="60">
        <v>4.7999999999999996E-3</v>
      </c>
      <c r="J14" s="52" t="s">
        <v>1055</v>
      </c>
      <c r="K14" s="109" t="s">
        <v>1056</v>
      </c>
    </row>
    <row r="15" spans="1:11" x14ac:dyDescent="0.35">
      <c r="A15" s="61">
        <v>45295</v>
      </c>
      <c r="B15" s="49" t="s">
        <v>29</v>
      </c>
      <c r="C15" s="49" t="s">
        <v>25</v>
      </c>
      <c r="D15" s="50">
        <v>4059</v>
      </c>
      <c r="E15" s="50">
        <v>1544</v>
      </c>
      <c r="F15" s="60">
        <v>0.38040000000000002</v>
      </c>
      <c r="G15" s="49">
        <v>18</v>
      </c>
      <c r="H15" s="60">
        <v>1.17E-2</v>
      </c>
      <c r="I15" s="60">
        <v>4.4000000000000003E-3</v>
      </c>
      <c r="J15" s="52" t="s">
        <v>1055</v>
      </c>
      <c r="K15" s="109" t="s">
        <v>1056</v>
      </c>
    </row>
    <row r="16" spans="1:11" x14ac:dyDescent="0.35">
      <c r="A16" s="61">
        <v>45295</v>
      </c>
      <c r="B16" s="49" t="s">
        <v>30</v>
      </c>
      <c r="C16" s="49" t="s">
        <v>31</v>
      </c>
      <c r="D16" s="50">
        <v>627469</v>
      </c>
      <c r="E16" s="50">
        <v>184040</v>
      </c>
      <c r="F16" s="60">
        <v>0.29330000000000001</v>
      </c>
      <c r="G16" s="50">
        <v>1337</v>
      </c>
      <c r="H16" s="60">
        <v>7.3000000000000001E-3</v>
      </c>
      <c r="I16" s="60">
        <v>2.0999999999999999E-3</v>
      </c>
      <c r="J16" s="52" t="s">
        <v>1055</v>
      </c>
      <c r="K16" s="109" t="s">
        <v>1056</v>
      </c>
    </row>
    <row r="17" spans="1:11" x14ac:dyDescent="0.35">
      <c r="A17" s="61">
        <v>45295</v>
      </c>
      <c r="B17" s="49" t="s">
        <v>30</v>
      </c>
      <c r="C17" s="49" t="s">
        <v>32</v>
      </c>
      <c r="D17" s="50">
        <v>41781</v>
      </c>
      <c r="E17" s="50">
        <v>9914</v>
      </c>
      <c r="F17" s="60">
        <v>0.23730000000000001</v>
      </c>
      <c r="G17" s="49">
        <v>108</v>
      </c>
      <c r="H17" s="60">
        <v>1.09E-2</v>
      </c>
      <c r="I17" s="60">
        <v>2.5999999999999999E-3</v>
      </c>
      <c r="J17" s="52" t="s">
        <v>1055</v>
      </c>
      <c r="K17" s="109" t="s">
        <v>1056</v>
      </c>
    </row>
    <row r="18" spans="1:11" x14ac:dyDescent="0.35">
      <c r="A18" s="61">
        <v>45295</v>
      </c>
      <c r="B18" s="49" t="s">
        <v>33</v>
      </c>
      <c r="C18" s="49" t="s">
        <v>27</v>
      </c>
      <c r="D18" s="50">
        <v>799352</v>
      </c>
      <c r="E18" s="50">
        <v>302561</v>
      </c>
      <c r="F18" s="60">
        <v>0.3785</v>
      </c>
      <c r="G18" s="50">
        <v>2212</v>
      </c>
      <c r="H18" s="60">
        <v>7.3000000000000001E-3</v>
      </c>
      <c r="I18" s="60">
        <v>2.8E-3</v>
      </c>
      <c r="J18" s="52" t="s">
        <v>1055</v>
      </c>
      <c r="K18" s="109" t="s">
        <v>1056</v>
      </c>
    </row>
    <row r="19" spans="1:11" x14ac:dyDescent="0.35">
      <c r="A19" s="61">
        <v>45295</v>
      </c>
      <c r="B19" s="49" t="s">
        <v>33</v>
      </c>
      <c r="C19" s="49" t="s">
        <v>21</v>
      </c>
      <c r="D19" s="50">
        <v>59737</v>
      </c>
      <c r="E19" s="50">
        <v>20579</v>
      </c>
      <c r="F19" s="60">
        <v>0.34449999999999997</v>
      </c>
      <c r="G19" s="49">
        <v>257</v>
      </c>
      <c r="H19" s="60">
        <v>1.2500000000000001E-2</v>
      </c>
      <c r="I19" s="60">
        <v>4.3E-3</v>
      </c>
      <c r="J19" s="52" t="s">
        <v>1055</v>
      </c>
      <c r="K19" s="109" t="s">
        <v>1056</v>
      </c>
    </row>
    <row r="20" spans="1:11" x14ac:dyDescent="0.35">
      <c r="A20" s="61">
        <v>45295</v>
      </c>
      <c r="B20" s="49" t="s">
        <v>34</v>
      </c>
      <c r="C20" s="49" t="s">
        <v>27</v>
      </c>
      <c r="D20" s="50">
        <v>325095</v>
      </c>
      <c r="E20" s="50">
        <v>120015</v>
      </c>
      <c r="F20" s="60">
        <v>0.36919999999999997</v>
      </c>
      <c r="G20" s="49">
        <v>778</v>
      </c>
      <c r="H20" s="60">
        <v>6.4999999999999997E-3</v>
      </c>
      <c r="I20" s="60">
        <v>2.3999999999999998E-3</v>
      </c>
      <c r="J20" s="52" t="s">
        <v>1055</v>
      </c>
      <c r="K20" s="109" t="s">
        <v>1056</v>
      </c>
    </row>
    <row r="21" spans="1:11" x14ac:dyDescent="0.35">
      <c r="A21" s="61">
        <v>45296</v>
      </c>
      <c r="B21" s="49" t="s">
        <v>39</v>
      </c>
      <c r="C21" s="49" t="s">
        <v>10</v>
      </c>
      <c r="D21" s="50">
        <v>287064</v>
      </c>
      <c r="E21" s="50">
        <v>109177</v>
      </c>
      <c r="F21" s="51">
        <v>0.38032285483376499</v>
      </c>
      <c r="G21" s="50">
        <v>2980</v>
      </c>
      <c r="H21" s="51">
        <v>2.72951262628576E-2</v>
      </c>
      <c r="I21" s="51">
        <v>1.0380960343338101E-2</v>
      </c>
      <c r="J21" s="52" t="s">
        <v>1057</v>
      </c>
      <c r="K21" s="109" t="s">
        <v>1054</v>
      </c>
    </row>
    <row r="22" spans="1:11" x14ac:dyDescent="0.35">
      <c r="A22" s="61">
        <v>45296</v>
      </c>
      <c r="B22" s="49" t="s">
        <v>39</v>
      </c>
      <c r="C22" s="49" t="s">
        <v>11</v>
      </c>
      <c r="D22" s="50">
        <v>16049</v>
      </c>
      <c r="E22" s="50">
        <v>5353</v>
      </c>
      <c r="F22" s="51">
        <v>0.33354103059380602</v>
      </c>
      <c r="G22" s="50">
        <v>186</v>
      </c>
      <c r="H22" s="51">
        <v>3.4746870913506402E-2</v>
      </c>
      <c r="I22" s="51">
        <v>1.1589507134400901E-2</v>
      </c>
      <c r="J22" s="52" t="s">
        <v>1057</v>
      </c>
      <c r="K22" s="109" t="s">
        <v>1054</v>
      </c>
    </row>
    <row r="23" spans="1:11" x14ac:dyDescent="0.35">
      <c r="A23" s="61">
        <v>45296</v>
      </c>
      <c r="B23" s="49" t="s">
        <v>40</v>
      </c>
      <c r="C23" s="49" t="s">
        <v>10</v>
      </c>
      <c r="D23" s="50">
        <v>4029171</v>
      </c>
      <c r="E23" s="50">
        <v>1433358</v>
      </c>
      <c r="F23" s="51">
        <v>0.35574513963294202</v>
      </c>
      <c r="G23" s="50">
        <v>32650</v>
      </c>
      <c r="H23" s="51">
        <v>2.2778677762289701E-2</v>
      </c>
      <c r="I23" s="51">
        <v>8.1034039011995303E-3</v>
      </c>
      <c r="J23" s="52" t="s">
        <v>1055</v>
      </c>
      <c r="K23" s="109" t="s">
        <v>1056</v>
      </c>
    </row>
    <row r="24" spans="1:11" x14ac:dyDescent="0.35">
      <c r="A24" s="61">
        <v>45296</v>
      </c>
      <c r="B24" s="49" t="s">
        <v>40</v>
      </c>
      <c r="C24" s="49" t="s">
        <v>11</v>
      </c>
      <c r="D24" s="50">
        <v>236068</v>
      </c>
      <c r="E24" s="50">
        <v>71454</v>
      </c>
      <c r="F24" s="51">
        <v>0.302683972414728</v>
      </c>
      <c r="G24" s="50">
        <v>2070</v>
      </c>
      <c r="H24" s="51">
        <v>2.8969686791502199E-2</v>
      </c>
      <c r="I24" s="51">
        <v>8.7686598776623697E-3</v>
      </c>
      <c r="J24" s="52" t="s">
        <v>1055</v>
      </c>
      <c r="K24" s="109" t="s">
        <v>1056</v>
      </c>
    </row>
    <row r="25" spans="1:11" x14ac:dyDescent="0.35">
      <c r="A25" s="61">
        <v>45297</v>
      </c>
      <c r="B25" s="49" t="s">
        <v>41</v>
      </c>
      <c r="C25" s="49" t="s">
        <v>10</v>
      </c>
      <c r="D25" s="50">
        <v>42022</v>
      </c>
      <c r="E25" s="50">
        <v>17951</v>
      </c>
      <c r="F25" s="51">
        <v>0.427181000428347</v>
      </c>
      <c r="G25" s="50">
        <v>1383</v>
      </c>
      <c r="H25" s="51">
        <v>7.7043061667873697E-2</v>
      </c>
      <c r="I25" s="51">
        <v>3.2911332159345101E-2</v>
      </c>
      <c r="J25" s="52" t="s">
        <v>1055</v>
      </c>
      <c r="K25" s="109" t="s">
        <v>1056</v>
      </c>
    </row>
    <row r="26" spans="1:11" x14ac:dyDescent="0.35">
      <c r="A26" s="61">
        <v>45297</v>
      </c>
      <c r="B26" s="49" t="s">
        <v>41</v>
      </c>
      <c r="C26" s="49" t="s">
        <v>11</v>
      </c>
      <c r="D26" s="50">
        <v>3960</v>
      </c>
      <c r="E26" s="50">
        <v>1828</v>
      </c>
      <c r="F26" s="51">
        <v>0.46161616161616198</v>
      </c>
      <c r="G26" s="50">
        <v>208</v>
      </c>
      <c r="H26" s="51">
        <v>0.113785557986871</v>
      </c>
      <c r="I26" s="51">
        <v>5.2525252525252503E-2</v>
      </c>
      <c r="J26" s="52" t="s">
        <v>1055</v>
      </c>
      <c r="K26" s="109" t="s">
        <v>1056</v>
      </c>
    </row>
    <row r="27" spans="1:11" x14ac:dyDescent="0.35">
      <c r="A27" s="61">
        <v>45300</v>
      </c>
      <c r="B27" s="49" t="s">
        <v>42</v>
      </c>
      <c r="C27" s="49" t="s">
        <v>10</v>
      </c>
      <c r="D27" s="50">
        <v>992608</v>
      </c>
      <c r="E27" s="50">
        <v>375088</v>
      </c>
      <c r="F27" s="51">
        <v>0.37459999999999999</v>
      </c>
      <c r="G27" s="50">
        <v>5093</v>
      </c>
      <c r="H27" s="51">
        <v>1.3599999999999999E-2</v>
      </c>
      <c r="I27" s="51">
        <v>5.1000000000000004E-3</v>
      </c>
      <c r="J27" s="52" t="s">
        <v>1055</v>
      </c>
      <c r="K27" s="109" t="s">
        <v>1056</v>
      </c>
    </row>
    <row r="28" spans="1:11" x14ac:dyDescent="0.35">
      <c r="A28" s="61">
        <v>45300</v>
      </c>
      <c r="B28" s="49" t="s">
        <v>42</v>
      </c>
      <c r="C28" s="49" t="s">
        <v>11</v>
      </c>
      <c r="D28" s="50">
        <v>78073</v>
      </c>
      <c r="E28" s="50">
        <v>27861</v>
      </c>
      <c r="F28" s="51">
        <v>0.35149999999999998</v>
      </c>
      <c r="G28" s="50">
        <v>803</v>
      </c>
      <c r="H28" s="51">
        <v>2.1600000000000001E-2</v>
      </c>
      <c r="I28" s="51">
        <v>7.6E-3</v>
      </c>
      <c r="J28" s="52" t="s">
        <v>1055</v>
      </c>
      <c r="K28" s="109" t="s">
        <v>1056</v>
      </c>
    </row>
    <row r="29" spans="1:11" x14ac:dyDescent="0.35">
      <c r="A29" s="61">
        <v>45301</v>
      </c>
      <c r="B29" s="49" t="s">
        <v>43</v>
      </c>
      <c r="C29" s="49" t="s">
        <v>10</v>
      </c>
      <c r="D29" s="50">
        <v>184656</v>
      </c>
      <c r="E29" s="50">
        <v>82411</v>
      </c>
      <c r="F29" s="51">
        <v>0.44629473182566498</v>
      </c>
      <c r="G29" s="50">
        <v>1675</v>
      </c>
      <c r="H29" s="51">
        <v>2.03249566198687E-2</v>
      </c>
      <c r="I29" s="51">
        <v>9.0709210640325805E-3</v>
      </c>
      <c r="J29" s="52" t="s">
        <v>1055</v>
      </c>
      <c r="K29" s="109" t="s">
        <v>1056</v>
      </c>
    </row>
    <row r="30" spans="1:11" x14ac:dyDescent="0.35">
      <c r="A30" s="61">
        <v>45301</v>
      </c>
      <c r="B30" s="49" t="s">
        <v>43</v>
      </c>
      <c r="C30" s="49" t="s">
        <v>11</v>
      </c>
      <c r="D30" s="50">
        <v>11061</v>
      </c>
      <c r="E30" s="50">
        <v>5019</v>
      </c>
      <c r="F30" s="51">
        <v>0.45375644155139699</v>
      </c>
      <c r="G30" s="50">
        <v>157</v>
      </c>
      <c r="H30" s="51">
        <v>3.1281131699541699E-2</v>
      </c>
      <c r="I30" s="51">
        <v>1.4194015007684699E-2</v>
      </c>
      <c r="J30" s="52" t="s">
        <v>1055</v>
      </c>
      <c r="K30" s="109" t="s">
        <v>1056</v>
      </c>
    </row>
    <row r="31" spans="1:11" x14ac:dyDescent="0.35">
      <c r="A31" s="61">
        <v>45301</v>
      </c>
      <c r="B31" s="49" t="s">
        <v>44</v>
      </c>
      <c r="C31" s="49" t="s">
        <v>10</v>
      </c>
      <c r="D31" s="50">
        <v>142801</v>
      </c>
      <c r="E31" s="50">
        <v>61930</v>
      </c>
      <c r="F31" s="51">
        <v>0.43368043641151</v>
      </c>
      <c r="G31" s="50">
        <v>640</v>
      </c>
      <c r="H31" s="51">
        <v>1.0334248344905501E-2</v>
      </c>
      <c r="I31" s="51">
        <v>4.4817613322035597E-3</v>
      </c>
      <c r="J31" s="52" t="s">
        <v>1055</v>
      </c>
      <c r="K31" s="109" t="s">
        <v>1056</v>
      </c>
    </row>
    <row r="32" spans="1:11" x14ac:dyDescent="0.35">
      <c r="A32" s="61">
        <v>45301</v>
      </c>
      <c r="B32" s="49" t="s">
        <v>44</v>
      </c>
      <c r="C32" s="49" t="s">
        <v>11</v>
      </c>
      <c r="D32" s="50">
        <v>6955</v>
      </c>
      <c r="E32" s="50">
        <v>2846</v>
      </c>
      <c r="F32" s="51">
        <v>0.40920201294033098</v>
      </c>
      <c r="G32" s="50">
        <v>33</v>
      </c>
      <c r="H32" s="51">
        <v>1.15952213633169E-2</v>
      </c>
      <c r="I32" s="51">
        <v>4.7447879223580201E-3</v>
      </c>
      <c r="J32" s="52" t="s">
        <v>1055</v>
      </c>
      <c r="K32" s="109" t="s">
        <v>1056</v>
      </c>
    </row>
    <row r="33" spans="1:11" x14ac:dyDescent="0.35">
      <c r="A33" s="61">
        <v>45301</v>
      </c>
      <c r="B33" s="49" t="s">
        <v>45</v>
      </c>
      <c r="C33" s="49" t="s">
        <v>10</v>
      </c>
      <c r="D33" s="50">
        <v>111950</v>
      </c>
      <c r="E33" s="50">
        <v>47590</v>
      </c>
      <c r="F33" s="51">
        <v>0.425100491290755</v>
      </c>
      <c r="G33" s="50">
        <v>609</v>
      </c>
      <c r="H33" s="51">
        <v>1.2796806051691499E-2</v>
      </c>
      <c r="I33" s="51">
        <v>5.4399285395265702E-3</v>
      </c>
      <c r="J33" s="52" t="s">
        <v>1055</v>
      </c>
      <c r="K33" s="109" t="s">
        <v>1056</v>
      </c>
    </row>
    <row r="34" spans="1:11" x14ac:dyDescent="0.35">
      <c r="A34" s="61">
        <v>45301</v>
      </c>
      <c r="B34" s="49" t="s">
        <v>46</v>
      </c>
      <c r="C34" s="49" t="s">
        <v>10</v>
      </c>
      <c r="D34" s="50">
        <v>329347</v>
      </c>
      <c r="E34" s="50">
        <v>123650</v>
      </c>
      <c r="F34" s="51">
        <v>0.37543988559179198</v>
      </c>
      <c r="G34" s="50">
        <v>1793</v>
      </c>
      <c r="H34" s="51">
        <v>1.4500606550748101E-2</v>
      </c>
      <c r="I34" s="51">
        <v>5.4441060644244499E-3</v>
      </c>
      <c r="J34" s="52" t="s">
        <v>1055</v>
      </c>
      <c r="K34" s="109" t="s">
        <v>1056</v>
      </c>
    </row>
    <row r="35" spans="1:11" x14ac:dyDescent="0.35">
      <c r="A35" s="61">
        <v>45301</v>
      </c>
      <c r="B35" s="49" t="s">
        <v>46</v>
      </c>
      <c r="C35" s="49" t="s">
        <v>11</v>
      </c>
      <c r="D35" s="50">
        <v>20018</v>
      </c>
      <c r="E35" s="50">
        <v>6946</v>
      </c>
      <c r="F35" s="51">
        <v>0.346987711060046</v>
      </c>
      <c r="G35" s="50">
        <v>130</v>
      </c>
      <c r="H35" s="51">
        <v>1.8715807659084399E-2</v>
      </c>
      <c r="I35" s="51">
        <v>6.4941552602657601E-3</v>
      </c>
      <c r="J35" s="52" t="s">
        <v>1055</v>
      </c>
      <c r="K35" s="109" t="s">
        <v>1056</v>
      </c>
    </row>
    <row r="36" spans="1:11" x14ac:dyDescent="0.35">
      <c r="A36" s="61">
        <v>45302</v>
      </c>
      <c r="B36" s="49" t="s">
        <v>18</v>
      </c>
      <c r="C36" s="49" t="s">
        <v>47</v>
      </c>
      <c r="D36" s="50">
        <v>619604</v>
      </c>
      <c r="E36" s="50">
        <v>205774</v>
      </c>
      <c r="F36" s="60">
        <v>0.33210000000000001</v>
      </c>
      <c r="G36" s="50">
        <v>1391</v>
      </c>
      <c r="H36" s="60">
        <v>6.7999999999999996E-3</v>
      </c>
      <c r="I36" s="60">
        <v>2.2000000000000001E-3</v>
      </c>
      <c r="J36" s="52" t="s">
        <v>1055</v>
      </c>
      <c r="K36" s="109" t="s">
        <v>1056</v>
      </c>
    </row>
    <row r="37" spans="1:11" x14ac:dyDescent="0.35">
      <c r="A37" s="61">
        <v>45302</v>
      </c>
      <c r="B37" s="49" t="s">
        <v>20</v>
      </c>
      <c r="C37" s="49" t="s">
        <v>48</v>
      </c>
      <c r="D37" s="50">
        <v>50026</v>
      </c>
      <c r="E37" s="50">
        <v>13798</v>
      </c>
      <c r="F37" s="60">
        <v>0.27579999999999999</v>
      </c>
      <c r="G37" s="49">
        <v>139</v>
      </c>
      <c r="H37" s="60">
        <v>1.01E-2</v>
      </c>
      <c r="I37" s="60">
        <v>2.8E-3</v>
      </c>
      <c r="J37" s="52" t="s">
        <v>1055</v>
      </c>
      <c r="K37" s="109" t="s">
        <v>1056</v>
      </c>
    </row>
    <row r="38" spans="1:11" x14ac:dyDescent="0.35">
      <c r="A38" s="61">
        <v>45302</v>
      </c>
      <c r="B38" s="49" t="s">
        <v>22</v>
      </c>
      <c r="C38" s="49" t="s">
        <v>49</v>
      </c>
      <c r="D38" s="50">
        <v>160203</v>
      </c>
      <c r="E38" s="50">
        <v>60613</v>
      </c>
      <c r="F38" s="60">
        <v>0.37840000000000001</v>
      </c>
      <c r="G38" s="49">
        <v>668</v>
      </c>
      <c r="H38" s="60">
        <v>1.0999999999999999E-2</v>
      </c>
      <c r="I38" s="60">
        <v>4.1999999999999997E-3</v>
      </c>
      <c r="J38" s="52" t="s">
        <v>1055</v>
      </c>
      <c r="K38" s="109" t="s">
        <v>1056</v>
      </c>
    </row>
    <row r="39" spans="1:11" x14ac:dyDescent="0.35">
      <c r="A39" s="61">
        <v>45302</v>
      </c>
      <c r="B39" s="49" t="s">
        <v>24</v>
      </c>
      <c r="C39" s="49" t="s">
        <v>49</v>
      </c>
      <c r="D39" s="50">
        <v>12643</v>
      </c>
      <c r="E39" s="50">
        <v>4600</v>
      </c>
      <c r="F39" s="60">
        <v>0.36380000000000001</v>
      </c>
      <c r="G39" s="49">
        <v>60</v>
      </c>
      <c r="H39" s="60">
        <v>1.2999999999999999E-2</v>
      </c>
      <c r="I39" s="60">
        <v>4.7000000000000002E-3</v>
      </c>
      <c r="J39" s="52" t="s">
        <v>1055</v>
      </c>
      <c r="K39" s="109" t="s">
        <v>1056</v>
      </c>
    </row>
    <row r="40" spans="1:11" x14ac:dyDescent="0.35">
      <c r="A40" s="61">
        <v>45302</v>
      </c>
      <c r="B40" s="49" t="s">
        <v>26</v>
      </c>
      <c r="C40" s="49" t="s">
        <v>47</v>
      </c>
      <c r="D40" s="50">
        <v>298326</v>
      </c>
      <c r="E40" s="50">
        <v>101084</v>
      </c>
      <c r="F40" s="60">
        <v>0.33879999999999999</v>
      </c>
      <c r="G40" s="49">
        <v>644</v>
      </c>
      <c r="H40" s="60">
        <v>6.4000000000000003E-3</v>
      </c>
      <c r="I40" s="60">
        <v>2.2000000000000001E-3</v>
      </c>
      <c r="J40" s="52" t="s">
        <v>1055</v>
      </c>
      <c r="K40" s="109" t="s">
        <v>1056</v>
      </c>
    </row>
    <row r="41" spans="1:11" x14ac:dyDescent="0.35">
      <c r="A41" s="61">
        <v>45302</v>
      </c>
      <c r="B41" s="49" t="s">
        <v>28</v>
      </c>
      <c r="C41" s="49" t="s">
        <v>48</v>
      </c>
      <c r="D41" s="50">
        <v>20636</v>
      </c>
      <c r="E41" s="50">
        <v>5999</v>
      </c>
      <c r="F41" s="60">
        <v>0.29070000000000001</v>
      </c>
      <c r="G41" s="49">
        <v>86</v>
      </c>
      <c r="H41" s="60">
        <v>1.43E-2</v>
      </c>
      <c r="I41" s="60">
        <v>4.1999999999999997E-3</v>
      </c>
      <c r="J41" s="52" t="s">
        <v>1055</v>
      </c>
      <c r="K41" s="109" t="s">
        <v>1056</v>
      </c>
    </row>
    <row r="42" spans="1:11" x14ac:dyDescent="0.35">
      <c r="A42" s="61">
        <v>45302</v>
      </c>
      <c r="B42" s="49" t="s">
        <v>29</v>
      </c>
      <c r="C42" s="49" t="s">
        <v>49</v>
      </c>
      <c r="D42" s="50">
        <v>61335</v>
      </c>
      <c r="E42" s="50">
        <v>23565</v>
      </c>
      <c r="F42" s="60">
        <v>0.38419999999999999</v>
      </c>
      <c r="G42" s="49">
        <v>273</v>
      </c>
      <c r="H42" s="60">
        <v>1.1599999999999999E-2</v>
      </c>
      <c r="I42" s="60">
        <v>4.4999999999999997E-3</v>
      </c>
      <c r="J42" s="52" t="s">
        <v>1055</v>
      </c>
      <c r="K42" s="109" t="s">
        <v>1056</v>
      </c>
    </row>
    <row r="43" spans="1:11" x14ac:dyDescent="0.35">
      <c r="A43" s="61">
        <v>45302</v>
      </c>
      <c r="B43" s="49" t="s">
        <v>50</v>
      </c>
      <c r="C43" s="49" t="s">
        <v>49</v>
      </c>
      <c r="D43" s="50">
        <v>4890</v>
      </c>
      <c r="E43" s="50">
        <v>1850</v>
      </c>
      <c r="F43" s="60">
        <v>0.37830000000000003</v>
      </c>
      <c r="G43" s="49">
        <v>34</v>
      </c>
      <c r="H43" s="60">
        <v>1.84E-2</v>
      </c>
      <c r="I43" s="60">
        <v>7.0000000000000001E-3</v>
      </c>
      <c r="J43" s="52" t="s">
        <v>1055</v>
      </c>
      <c r="K43" s="109" t="s">
        <v>1056</v>
      </c>
    </row>
    <row r="44" spans="1:11" x14ac:dyDescent="0.35">
      <c r="A44" s="61">
        <v>45302</v>
      </c>
      <c r="B44" s="49" t="s">
        <v>51</v>
      </c>
      <c r="C44" s="49" t="s">
        <v>52</v>
      </c>
      <c r="D44" s="50">
        <v>289522</v>
      </c>
      <c r="E44" s="50">
        <v>91692</v>
      </c>
      <c r="F44" s="60">
        <v>0.31669999999999998</v>
      </c>
      <c r="G44" s="49">
        <v>364</v>
      </c>
      <c r="H44" s="60">
        <v>4.0000000000000001E-3</v>
      </c>
      <c r="I44" s="60">
        <v>1.2999999999999999E-3</v>
      </c>
      <c r="J44" s="52" t="s">
        <v>1055</v>
      </c>
      <c r="K44" s="109" t="s">
        <v>1056</v>
      </c>
    </row>
    <row r="45" spans="1:11" x14ac:dyDescent="0.35">
      <c r="A45" s="61">
        <v>45302</v>
      </c>
      <c r="B45" s="49" t="s">
        <v>53</v>
      </c>
      <c r="C45" s="49" t="s">
        <v>52</v>
      </c>
      <c r="D45" s="50">
        <v>15413</v>
      </c>
      <c r="E45" s="50">
        <v>4330</v>
      </c>
      <c r="F45" s="60">
        <v>0.28089999999999998</v>
      </c>
      <c r="G45" s="49">
        <v>31</v>
      </c>
      <c r="H45" s="60">
        <v>7.1999999999999998E-3</v>
      </c>
      <c r="I45" s="60">
        <v>2E-3</v>
      </c>
      <c r="J45" s="52" t="s">
        <v>1055</v>
      </c>
      <c r="K45" s="109" t="s">
        <v>1056</v>
      </c>
    </row>
    <row r="46" spans="1:11" x14ac:dyDescent="0.35">
      <c r="A46" s="61">
        <v>45302</v>
      </c>
      <c r="B46" s="49" t="s">
        <v>33</v>
      </c>
      <c r="C46" s="49" t="s">
        <v>47</v>
      </c>
      <c r="D46" s="50">
        <v>790697</v>
      </c>
      <c r="E46" s="50">
        <v>297053</v>
      </c>
      <c r="F46" s="60">
        <v>0.37569999999999998</v>
      </c>
      <c r="G46" s="50">
        <v>2100</v>
      </c>
      <c r="H46" s="60">
        <v>7.1000000000000004E-3</v>
      </c>
      <c r="I46" s="60">
        <v>2.7000000000000001E-3</v>
      </c>
      <c r="J46" s="52" t="s">
        <v>1055</v>
      </c>
      <c r="K46" s="109" t="s">
        <v>1056</v>
      </c>
    </row>
    <row r="47" spans="1:11" x14ac:dyDescent="0.35">
      <c r="A47" s="61">
        <v>45302</v>
      </c>
      <c r="B47" s="49" t="s">
        <v>54</v>
      </c>
      <c r="C47" s="49" t="s">
        <v>48</v>
      </c>
      <c r="D47" s="50">
        <v>59215</v>
      </c>
      <c r="E47" s="50">
        <v>19985</v>
      </c>
      <c r="F47" s="60">
        <v>0.33750000000000002</v>
      </c>
      <c r="G47" s="49">
        <v>235</v>
      </c>
      <c r="H47" s="60">
        <v>1.18E-2</v>
      </c>
      <c r="I47" s="60">
        <v>4.0000000000000001E-3</v>
      </c>
      <c r="J47" s="52" t="s">
        <v>1055</v>
      </c>
      <c r="K47" s="109" t="s">
        <v>1056</v>
      </c>
    </row>
    <row r="48" spans="1:11" x14ac:dyDescent="0.35">
      <c r="A48" s="61">
        <v>45302</v>
      </c>
      <c r="B48" s="49" t="s">
        <v>55</v>
      </c>
      <c r="C48" s="49" t="s">
        <v>52</v>
      </c>
      <c r="D48" s="50">
        <v>31529</v>
      </c>
      <c r="E48" s="50">
        <v>13421</v>
      </c>
      <c r="F48" s="60">
        <v>0.42570000000000002</v>
      </c>
      <c r="G48" s="49">
        <v>244</v>
      </c>
      <c r="H48" s="60">
        <v>1.8200000000000001E-2</v>
      </c>
      <c r="I48" s="60">
        <v>7.7000000000000002E-3</v>
      </c>
      <c r="J48" s="52" t="s">
        <v>1055</v>
      </c>
      <c r="K48" s="109" t="s">
        <v>1056</v>
      </c>
    </row>
    <row r="49" spans="1:11" x14ac:dyDescent="0.35">
      <c r="A49" s="61">
        <v>45302</v>
      </c>
      <c r="B49" s="49" t="s">
        <v>56</v>
      </c>
      <c r="C49" s="49" t="s">
        <v>52</v>
      </c>
      <c r="D49" s="50">
        <v>1150</v>
      </c>
      <c r="E49" s="49">
        <v>504</v>
      </c>
      <c r="F49" s="60">
        <v>0.43830000000000002</v>
      </c>
      <c r="G49" s="49">
        <v>7</v>
      </c>
      <c r="H49" s="60">
        <v>1.3899999999999999E-2</v>
      </c>
      <c r="I49" s="60">
        <v>6.1000000000000004E-3</v>
      </c>
      <c r="J49" s="52" t="s">
        <v>1055</v>
      </c>
      <c r="K49" s="109" t="s">
        <v>1056</v>
      </c>
    </row>
    <row r="50" spans="1:11" x14ac:dyDescent="0.35">
      <c r="A50" s="61">
        <v>45302</v>
      </c>
      <c r="B50" s="49" t="s">
        <v>34</v>
      </c>
      <c r="C50" s="49" t="s">
        <v>47</v>
      </c>
      <c r="D50" s="50">
        <v>322889</v>
      </c>
      <c r="E50" s="50">
        <v>114701</v>
      </c>
      <c r="F50" s="60">
        <v>0.35520000000000002</v>
      </c>
      <c r="G50" s="49">
        <v>697</v>
      </c>
      <c r="H50" s="60">
        <v>6.1000000000000004E-3</v>
      </c>
      <c r="I50" s="60">
        <v>2.2000000000000001E-3</v>
      </c>
      <c r="J50" s="52" t="s">
        <v>1055</v>
      </c>
      <c r="K50" s="109" t="s">
        <v>1056</v>
      </c>
    </row>
    <row r="51" spans="1:11" x14ac:dyDescent="0.35">
      <c r="A51" s="61">
        <v>45303</v>
      </c>
      <c r="B51" s="49" t="s">
        <v>57</v>
      </c>
      <c r="C51" s="49" t="s">
        <v>10</v>
      </c>
      <c r="D51" s="50">
        <v>3916219</v>
      </c>
      <c r="E51" s="50">
        <v>1445051</v>
      </c>
      <c r="F51" s="51">
        <v>0.368991366417455</v>
      </c>
      <c r="G51" s="50">
        <v>30012</v>
      </c>
      <c r="H51" s="51">
        <v>2.0768817155934299E-2</v>
      </c>
      <c r="I51" s="51">
        <v>7.6635142212424798E-3</v>
      </c>
      <c r="J51" s="52" t="s">
        <v>1055</v>
      </c>
      <c r="K51" s="109" t="s">
        <v>1056</v>
      </c>
    </row>
    <row r="52" spans="1:11" x14ac:dyDescent="0.35">
      <c r="A52" s="61">
        <v>45303</v>
      </c>
      <c r="B52" s="49" t="s">
        <v>57</v>
      </c>
      <c r="C52" s="49" t="s">
        <v>11</v>
      </c>
      <c r="D52" s="50">
        <v>232225</v>
      </c>
      <c r="E52" s="50">
        <v>73662</v>
      </c>
      <c r="F52" s="51">
        <v>0.31720099041877498</v>
      </c>
      <c r="G52" s="50">
        <v>1841</v>
      </c>
      <c r="H52" s="51">
        <v>2.49925334636583E-2</v>
      </c>
      <c r="I52" s="51">
        <v>7.9276563677468E-3</v>
      </c>
      <c r="J52" s="52" t="s">
        <v>1055</v>
      </c>
      <c r="K52" s="109" t="s">
        <v>1056</v>
      </c>
    </row>
    <row r="53" spans="1:11" x14ac:dyDescent="0.35">
      <c r="A53" s="61">
        <v>45303</v>
      </c>
      <c r="B53" s="49" t="s">
        <v>58</v>
      </c>
      <c r="C53" s="49" t="s">
        <v>10</v>
      </c>
      <c r="D53" s="50">
        <v>283925</v>
      </c>
      <c r="E53" s="50">
        <v>106749</v>
      </c>
      <c r="F53" s="51">
        <v>0.375976050013208</v>
      </c>
      <c r="G53" s="50">
        <v>2273</v>
      </c>
      <c r="H53" s="51">
        <v>2.12929395123139E-2</v>
      </c>
      <c r="I53" s="51">
        <v>8.0056352910099493E-3</v>
      </c>
      <c r="J53" s="52" t="s">
        <v>1057</v>
      </c>
      <c r="K53" s="109" t="s">
        <v>1054</v>
      </c>
    </row>
    <row r="54" spans="1:11" x14ac:dyDescent="0.35">
      <c r="A54" s="61">
        <v>45304</v>
      </c>
      <c r="B54" s="49" t="s">
        <v>59</v>
      </c>
      <c r="C54" s="49" t="s">
        <v>10</v>
      </c>
      <c r="D54" s="50">
        <v>1487</v>
      </c>
      <c r="E54" s="50">
        <v>761</v>
      </c>
      <c r="F54" s="51">
        <v>0.51176866173503699</v>
      </c>
      <c r="G54" s="50">
        <v>194</v>
      </c>
      <c r="H54" s="51">
        <v>0.25492772667542701</v>
      </c>
      <c r="I54" s="51">
        <v>0.13046402151983899</v>
      </c>
      <c r="J54" s="52" t="s">
        <v>1058</v>
      </c>
      <c r="K54" s="109" t="s">
        <v>1054</v>
      </c>
    </row>
    <row r="55" spans="1:11" x14ac:dyDescent="0.35">
      <c r="A55" s="61">
        <v>45304</v>
      </c>
      <c r="B55" s="49" t="s">
        <v>60</v>
      </c>
      <c r="C55" s="49" t="s">
        <v>10</v>
      </c>
      <c r="D55" s="50">
        <v>993</v>
      </c>
      <c r="E55" s="50">
        <v>386</v>
      </c>
      <c r="F55" s="51">
        <v>0.38872104733131901</v>
      </c>
      <c r="G55" s="50">
        <v>22</v>
      </c>
      <c r="H55" s="51">
        <v>5.6994818652849701E-2</v>
      </c>
      <c r="I55" s="51">
        <v>2.21550855991944E-2</v>
      </c>
      <c r="J55" s="52" t="s">
        <v>1058</v>
      </c>
      <c r="K55" s="109" t="s">
        <v>1054</v>
      </c>
    </row>
    <row r="56" spans="1:11" x14ac:dyDescent="0.35">
      <c r="A56" s="61">
        <v>45304</v>
      </c>
      <c r="B56" s="49" t="s">
        <v>61</v>
      </c>
      <c r="C56" s="49" t="s">
        <v>10</v>
      </c>
      <c r="D56" s="50">
        <v>9908</v>
      </c>
      <c r="E56" s="50">
        <v>3662</v>
      </c>
      <c r="F56" s="51">
        <v>0.36960032297133599</v>
      </c>
      <c r="G56" s="50">
        <v>220</v>
      </c>
      <c r="H56" s="51">
        <v>6.0076460950300399E-2</v>
      </c>
      <c r="I56" s="51">
        <v>2.2204279370205901E-2</v>
      </c>
      <c r="J56" s="52" t="s">
        <v>1058</v>
      </c>
      <c r="K56" s="109" t="s">
        <v>1054</v>
      </c>
    </row>
    <row r="57" spans="1:11" x14ac:dyDescent="0.35">
      <c r="A57" s="61">
        <v>45307</v>
      </c>
      <c r="B57" s="49" t="s">
        <v>62</v>
      </c>
      <c r="C57" s="49" t="s">
        <v>10</v>
      </c>
      <c r="D57" s="50">
        <v>1416078</v>
      </c>
      <c r="E57" s="50">
        <v>493221</v>
      </c>
      <c r="F57" s="51">
        <v>0.34830072919712102</v>
      </c>
      <c r="G57" s="50">
        <v>13538</v>
      </c>
      <c r="H57" s="51">
        <v>2.7448141907988499E-2</v>
      </c>
      <c r="I57" s="51">
        <v>9.5602078416584402E-3</v>
      </c>
      <c r="J57" s="52" t="s">
        <v>1055</v>
      </c>
      <c r="K57" s="109" t="s">
        <v>1056</v>
      </c>
    </row>
    <row r="58" spans="1:11" x14ac:dyDescent="0.35">
      <c r="A58" s="61">
        <v>45307</v>
      </c>
      <c r="B58" s="49" t="s">
        <v>62</v>
      </c>
      <c r="C58" s="49" t="s">
        <v>11</v>
      </c>
      <c r="D58" s="50">
        <v>102083</v>
      </c>
      <c r="E58" s="50">
        <v>30625</v>
      </c>
      <c r="F58" s="51">
        <v>0.30000097959503502</v>
      </c>
      <c r="G58" s="50">
        <v>1370</v>
      </c>
      <c r="H58" s="51">
        <v>4.4734693877551003E-2</v>
      </c>
      <c r="I58" s="51">
        <v>1.3420451985149301E-2</v>
      </c>
      <c r="J58" s="52" t="s">
        <v>1055</v>
      </c>
      <c r="K58" s="109" t="s">
        <v>1056</v>
      </c>
    </row>
    <row r="59" spans="1:11" x14ac:dyDescent="0.35">
      <c r="A59" s="61">
        <v>45309</v>
      </c>
      <c r="B59" s="49" t="s">
        <v>22</v>
      </c>
      <c r="C59" s="49" t="s">
        <v>31</v>
      </c>
      <c r="D59" s="50">
        <v>158896</v>
      </c>
      <c r="E59" s="50">
        <v>58327</v>
      </c>
      <c r="F59" s="60">
        <v>0.36709999999999998</v>
      </c>
      <c r="G59" s="49">
        <v>772</v>
      </c>
      <c r="H59" s="60">
        <v>1.32E-2</v>
      </c>
      <c r="I59" s="60">
        <v>4.8999999999999998E-3</v>
      </c>
      <c r="J59" s="52" t="s">
        <v>1055</v>
      </c>
      <c r="K59" s="109" t="s">
        <v>1056</v>
      </c>
    </row>
    <row r="60" spans="1:11" x14ac:dyDescent="0.35">
      <c r="A60" s="61">
        <v>45309</v>
      </c>
      <c r="B60" s="49" t="s">
        <v>24</v>
      </c>
      <c r="C60" s="49" t="s">
        <v>32</v>
      </c>
      <c r="D60" s="50">
        <v>12505</v>
      </c>
      <c r="E60" s="50">
        <v>4642</v>
      </c>
      <c r="F60" s="60">
        <v>0.37119999999999997</v>
      </c>
      <c r="G60" s="49">
        <v>80</v>
      </c>
      <c r="H60" s="60">
        <v>1.72E-2</v>
      </c>
      <c r="I60" s="60">
        <v>6.4000000000000003E-3</v>
      </c>
      <c r="J60" s="52" t="s">
        <v>1055</v>
      </c>
      <c r="K60" s="109" t="s">
        <v>1056</v>
      </c>
    </row>
    <row r="61" spans="1:11" x14ac:dyDescent="0.35">
      <c r="A61" s="61">
        <v>45309</v>
      </c>
      <c r="B61" s="49" t="s">
        <v>29</v>
      </c>
      <c r="C61" s="49" t="s">
        <v>31</v>
      </c>
      <c r="D61" s="50">
        <v>61008</v>
      </c>
      <c r="E61" s="50">
        <v>23745</v>
      </c>
      <c r="F61" s="60">
        <v>0.38919999999999999</v>
      </c>
      <c r="G61" s="49">
        <v>355</v>
      </c>
      <c r="H61" s="60">
        <v>1.4999999999999999E-2</v>
      </c>
      <c r="I61" s="60">
        <v>5.7999999999999996E-3</v>
      </c>
      <c r="J61" s="52" t="s">
        <v>1055</v>
      </c>
      <c r="K61" s="109" t="s">
        <v>1056</v>
      </c>
    </row>
    <row r="62" spans="1:11" x14ac:dyDescent="0.35">
      <c r="A62" s="61">
        <v>45309</v>
      </c>
      <c r="B62" s="49" t="s">
        <v>50</v>
      </c>
      <c r="C62" s="49" t="s">
        <v>32</v>
      </c>
      <c r="D62" s="50">
        <v>4868</v>
      </c>
      <c r="E62" s="50">
        <v>1782</v>
      </c>
      <c r="F62" s="60">
        <v>0.36609999999999998</v>
      </c>
      <c r="G62" s="49">
        <v>43</v>
      </c>
      <c r="H62" s="60">
        <v>2.41E-2</v>
      </c>
      <c r="I62" s="60">
        <v>8.8000000000000005E-3</v>
      </c>
      <c r="J62" s="52" t="s">
        <v>1055</v>
      </c>
      <c r="K62" s="109" t="s">
        <v>1056</v>
      </c>
    </row>
    <row r="63" spans="1:11" x14ac:dyDescent="0.35">
      <c r="A63" s="61">
        <v>45309</v>
      </c>
      <c r="B63" s="49" t="s">
        <v>51</v>
      </c>
      <c r="C63" s="49" t="s">
        <v>27</v>
      </c>
      <c r="D63" s="50">
        <v>246511</v>
      </c>
      <c r="E63" s="50">
        <v>79050</v>
      </c>
      <c r="F63" s="60">
        <v>0.32069999999999999</v>
      </c>
      <c r="G63" s="49">
        <v>345</v>
      </c>
      <c r="H63" s="60">
        <v>4.4000000000000003E-3</v>
      </c>
      <c r="I63" s="60">
        <v>1.4E-3</v>
      </c>
      <c r="J63" s="52" t="s">
        <v>1055</v>
      </c>
      <c r="K63" s="109" t="s">
        <v>1056</v>
      </c>
    </row>
    <row r="64" spans="1:11" x14ac:dyDescent="0.35">
      <c r="A64" s="61">
        <v>45309</v>
      </c>
      <c r="B64" s="49" t="s">
        <v>53</v>
      </c>
      <c r="C64" s="49" t="s">
        <v>21</v>
      </c>
      <c r="D64" s="50">
        <v>13287</v>
      </c>
      <c r="E64" s="50">
        <v>3468</v>
      </c>
      <c r="F64" s="60">
        <v>0.26100000000000001</v>
      </c>
      <c r="G64" s="49">
        <v>35</v>
      </c>
      <c r="H64" s="60">
        <v>1.01E-2</v>
      </c>
      <c r="I64" s="60">
        <v>2.5999999999999999E-3</v>
      </c>
      <c r="J64" s="52" t="s">
        <v>1055</v>
      </c>
      <c r="K64" s="109" t="s">
        <v>1056</v>
      </c>
    </row>
    <row r="65" spans="1:11" x14ac:dyDescent="0.35">
      <c r="A65" s="61">
        <v>45309</v>
      </c>
      <c r="B65" s="49" t="s">
        <v>63</v>
      </c>
      <c r="C65" s="49" t="s">
        <v>64</v>
      </c>
      <c r="D65" s="50">
        <v>245972</v>
      </c>
      <c r="E65" s="50">
        <v>87459</v>
      </c>
      <c r="F65" s="60">
        <v>0.35560000000000003</v>
      </c>
      <c r="G65" s="49">
        <v>801</v>
      </c>
      <c r="H65" s="60">
        <v>9.1999999999999998E-3</v>
      </c>
      <c r="I65" s="60">
        <v>3.3E-3</v>
      </c>
      <c r="J65" s="52" t="s">
        <v>1055</v>
      </c>
      <c r="K65" s="109" t="s">
        <v>1056</v>
      </c>
    </row>
    <row r="66" spans="1:11" x14ac:dyDescent="0.35">
      <c r="A66" s="61">
        <v>45309</v>
      </c>
      <c r="B66" s="49" t="s">
        <v>65</v>
      </c>
      <c r="C66" s="49" t="s">
        <v>66</v>
      </c>
      <c r="D66" s="50">
        <v>14822</v>
      </c>
      <c r="E66" s="50">
        <v>4585</v>
      </c>
      <c r="F66" s="60">
        <v>0.30930000000000002</v>
      </c>
      <c r="G66" s="49">
        <v>66</v>
      </c>
      <c r="H66" s="60">
        <v>1.44E-2</v>
      </c>
      <c r="I66" s="60">
        <v>4.4999999999999997E-3</v>
      </c>
      <c r="J66" s="52" t="s">
        <v>1055</v>
      </c>
      <c r="K66" s="109" t="s">
        <v>1056</v>
      </c>
    </row>
    <row r="67" spans="1:11" x14ac:dyDescent="0.35">
      <c r="A67" s="61">
        <v>45309</v>
      </c>
      <c r="B67" s="49" t="s">
        <v>55</v>
      </c>
      <c r="C67" s="49" t="s">
        <v>27</v>
      </c>
      <c r="D67" s="50">
        <v>22860</v>
      </c>
      <c r="E67" s="50">
        <v>9634</v>
      </c>
      <c r="F67" s="60">
        <v>0.4214</v>
      </c>
      <c r="G67" s="49">
        <v>141</v>
      </c>
      <c r="H67" s="60">
        <v>1.46E-2</v>
      </c>
      <c r="I67" s="60">
        <v>6.1999999999999998E-3</v>
      </c>
      <c r="J67" s="52" t="s">
        <v>1055</v>
      </c>
      <c r="K67" s="109" t="s">
        <v>1056</v>
      </c>
    </row>
    <row r="68" spans="1:11" x14ac:dyDescent="0.35">
      <c r="A68" s="61">
        <v>45309</v>
      </c>
      <c r="B68" s="49" t="s">
        <v>56</v>
      </c>
      <c r="C68" s="49" t="s">
        <v>21</v>
      </c>
      <c r="D68" s="49">
        <v>892</v>
      </c>
      <c r="E68" s="49">
        <v>406</v>
      </c>
      <c r="F68" s="60">
        <v>0.45519999999999999</v>
      </c>
      <c r="G68" s="49">
        <v>10</v>
      </c>
      <c r="H68" s="60">
        <v>2.46E-2</v>
      </c>
      <c r="I68" s="60">
        <v>1.12E-2</v>
      </c>
      <c r="J68" s="52" t="s">
        <v>1055</v>
      </c>
      <c r="K68" s="109" t="s">
        <v>1056</v>
      </c>
    </row>
    <row r="69" spans="1:11" x14ac:dyDescent="0.35">
      <c r="A69" s="61">
        <v>45309</v>
      </c>
      <c r="B69" s="49" t="s">
        <v>67</v>
      </c>
      <c r="C69" s="49" t="s">
        <v>64</v>
      </c>
      <c r="D69" s="50">
        <v>3125</v>
      </c>
      <c r="E69" s="50">
        <v>1282</v>
      </c>
      <c r="F69" s="60">
        <v>0.41020000000000001</v>
      </c>
      <c r="G69" s="49">
        <v>4</v>
      </c>
      <c r="H69" s="60">
        <v>3.0999999999999999E-3</v>
      </c>
      <c r="I69" s="60">
        <v>1.2999999999999999E-3</v>
      </c>
      <c r="J69" s="52" t="s">
        <v>1055</v>
      </c>
      <c r="K69" s="109" t="s">
        <v>1056</v>
      </c>
    </row>
    <row r="70" spans="1:11" x14ac:dyDescent="0.35">
      <c r="A70" s="61">
        <v>45309</v>
      </c>
      <c r="B70" s="49" t="s">
        <v>68</v>
      </c>
      <c r="C70" s="49" t="s">
        <v>10</v>
      </c>
      <c r="D70" s="50">
        <v>2959141</v>
      </c>
      <c r="E70" s="50">
        <v>1052532</v>
      </c>
      <c r="F70" s="51">
        <v>0.35568835685761502</v>
      </c>
      <c r="G70" s="50">
        <v>26831</v>
      </c>
      <c r="H70" s="51">
        <v>2.5491861530100701E-2</v>
      </c>
      <c r="I70" s="51">
        <v>9.0671583408833793E-3</v>
      </c>
      <c r="J70" s="52" t="s">
        <v>1059</v>
      </c>
      <c r="K70" s="109" t="s">
        <v>1056</v>
      </c>
    </row>
    <row r="71" spans="1:11" x14ac:dyDescent="0.35">
      <c r="A71" s="61">
        <v>45309</v>
      </c>
      <c r="B71" s="49" t="s">
        <v>68</v>
      </c>
      <c r="C71" s="49" t="s">
        <v>11</v>
      </c>
      <c r="D71" s="50">
        <v>153934</v>
      </c>
      <c r="E71" s="50">
        <v>46594</v>
      </c>
      <c r="F71" s="51">
        <v>0.30268816505775198</v>
      </c>
      <c r="G71" s="50">
        <v>2029</v>
      </c>
      <c r="H71" s="51">
        <v>4.3546379362149598E-2</v>
      </c>
      <c r="I71" s="51">
        <v>1.3180973664037801E-2</v>
      </c>
      <c r="J71" s="52" t="s">
        <v>1059</v>
      </c>
      <c r="K71" s="109" t="s">
        <v>1056</v>
      </c>
    </row>
    <row r="72" spans="1:11" x14ac:dyDescent="0.35">
      <c r="A72" s="61">
        <v>45309</v>
      </c>
      <c r="B72" s="49" t="s">
        <v>69</v>
      </c>
      <c r="C72" s="49" t="s">
        <v>10</v>
      </c>
      <c r="D72" s="50">
        <v>434714</v>
      </c>
      <c r="E72" s="50">
        <v>185575</v>
      </c>
      <c r="F72" s="51">
        <v>0.426889863220416</v>
      </c>
      <c r="G72" s="50">
        <v>4325</v>
      </c>
      <c r="H72" s="51">
        <v>2.33059409942072E-2</v>
      </c>
      <c r="I72" s="51">
        <v>9.9490699632402008E-3</v>
      </c>
      <c r="J72" s="52" t="s">
        <v>1059</v>
      </c>
      <c r="K72" s="109" t="s">
        <v>1056</v>
      </c>
    </row>
    <row r="73" spans="1:11" x14ac:dyDescent="0.35">
      <c r="A73" s="61">
        <v>45309</v>
      </c>
      <c r="B73" s="49" t="s">
        <v>69</v>
      </c>
      <c r="C73" s="49" t="s">
        <v>11</v>
      </c>
      <c r="D73" s="50">
        <v>23078</v>
      </c>
      <c r="E73" s="50">
        <v>7382</v>
      </c>
      <c r="F73" s="51">
        <v>0.319871739318832</v>
      </c>
      <c r="G73" s="50">
        <v>204</v>
      </c>
      <c r="H73" s="51">
        <v>2.7634787320509301E-2</v>
      </c>
      <c r="I73" s="51">
        <v>8.8395874859173197E-3</v>
      </c>
      <c r="J73" s="52" t="s">
        <v>1059</v>
      </c>
      <c r="K73" s="109" t="s">
        <v>1056</v>
      </c>
    </row>
    <row r="74" spans="1:11" x14ac:dyDescent="0.35">
      <c r="A74" s="61">
        <v>45309</v>
      </c>
      <c r="B74" s="49" t="s">
        <v>70</v>
      </c>
      <c r="C74" s="49" t="s">
        <v>10</v>
      </c>
      <c r="D74" s="50">
        <v>838712</v>
      </c>
      <c r="E74" s="50">
        <v>266406</v>
      </c>
      <c r="F74" s="51">
        <v>0.31763704346664901</v>
      </c>
      <c r="G74" s="50">
        <v>4369</v>
      </c>
      <c r="H74" s="51">
        <v>1.6399780785718E-2</v>
      </c>
      <c r="I74" s="51">
        <v>5.20917788227663E-3</v>
      </c>
      <c r="J74" s="52" t="s">
        <v>1055</v>
      </c>
      <c r="K74" s="109" t="s">
        <v>1056</v>
      </c>
    </row>
    <row r="75" spans="1:11" x14ac:dyDescent="0.35">
      <c r="A75" s="61">
        <v>45309</v>
      </c>
      <c r="B75" s="49" t="s">
        <v>71</v>
      </c>
      <c r="C75" s="49" t="s">
        <v>72</v>
      </c>
      <c r="D75" s="50">
        <v>57542</v>
      </c>
      <c r="E75" s="50">
        <v>23301</v>
      </c>
      <c r="F75" s="51">
        <v>0.40493900107747399</v>
      </c>
      <c r="G75" s="50">
        <v>688</v>
      </c>
      <c r="H75" s="51">
        <v>2.95266297583795E-2</v>
      </c>
      <c r="I75" s="51">
        <v>1.19564839595426E-2</v>
      </c>
      <c r="J75" s="52" t="s">
        <v>1055</v>
      </c>
      <c r="K75" s="109" t="s">
        <v>1056</v>
      </c>
    </row>
    <row r="76" spans="1:11" x14ac:dyDescent="0.35">
      <c r="A76" s="61">
        <v>45309</v>
      </c>
      <c r="B76" s="49" t="s">
        <v>71</v>
      </c>
      <c r="C76" s="49" t="s">
        <v>73</v>
      </c>
      <c r="D76" s="50">
        <v>2856</v>
      </c>
      <c r="E76" s="50">
        <v>1169</v>
      </c>
      <c r="F76" s="51">
        <v>0.40931372549019601</v>
      </c>
      <c r="G76" s="50">
        <v>29</v>
      </c>
      <c r="H76" s="51">
        <v>2.4807527801539799E-2</v>
      </c>
      <c r="I76" s="51">
        <v>1.01540616246499E-2</v>
      </c>
      <c r="J76" s="52" t="s">
        <v>1055</v>
      </c>
      <c r="K76" s="109" t="s">
        <v>1056</v>
      </c>
    </row>
    <row r="77" spans="1:11" x14ac:dyDescent="0.35">
      <c r="A77" s="61">
        <v>45309</v>
      </c>
      <c r="B77" s="49" t="s">
        <v>71</v>
      </c>
      <c r="C77" s="49" t="s">
        <v>74</v>
      </c>
      <c r="D77" s="50">
        <v>3034</v>
      </c>
      <c r="E77" s="50">
        <v>1193</v>
      </c>
      <c r="F77" s="51">
        <v>0.39321028345418602</v>
      </c>
      <c r="G77" s="50">
        <v>42</v>
      </c>
      <c r="H77" s="51">
        <v>3.5205364626990802E-2</v>
      </c>
      <c r="I77" s="51">
        <v>1.3843111404087E-2</v>
      </c>
      <c r="J77" s="52" t="s">
        <v>1055</v>
      </c>
      <c r="K77" s="109" t="s">
        <v>1056</v>
      </c>
    </row>
    <row r="78" spans="1:11" x14ac:dyDescent="0.35">
      <c r="A78" s="61">
        <v>45309</v>
      </c>
      <c r="B78" s="49" t="s">
        <v>71</v>
      </c>
      <c r="C78" s="49" t="s">
        <v>75</v>
      </c>
      <c r="D78" s="50">
        <v>137</v>
      </c>
      <c r="E78" s="50">
        <v>52</v>
      </c>
      <c r="F78" s="51">
        <v>0.37956204379561997</v>
      </c>
      <c r="G78" s="50">
        <v>3</v>
      </c>
      <c r="H78" s="51">
        <v>5.7692307692307702E-2</v>
      </c>
      <c r="I78" s="51">
        <v>2.18978102189781E-2</v>
      </c>
      <c r="J78" s="52" t="s">
        <v>1055</v>
      </c>
      <c r="K78" s="109" t="s">
        <v>1056</v>
      </c>
    </row>
    <row r="79" spans="1:11" x14ac:dyDescent="0.35">
      <c r="A79" s="61">
        <v>45310</v>
      </c>
      <c r="B79" s="49" t="s">
        <v>76</v>
      </c>
      <c r="C79" s="49" t="s">
        <v>10</v>
      </c>
      <c r="D79" s="50">
        <v>3960748</v>
      </c>
      <c r="E79" s="50">
        <v>1266406</v>
      </c>
      <c r="F79" s="51">
        <v>0.31973909978620202</v>
      </c>
      <c r="G79" s="50">
        <v>23496</v>
      </c>
      <c r="H79" s="51">
        <v>1.8553291756356199E-2</v>
      </c>
      <c r="I79" s="51">
        <v>5.9322128042480901E-3</v>
      </c>
      <c r="J79" s="52" t="s">
        <v>1055</v>
      </c>
      <c r="K79" s="109" t="s">
        <v>1056</v>
      </c>
    </row>
    <row r="80" spans="1:11" x14ac:dyDescent="0.35">
      <c r="A80" s="61">
        <v>45310</v>
      </c>
      <c r="B80" s="49" t="s">
        <v>76</v>
      </c>
      <c r="C80" s="49" t="s">
        <v>11</v>
      </c>
      <c r="D80" s="50">
        <v>233533</v>
      </c>
      <c r="E80" s="50">
        <v>57597</v>
      </c>
      <c r="F80" s="51">
        <v>0.246633238129087</v>
      </c>
      <c r="G80" s="50">
        <v>1496</v>
      </c>
      <c r="H80" s="51">
        <v>2.5973575012587499E-2</v>
      </c>
      <c r="I80" s="51">
        <v>6.40594691114318E-3</v>
      </c>
      <c r="J80" s="52" t="s">
        <v>1055</v>
      </c>
      <c r="K80" s="109" t="s">
        <v>1056</v>
      </c>
    </row>
    <row r="81" spans="1:11" x14ac:dyDescent="0.35">
      <c r="A81" s="61">
        <v>45310</v>
      </c>
      <c r="B81" s="49" t="s">
        <v>77</v>
      </c>
      <c r="C81" s="49" t="s">
        <v>10</v>
      </c>
      <c r="D81" s="50">
        <v>267071</v>
      </c>
      <c r="E81" s="50">
        <v>100886</v>
      </c>
      <c r="F81" s="51">
        <v>0.37774973696133202</v>
      </c>
      <c r="G81" s="50">
        <v>2653</v>
      </c>
      <c r="H81" s="51">
        <v>2.6297008504648799E-2</v>
      </c>
      <c r="I81" s="51">
        <v>9.9336880455010105E-3</v>
      </c>
      <c r="J81" s="52" t="s">
        <v>1060</v>
      </c>
      <c r="K81" s="109" t="s">
        <v>1054</v>
      </c>
    </row>
    <row r="82" spans="1:11" x14ac:dyDescent="0.35">
      <c r="A82" s="61">
        <v>45310</v>
      </c>
      <c r="B82" s="49" t="s">
        <v>78</v>
      </c>
      <c r="C82" s="49" t="s">
        <v>10</v>
      </c>
      <c r="D82" s="50">
        <v>432020</v>
      </c>
      <c r="E82" s="50">
        <v>136508</v>
      </c>
      <c r="F82" s="51">
        <v>0.31597611221702698</v>
      </c>
      <c r="G82" s="50">
        <v>3705</v>
      </c>
      <c r="H82" s="51">
        <v>2.7141266445922602E-2</v>
      </c>
      <c r="I82" s="51">
        <v>8.5759918522290597E-3</v>
      </c>
      <c r="J82" s="52" t="s">
        <v>1057</v>
      </c>
      <c r="K82" s="109" t="s">
        <v>1054</v>
      </c>
    </row>
    <row r="83" spans="1:11" x14ac:dyDescent="0.35">
      <c r="A83" s="61">
        <v>45310</v>
      </c>
      <c r="B83" s="49" t="s">
        <v>78</v>
      </c>
      <c r="C83" s="49" t="s">
        <v>11</v>
      </c>
      <c r="D83" s="50">
        <v>22942</v>
      </c>
      <c r="E83" s="50">
        <v>5997</v>
      </c>
      <c r="F83" s="51">
        <v>0.26139830877865899</v>
      </c>
      <c r="G83" s="50">
        <v>279</v>
      </c>
      <c r="H83" s="51">
        <v>4.6523261630815403E-2</v>
      </c>
      <c r="I83" s="51">
        <v>1.2161101909162199E-2</v>
      </c>
      <c r="J83" s="52" t="s">
        <v>1057</v>
      </c>
      <c r="K83" s="109" t="s">
        <v>1054</v>
      </c>
    </row>
    <row r="84" spans="1:11" x14ac:dyDescent="0.35">
      <c r="A84" s="61">
        <v>45311</v>
      </c>
      <c r="B84" s="49" t="s">
        <v>79</v>
      </c>
      <c r="C84" s="49" t="s">
        <v>10</v>
      </c>
      <c r="D84" s="50">
        <v>1313254</v>
      </c>
      <c r="E84" s="50">
        <v>424299</v>
      </c>
      <c r="F84" s="51">
        <v>0.32308982116178597</v>
      </c>
      <c r="G84" s="50">
        <v>11671</v>
      </c>
      <c r="H84" s="51">
        <v>2.75065460913177E-2</v>
      </c>
      <c r="I84" s="51">
        <v>8.8870850574222504E-3</v>
      </c>
      <c r="J84" s="52" t="s">
        <v>1055</v>
      </c>
      <c r="K84" s="109" t="s">
        <v>1056</v>
      </c>
    </row>
    <row r="85" spans="1:11" x14ac:dyDescent="0.35">
      <c r="A85" s="61">
        <v>45311</v>
      </c>
      <c r="B85" s="49" t="s">
        <v>79</v>
      </c>
      <c r="C85" s="49" t="s">
        <v>11</v>
      </c>
      <c r="D85" s="50">
        <v>101260</v>
      </c>
      <c r="E85" s="50">
        <v>23858</v>
      </c>
      <c r="F85" s="51">
        <v>0.235611297649615</v>
      </c>
      <c r="G85" s="50">
        <v>564</v>
      </c>
      <c r="H85" s="51">
        <v>2.36398692262553E-2</v>
      </c>
      <c r="I85" s="51">
        <v>5.5698202646652199E-3</v>
      </c>
      <c r="J85" s="52" t="s">
        <v>1055</v>
      </c>
      <c r="K85" s="109" t="s">
        <v>1056</v>
      </c>
    </row>
    <row r="86" spans="1:11" x14ac:dyDescent="0.35">
      <c r="A86" s="61">
        <v>45311</v>
      </c>
      <c r="B86" s="49" t="s">
        <v>80</v>
      </c>
      <c r="C86" s="49" t="s">
        <v>10</v>
      </c>
      <c r="D86" s="50">
        <v>265059</v>
      </c>
      <c r="E86" s="50">
        <v>96654</v>
      </c>
      <c r="F86" s="51">
        <v>0.364650889047344</v>
      </c>
      <c r="G86" s="50">
        <v>3309</v>
      </c>
      <c r="H86" s="51">
        <v>3.4235520516481502E-2</v>
      </c>
      <c r="I86" s="51">
        <v>1.24840129933336E-2</v>
      </c>
      <c r="J86" s="52" t="s">
        <v>1060</v>
      </c>
      <c r="K86" s="109" t="s">
        <v>1054</v>
      </c>
    </row>
    <row r="87" spans="1:11" x14ac:dyDescent="0.35">
      <c r="A87" s="61">
        <v>45313</v>
      </c>
      <c r="B87" s="49" t="s">
        <v>81</v>
      </c>
      <c r="C87" s="49" t="s">
        <v>10</v>
      </c>
      <c r="D87" s="50">
        <v>674905</v>
      </c>
      <c r="E87" s="50">
        <v>251664</v>
      </c>
      <c r="F87" s="51">
        <v>0.37288803609396898</v>
      </c>
      <c r="G87" s="50">
        <v>2756</v>
      </c>
      <c r="H87" s="51">
        <v>1.09511094157289E-2</v>
      </c>
      <c r="I87" s="51">
        <v>4.0835376830813197E-3</v>
      </c>
      <c r="J87" s="52" t="s">
        <v>1055</v>
      </c>
      <c r="K87" s="109" t="s">
        <v>1056</v>
      </c>
    </row>
    <row r="88" spans="1:11" x14ac:dyDescent="0.35">
      <c r="A88" s="61">
        <v>45314</v>
      </c>
      <c r="B88" s="49" t="s">
        <v>82</v>
      </c>
      <c r="C88" s="49" t="s">
        <v>10</v>
      </c>
      <c r="D88" s="50">
        <v>1389404</v>
      </c>
      <c r="E88" s="50">
        <v>467757</v>
      </c>
      <c r="F88" s="51">
        <v>0.33666017947263699</v>
      </c>
      <c r="G88" s="50">
        <v>11209</v>
      </c>
      <c r="H88" s="51">
        <v>2.3963297182083901E-2</v>
      </c>
      <c r="I88" s="51">
        <v>8.0674879300764897E-3</v>
      </c>
      <c r="J88" s="52" t="s">
        <v>1055</v>
      </c>
      <c r="K88" s="109" t="s">
        <v>1056</v>
      </c>
    </row>
    <row r="89" spans="1:11" x14ac:dyDescent="0.35">
      <c r="A89" s="61">
        <v>45314</v>
      </c>
      <c r="B89" s="49" t="s">
        <v>82</v>
      </c>
      <c r="C89" s="49" t="s">
        <v>11</v>
      </c>
      <c r="D89" s="50">
        <v>100607</v>
      </c>
      <c r="E89" s="50">
        <v>28700</v>
      </c>
      <c r="F89" s="51">
        <v>0.28526842068643299</v>
      </c>
      <c r="G89" s="50">
        <v>951</v>
      </c>
      <c r="H89" s="51">
        <v>3.3135888501742199E-2</v>
      </c>
      <c r="I89" s="51">
        <v>9.4526225809337307E-3</v>
      </c>
      <c r="J89" s="52" t="s">
        <v>1055</v>
      </c>
      <c r="K89" s="109" t="s">
        <v>1056</v>
      </c>
    </row>
    <row r="90" spans="1:11" x14ac:dyDescent="0.35">
      <c r="A90" s="61">
        <v>45315</v>
      </c>
      <c r="B90" s="49" t="s">
        <v>83</v>
      </c>
      <c r="C90" s="49" t="s">
        <v>84</v>
      </c>
      <c r="D90" s="50">
        <v>9742</v>
      </c>
      <c r="E90" s="50">
        <v>3573</v>
      </c>
      <c r="F90" s="51">
        <v>0.36676247177171001</v>
      </c>
      <c r="G90" s="50">
        <v>99</v>
      </c>
      <c r="H90" s="51">
        <v>2.77078085642317E-2</v>
      </c>
      <c r="I90" s="51">
        <v>1.0162184356395E-2</v>
      </c>
      <c r="J90" s="52" t="s">
        <v>1055</v>
      </c>
      <c r="K90" s="109" t="s">
        <v>1056</v>
      </c>
    </row>
    <row r="91" spans="1:11" x14ac:dyDescent="0.35">
      <c r="A91" s="61">
        <v>45315</v>
      </c>
      <c r="B91" s="49" t="s">
        <v>83</v>
      </c>
      <c r="C91" s="49" t="s">
        <v>72</v>
      </c>
      <c r="D91" s="50">
        <v>181238</v>
      </c>
      <c r="E91" s="50">
        <v>66598</v>
      </c>
      <c r="F91" s="51">
        <v>0.367461569869453</v>
      </c>
      <c r="G91" s="50">
        <v>1509</v>
      </c>
      <c r="H91" s="51">
        <v>2.2658338088230898E-2</v>
      </c>
      <c r="I91" s="51">
        <v>8.3260684845341496E-3</v>
      </c>
      <c r="J91" s="52" t="s">
        <v>1055</v>
      </c>
      <c r="K91" s="109" t="s">
        <v>1056</v>
      </c>
    </row>
    <row r="92" spans="1:11" x14ac:dyDescent="0.35">
      <c r="A92" s="61">
        <v>45315</v>
      </c>
      <c r="B92" s="49" t="s">
        <v>83</v>
      </c>
      <c r="C92" s="49" t="s">
        <v>85</v>
      </c>
      <c r="D92" s="50">
        <v>699</v>
      </c>
      <c r="E92" s="50">
        <v>232</v>
      </c>
      <c r="F92" s="51">
        <v>0.331902718168813</v>
      </c>
      <c r="G92" s="50">
        <v>7</v>
      </c>
      <c r="H92" s="51">
        <v>3.0172413793103401E-2</v>
      </c>
      <c r="I92" s="51">
        <v>1.00143061516452E-2</v>
      </c>
      <c r="J92" s="52" t="s">
        <v>1055</v>
      </c>
      <c r="K92" s="109" t="s">
        <v>1056</v>
      </c>
    </row>
    <row r="93" spans="1:11" x14ac:dyDescent="0.35">
      <c r="A93" s="61">
        <v>45315</v>
      </c>
      <c r="B93" s="49" t="s">
        <v>83</v>
      </c>
      <c r="C93" s="49" t="s">
        <v>73</v>
      </c>
      <c r="D93" s="50">
        <v>14531</v>
      </c>
      <c r="E93" s="50">
        <v>4976</v>
      </c>
      <c r="F93" s="51">
        <v>0.342440300048173</v>
      </c>
      <c r="G93" s="50">
        <v>124</v>
      </c>
      <c r="H93" s="51">
        <v>2.491961414791E-2</v>
      </c>
      <c r="I93" s="51">
        <v>8.5334801458949797E-3</v>
      </c>
      <c r="J93" s="52" t="s">
        <v>1055</v>
      </c>
      <c r="K93" s="109" t="s">
        <v>1056</v>
      </c>
    </row>
    <row r="94" spans="1:11" x14ac:dyDescent="0.35">
      <c r="A94" s="61">
        <v>45316</v>
      </c>
      <c r="B94" s="49" t="s">
        <v>63</v>
      </c>
      <c r="C94" s="49" t="s">
        <v>27</v>
      </c>
      <c r="D94" s="50">
        <v>201206</v>
      </c>
      <c r="E94" s="50">
        <v>65980</v>
      </c>
      <c r="F94" s="60">
        <v>0.32790000000000002</v>
      </c>
      <c r="G94" s="49">
        <v>521</v>
      </c>
      <c r="H94" s="60">
        <v>7.9000000000000008E-3</v>
      </c>
      <c r="I94" s="60">
        <v>2.5999999999999999E-3</v>
      </c>
      <c r="J94" s="52" t="s">
        <v>1055</v>
      </c>
      <c r="K94" s="109" t="s">
        <v>1056</v>
      </c>
    </row>
    <row r="95" spans="1:11" x14ac:dyDescent="0.35">
      <c r="A95" s="61">
        <v>45316</v>
      </c>
      <c r="B95" s="49" t="s">
        <v>65</v>
      </c>
      <c r="C95" s="49" t="s">
        <v>21</v>
      </c>
      <c r="D95" s="50">
        <v>12575</v>
      </c>
      <c r="E95" s="50">
        <v>3635</v>
      </c>
      <c r="F95" s="60">
        <v>0.28910000000000002</v>
      </c>
      <c r="G95" s="49">
        <v>58</v>
      </c>
      <c r="H95" s="60">
        <v>1.6E-2</v>
      </c>
      <c r="I95" s="60">
        <v>4.5999999999999999E-3</v>
      </c>
      <c r="J95" s="52" t="s">
        <v>1055</v>
      </c>
      <c r="K95" s="109" t="s">
        <v>1056</v>
      </c>
    </row>
    <row r="96" spans="1:11" x14ac:dyDescent="0.35">
      <c r="A96" s="61">
        <v>45317</v>
      </c>
      <c r="B96" s="49" t="s">
        <v>86</v>
      </c>
      <c r="C96" s="49" t="s">
        <v>10</v>
      </c>
      <c r="D96" s="50">
        <v>3929731</v>
      </c>
      <c r="E96" s="50">
        <v>1240890</v>
      </c>
      <c r="F96" s="51">
        <v>0.31576970535642301</v>
      </c>
      <c r="G96" s="50">
        <v>20878</v>
      </c>
      <c r="H96" s="51">
        <v>1.6825020751235001E-2</v>
      </c>
      <c r="I96" s="51">
        <v>5.3128318452331704E-3</v>
      </c>
      <c r="J96" s="52" t="s">
        <v>1055</v>
      </c>
      <c r="K96" s="109" t="s">
        <v>1056</v>
      </c>
    </row>
    <row r="97" spans="1:11" x14ac:dyDescent="0.35">
      <c r="A97" s="61">
        <v>45317</v>
      </c>
      <c r="B97" s="49" t="s">
        <v>86</v>
      </c>
      <c r="C97" s="49" t="s">
        <v>11</v>
      </c>
      <c r="D97" s="50">
        <v>232399</v>
      </c>
      <c r="E97" s="50">
        <v>56286</v>
      </c>
      <c r="F97" s="51">
        <v>0.242195534404193</v>
      </c>
      <c r="G97" s="50">
        <v>1260</v>
      </c>
      <c r="H97" s="51">
        <v>2.2385673169171699E-2</v>
      </c>
      <c r="I97" s="51">
        <v>5.4217100762051504E-3</v>
      </c>
      <c r="J97" s="52" t="s">
        <v>1055</v>
      </c>
      <c r="K97" s="109" t="s">
        <v>1056</v>
      </c>
    </row>
    <row r="98" spans="1:11" x14ac:dyDescent="0.35">
      <c r="A98" s="61">
        <v>45317</v>
      </c>
      <c r="B98" s="49" t="s">
        <v>87</v>
      </c>
      <c r="C98" s="49" t="s">
        <v>10</v>
      </c>
      <c r="D98" s="50">
        <v>5635466</v>
      </c>
      <c r="E98" s="50">
        <v>1856438</v>
      </c>
      <c r="F98" s="51">
        <v>0.329420495128531</v>
      </c>
      <c r="G98" s="50">
        <v>32750</v>
      </c>
      <c r="H98" s="51">
        <v>1.76413109406293E-2</v>
      </c>
      <c r="I98" s="51">
        <v>5.8114093847784704E-3</v>
      </c>
      <c r="J98" s="52" t="s">
        <v>1055</v>
      </c>
      <c r="K98" s="109" t="s">
        <v>1056</v>
      </c>
    </row>
    <row r="99" spans="1:11" x14ac:dyDescent="0.35">
      <c r="A99" s="61">
        <v>45317</v>
      </c>
      <c r="B99" s="49" t="s">
        <v>87</v>
      </c>
      <c r="C99" s="49" t="s">
        <v>11</v>
      </c>
      <c r="D99" s="50">
        <v>348959</v>
      </c>
      <c r="E99" s="50">
        <v>93910</v>
      </c>
      <c r="F99" s="51">
        <v>0.26911470975100199</v>
      </c>
      <c r="G99" s="50">
        <v>2453</v>
      </c>
      <c r="H99" s="51">
        <v>2.6120753913321301E-2</v>
      </c>
      <c r="I99" s="51">
        <v>7.0294791078608096E-3</v>
      </c>
      <c r="J99" s="52" t="s">
        <v>1055</v>
      </c>
      <c r="K99" s="109" t="s">
        <v>1056</v>
      </c>
    </row>
    <row r="100" spans="1:11" x14ac:dyDescent="0.35">
      <c r="A100" s="61">
        <v>45317</v>
      </c>
      <c r="B100" s="49" t="s">
        <v>88</v>
      </c>
      <c r="C100" s="49" t="s">
        <v>10</v>
      </c>
      <c r="D100" s="50">
        <v>424453</v>
      </c>
      <c r="E100" s="50">
        <v>130821</v>
      </c>
      <c r="F100" s="51">
        <v>0.308210803080671</v>
      </c>
      <c r="G100" s="50">
        <v>3936</v>
      </c>
      <c r="H100" s="51">
        <v>3.00869126516385E-2</v>
      </c>
      <c r="I100" s="51">
        <v>9.2731115105794994E-3</v>
      </c>
      <c r="J100" s="52" t="s">
        <v>1057</v>
      </c>
      <c r="K100" s="109" t="s">
        <v>1054</v>
      </c>
    </row>
    <row r="101" spans="1:11" x14ac:dyDescent="0.35">
      <c r="A101" s="61">
        <v>45320</v>
      </c>
      <c r="B101" s="49" t="s">
        <v>89</v>
      </c>
      <c r="C101" s="49" t="s">
        <v>90</v>
      </c>
      <c r="D101" s="50">
        <v>664191</v>
      </c>
      <c r="E101" s="50">
        <v>263939</v>
      </c>
      <c r="F101" s="51">
        <v>0.39738418617536198</v>
      </c>
      <c r="G101" s="50">
        <v>4005</v>
      </c>
      <c r="H101" s="51">
        <v>1.5173960649998699E-2</v>
      </c>
      <c r="I101" s="51">
        <v>6.0298920039566902E-3</v>
      </c>
      <c r="J101" s="52" t="s">
        <v>1055</v>
      </c>
      <c r="K101" s="109" t="s">
        <v>1056</v>
      </c>
    </row>
    <row r="102" spans="1:11" x14ac:dyDescent="0.35">
      <c r="A102" s="61">
        <v>45320</v>
      </c>
      <c r="B102" s="49" t="s">
        <v>89</v>
      </c>
      <c r="C102" s="49" t="s">
        <v>91</v>
      </c>
      <c r="D102" s="50">
        <v>484355</v>
      </c>
      <c r="E102" s="50">
        <v>171948</v>
      </c>
      <c r="F102" s="51">
        <v>0.35500407758772001</v>
      </c>
      <c r="G102" s="50">
        <v>1683</v>
      </c>
      <c r="H102" s="51">
        <v>9.7878428362062897E-3</v>
      </c>
      <c r="I102" s="51">
        <v>3.47472411764099E-3</v>
      </c>
      <c r="J102" s="52" t="s">
        <v>1055</v>
      </c>
      <c r="K102" s="109" t="s">
        <v>1056</v>
      </c>
    </row>
    <row r="103" spans="1:11" x14ac:dyDescent="0.35">
      <c r="A103" s="61">
        <v>45320</v>
      </c>
      <c r="B103" s="49" t="s">
        <v>89</v>
      </c>
      <c r="C103" s="49" t="s">
        <v>92</v>
      </c>
      <c r="D103" s="50">
        <v>29425</v>
      </c>
      <c r="E103" s="50">
        <v>10882</v>
      </c>
      <c r="F103" s="51">
        <v>0.36982158028887002</v>
      </c>
      <c r="G103" s="50">
        <v>290</v>
      </c>
      <c r="H103" s="51">
        <v>2.6649512957177001E-2</v>
      </c>
      <c r="I103" s="51">
        <v>9.8555649957519104E-3</v>
      </c>
      <c r="J103" s="52" t="s">
        <v>1055</v>
      </c>
      <c r="K103" s="109" t="s">
        <v>1056</v>
      </c>
    </row>
    <row r="104" spans="1:11" x14ac:dyDescent="0.35">
      <c r="A104" s="61">
        <v>45320</v>
      </c>
      <c r="B104" s="49" t="s">
        <v>89</v>
      </c>
      <c r="C104" s="49" t="s">
        <v>93</v>
      </c>
      <c r="D104" s="50">
        <v>28246</v>
      </c>
      <c r="E104" s="50">
        <v>8747</v>
      </c>
      <c r="F104" s="51">
        <v>0.30967216597040298</v>
      </c>
      <c r="G104" s="50">
        <v>118</v>
      </c>
      <c r="H104" s="51">
        <v>1.34903395449869E-2</v>
      </c>
      <c r="I104" s="51">
        <v>4.1775826665722601E-3</v>
      </c>
      <c r="J104" s="52" t="s">
        <v>1055</v>
      </c>
      <c r="K104" s="109" t="s">
        <v>1056</v>
      </c>
    </row>
    <row r="105" spans="1:11" x14ac:dyDescent="0.35">
      <c r="A105" s="61">
        <v>45321</v>
      </c>
      <c r="B105" s="49" t="s">
        <v>94</v>
      </c>
      <c r="C105" s="49" t="s">
        <v>10</v>
      </c>
      <c r="D105" s="50">
        <v>1374730</v>
      </c>
      <c r="E105" s="50">
        <v>536589</v>
      </c>
      <c r="F105" s="51">
        <v>0.39032319073563498</v>
      </c>
      <c r="G105" s="50">
        <v>11644</v>
      </c>
      <c r="H105" s="51">
        <v>2.1700034849763999E-2</v>
      </c>
      <c r="I105" s="51">
        <v>8.4700268416343597E-3</v>
      </c>
      <c r="J105" s="52" t="s">
        <v>1055</v>
      </c>
      <c r="K105" s="109" t="s">
        <v>1056</v>
      </c>
    </row>
    <row r="106" spans="1:11" x14ac:dyDescent="0.35">
      <c r="A106" s="61">
        <v>45321</v>
      </c>
      <c r="B106" s="49" t="s">
        <v>95</v>
      </c>
      <c r="C106" s="49" t="s">
        <v>11</v>
      </c>
      <c r="D106" s="50">
        <v>99893</v>
      </c>
      <c r="E106" s="50">
        <v>36962</v>
      </c>
      <c r="F106" s="51">
        <v>0.370015917031223</v>
      </c>
      <c r="G106" s="50">
        <v>1538</v>
      </c>
      <c r="H106" s="51">
        <v>4.1610302472809897E-2</v>
      </c>
      <c r="I106" s="51">
        <v>1.5396474227423299E-2</v>
      </c>
      <c r="J106" s="52" t="s">
        <v>1055</v>
      </c>
      <c r="K106" s="109" t="s">
        <v>1056</v>
      </c>
    </row>
    <row r="107" spans="1:11" x14ac:dyDescent="0.35">
      <c r="A107" s="61">
        <v>45321</v>
      </c>
      <c r="B107" s="49" t="s">
        <v>96</v>
      </c>
      <c r="C107" s="49" t="s">
        <v>10</v>
      </c>
      <c r="D107" s="50">
        <v>521819</v>
      </c>
      <c r="E107" s="50">
        <v>250924</v>
      </c>
      <c r="F107" s="51">
        <v>0.48086405439433999</v>
      </c>
      <c r="G107" s="50">
        <v>3975</v>
      </c>
      <c r="H107" s="51">
        <v>1.5841450000797098E-2</v>
      </c>
      <c r="I107" s="51">
        <v>7.61758387486849E-3</v>
      </c>
      <c r="J107" s="52" t="s">
        <v>1057</v>
      </c>
      <c r="K107" s="109" t="s">
        <v>1054</v>
      </c>
    </row>
    <row r="108" spans="1:11" x14ac:dyDescent="0.35">
      <c r="A108" s="61">
        <v>45321</v>
      </c>
      <c r="B108" s="49" t="s">
        <v>96</v>
      </c>
      <c r="C108" s="49" t="s">
        <v>11</v>
      </c>
      <c r="D108" s="50">
        <v>29793</v>
      </c>
      <c r="E108" s="50">
        <v>10819</v>
      </c>
      <c r="F108" s="51">
        <v>0.36313899238076103</v>
      </c>
      <c r="G108" s="50">
        <v>227</v>
      </c>
      <c r="H108" s="51">
        <v>2.0981606433126899E-2</v>
      </c>
      <c r="I108" s="51">
        <v>7.6192394186553897E-3</v>
      </c>
      <c r="J108" s="52" t="s">
        <v>1057</v>
      </c>
      <c r="K108" s="109" t="s">
        <v>1054</v>
      </c>
    </row>
    <row r="109" spans="1:11" x14ac:dyDescent="0.35">
      <c r="A109" s="61">
        <v>45322</v>
      </c>
      <c r="B109" s="49" t="s">
        <v>97</v>
      </c>
      <c r="C109" s="49" t="s">
        <v>90</v>
      </c>
      <c r="D109" s="50">
        <v>704774</v>
      </c>
      <c r="E109" s="50">
        <v>269511</v>
      </c>
      <c r="F109" s="51">
        <v>0.38240769381390299</v>
      </c>
      <c r="G109" s="50">
        <v>3647</v>
      </c>
      <c r="H109" s="51">
        <v>1.35319152093978E-2</v>
      </c>
      <c r="I109" s="51">
        <v>5.1747084881110803E-3</v>
      </c>
      <c r="J109" s="52" t="s">
        <v>1055</v>
      </c>
      <c r="K109" s="109" t="s">
        <v>1056</v>
      </c>
    </row>
    <row r="110" spans="1:11" x14ac:dyDescent="0.35">
      <c r="A110" s="61">
        <v>45322</v>
      </c>
      <c r="B110" s="49" t="s">
        <v>97</v>
      </c>
      <c r="C110" s="49" t="s">
        <v>92</v>
      </c>
      <c r="D110" s="50">
        <v>31269</v>
      </c>
      <c r="E110" s="50">
        <v>10998</v>
      </c>
      <c r="F110" s="51">
        <v>0.351722152931018</v>
      </c>
      <c r="G110" s="50">
        <v>227</v>
      </c>
      <c r="H110" s="51">
        <v>2.0640116384797201E-2</v>
      </c>
      <c r="I110" s="51">
        <v>7.2595861716076597E-3</v>
      </c>
      <c r="J110" s="52" t="s">
        <v>1055</v>
      </c>
      <c r="K110" s="109" t="s">
        <v>1056</v>
      </c>
    </row>
    <row r="111" spans="1:11" x14ac:dyDescent="0.35">
      <c r="A111" s="61">
        <v>45323</v>
      </c>
      <c r="B111" s="49" t="s">
        <v>98</v>
      </c>
      <c r="C111" s="49" t="s">
        <v>31</v>
      </c>
      <c r="D111" s="50">
        <v>198739</v>
      </c>
      <c r="E111" s="50">
        <v>69373</v>
      </c>
      <c r="F111" s="60">
        <v>0.34910000000000002</v>
      </c>
      <c r="G111" s="49">
        <v>582</v>
      </c>
      <c r="H111" s="60">
        <v>8.3999999999999995E-3</v>
      </c>
      <c r="I111" s="60">
        <v>2.8999999999999998E-3</v>
      </c>
      <c r="J111" s="52" t="s">
        <v>1055</v>
      </c>
      <c r="K111" s="109" t="s">
        <v>1056</v>
      </c>
    </row>
    <row r="112" spans="1:11" x14ac:dyDescent="0.35">
      <c r="A112" s="61">
        <v>45323</v>
      </c>
      <c r="B112" s="49" t="s">
        <v>65</v>
      </c>
      <c r="C112" s="49" t="s">
        <v>32</v>
      </c>
      <c r="D112" s="50">
        <v>12379</v>
      </c>
      <c r="E112" s="50">
        <v>3936</v>
      </c>
      <c r="F112" s="60">
        <v>0.318</v>
      </c>
      <c r="G112" s="49">
        <v>57</v>
      </c>
      <c r="H112" s="60">
        <v>1.4500000000000001E-2</v>
      </c>
      <c r="I112" s="60">
        <v>4.5999999999999999E-3</v>
      </c>
      <c r="J112" s="52" t="s">
        <v>1055</v>
      </c>
      <c r="K112" s="109" t="s">
        <v>1056</v>
      </c>
    </row>
    <row r="113" spans="1:11" x14ac:dyDescent="0.35">
      <c r="A113" s="61">
        <v>45323</v>
      </c>
      <c r="B113" s="49" t="s">
        <v>99</v>
      </c>
      <c r="C113" s="49" t="s">
        <v>23</v>
      </c>
      <c r="D113" s="50">
        <v>444379</v>
      </c>
      <c r="E113" s="50">
        <v>170659</v>
      </c>
      <c r="F113" s="60">
        <v>0.38400000000000001</v>
      </c>
      <c r="G113" s="50">
        <v>1581</v>
      </c>
      <c r="H113" s="60">
        <v>9.2999999999999992E-3</v>
      </c>
      <c r="I113" s="60">
        <v>3.5999999999999999E-3</v>
      </c>
      <c r="J113" s="52" t="s">
        <v>1055</v>
      </c>
      <c r="K113" s="109" t="s">
        <v>1056</v>
      </c>
    </row>
    <row r="114" spans="1:11" x14ac:dyDescent="0.35">
      <c r="A114" s="61">
        <v>45323</v>
      </c>
      <c r="B114" s="49" t="s">
        <v>100</v>
      </c>
      <c r="C114" s="49" t="s">
        <v>101</v>
      </c>
      <c r="D114" s="50">
        <v>26712</v>
      </c>
      <c r="E114" s="50">
        <v>7877</v>
      </c>
      <c r="F114" s="51">
        <v>0.29488619347109901</v>
      </c>
      <c r="G114" s="50">
        <v>252</v>
      </c>
      <c r="H114" s="51">
        <v>3.1991875079344902E-2</v>
      </c>
      <c r="I114" s="51">
        <v>9.4339622641509396E-3</v>
      </c>
      <c r="J114" s="52" t="s">
        <v>1060</v>
      </c>
      <c r="K114" s="109" t="s">
        <v>1054</v>
      </c>
    </row>
    <row r="115" spans="1:11" x14ac:dyDescent="0.35">
      <c r="A115" s="61">
        <v>45323</v>
      </c>
      <c r="B115" s="49" t="s">
        <v>100</v>
      </c>
      <c r="C115" s="49" t="s">
        <v>102</v>
      </c>
      <c r="D115" s="50">
        <v>8544</v>
      </c>
      <c r="E115" s="50">
        <v>2728</v>
      </c>
      <c r="F115" s="51">
        <v>0.31928838951310901</v>
      </c>
      <c r="G115" s="50">
        <v>101</v>
      </c>
      <c r="H115" s="51">
        <v>3.70234604105572E-2</v>
      </c>
      <c r="I115" s="51">
        <v>1.18211610486891E-2</v>
      </c>
      <c r="J115" s="52" t="s">
        <v>1060</v>
      </c>
      <c r="K115" s="109" t="s">
        <v>1054</v>
      </c>
    </row>
    <row r="116" spans="1:11" x14ac:dyDescent="0.35">
      <c r="A116" s="61">
        <v>45323</v>
      </c>
      <c r="B116" s="49" t="s">
        <v>100</v>
      </c>
      <c r="C116" s="49" t="s">
        <v>103</v>
      </c>
      <c r="D116" s="50">
        <v>40834</v>
      </c>
      <c r="E116" s="50">
        <v>15045</v>
      </c>
      <c r="F116" s="51">
        <v>0.36844296419650302</v>
      </c>
      <c r="G116" s="50">
        <v>454</v>
      </c>
      <c r="H116" s="51">
        <v>3.01761382519109E-2</v>
      </c>
      <c r="I116" s="51">
        <v>1.11181858255375E-2</v>
      </c>
      <c r="J116" s="52" t="s">
        <v>1060</v>
      </c>
      <c r="K116" s="109" t="s">
        <v>1054</v>
      </c>
    </row>
    <row r="117" spans="1:11" x14ac:dyDescent="0.35">
      <c r="A117" s="61">
        <v>45323</v>
      </c>
      <c r="B117" s="49" t="s">
        <v>100</v>
      </c>
      <c r="C117" s="49" t="s">
        <v>104</v>
      </c>
      <c r="D117" s="50">
        <v>171887</v>
      </c>
      <c r="E117" s="50">
        <v>59430</v>
      </c>
      <c r="F117" s="51">
        <v>0.34575040578985</v>
      </c>
      <c r="G117" s="50">
        <v>1517</v>
      </c>
      <c r="H117" s="51">
        <v>2.5525828706040699E-2</v>
      </c>
      <c r="I117" s="51">
        <v>8.8255656332357907E-3</v>
      </c>
      <c r="J117" s="52" t="s">
        <v>1060</v>
      </c>
      <c r="K117" s="109" t="s">
        <v>1054</v>
      </c>
    </row>
    <row r="118" spans="1:11" x14ac:dyDescent="0.35">
      <c r="A118" s="61">
        <v>45323</v>
      </c>
      <c r="B118" s="49" t="s">
        <v>105</v>
      </c>
      <c r="C118" s="49" t="s">
        <v>106</v>
      </c>
      <c r="D118" s="50">
        <v>13297</v>
      </c>
      <c r="E118" s="50">
        <v>4280</v>
      </c>
      <c r="F118" s="51">
        <v>0.321877115138753</v>
      </c>
      <c r="G118" s="50">
        <v>123</v>
      </c>
      <c r="H118" s="51">
        <v>2.8738317757009298E-2</v>
      </c>
      <c r="I118" s="51">
        <v>9.2502068135669694E-3</v>
      </c>
      <c r="J118" s="52" t="s">
        <v>1060</v>
      </c>
      <c r="K118" s="109" t="s">
        <v>1054</v>
      </c>
    </row>
    <row r="119" spans="1:11" x14ac:dyDescent="0.35">
      <c r="A119" s="61">
        <v>45323</v>
      </c>
      <c r="B119" s="49" t="s">
        <v>107</v>
      </c>
      <c r="C119" s="49" t="s">
        <v>10</v>
      </c>
      <c r="D119" s="50">
        <v>5583740</v>
      </c>
      <c r="E119" s="50">
        <v>2156064</v>
      </c>
      <c r="F119" s="51">
        <v>0.38613259213358803</v>
      </c>
      <c r="G119" s="50">
        <v>171023</v>
      </c>
      <c r="H119" s="51">
        <v>7.9321856865102305E-2</v>
      </c>
      <c r="I119" s="51">
        <v>3.06287542041714E-2</v>
      </c>
      <c r="J119" s="52" t="s">
        <v>1055</v>
      </c>
      <c r="K119" s="109" t="s">
        <v>1056</v>
      </c>
    </row>
    <row r="120" spans="1:11" x14ac:dyDescent="0.35">
      <c r="A120" s="61">
        <v>45323</v>
      </c>
      <c r="B120" s="49" t="s">
        <v>107</v>
      </c>
      <c r="C120" s="49" t="s">
        <v>11</v>
      </c>
      <c r="D120" s="50">
        <v>346692</v>
      </c>
      <c r="E120" s="50">
        <v>121207</v>
      </c>
      <c r="F120" s="51">
        <v>0.349610028497917</v>
      </c>
      <c r="G120" s="50">
        <v>11076</v>
      </c>
      <c r="H120" s="51">
        <v>9.1380860841370606E-2</v>
      </c>
      <c r="I120" s="51">
        <v>3.1947665362915802E-2</v>
      </c>
      <c r="J120" s="52" t="s">
        <v>1055</v>
      </c>
      <c r="K120" s="109" t="s">
        <v>1056</v>
      </c>
    </row>
    <row r="121" spans="1:11" x14ac:dyDescent="0.35">
      <c r="A121" s="61">
        <v>45323</v>
      </c>
      <c r="B121" s="49" t="s">
        <v>108</v>
      </c>
      <c r="C121" s="49" t="s">
        <v>10</v>
      </c>
      <c r="D121" s="50">
        <v>87547</v>
      </c>
      <c r="E121" s="50">
        <v>35583</v>
      </c>
      <c r="F121" s="51">
        <v>0.40644453836225097</v>
      </c>
      <c r="G121" s="50">
        <v>4155</v>
      </c>
      <c r="H121" s="51">
        <v>0.116769243739988</v>
      </c>
      <c r="I121" s="51">
        <v>4.7460221366808698E-2</v>
      </c>
      <c r="J121" s="52" t="s">
        <v>1053</v>
      </c>
      <c r="K121" s="109" t="s">
        <v>1054</v>
      </c>
    </row>
    <row r="122" spans="1:11" x14ac:dyDescent="0.35">
      <c r="A122" s="61">
        <v>45323</v>
      </c>
      <c r="B122" s="49" t="s">
        <v>109</v>
      </c>
      <c r="C122" s="49" t="s">
        <v>11</v>
      </c>
      <c r="D122" s="50">
        <v>9668</v>
      </c>
      <c r="E122" s="50">
        <v>3619</v>
      </c>
      <c r="F122" s="51">
        <v>0.37432767894083602</v>
      </c>
      <c r="G122" s="50">
        <v>605</v>
      </c>
      <c r="H122" s="51">
        <v>0.167173252279635</v>
      </c>
      <c r="I122" s="51">
        <v>6.2577575506826605E-2</v>
      </c>
      <c r="J122" s="52" t="s">
        <v>1053</v>
      </c>
      <c r="K122" s="109" t="s">
        <v>1054</v>
      </c>
    </row>
    <row r="123" spans="1:11" x14ac:dyDescent="0.35">
      <c r="A123" s="61">
        <v>45324</v>
      </c>
      <c r="B123" s="49" t="s">
        <v>110</v>
      </c>
      <c r="C123" s="49" t="s">
        <v>10</v>
      </c>
      <c r="D123" s="50">
        <v>3974280</v>
      </c>
      <c r="E123" s="50">
        <v>1437880</v>
      </c>
      <c r="F123" s="51">
        <v>0.361796350533933</v>
      </c>
      <c r="G123" s="50">
        <v>26547</v>
      </c>
      <c r="H123" s="51">
        <v>1.84625977133001E-2</v>
      </c>
      <c r="I123" s="51">
        <v>6.67970047404813E-3</v>
      </c>
      <c r="J123" s="52" t="s">
        <v>1055</v>
      </c>
      <c r="K123" s="109" t="s">
        <v>1056</v>
      </c>
    </row>
    <row r="124" spans="1:11" x14ac:dyDescent="0.35">
      <c r="A124" s="61">
        <v>45324</v>
      </c>
      <c r="B124" s="49" t="s">
        <v>110</v>
      </c>
      <c r="C124" s="49" t="s">
        <v>11</v>
      </c>
      <c r="D124" s="50">
        <v>235715</v>
      </c>
      <c r="E124" s="50">
        <v>76235</v>
      </c>
      <c r="F124" s="51">
        <v>0.323420232059903</v>
      </c>
      <c r="G124" s="50">
        <v>2138</v>
      </c>
      <c r="H124" s="51">
        <v>2.8044861284187102E-2</v>
      </c>
      <c r="I124" s="51">
        <v>9.0702755446195604E-3</v>
      </c>
      <c r="J124" s="52" t="s">
        <v>1055</v>
      </c>
      <c r="K124" s="109" t="s">
        <v>1056</v>
      </c>
    </row>
    <row r="125" spans="1:11" x14ac:dyDescent="0.35">
      <c r="A125" s="61">
        <v>45324</v>
      </c>
      <c r="B125" s="49" t="s">
        <v>111</v>
      </c>
      <c r="C125" s="49" t="s">
        <v>10</v>
      </c>
      <c r="D125" s="50">
        <v>421061</v>
      </c>
      <c r="E125" s="50">
        <v>149000</v>
      </c>
      <c r="F125" s="51">
        <v>0.353867966874158</v>
      </c>
      <c r="G125" s="50">
        <v>3410</v>
      </c>
      <c r="H125" s="51">
        <v>2.2885906040268501E-2</v>
      </c>
      <c r="I125" s="51">
        <v>8.0985890405428206E-3</v>
      </c>
      <c r="J125" s="52" t="s">
        <v>1057</v>
      </c>
      <c r="K125" s="109" t="s">
        <v>1054</v>
      </c>
    </row>
    <row r="126" spans="1:11" x14ac:dyDescent="0.35">
      <c r="A126" s="61">
        <v>45324</v>
      </c>
      <c r="B126" s="49" t="s">
        <v>111</v>
      </c>
      <c r="C126" s="49" t="s">
        <v>11</v>
      </c>
      <c r="D126" s="50">
        <v>22413</v>
      </c>
      <c r="E126" s="50">
        <v>5931</v>
      </c>
      <c r="F126" s="51">
        <v>0.264623209744345</v>
      </c>
      <c r="G126" s="50">
        <v>230</v>
      </c>
      <c r="H126" s="51">
        <v>3.8779295228460603E-2</v>
      </c>
      <c r="I126" s="51">
        <v>1.0261901574978799E-2</v>
      </c>
      <c r="J126" s="52" t="s">
        <v>1057</v>
      </c>
      <c r="K126" s="109" t="s">
        <v>1054</v>
      </c>
    </row>
    <row r="127" spans="1:11" x14ac:dyDescent="0.35">
      <c r="A127" s="61">
        <v>45325</v>
      </c>
      <c r="B127" s="49" t="s">
        <v>112</v>
      </c>
      <c r="C127" s="49" t="s">
        <v>10</v>
      </c>
      <c r="D127" s="50">
        <v>56954</v>
      </c>
      <c r="E127" s="50">
        <v>25556</v>
      </c>
      <c r="F127" s="51">
        <v>0.448712996453278</v>
      </c>
      <c r="G127" s="50">
        <v>1654</v>
      </c>
      <c r="H127" s="51">
        <v>6.4720613554546905E-2</v>
      </c>
      <c r="I127" s="51">
        <v>2.9040980440355399E-2</v>
      </c>
      <c r="J127" s="52" t="s">
        <v>1055</v>
      </c>
      <c r="K127" s="109" t="s">
        <v>1056</v>
      </c>
    </row>
    <row r="128" spans="1:11" x14ac:dyDescent="0.35">
      <c r="A128" s="61">
        <v>45325</v>
      </c>
      <c r="B128" s="49" t="s">
        <v>112</v>
      </c>
      <c r="C128" s="49" t="s">
        <v>11</v>
      </c>
      <c r="D128" s="50">
        <v>5477</v>
      </c>
      <c r="E128" s="50">
        <v>2544</v>
      </c>
      <c r="F128" s="51">
        <v>0.464487858316597</v>
      </c>
      <c r="G128" s="50">
        <v>177</v>
      </c>
      <c r="H128" s="51">
        <v>6.9575471698113206E-2</v>
      </c>
      <c r="I128" s="51">
        <v>3.2316961840423597E-2</v>
      </c>
      <c r="J128" s="52" t="s">
        <v>1055</v>
      </c>
      <c r="K128" s="109" t="s">
        <v>1056</v>
      </c>
    </row>
    <row r="129" spans="1:11" x14ac:dyDescent="0.35">
      <c r="A129" s="61">
        <v>45327</v>
      </c>
      <c r="B129" s="49" t="s">
        <v>113</v>
      </c>
      <c r="C129" s="49" t="s">
        <v>10</v>
      </c>
      <c r="D129" s="50">
        <v>257036</v>
      </c>
      <c r="E129" s="50">
        <v>102174</v>
      </c>
      <c r="F129" s="51">
        <v>0.397508520207286</v>
      </c>
      <c r="G129" s="50">
        <v>2409</v>
      </c>
      <c r="H129" s="51">
        <v>2.3577426742615499E-2</v>
      </c>
      <c r="I129" s="51">
        <v>9.3722280147527995E-3</v>
      </c>
      <c r="J129" s="52" t="s">
        <v>1060</v>
      </c>
      <c r="K129" s="109" t="s">
        <v>1054</v>
      </c>
    </row>
    <row r="130" spans="1:11" x14ac:dyDescent="0.35">
      <c r="A130" s="61">
        <v>45328</v>
      </c>
      <c r="B130" s="49" t="s">
        <v>114</v>
      </c>
      <c r="C130" s="49" t="s">
        <v>10</v>
      </c>
      <c r="D130" s="50">
        <v>1376200</v>
      </c>
      <c r="E130" s="50">
        <v>547259</v>
      </c>
      <c r="F130" s="51">
        <v>0.39765949716610999</v>
      </c>
      <c r="G130" s="50">
        <v>14314</v>
      </c>
      <c r="H130" s="51">
        <v>2.61558055692095E-2</v>
      </c>
      <c r="I130" s="51">
        <v>1.04011044906264E-2</v>
      </c>
      <c r="J130" s="52" t="s">
        <v>1055</v>
      </c>
      <c r="K130" s="109" t="s">
        <v>1056</v>
      </c>
    </row>
    <row r="131" spans="1:11" x14ac:dyDescent="0.35">
      <c r="A131" s="61">
        <v>45328</v>
      </c>
      <c r="B131" s="49" t="s">
        <v>114</v>
      </c>
      <c r="C131" s="49" t="s">
        <v>11</v>
      </c>
      <c r="D131" s="50">
        <v>99635</v>
      </c>
      <c r="E131" s="50">
        <v>37524</v>
      </c>
      <c r="F131" s="51">
        <v>0.37661464344858703</v>
      </c>
      <c r="G131" s="50">
        <v>1302</v>
      </c>
      <c r="H131" s="51">
        <v>3.4697793412216203E-2</v>
      </c>
      <c r="I131" s="51">
        <v>1.3067697094394501E-2</v>
      </c>
      <c r="J131" s="52" t="s">
        <v>1055</v>
      </c>
      <c r="K131" s="109" t="s">
        <v>1056</v>
      </c>
    </row>
    <row r="132" spans="1:11" x14ac:dyDescent="0.35">
      <c r="A132" s="61">
        <v>45329</v>
      </c>
      <c r="B132" s="49" t="s">
        <v>115</v>
      </c>
      <c r="C132" s="49" t="s">
        <v>10</v>
      </c>
      <c r="D132" s="50">
        <v>259735</v>
      </c>
      <c r="E132" s="50">
        <v>99714</v>
      </c>
      <c r="F132" s="51">
        <v>0.383906674110151</v>
      </c>
      <c r="G132" s="50">
        <v>2548</v>
      </c>
      <c r="H132" s="51">
        <v>2.5553081813988E-2</v>
      </c>
      <c r="I132" s="51">
        <v>9.8099986524727099E-3</v>
      </c>
      <c r="J132" s="52" t="s">
        <v>1060</v>
      </c>
      <c r="K132" s="109" t="s">
        <v>1054</v>
      </c>
    </row>
    <row r="133" spans="1:11" x14ac:dyDescent="0.35">
      <c r="A133" s="61">
        <v>45330</v>
      </c>
      <c r="B133" s="49" t="s">
        <v>116</v>
      </c>
      <c r="C133" s="49" t="s">
        <v>117</v>
      </c>
      <c r="D133" s="50">
        <v>307618</v>
      </c>
      <c r="E133" s="50">
        <v>120846</v>
      </c>
      <c r="F133" s="60">
        <v>0.39279999999999998</v>
      </c>
      <c r="G133" s="50">
        <v>1599</v>
      </c>
      <c r="H133" s="60">
        <v>1.32E-2</v>
      </c>
      <c r="I133" s="60">
        <v>5.1999999999999998E-3</v>
      </c>
      <c r="J133" s="52" t="s">
        <v>1055</v>
      </c>
      <c r="K133" s="109" t="s">
        <v>1056</v>
      </c>
    </row>
    <row r="134" spans="1:11" x14ac:dyDescent="0.35">
      <c r="A134" s="61">
        <v>45330</v>
      </c>
      <c r="B134" s="49" t="s">
        <v>118</v>
      </c>
      <c r="C134" s="49" t="s">
        <v>119</v>
      </c>
      <c r="D134" s="49">
        <v>854</v>
      </c>
      <c r="E134" s="49">
        <v>374</v>
      </c>
      <c r="F134" s="60">
        <v>0.43790000000000001</v>
      </c>
      <c r="G134" s="49">
        <v>4</v>
      </c>
      <c r="H134" s="60">
        <v>1.0699999999999999E-2</v>
      </c>
      <c r="I134" s="60">
        <v>4.7000000000000002E-3</v>
      </c>
      <c r="J134" s="52" t="s">
        <v>1055</v>
      </c>
      <c r="K134" s="109" t="s">
        <v>1056</v>
      </c>
    </row>
    <row r="135" spans="1:11" x14ac:dyDescent="0.35">
      <c r="A135" s="61">
        <v>45330</v>
      </c>
      <c r="B135" s="49" t="s">
        <v>120</v>
      </c>
      <c r="C135" s="49" t="s">
        <v>117</v>
      </c>
      <c r="D135" s="50">
        <v>43322</v>
      </c>
      <c r="E135" s="50">
        <v>17215</v>
      </c>
      <c r="F135" s="60">
        <v>0.39739999999999998</v>
      </c>
      <c r="G135" s="49">
        <v>118</v>
      </c>
      <c r="H135" s="60">
        <v>6.8999999999999999E-3</v>
      </c>
      <c r="I135" s="60">
        <v>2.7000000000000001E-3</v>
      </c>
      <c r="J135" s="52" t="s">
        <v>1055</v>
      </c>
      <c r="K135" s="109" t="s">
        <v>1056</v>
      </c>
    </row>
    <row r="136" spans="1:11" x14ac:dyDescent="0.35">
      <c r="A136" s="61">
        <v>45330</v>
      </c>
      <c r="B136" s="49" t="s">
        <v>121</v>
      </c>
      <c r="C136" s="49" t="s">
        <v>119</v>
      </c>
      <c r="D136" s="50">
        <v>3384</v>
      </c>
      <c r="E136" s="50">
        <v>1498</v>
      </c>
      <c r="F136" s="60">
        <v>0.44269999999999998</v>
      </c>
      <c r="G136" s="49">
        <v>10</v>
      </c>
      <c r="H136" s="60">
        <v>6.7000000000000002E-3</v>
      </c>
      <c r="I136" s="60">
        <v>3.0000000000000001E-3</v>
      </c>
      <c r="J136" s="52" t="s">
        <v>1055</v>
      </c>
      <c r="K136" s="109" t="s">
        <v>1056</v>
      </c>
    </row>
    <row r="137" spans="1:11" x14ac:dyDescent="0.35">
      <c r="A137" s="61">
        <v>45330</v>
      </c>
      <c r="B137" s="49" t="s">
        <v>99</v>
      </c>
      <c r="C137" s="49" t="s">
        <v>122</v>
      </c>
      <c r="D137" s="50">
        <v>418509</v>
      </c>
      <c r="E137" s="50">
        <v>155391</v>
      </c>
      <c r="F137" s="60">
        <v>0.37130000000000002</v>
      </c>
      <c r="G137" s="50">
        <v>1046</v>
      </c>
      <c r="H137" s="60">
        <v>6.7000000000000002E-3</v>
      </c>
      <c r="I137" s="60">
        <v>2.5000000000000001E-3</v>
      </c>
      <c r="J137" s="52" t="s">
        <v>1055</v>
      </c>
      <c r="K137" s="109" t="s">
        <v>1056</v>
      </c>
    </row>
    <row r="138" spans="1:11" x14ac:dyDescent="0.35">
      <c r="A138" s="61">
        <v>45330</v>
      </c>
      <c r="B138" s="49" t="s">
        <v>123</v>
      </c>
      <c r="C138" s="49" t="s">
        <v>10</v>
      </c>
      <c r="D138" s="50">
        <v>778446</v>
      </c>
      <c r="E138" s="50">
        <v>251848</v>
      </c>
      <c r="F138" s="51">
        <v>0.323526615847471</v>
      </c>
      <c r="G138" s="50">
        <v>3052</v>
      </c>
      <c r="H138" s="51">
        <v>1.21184206346685E-2</v>
      </c>
      <c r="I138" s="51">
        <v>3.9206316173504598E-3</v>
      </c>
      <c r="J138" s="52" t="s">
        <v>1055</v>
      </c>
      <c r="K138" s="109" t="s">
        <v>1056</v>
      </c>
    </row>
    <row r="139" spans="1:11" x14ac:dyDescent="0.35">
      <c r="A139" s="61">
        <v>45330</v>
      </c>
      <c r="B139" s="49" t="s">
        <v>124</v>
      </c>
      <c r="C139" s="49" t="s">
        <v>10</v>
      </c>
      <c r="D139" s="50">
        <v>81309</v>
      </c>
      <c r="E139" s="50">
        <v>32670</v>
      </c>
      <c r="F139" s="51">
        <v>0.40180053868575399</v>
      </c>
      <c r="G139" s="50">
        <v>438</v>
      </c>
      <c r="H139" s="51">
        <v>1.3406795224977E-2</v>
      </c>
      <c r="I139" s="51">
        <v>5.3868575434453704E-3</v>
      </c>
      <c r="J139" s="52" t="s">
        <v>1055</v>
      </c>
      <c r="K139" s="109" t="s">
        <v>1056</v>
      </c>
    </row>
    <row r="140" spans="1:11" x14ac:dyDescent="0.35">
      <c r="A140" s="61">
        <v>45330</v>
      </c>
      <c r="B140" s="49" t="s">
        <v>124</v>
      </c>
      <c r="C140" s="49" t="s">
        <v>11</v>
      </c>
      <c r="D140" s="50">
        <v>3185</v>
      </c>
      <c r="E140" s="50">
        <v>1189</v>
      </c>
      <c r="F140" s="51">
        <v>0.37331240188383003</v>
      </c>
      <c r="G140" s="50">
        <v>28</v>
      </c>
      <c r="H140" s="51">
        <v>2.3549201009251501E-2</v>
      </c>
      <c r="I140" s="51">
        <v>8.7912087912087895E-3</v>
      </c>
      <c r="J140" s="52" t="s">
        <v>1055</v>
      </c>
      <c r="K140" s="109" t="s">
        <v>1056</v>
      </c>
    </row>
    <row r="141" spans="1:11" x14ac:dyDescent="0.35">
      <c r="A141" s="61">
        <v>45330</v>
      </c>
      <c r="B141" s="49" t="s">
        <v>125</v>
      </c>
      <c r="C141" s="49" t="s">
        <v>126</v>
      </c>
      <c r="D141" s="50">
        <v>190561</v>
      </c>
      <c r="E141" s="50">
        <v>77154</v>
      </c>
      <c r="F141" s="60">
        <v>0.40620000000000001</v>
      </c>
      <c r="G141" s="50">
        <v>2581</v>
      </c>
      <c r="H141" s="60">
        <v>3.3500000000000002E-2</v>
      </c>
      <c r="I141" s="60">
        <v>1.3599999999999999E-2</v>
      </c>
      <c r="J141" s="52" t="s">
        <v>1059</v>
      </c>
      <c r="K141" s="109" t="s">
        <v>1056</v>
      </c>
    </row>
    <row r="142" spans="1:11" x14ac:dyDescent="0.35">
      <c r="A142" s="61">
        <v>45330</v>
      </c>
      <c r="B142" s="49" t="s">
        <v>125</v>
      </c>
      <c r="C142" s="49" t="s">
        <v>127</v>
      </c>
      <c r="D142" s="50">
        <v>9864</v>
      </c>
      <c r="E142" s="50">
        <v>3801</v>
      </c>
      <c r="F142" s="60">
        <v>0.38650000000000001</v>
      </c>
      <c r="G142" s="49">
        <v>268</v>
      </c>
      <c r="H142" s="60">
        <v>7.0499999999999993E-2</v>
      </c>
      <c r="I142" s="60">
        <v>2.7300000000000001E-2</v>
      </c>
      <c r="J142" s="52" t="s">
        <v>1059</v>
      </c>
      <c r="K142" s="109" t="s">
        <v>1056</v>
      </c>
    </row>
    <row r="143" spans="1:11" x14ac:dyDescent="0.35">
      <c r="A143" s="61">
        <v>45330</v>
      </c>
      <c r="B143" s="49" t="s">
        <v>125</v>
      </c>
      <c r="C143" s="49" t="s">
        <v>128</v>
      </c>
      <c r="D143" s="50">
        <v>190236</v>
      </c>
      <c r="E143" s="50">
        <v>76731</v>
      </c>
      <c r="F143" s="60">
        <v>0.40489999999999998</v>
      </c>
      <c r="G143" s="50">
        <v>2621</v>
      </c>
      <c r="H143" s="60">
        <v>3.4200000000000001E-2</v>
      </c>
      <c r="I143" s="60">
        <v>1.38E-2</v>
      </c>
      <c r="J143" s="52" t="s">
        <v>1059</v>
      </c>
      <c r="K143" s="109" t="s">
        <v>1056</v>
      </c>
    </row>
    <row r="144" spans="1:11" x14ac:dyDescent="0.35">
      <c r="A144" s="61">
        <v>45330</v>
      </c>
      <c r="B144" s="49" t="s">
        <v>125</v>
      </c>
      <c r="C144" s="49" t="s">
        <v>129</v>
      </c>
      <c r="D144" s="50">
        <v>9856</v>
      </c>
      <c r="E144" s="50">
        <v>3769</v>
      </c>
      <c r="F144" s="60">
        <v>0.38340000000000002</v>
      </c>
      <c r="G144" s="49">
        <v>245</v>
      </c>
      <c r="H144" s="60">
        <v>6.5000000000000002E-2</v>
      </c>
      <c r="I144" s="60">
        <v>2.4899999999999999E-2</v>
      </c>
      <c r="J144" s="52" t="s">
        <v>1059</v>
      </c>
      <c r="K144" s="109" t="s">
        <v>1056</v>
      </c>
    </row>
    <row r="145" spans="1:11" x14ac:dyDescent="0.35">
      <c r="A145" s="61">
        <v>45331</v>
      </c>
      <c r="B145" s="49" t="s">
        <v>130</v>
      </c>
      <c r="C145" s="49" t="s">
        <v>10</v>
      </c>
      <c r="D145" s="50">
        <v>3878553</v>
      </c>
      <c r="E145" s="50">
        <v>1435119</v>
      </c>
      <c r="F145" s="51">
        <v>0.37001402327104999</v>
      </c>
      <c r="G145" s="50">
        <v>27153</v>
      </c>
      <c r="H145" s="51">
        <v>1.89203822122068E-2</v>
      </c>
      <c r="I145" s="51">
        <v>7.0008067441646397E-3</v>
      </c>
      <c r="J145" s="52" t="s">
        <v>1055</v>
      </c>
      <c r="K145" s="109" t="s">
        <v>1056</v>
      </c>
    </row>
    <row r="146" spans="1:11" x14ac:dyDescent="0.35">
      <c r="A146" s="61">
        <v>45331</v>
      </c>
      <c r="B146" s="49" t="s">
        <v>130</v>
      </c>
      <c r="C146" s="49" t="s">
        <v>11</v>
      </c>
      <c r="D146" s="50">
        <v>229929</v>
      </c>
      <c r="E146" s="50">
        <v>73753</v>
      </c>
      <c r="F146" s="51">
        <v>0.32076423591630498</v>
      </c>
      <c r="G146" s="50">
        <v>1794</v>
      </c>
      <c r="H146" s="51">
        <v>2.43244342603013E-2</v>
      </c>
      <c r="I146" s="51">
        <v>7.8024085696019197E-3</v>
      </c>
      <c r="J146" s="52" t="s">
        <v>1055</v>
      </c>
      <c r="K146" s="109" t="s">
        <v>1056</v>
      </c>
    </row>
    <row r="147" spans="1:11" x14ac:dyDescent="0.35">
      <c r="A147" s="61">
        <v>45331</v>
      </c>
      <c r="B147" s="49" t="s">
        <v>130</v>
      </c>
      <c r="C147" s="49" t="s">
        <v>131</v>
      </c>
      <c r="D147" s="50">
        <v>461072</v>
      </c>
      <c r="E147" s="50">
        <v>152390</v>
      </c>
      <c r="F147" s="51">
        <v>0.33051237116979598</v>
      </c>
      <c r="G147" s="50">
        <v>3776</v>
      </c>
      <c r="H147" s="51">
        <v>2.4778528774854001E-2</v>
      </c>
      <c r="I147" s="51">
        <v>8.1896102994759995E-3</v>
      </c>
      <c r="J147" s="52" t="s">
        <v>1055</v>
      </c>
      <c r="K147" s="109" t="s">
        <v>1056</v>
      </c>
    </row>
    <row r="148" spans="1:11" x14ac:dyDescent="0.35">
      <c r="A148" s="61">
        <v>45331</v>
      </c>
      <c r="B148" s="49" t="s">
        <v>130</v>
      </c>
      <c r="C148" s="49" t="s">
        <v>132</v>
      </c>
      <c r="D148" s="50">
        <v>33775</v>
      </c>
      <c r="E148" s="50">
        <v>10403</v>
      </c>
      <c r="F148" s="51">
        <v>0.30800888230939999</v>
      </c>
      <c r="G148" s="50">
        <v>318</v>
      </c>
      <c r="H148" s="51">
        <v>3.05681053542247E-2</v>
      </c>
      <c r="I148" s="51">
        <v>9.4152479644707601E-3</v>
      </c>
      <c r="J148" s="52" t="s">
        <v>1055</v>
      </c>
      <c r="K148" s="109" t="s">
        <v>1056</v>
      </c>
    </row>
    <row r="149" spans="1:11" x14ac:dyDescent="0.35">
      <c r="A149" s="61">
        <v>45331</v>
      </c>
      <c r="B149" s="49" t="s">
        <v>133</v>
      </c>
      <c r="C149" s="49" t="s">
        <v>10</v>
      </c>
      <c r="D149" s="50">
        <v>419144</v>
      </c>
      <c r="E149" s="50">
        <v>165271</v>
      </c>
      <c r="F149" s="51">
        <v>0.39430601416219702</v>
      </c>
      <c r="G149" s="50">
        <v>3063</v>
      </c>
      <c r="H149" s="51">
        <v>1.8533196991607701E-2</v>
      </c>
      <c r="I149" s="51">
        <v>7.3077510354436701E-3</v>
      </c>
      <c r="J149" s="52" t="s">
        <v>1057</v>
      </c>
      <c r="K149" s="109" t="s">
        <v>1054</v>
      </c>
    </row>
    <row r="150" spans="1:11" x14ac:dyDescent="0.35">
      <c r="A150" s="61">
        <v>45331</v>
      </c>
      <c r="B150" s="49" t="s">
        <v>134</v>
      </c>
      <c r="C150" s="49" t="s">
        <v>10</v>
      </c>
      <c r="D150" s="50">
        <v>42484</v>
      </c>
      <c r="E150" s="50">
        <v>25238</v>
      </c>
      <c r="F150" s="51">
        <v>0.59405893983617397</v>
      </c>
      <c r="G150" s="50">
        <v>116</v>
      </c>
      <c r="H150" s="51">
        <v>4.5962437594104103E-3</v>
      </c>
      <c r="I150" s="51">
        <v>2.7304396949439798E-3</v>
      </c>
      <c r="J150" s="52" t="s">
        <v>1055</v>
      </c>
      <c r="K150" s="109" t="s">
        <v>1056</v>
      </c>
    </row>
    <row r="151" spans="1:11" x14ac:dyDescent="0.35">
      <c r="A151" s="61">
        <v>45332</v>
      </c>
      <c r="B151" s="49" t="s">
        <v>135</v>
      </c>
      <c r="C151" s="49" t="s">
        <v>136</v>
      </c>
      <c r="D151" s="50">
        <v>31842</v>
      </c>
      <c r="E151" s="50">
        <v>13548</v>
      </c>
      <c r="F151" s="51">
        <v>0.42547578669681602</v>
      </c>
      <c r="G151" s="50">
        <v>437</v>
      </c>
      <c r="H151" s="51">
        <v>3.2255683495718897E-2</v>
      </c>
      <c r="I151" s="51">
        <v>1.37240123107845E-2</v>
      </c>
      <c r="J151" s="52" t="s">
        <v>1058</v>
      </c>
      <c r="K151" s="109" t="s">
        <v>1054</v>
      </c>
    </row>
    <row r="152" spans="1:11" x14ac:dyDescent="0.35">
      <c r="A152" s="61">
        <v>45335</v>
      </c>
      <c r="B152" s="49" t="s">
        <v>137</v>
      </c>
      <c r="C152" s="49" t="s">
        <v>10</v>
      </c>
      <c r="D152" s="50">
        <v>1411510</v>
      </c>
      <c r="E152" s="50">
        <v>557630</v>
      </c>
      <c r="F152" s="51">
        <v>0.39505919192921102</v>
      </c>
      <c r="G152" s="50">
        <v>16662</v>
      </c>
      <c r="H152" s="51">
        <v>2.9880027975539299E-2</v>
      </c>
      <c r="I152" s="51">
        <v>1.18043797068388E-2</v>
      </c>
      <c r="J152" s="52" t="s">
        <v>1055</v>
      </c>
      <c r="K152" s="109" t="s">
        <v>1056</v>
      </c>
    </row>
    <row r="153" spans="1:11" x14ac:dyDescent="0.35">
      <c r="A153" s="61">
        <v>45335</v>
      </c>
      <c r="B153" s="49" t="s">
        <v>137</v>
      </c>
      <c r="C153" s="49" t="s">
        <v>11</v>
      </c>
      <c r="D153" s="50">
        <v>101477</v>
      </c>
      <c r="E153" s="50">
        <v>34498</v>
      </c>
      <c r="F153" s="51">
        <v>0.33995880839993298</v>
      </c>
      <c r="G153" s="50">
        <v>1490</v>
      </c>
      <c r="H153" s="51">
        <v>4.31909096179489E-2</v>
      </c>
      <c r="I153" s="51">
        <v>1.4683130167427101E-2</v>
      </c>
      <c r="J153" s="52" t="s">
        <v>1055</v>
      </c>
      <c r="K153" s="109" t="s">
        <v>1056</v>
      </c>
    </row>
    <row r="154" spans="1:11" x14ac:dyDescent="0.35">
      <c r="A154" s="61">
        <v>45335</v>
      </c>
      <c r="B154" s="49" t="s">
        <v>138</v>
      </c>
      <c r="C154" s="49" t="s">
        <v>139</v>
      </c>
      <c r="D154" s="50">
        <v>12364</v>
      </c>
      <c r="E154" s="50">
        <v>4828</v>
      </c>
      <c r="F154" s="51">
        <v>0.39048851504367499</v>
      </c>
      <c r="G154" s="50">
        <v>533</v>
      </c>
      <c r="H154" s="51">
        <v>0.11039768019884</v>
      </c>
      <c r="I154" s="51">
        <v>4.3109026205111603E-2</v>
      </c>
      <c r="J154" s="52" t="s">
        <v>1053</v>
      </c>
      <c r="K154" s="109" t="s">
        <v>1054</v>
      </c>
    </row>
    <row r="155" spans="1:11" x14ac:dyDescent="0.35">
      <c r="A155" s="61">
        <v>45335</v>
      </c>
      <c r="B155" s="49" t="s">
        <v>138</v>
      </c>
      <c r="C155" s="49" t="s">
        <v>140</v>
      </c>
      <c r="D155" s="50">
        <v>14756</v>
      </c>
      <c r="E155" s="50">
        <v>5804</v>
      </c>
      <c r="F155" s="51">
        <v>0.39333152615885097</v>
      </c>
      <c r="G155" s="50">
        <v>709</v>
      </c>
      <c r="H155" s="51">
        <v>0.122157133011716</v>
      </c>
      <c r="I155" s="51">
        <v>4.8048251558687999E-2</v>
      </c>
      <c r="J155" s="52" t="s">
        <v>1053</v>
      </c>
      <c r="K155" s="109" t="s">
        <v>1054</v>
      </c>
    </row>
    <row r="156" spans="1:11" x14ac:dyDescent="0.35">
      <c r="A156" s="61">
        <v>45335</v>
      </c>
      <c r="B156" s="49" t="s">
        <v>138</v>
      </c>
      <c r="C156" s="49" t="s">
        <v>141</v>
      </c>
      <c r="D156" s="50">
        <v>2468</v>
      </c>
      <c r="E156" s="50">
        <v>808</v>
      </c>
      <c r="F156" s="51">
        <v>0.32739059967585099</v>
      </c>
      <c r="G156" s="50">
        <v>146</v>
      </c>
      <c r="H156" s="51">
        <v>0.18069306930693099</v>
      </c>
      <c r="I156" s="51">
        <v>5.9157212317666102E-2</v>
      </c>
      <c r="J156" s="52" t="s">
        <v>1053</v>
      </c>
      <c r="K156" s="109" t="s">
        <v>1054</v>
      </c>
    </row>
    <row r="157" spans="1:11" x14ac:dyDescent="0.35">
      <c r="A157" s="61">
        <v>45335</v>
      </c>
      <c r="B157" s="49" t="s">
        <v>138</v>
      </c>
      <c r="C157" s="49" t="s">
        <v>142</v>
      </c>
      <c r="D157" s="50">
        <v>30</v>
      </c>
      <c r="E157" s="50">
        <v>13</v>
      </c>
      <c r="F157" s="51">
        <v>0.43333333333333302</v>
      </c>
      <c r="G157" s="50">
        <v>1</v>
      </c>
      <c r="H157" s="51">
        <v>7.69230769230769E-2</v>
      </c>
      <c r="I157" s="51">
        <v>3.3333333333333298E-2</v>
      </c>
      <c r="J157" s="52" t="s">
        <v>1053</v>
      </c>
      <c r="K157" s="109" t="s">
        <v>1054</v>
      </c>
    </row>
    <row r="158" spans="1:11" x14ac:dyDescent="0.35">
      <c r="A158" s="61">
        <v>45336</v>
      </c>
      <c r="B158" s="49" t="s">
        <v>143</v>
      </c>
      <c r="C158" s="49" t="s">
        <v>136</v>
      </c>
      <c r="D158" s="50">
        <v>26712</v>
      </c>
      <c r="E158" s="50">
        <v>10871</v>
      </c>
      <c r="F158" s="51">
        <v>0.406970649895178</v>
      </c>
      <c r="G158" s="50">
        <v>226</v>
      </c>
      <c r="H158" s="51">
        <v>2.0789255818231999E-2</v>
      </c>
      <c r="I158" s="51">
        <v>8.4606169511829907E-3</v>
      </c>
      <c r="J158" s="52" t="s">
        <v>1058</v>
      </c>
      <c r="K158" s="109" t="s">
        <v>1054</v>
      </c>
    </row>
    <row r="159" spans="1:11" x14ac:dyDescent="0.35">
      <c r="A159" s="61">
        <v>45337</v>
      </c>
      <c r="B159" s="49" t="s">
        <v>116</v>
      </c>
      <c r="C159" s="49" t="s">
        <v>122</v>
      </c>
      <c r="D159" s="50">
        <v>264553</v>
      </c>
      <c r="E159" s="50">
        <v>102069</v>
      </c>
      <c r="F159" s="60">
        <v>0.38579999999999998</v>
      </c>
      <c r="G159" s="50">
        <v>1135</v>
      </c>
      <c r="H159" s="60">
        <v>1.11E-2</v>
      </c>
      <c r="I159" s="60">
        <v>4.3E-3</v>
      </c>
      <c r="J159" s="52" t="s">
        <v>1055</v>
      </c>
      <c r="K159" s="109" t="s">
        <v>1056</v>
      </c>
    </row>
    <row r="160" spans="1:11" x14ac:dyDescent="0.35">
      <c r="A160" s="61">
        <v>45337</v>
      </c>
      <c r="B160" s="49" t="s">
        <v>118</v>
      </c>
      <c r="C160" s="49" t="s">
        <v>144</v>
      </c>
      <c r="D160" s="50">
        <v>21300</v>
      </c>
      <c r="E160" s="50">
        <v>8156</v>
      </c>
      <c r="F160" s="60">
        <v>0.38290000000000002</v>
      </c>
      <c r="G160" s="49">
        <v>118</v>
      </c>
      <c r="H160" s="60">
        <v>1.4500000000000001E-2</v>
      </c>
      <c r="I160" s="60">
        <v>5.4999999999999997E-3</v>
      </c>
      <c r="J160" s="52" t="s">
        <v>1055</v>
      </c>
      <c r="K160" s="109" t="s">
        <v>1056</v>
      </c>
    </row>
    <row r="161" spans="1:11" x14ac:dyDescent="0.35">
      <c r="A161" s="61">
        <v>45337</v>
      </c>
      <c r="B161" s="49" t="s">
        <v>120</v>
      </c>
      <c r="C161" s="49" t="s">
        <v>122</v>
      </c>
      <c r="D161" s="50">
        <v>26080</v>
      </c>
      <c r="E161" s="50">
        <v>10294</v>
      </c>
      <c r="F161" s="60">
        <v>0.3947</v>
      </c>
      <c r="G161" s="49">
        <v>72</v>
      </c>
      <c r="H161" s="60">
        <v>7.0000000000000001E-3</v>
      </c>
      <c r="I161" s="60">
        <v>2.8E-3</v>
      </c>
      <c r="J161" s="52" t="s">
        <v>1055</v>
      </c>
      <c r="K161" s="109" t="s">
        <v>1056</v>
      </c>
    </row>
    <row r="162" spans="1:11" x14ac:dyDescent="0.35">
      <c r="A162" s="61">
        <v>45337</v>
      </c>
      <c r="B162" s="49" t="s">
        <v>121</v>
      </c>
      <c r="C162" s="49" t="s">
        <v>144</v>
      </c>
      <c r="D162" s="50">
        <v>2402</v>
      </c>
      <c r="E162" s="50">
        <v>1077</v>
      </c>
      <c r="F162" s="60">
        <v>0.44840000000000002</v>
      </c>
      <c r="G162" s="49">
        <v>9</v>
      </c>
      <c r="H162" s="60">
        <v>8.3999999999999995E-3</v>
      </c>
      <c r="I162" s="60">
        <v>3.7000000000000002E-3</v>
      </c>
      <c r="J162" s="52" t="s">
        <v>1055</v>
      </c>
      <c r="K162" s="109" t="s">
        <v>1056</v>
      </c>
    </row>
    <row r="163" spans="1:11" x14ac:dyDescent="0.35">
      <c r="A163" s="61">
        <v>45337</v>
      </c>
      <c r="B163" s="49" t="s">
        <v>99</v>
      </c>
      <c r="C163" s="49" t="s">
        <v>145</v>
      </c>
      <c r="D163" s="50">
        <v>415811</v>
      </c>
      <c r="E163" s="50">
        <v>156296</v>
      </c>
      <c r="F163" s="60">
        <v>0.37590000000000001</v>
      </c>
      <c r="G163" s="50">
        <v>1083</v>
      </c>
      <c r="H163" s="60">
        <v>6.8999999999999999E-3</v>
      </c>
      <c r="I163" s="60">
        <v>2.5999999999999999E-3</v>
      </c>
      <c r="J163" s="52" t="s">
        <v>1055</v>
      </c>
      <c r="K163" s="109" t="s">
        <v>1056</v>
      </c>
    </row>
    <row r="164" spans="1:11" x14ac:dyDescent="0.35">
      <c r="A164" s="61">
        <v>45337</v>
      </c>
      <c r="B164" s="49" t="s">
        <v>146</v>
      </c>
      <c r="C164" s="49" t="s">
        <v>10</v>
      </c>
      <c r="D164" s="50">
        <v>10856</v>
      </c>
      <c r="E164" s="50">
        <v>3264</v>
      </c>
      <c r="F164" s="51">
        <v>0.30066322770817999</v>
      </c>
      <c r="G164" s="50">
        <v>445</v>
      </c>
      <c r="H164" s="51">
        <v>0.13633578431372501</v>
      </c>
      <c r="I164" s="51">
        <v>4.0991156963890898E-2</v>
      </c>
      <c r="J164" s="52" t="s">
        <v>1061</v>
      </c>
      <c r="K164" s="109" t="s">
        <v>1054</v>
      </c>
    </row>
    <row r="165" spans="1:11" x14ac:dyDescent="0.35">
      <c r="A165" s="61">
        <v>45337</v>
      </c>
      <c r="B165" s="49" t="s">
        <v>147</v>
      </c>
      <c r="C165" s="49" t="s">
        <v>10</v>
      </c>
      <c r="D165" s="50">
        <v>947</v>
      </c>
      <c r="E165" s="50">
        <v>241</v>
      </c>
      <c r="F165" s="51">
        <v>0.254487856388596</v>
      </c>
      <c r="G165" s="50">
        <v>29</v>
      </c>
      <c r="H165" s="51">
        <v>0.12033195020746899</v>
      </c>
      <c r="I165" s="51">
        <v>3.0623020063358E-2</v>
      </c>
      <c r="J165" s="52" t="s">
        <v>1061</v>
      </c>
      <c r="K165" s="109" t="s">
        <v>1054</v>
      </c>
    </row>
    <row r="166" spans="1:11" x14ac:dyDescent="0.35">
      <c r="A166" s="61">
        <v>45337</v>
      </c>
      <c r="B166" s="49" t="s">
        <v>148</v>
      </c>
      <c r="C166" s="49" t="s">
        <v>74</v>
      </c>
      <c r="D166" s="50">
        <v>2881</v>
      </c>
      <c r="E166" s="50">
        <v>1252</v>
      </c>
      <c r="F166" s="51">
        <v>0.43457132939951398</v>
      </c>
      <c r="G166" s="50">
        <v>21</v>
      </c>
      <c r="H166" s="51">
        <v>1.67731629392971E-2</v>
      </c>
      <c r="I166" s="51">
        <v>7.2891357167650097E-3</v>
      </c>
      <c r="J166" s="52" t="s">
        <v>1055</v>
      </c>
      <c r="K166" s="109" t="s">
        <v>1056</v>
      </c>
    </row>
    <row r="167" spans="1:11" x14ac:dyDescent="0.35">
      <c r="A167" s="61">
        <v>45337</v>
      </c>
      <c r="B167" s="49" t="s">
        <v>148</v>
      </c>
      <c r="C167" s="49" t="s">
        <v>72</v>
      </c>
      <c r="D167" s="50">
        <v>55545</v>
      </c>
      <c r="E167" s="50">
        <v>24399</v>
      </c>
      <c r="F167" s="51">
        <v>0.43926546043748299</v>
      </c>
      <c r="G167" s="50">
        <v>626</v>
      </c>
      <c r="H167" s="51">
        <v>2.5656789212672601E-2</v>
      </c>
      <c r="I167" s="51">
        <v>1.12701413268521E-2</v>
      </c>
      <c r="J167" s="52" t="s">
        <v>1055</v>
      </c>
      <c r="K167" s="109" t="s">
        <v>1056</v>
      </c>
    </row>
    <row r="168" spans="1:11" x14ac:dyDescent="0.35">
      <c r="A168" s="61">
        <v>45337</v>
      </c>
      <c r="B168" s="49" t="s">
        <v>148</v>
      </c>
      <c r="C168" s="49" t="s">
        <v>75</v>
      </c>
      <c r="D168" s="50">
        <v>150</v>
      </c>
      <c r="E168" s="50">
        <v>82</v>
      </c>
      <c r="F168" s="51">
        <v>0.54666666666666697</v>
      </c>
      <c r="G168" s="50">
        <v>2</v>
      </c>
      <c r="H168" s="51">
        <v>2.4390243902439001E-2</v>
      </c>
      <c r="I168" s="51">
        <v>1.3333333333333299E-2</v>
      </c>
      <c r="J168" s="52" t="s">
        <v>1055</v>
      </c>
      <c r="K168" s="109" t="s">
        <v>1056</v>
      </c>
    </row>
    <row r="169" spans="1:11" x14ac:dyDescent="0.35">
      <c r="A169" s="61">
        <v>45337</v>
      </c>
      <c r="B169" s="49" t="s">
        <v>148</v>
      </c>
      <c r="C169" s="49" t="s">
        <v>73</v>
      </c>
      <c r="D169" s="50">
        <v>2725</v>
      </c>
      <c r="E169" s="50">
        <v>1206</v>
      </c>
      <c r="F169" s="51">
        <v>0.44256880733944998</v>
      </c>
      <c r="G169" s="50">
        <v>39</v>
      </c>
      <c r="H169" s="51">
        <v>3.23383084577114E-2</v>
      </c>
      <c r="I169" s="51">
        <v>1.43119266055046E-2</v>
      </c>
      <c r="J169" s="52" t="s">
        <v>1055</v>
      </c>
      <c r="K169" s="109" t="s">
        <v>1056</v>
      </c>
    </row>
    <row r="170" spans="1:11" x14ac:dyDescent="0.35">
      <c r="A170" s="61">
        <v>45337</v>
      </c>
      <c r="B170" s="49" t="s">
        <v>149</v>
      </c>
      <c r="C170" s="49" t="s">
        <v>74</v>
      </c>
      <c r="D170" s="50">
        <v>14668</v>
      </c>
      <c r="E170" s="50">
        <v>6503</v>
      </c>
      <c r="F170" s="51">
        <v>0.44334605944914102</v>
      </c>
      <c r="G170" s="50">
        <v>115</v>
      </c>
      <c r="H170" s="51">
        <v>1.7684145778871299E-2</v>
      </c>
      <c r="I170" s="51">
        <v>7.8401963457867506E-3</v>
      </c>
      <c r="J170" s="52" t="s">
        <v>1055</v>
      </c>
      <c r="K170" s="109" t="s">
        <v>1056</v>
      </c>
    </row>
    <row r="171" spans="1:11" x14ac:dyDescent="0.35">
      <c r="A171" s="61">
        <v>45337</v>
      </c>
      <c r="B171" s="49" t="s">
        <v>149</v>
      </c>
      <c r="C171" s="49" t="s">
        <v>72</v>
      </c>
      <c r="D171" s="50">
        <v>277345</v>
      </c>
      <c r="E171" s="50">
        <v>123188</v>
      </c>
      <c r="F171" s="51">
        <v>0.44416881501379102</v>
      </c>
      <c r="G171" s="50">
        <v>2010</v>
      </c>
      <c r="H171" s="51">
        <v>1.6316524336786001E-2</v>
      </c>
      <c r="I171" s="51">
        <v>7.2472912798139501E-3</v>
      </c>
      <c r="J171" s="52" t="s">
        <v>1055</v>
      </c>
      <c r="K171" s="109" t="s">
        <v>1056</v>
      </c>
    </row>
    <row r="172" spans="1:11" x14ac:dyDescent="0.35">
      <c r="A172" s="61">
        <v>45337</v>
      </c>
      <c r="B172" s="49" t="s">
        <v>149</v>
      </c>
      <c r="C172" s="49" t="s">
        <v>75</v>
      </c>
      <c r="D172" s="50">
        <v>937</v>
      </c>
      <c r="E172" s="50">
        <v>390</v>
      </c>
      <c r="F172" s="51">
        <v>0.41622198505869801</v>
      </c>
      <c r="G172" s="50">
        <v>11</v>
      </c>
      <c r="H172" s="51">
        <v>2.8205128205128199E-2</v>
      </c>
      <c r="I172" s="51">
        <v>1.17395944503735E-2</v>
      </c>
      <c r="J172" s="52" t="s">
        <v>1055</v>
      </c>
      <c r="K172" s="109" t="s">
        <v>1056</v>
      </c>
    </row>
    <row r="173" spans="1:11" x14ac:dyDescent="0.35">
      <c r="A173" s="61">
        <v>45337</v>
      </c>
      <c r="B173" s="49" t="s">
        <v>149</v>
      </c>
      <c r="C173" s="49" t="s">
        <v>73</v>
      </c>
      <c r="D173" s="50">
        <v>17508</v>
      </c>
      <c r="E173" s="50">
        <v>7589</v>
      </c>
      <c r="F173" s="51">
        <v>0.43345899017591999</v>
      </c>
      <c r="G173" s="50">
        <v>138</v>
      </c>
      <c r="H173" s="51">
        <v>1.8184213993938599E-2</v>
      </c>
      <c r="I173" s="51">
        <v>7.8821110349554507E-3</v>
      </c>
      <c r="J173" s="52" t="s">
        <v>1055</v>
      </c>
      <c r="K173" s="109" t="s">
        <v>1056</v>
      </c>
    </row>
    <row r="174" spans="1:11" x14ac:dyDescent="0.35">
      <c r="A174" s="61">
        <v>45338</v>
      </c>
      <c r="B174" s="49" t="s">
        <v>150</v>
      </c>
      <c r="C174" s="49" t="s">
        <v>10</v>
      </c>
      <c r="D174" s="50">
        <v>3870609</v>
      </c>
      <c r="E174" s="50">
        <v>1424097</v>
      </c>
      <c r="F174" s="51">
        <v>0.36792582252560302</v>
      </c>
      <c r="G174" s="50">
        <v>21698</v>
      </c>
      <c r="H174" s="51">
        <v>1.5236321683143801E-2</v>
      </c>
      <c r="I174" s="51">
        <v>5.6058361875353504E-3</v>
      </c>
      <c r="J174" s="52" t="s">
        <v>1055</v>
      </c>
      <c r="K174" s="109" t="s">
        <v>1056</v>
      </c>
    </row>
    <row r="175" spans="1:11" x14ac:dyDescent="0.35">
      <c r="A175" s="61">
        <v>45338</v>
      </c>
      <c r="B175" s="49" t="s">
        <v>150</v>
      </c>
      <c r="C175" s="49" t="s">
        <v>131</v>
      </c>
      <c r="D175" s="50">
        <v>459117</v>
      </c>
      <c r="E175" s="50">
        <v>151831</v>
      </c>
      <c r="F175" s="51">
        <v>0.33070219573659898</v>
      </c>
      <c r="G175" s="50">
        <v>3587</v>
      </c>
      <c r="H175" s="51">
        <v>2.3624951426256799E-2</v>
      </c>
      <c r="I175" s="51">
        <v>7.8128233108336193E-3</v>
      </c>
      <c r="J175" s="52" t="s">
        <v>1055</v>
      </c>
      <c r="K175" s="109" t="s">
        <v>1056</v>
      </c>
    </row>
    <row r="176" spans="1:11" x14ac:dyDescent="0.35">
      <c r="A176" s="61">
        <v>45338</v>
      </c>
      <c r="B176" s="49" t="s">
        <v>150</v>
      </c>
      <c r="C176" s="49" t="s">
        <v>11</v>
      </c>
      <c r="D176" s="50">
        <v>228462</v>
      </c>
      <c r="E176" s="50">
        <v>70224</v>
      </c>
      <c r="F176" s="51">
        <v>0.30737715681382499</v>
      </c>
      <c r="G176" s="50">
        <v>1582</v>
      </c>
      <c r="H176" s="51">
        <v>2.25279106858054E-2</v>
      </c>
      <c r="I176" s="51">
        <v>6.92456513555865E-3</v>
      </c>
      <c r="J176" s="52" t="s">
        <v>1055</v>
      </c>
      <c r="K176" s="109" t="s">
        <v>1056</v>
      </c>
    </row>
    <row r="177" spans="1:11" x14ac:dyDescent="0.35">
      <c r="A177" s="61">
        <v>45338</v>
      </c>
      <c r="B177" s="49" t="s">
        <v>150</v>
      </c>
      <c r="C177" s="49" t="s">
        <v>132</v>
      </c>
      <c r="D177" s="50">
        <v>34714</v>
      </c>
      <c r="E177" s="50">
        <v>10746</v>
      </c>
      <c r="F177" s="51">
        <v>0.30955810335887501</v>
      </c>
      <c r="G177" s="50">
        <v>330</v>
      </c>
      <c r="H177" s="51">
        <v>3.07091010608599E-2</v>
      </c>
      <c r="I177" s="51">
        <v>9.5062510802558006E-3</v>
      </c>
      <c r="J177" s="52" t="s">
        <v>1055</v>
      </c>
      <c r="K177" s="109" t="s">
        <v>1056</v>
      </c>
    </row>
    <row r="178" spans="1:11" x14ac:dyDescent="0.35">
      <c r="A178" s="61">
        <v>45338</v>
      </c>
      <c r="B178" s="49" t="s">
        <v>151</v>
      </c>
      <c r="C178" s="49" t="s">
        <v>10</v>
      </c>
      <c r="D178" s="50">
        <v>769297</v>
      </c>
      <c r="E178" s="50">
        <v>306635</v>
      </c>
      <c r="F178" s="51">
        <v>0.39859118129929</v>
      </c>
      <c r="G178" s="50">
        <v>4129</v>
      </c>
      <c r="H178" s="51">
        <v>1.34655208961795E-2</v>
      </c>
      <c r="I178" s="51">
        <v>5.3672378808184602E-3</v>
      </c>
      <c r="J178" s="52" t="s">
        <v>1055</v>
      </c>
      <c r="K178" s="109" t="s">
        <v>1056</v>
      </c>
    </row>
    <row r="179" spans="1:11" x14ac:dyDescent="0.35">
      <c r="A179" s="61">
        <v>45338</v>
      </c>
      <c r="B179" s="49" t="s">
        <v>152</v>
      </c>
      <c r="C179" s="49" t="s">
        <v>10</v>
      </c>
      <c r="D179" s="50">
        <v>259006</v>
      </c>
      <c r="E179" s="50">
        <v>103529</v>
      </c>
      <c r="F179" s="51">
        <v>0.39971660888164801</v>
      </c>
      <c r="G179" s="50">
        <v>1877</v>
      </c>
      <c r="H179" s="51">
        <v>1.8130185745056902E-2</v>
      </c>
      <c r="I179" s="51">
        <v>7.24693636440855E-3</v>
      </c>
      <c r="J179" s="52" t="s">
        <v>1060</v>
      </c>
      <c r="K179" s="109" t="s">
        <v>1054</v>
      </c>
    </row>
    <row r="180" spans="1:11" x14ac:dyDescent="0.35">
      <c r="A180" s="61">
        <v>45338</v>
      </c>
      <c r="B180" s="49" t="s">
        <v>153</v>
      </c>
      <c r="C180" s="49" t="s">
        <v>10</v>
      </c>
      <c r="D180" s="50">
        <v>418396</v>
      </c>
      <c r="E180" s="50">
        <v>163405</v>
      </c>
      <c r="F180" s="51">
        <v>0.39055105689346897</v>
      </c>
      <c r="G180" s="50">
        <v>3938</v>
      </c>
      <c r="H180" s="51">
        <v>2.4099629754291502E-2</v>
      </c>
      <c r="I180" s="51">
        <v>9.4121358712798402E-3</v>
      </c>
      <c r="J180" s="52" t="s">
        <v>1057</v>
      </c>
      <c r="K180" s="109" t="s">
        <v>1054</v>
      </c>
    </row>
    <row r="181" spans="1:11" x14ac:dyDescent="0.35">
      <c r="A181" s="61">
        <v>45338</v>
      </c>
      <c r="B181" s="49" t="s">
        <v>153</v>
      </c>
      <c r="C181" s="49" t="s">
        <v>11</v>
      </c>
      <c r="D181" s="50">
        <v>22450</v>
      </c>
      <c r="E181" s="50">
        <v>8052</v>
      </c>
      <c r="F181" s="51">
        <v>0.35866369710467699</v>
      </c>
      <c r="G181" s="50">
        <v>312</v>
      </c>
      <c r="H181" s="51">
        <v>3.8748137108792803E-2</v>
      </c>
      <c r="I181" s="51">
        <v>1.3897550111358599E-2</v>
      </c>
      <c r="J181" s="52" t="s">
        <v>1057</v>
      </c>
      <c r="K181" s="109" t="s">
        <v>1054</v>
      </c>
    </row>
    <row r="182" spans="1:11" x14ac:dyDescent="0.35">
      <c r="A182" s="61">
        <v>45339</v>
      </c>
      <c r="B182" s="49" t="s">
        <v>154</v>
      </c>
      <c r="C182" s="49" t="s">
        <v>10</v>
      </c>
      <c r="D182" s="50">
        <v>1297153</v>
      </c>
      <c r="E182" s="50">
        <v>496415</v>
      </c>
      <c r="F182" s="51">
        <v>0.38269579610115401</v>
      </c>
      <c r="G182" s="50">
        <v>12738</v>
      </c>
      <c r="H182" s="51">
        <v>2.56599820714523E-2</v>
      </c>
      <c r="I182" s="51">
        <v>9.8199672667757792E-3</v>
      </c>
      <c r="J182" s="52" t="s">
        <v>1055</v>
      </c>
      <c r="K182" s="109" t="s">
        <v>1056</v>
      </c>
    </row>
    <row r="183" spans="1:11" x14ac:dyDescent="0.35">
      <c r="A183" s="61">
        <v>45339</v>
      </c>
      <c r="B183" s="49" t="s">
        <v>155</v>
      </c>
      <c r="C183" s="49" t="s">
        <v>10</v>
      </c>
      <c r="D183" s="50">
        <v>61817</v>
      </c>
      <c r="E183" s="50">
        <v>23651</v>
      </c>
      <c r="F183" s="51">
        <v>0.38259702023715197</v>
      </c>
      <c r="G183" s="50">
        <v>371</v>
      </c>
      <c r="H183" s="51">
        <v>1.56864403196482E-2</v>
      </c>
      <c r="I183" s="51">
        <v>6.0015853244253202E-3</v>
      </c>
      <c r="J183" s="52" t="s">
        <v>1060</v>
      </c>
      <c r="K183" s="109" t="s">
        <v>1054</v>
      </c>
    </row>
    <row r="184" spans="1:11" x14ac:dyDescent="0.35">
      <c r="A184" s="61">
        <v>45340</v>
      </c>
      <c r="B184" s="49" t="s">
        <v>156</v>
      </c>
      <c r="C184" s="49" t="s">
        <v>10</v>
      </c>
      <c r="D184" s="50">
        <v>5558072</v>
      </c>
      <c r="E184" s="50">
        <v>2135820</v>
      </c>
      <c r="F184" s="51">
        <v>0.38427353945756698</v>
      </c>
      <c r="G184" s="50">
        <v>108746</v>
      </c>
      <c r="H184" s="51">
        <v>5.09153393076196E-2</v>
      </c>
      <c r="I184" s="51">
        <v>1.9565417648422002E-2</v>
      </c>
      <c r="J184" s="52" t="s">
        <v>1055</v>
      </c>
      <c r="K184" s="109" t="s">
        <v>1056</v>
      </c>
    </row>
    <row r="185" spans="1:11" x14ac:dyDescent="0.35">
      <c r="A185" s="61">
        <v>45340</v>
      </c>
      <c r="B185" s="49" t="s">
        <v>156</v>
      </c>
      <c r="C185" s="49" t="s">
        <v>11</v>
      </c>
      <c r="D185" s="50">
        <v>343152</v>
      </c>
      <c r="E185" s="50">
        <v>122746</v>
      </c>
      <c r="F185" s="51">
        <v>0.35770154333939502</v>
      </c>
      <c r="G185" s="50">
        <v>10009</v>
      </c>
      <c r="H185" s="51">
        <v>8.1542372052857096E-2</v>
      </c>
      <c r="I185" s="51">
        <v>2.9167832330862099E-2</v>
      </c>
      <c r="J185" s="52" t="s">
        <v>1055</v>
      </c>
      <c r="K185" s="109" t="s">
        <v>1056</v>
      </c>
    </row>
    <row r="186" spans="1:11" x14ac:dyDescent="0.35">
      <c r="A186" s="61">
        <v>45342</v>
      </c>
      <c r="B186" s="49" t="s">
        <v>157</v>
      </c>
      <c r="C186" s="49" t="s">
        <v>10</v>
      </c>
      <c r="D186" s="50">
        <v>1383080</v>
      </c>
      <c r="E186" s="50">
        <v>527138</v>
      </c>
      <c r="F186" s="51">
        <v>0.38113341238395498</v>
      </c>
      <c r="G186" s="50">
        <v>13333</v>
      </c>
      <c r="H186" s="51">
        <v>2.5293186983294701E-2</v>
      </c>
      <c r="I186" s="51">
        <v>9.6400786650085307E-3</v>
      </c>
      <c r="J186" s="52" t="s">
        <v>1055</v>
      </c>
      <c r="K186" s="109" t="s">
        <v>1056</v>
      </c>
    </row>
    <row r="187" spans="1:11" x14ac:dyDescent="0.35">
      <c r="A187" s="61">
        <v>45342</v>
      </c>
      <c r="B187" s="49" t="s">
        <v>157</v>
      </c>
      <c r="C187" s="49" t="s">
        <v>11</v>
      </c>
      <c r="D187" s="50">
        <v>99340</v>
      </c>
      <c r="E187" s="50">
        <v>40830</v>
      </c>
      <c r="F187" s="51">
        <v>0.41101268371250199</v>
      </c>
      <c r="G187" s="50">
        <v>1104</v>
      </c>
      <c r="H187" s="51">
        <v>2.7038941954445301E-2</v>
      </c>
      <c r="I187" s="51">
        <v>1.1113348097443101E-2</v>
      </c>
      <c r="J187" s="52" t="s">
        <v>1055</v>
      </c>
      <c r="K187" s="109" t="s">
        <v>1056</v>
      </c>
    </row>
    <row r="188" spans="1:11" x14ac:dyDescent="0.35">
      <c r="A188" s="61">
        <v>45342</v>
      </c>
      <c r="B188" s="49" t="s">
        <v>158</v>
      </c>
      <c r="C188" s="49" t="s">
        <v>10</v>
      </c>
      <c r="D188" s="50">
        <v>134335</v>
      </c>
      <c r="E188" s="50">
        <v>54201</v>
      </c>
      <c r="F188" s="51">
        <v>0.403476383667696</v>
      </c>
      <c r="G188" s="50">
        <v>1533</v>
      </c>
      <c r="H188" s="51">
        <v>2.8283611003486999E-2</v>
      </c>
      <c r="I188" s="51">
        <v>1.1411769084750801E-2</v>
      </c>
      <c r="J188" s="52" t="s">
        <v>1055</v>
      </c>
      <c r="K188" s="109" t="s">
        <v>1056</v>
      </c>
    </row>
    <row r="189" spans="1:11" x14ac:dyDescent="0.35">
      <c r="A189" s="61">
        <v>45343</v>
      </c>
      <c r="B189" s="49" t="s">
        <v>159</v>
      </c>
      <c r="C189" s="49" t="s">
        <v>10</v>
      </c>
      <c r="D189" s="50">
        <v>3147505</v>
      </c>
      <c r="E189" s="50">
        <v>1311161</v>
      </c>
      <c r="F189" s="51">
        <v>0.41657153840899402</v>
      </c>
      <c r="G189" s="50">
        <v>37616</v>
      </c>
      <c r="H189" s="51">
        <v>2.86890778478005E-2</v>
      </c>
      <c r="I189" s="51">
        <v>1.19510532945937E-2</v>
      </c>
      <c r="J189" s="52" t="s">
        <v>1059</v>
      </c>
      <c r="K189" s="109" t="s">
        <v>1056</v>
      </c>
    </row>
    <row r="190" spans="1:11" x14ac:dyDescent="0.35">
      <c r="A190" s="61">
        <v>45343</v>
      </c>
      <c r="B190" s="49" t="s">
        <v>160</v>
      </c>
      <c r="C190" s="49" t="s">
        <v>10</v>
      </c>
      <c r="D190" s="50">
        <v>204143</v>
      </c>
      <c r="E190" s="50">
        <v>86468</v>
      </c>
      <c r="F190" s="51">
        <v>0.42356583375378998</v>
      </c>
      <c r="G190" s="50">
        <v>1544</v>
      </c>
      <c r="H190" s="51">
        <v>1.7856316787713399E-2</v>
      </c>
      <c r="I190" s="51">
        <v>7.5633257079596198E-3</v>
      </c>
      <c r="J190" s="52" t="s">
        <v>1055</v>
      </c>
      <c r="K190" s="109" t="s">
        <v>1056</v>
      </c>
    </row>
    <row r="191" spans="1:11" x14ac:dyDescent="0.35">
      <c r="A191" s="61">
        <v>45343</v>
      </c>
      <c r="B191" s="49" t="s">
        <v>160</v>
      </c>
      <c r="C191" s="49" t="s">
        <v>11</v>
      </c>
      <c r="D191" s="50">
        <v>10030</v>
      </c>
      <c r="E191" s="50">
        <v>4045</v>
      </c>
      <c r="F191" s="51">
        <v>0.403290129611167</v>
      </c>
      <c r="G191" s="50">
        <v>89</v>
      </c>
      <c r="H191" s="51">
        <v>2.2002472187886299E-2</v>
      </c>
      <c r="I191" s="51">
        <v>8.8733798604187404E-3</v>
      </c>
      <c r="J191" s="52" t="s">
        <v>1055</v>
      </c>
      <c r="K191" s="109" t="s">
        <v>1056</v>
      </c>
    </row>
    <row r="192" spans="1:11" x14ac:dyDescent="0.35">
      <c r="A192" s="61">
        <v>45343</v>
      </c>
      <c r="B192" s="49" t="s">
        <v>161</v>
      </c>
      <c r="C192" s="49" t="s">
        <v>74</v>
      </c>
      <c r="D192" s="50">
        <v>5841</v>
      </c>
      <c r="E192" s="50">
        <v>2357</v>
      </c>
      <c r="F192" s="51">
        <v>0.40352679335730202</v>
      </c>
      <c r="G192" s="50">
        <v>68</v>
      </c>
      <c r="H192" s="51">
        <v>2.88502333474756E-2</v>
      </c>
      <c r="I192" s="51">
        <v>1.16418421503167E-2</v>
      </c>
      <c r="J192" s="52" t="s">
        <v>1055</v>
      </c>
      <c r="K192" s="109" t="s">
        <v>1056</v>
      </c>
    </row>
    <row r="193" spans="1:11" x14ac:dyDescent="0.35">
      <c r="A193" s="61">
        <v>45343</v>
      </c>
      <c r="B193" s="49" t="s">
        <v>161</v>
      </c>
      <c r="C193" s="49" t="s">
        <v>72</v>
      </c>
      <c r="D193" s="50">
        <v>111297</v>
      </c>
      <c r="E193" s="50">
        <v>45108</v>
      </c>
      <c r="F193" s="51">
        <v>0.40529394323297102</v>
      </c>
      <c r="G193" s="50">
        <v>1340</v>
      </c>
      <c r="H193" s="51">
        <v>2.97064822204487E-2</v>
      </c>
      <c r="I193" s="51">
        <v>1.2039857318705801E-2</v>
      </c>
      <c r="J193" s="52" t="s">
        <v>1055</v>
      </c>
      <c r="K193" s="109" t="s">
        <v>1056</v>
      </c>
    </row>
    <row r="194" spans="1:11" x14ac:dyDescent="0.35">
      <c r="A194" s="61">
        <v>45343</v>
      </c>
      <c r="B194" s="49" t="s">
        <v>161</v>
      </c>
      <c r="C194" s="49" t="s">
        <v>75</v>
      </c>
      <c r="D194" s="50">
        <v>689</v>
      </c>
      <c r="E194" s="50">
        <v>303</v>
      </c>
      <c r="F194" s="51">
        <v>0.439767779390421</v>
      </c>
      <c r="G194" s="50">
        <v>19</v>
      </c>
      <c r="H194" s="51">
        <v>6.2706270627062702E-2</v>
      </c>
      <c r="I194" s="51">
        <v>2.7576197387518101E-2</v>
      </c>
      <c r="J194" s="52" t="s">
        <v>1055</v>
      </c>
      <c r="K194" s="109" t="s">
        <v>1056</v>
      </c>
    </row>
    <row r="195" spans="1:11" x14ac:dyDescent="0.35">
      <c r="A195" s="61">
        <v>45343</v>
      </c>
      <c r="B195" s="49" t="s">
        <v>161</v>
      </c>
      <c r="C195" s="49" t="s">
        <v>73</v>
      </c>
      <c r="D195" s="50">
        <v>12969</v>
      </c>
      <c r="E195" s="50">
        <v>5798</v>
      </c>
      <c r="F195" s="51">
        <v>0.44706608065386699</v>
      </c>
      <c r="G195" s="50">
        <v>387</v>
      </c>
      <c r="H195" s="51">
        <v>6.6747154191100402E-2</v>
      </c>
      <c r="I195" s="51">
        <v>2.9840388619014599E-2</v>
      </c>
      <c r="J195" s="52" t="s">
        <v>1055</v>
      </c>
      <c r="K195" s="109" t="s">
        <v>1056</v>
      </c>
    </row>
    <row r="196" spans="1:11" x14ac:dyDescent="0.35">
      <c r="A196" s="61">
        <v>45343</v>
      </c>
      <c r="B196" s="49" t="s">
        <v>162</v>
      </c>
      <c r="C196" s="49" t="s">
        <v>163</v>
      </c>
      <c r="D196" s="50">
        <v>29290</v>
      </c>
      <c r="E196" s="50">
        <v>10653</v>
      </c>
      <c r="F196" s="51">
        <v>0.363707750085353</v>
      </c>
      <c r="G196" s="50">
        <v>685</v>
      </c>
      <c r="H196" s="51">
        <v>6.4301135830282505E-2</v>
      </c>
      <c r="I196" s="51">
        <v>2.3386821440764798E-2</v>
      </c>
      <c r="J196" s="52" t="s">
        <v>1055</v>
      </c>
      <c r="K196" s="109" t="s">
        <v>1056</v>
      </c>
    </row>
    <row r="197" spans="1:11" x14ac:dyDescent="0.35">
      <c r="A197" s="61">
        <v>45343</v>
      </c>
      <c r="B197" s="49" t="s">
        <v>162</v>
      </c>
      <c r="C197" s="49" t="s">
        <v>164</v>
      </c>
      <c r="D197" s="50">
        <v>174703</v>
      </c>
      <c r="E197" s="50">
        <v>60504</v>
      </c>
      <c r="F197" s="51">
        <v>0.34632490569709701</v>
      </c>
      <c r="G197" s="50">
        <v>1963</v>
      </c>
      <c r="H197" s="51">
        <v>3.2444135924897498E-2</v>
      </c>
      <c r="I197" s="51">
        <v>1.12362123146139E-2</v>
      </c>
      <c r="J197" s="52" t="s">
        <v>1055</v>
      </c>
      <c r="K197" s="109" t="s">
        <v>1056</v>
      </c>
    </row>
    <row r="198" spans="1:11" x14ac:dyDescent="0.35">
      <c r="A198" s="61">
        <v>45344</v>
      </c>
      <c r="B198" s="49" t="s">
        <v>165</v>
      </c>
      <c r="C198" s="49" t="s">
        <v>117</v>
      </c>
      <c r="D198" s="50">
        <v>380241</v>
      </c>
      <c r="E198" s="50">
        <v>159848</v>
      </c>
      <c r="F198" s="60">
        <v>0.4204</v>
      </c>
      <c r="G198" s="50">
        <v>2366</v>
      </c>
      <c r="H198" s="60">
        <v>1.4800000000000001E-2</v>
      </c>
      <c r="I198" s="60">
        <v>6.1999999999999998E-3</v>
      </c>
      <c r="J198" s="52" t="s">
        <v>1055</v>
      </c>
      <c r="K198" s="109" t="s">
        <v>1056</v>
      </c>
    </row>
    <row r="199" spans="1:11" x14ac:dyDescent="0.35">
      <c r="A199" s="61">
        <v>45344</v>
      </c>
      <c r="B199" s="49" t="s">
        <v>166</v>
      </c>
      <c r="C199" s="49" t="s">
        <v>119</v>
      </c>
      <c r="D199" s="50">
        <v>23480</v>
      </c>
      <c r="E199" s="50">
        <v>9818</v>
      </c>
      <c r="F199" s="60">
        <v>0.41810000000000003</v>
      </c>
      <c r="G199" s="49">
        <v>126</v>
      </c>
      <c r="H199" s="60">
        <v>1.2800000000000001E-2</v>
      </c>
      <c r="I199" s="60">
        <v>5.4000000000000003E-3</v>
      </c>
      <c r="J199" s="52" t="s">
        <v>1055</v>
      </c>
      <c r="K199" s="109" t="s">
        <v>1056</v>
      </c>
    </row>
    <row r="200" spans="1:11" x14ac:dyDescent="0.35">
      <c r="A200" s="61">
        <v>45344</v>
      </c>
      <c r="B200" s="49" t="s">
        <v>167</v>
      </c>
      <c r="C200" s="49" t="s">
        <v>117</v>
      </c>
      <c r="D200" s="50">
        <v>1611326</v>
      </c>
      <c r="E200" s="50">
        <v>585706</v>
      </c>
      <c r="F200" s="60">
        <v>0.36349999999999999</v>
      </c>
      <c r="G200" s="50">
        <v>4339</v>
      </c>
      <c r="H200" s="60">
        <v>7.4000000000000003E-3</v>
      </c>
      <c r="I200" s="60">
        <v>2.7000000000000001E-3</v>
      </c>
      <c r="J200" s="52" t="s">
        <v>1055</v>
      </c>
      <c r="K200" s="109" t="s">
        <v>1056</v>
      </c>
    </row>
    <row r="201" spans="1:11" x14ac:dyDescent="0.35">
      <c r="A201" s="61">
        <v>45344</v>
      </c>
      <c r="B201" s="49" t="s">
        <v>168</v>
      </c>
      <c r="C201" s="49" t="s">
        <v>119</v>
      </c>
      <c r="D201" s="50">
        <v>77953</v>
      </c>
      <c r="E201" s="50">
        <v>26272</v>
      </c>
      <c r="F201" s="60">
        <v>0.33700000000000002</v>
      </c>
      <c r="G201" s="49">
        <v>278</v>
      </c>
      <c r="H201" s="60">
        <v>1.06E-2</v>
      </c>
      <c r="I201" s="60">
        <v>3.5999999999999999E-3</v>
      </c>
      <c r="J201" s="52" t="s">
        <v>1055</v>
      </c>
      <c r="K201" s="109" t="s">
        <v>1056</v>
      </c>
    </row>
    <row r="202" spans="1:11" x14ac:dyDescent="0.35">
      <c r="A202" s="61">
        <v>45344</v>
      </c>
      <c r="B202" s="49" t="s">
        <v>169</v>
      </c>
      <c r="C202" s="49" t="s">
        <v>170</v>
      </c>
      <c r="D202" s="50">
        <v>498784</v>
      </c>
      <c r="E202" s="50">
        <v>184905</v>
      </c>
      <c r="F202" s="60">
        <v>0.37069999999999997</v>
      </c>
      <c r="G202" s="50">
        <v>1272</v>
      </c>
      <c r="H202" s="60">
        <v>6.8999999999999999E-3</v>
      </c>
      <c r="I202" s="60">
        <v>2.5999999999999999E-3</v>
      </c>
      <c r="J202" s="52" t="s">
        <v>1055</v>
      </c>
      <c r="K202" s="109" t="s">
        <v>1056</v>
      </c>
    </row>
    <row r="203" spans="1:11" x14ac:dyDescent="0.35">
      <c r="A203" s="61">
        <v>45344</v>
      </c>
      <c r="B203" s="49" t="s">
        <v>171</v>
      </c>
      <c r="C203" s="49" t="s">
        <v>172</v>
      </c>
      <c r="D203" s="50">
        <v>35576</v>
      </c>
      <c r="E203" s="50">
        <v>12420</v>
      </c>
      <c r="F203" s="60">
        <v>0.34910000000000002</v>
      </c>
      <c r="G203" s="49">
        <v>108</v>
      </c>
      <c r="H203" s="60">
        <v>8.6999999999999994E-3</v>
      </c>
      <c r="I203" s="60">
        <v>3.0000000000000001E-3</v>
      </c>
      <c r="J203" s="52" t="s">
        <v>1055</v>
      </c>
      <c r="K203" s="109" t="s">
        <v>1056</v>
      </c>
    </row>
    <row r="204" spans="1:11" x14ac:dyDescent="0.35">
      <c r="A204" s="61">
        <v>45344</v>
      </c>
      <c r="B204" s="49" t="s">
        <v>116</v>
      </c>
      <c r="C204" s="49" t="s">
        <v>145</v>
      </c>
      <c r="D204" s="50">
        <v>262093</v>
      </c>
      <c r="E204" s="50">
        <v>101125</v>
      </c>
      <c r="F204" s="60">
        <v>0.38579999999999998</v>
      </c>
      <c r="G204" s="50">
        <v>1087</v>
      </c>
      <c r="H204" s="60">
        <v>1.0699999999999999E-2</v>
      </c>
      <c r="I204" s="60">
        <v>4.1000000000000003E-3</v>
      </c>
      <c r="J204" s="52" t="s">
        <v>1055</v>
      </c>
      <c r="K204" s="109" t="s">
        <v>1056</v>
      </c>
    </row>
    <row r="205" spans="1:11" x14ac:dyDescent="0.35">
      <c r="A205" s="61">
        <v>45344</v>
      </c>
      <c r="B205" s="49" t="s">
        <v>118</v>
      </c>
      <c r="C205" s="49" t="s">
        <v>173</v>
      </c>
      <c r="D205" s="50">
        <v>21119</v>
      </c>
      <c r="E205" s="50">
        <v>8159</v>
      </c>
      <c r="F205" s="60">
        <v>0.38629999999999998</v>
      </c>
      <c r="G205" s="49">
        <v>99</v>
      </c>
      <c r="H205" s="60">
        <v>1.21E-2</v>
      </c>
      <c r="I205" s="60">
        <v>4.7000000000000002E-3</v>
      </c>
      <c r="J205" s="52" t="s">
        <v>1055</v>
      </c>
      <c r="K205" s="109" t="s">
        <v>1056</v>
      </c>
    </row>
    <row r="206" spans="1:11" x14ac:dyDescent="0.35">
      <c r="A206" s="61">
        <v>45344</v>
      </c>
      <c r="B206" s="49" t="s">
        <v>120</v>
      </c>
      <c r="C206" s="49" t="s">
        <v>170</v>
      </c>
      <c r="D206" s="50">
        <v>25791</v>
      </c>
      <c r="E206" s="50">
        <v>10211</v>
      </c>
      <c r="F206" s="60">
        <v>0.39589999999999997</v>
      </c>
      <c r="G206" s="49">
        <v>71</v>
      </c>
      <c r="H206" s="60">
        <v>7.0000000000000001E-3</v>
      </c>
      <c r="I206" s="60">
        <v>2.8E-3</v>
      </c>
      <c r="J206" s="52" t="s">
        <v>1055</v>
      </c>
      <c r="K206" s="109" t="s">
        <v>1056</v>
      </c>
    </row>
    <row r="207" spans="1:11" x14ac:dyDescent="0.35">
      <c r="A207" s="61">
        <v>45344</v>
      </c>
      <c r="B207" s="49" t="s">
        <v>121</v>
      </c>
      <c r="C207" s="49" t="s">
        <v>172</v>
      </c>
      <c r="D207" s="50">
        <v>2376</v>
      </c>
      <c r="E207" s="50">
        <v>1094</v>
      </c>
      <c r="F207" s="60">
        <v>0.46039999999999998</v>
      </c>
      <c r="G207" s="49">
        <v>12</v>
      </c>
      <c r="H207" s="60">
        <v>1.0999999999999999E-2</v>
      </c>
      <c r="I207" s="60">
        <v>5.1000000000000004E-3</v>
      </c>
      <c r="J207" s="52" t="s">
        <v>1055</v>
      </c>
      <c r="K207" s="109" t="s">
        <v>1056</v>
      </c>
    </row>
    <row r="208" spans="1:11" x14ac:dyDescent="0.35">
      <c r="A208" s="61">
        <v>45344</v>
      </c>
      <c r="B208" s="49" t="s">
        <v>174</v>
      </c>
      <c r="C208" s="49" t="s">
        <v>10</v>
      </c>
      <c r="D208" s="50">
        <v>232180</v>
      </c>
      <c r="E208" s="50">
        <v>101743</v>
      </c>
      <c r="F208" s="51">
        <v>0.43820742527349499</v>
      </c>
      <c r="G208" s="50">
        <v>2020</v>
      </c>
      <c r="H208" s="51">
        <v>1.98539457259959E-2</v>
      </c>
      <c r="I208" s="51">
        <v>8.7001464381083592E-3</v>
      </c>
      <c r="J208" s="52" t="s">
        <v>1055</v>
      </c>
      <c r="K208" s="109" t="s">
        <v>1056</v>
      </c>
    </row>
    <row r="209" spans="1:11" x14ac:dyDescent="0.35">
      <c r="A209" s="61">
        <v>45344</v>
      </c>
      <c r="B209" s="49" t="s">
        <v>174</v>
      </c>
      <c r="C209" s="49" t="s">
        <v>11</v>
      </c>
      <c r="D209" s="50">
        <v>13714</v>
      </c>
      <c r="E209" s="50">
        <v>6154</v>
      </c>
      <c r="F209" s="51">
        <v>0.448738515385737</v>
      </c>
      <c r="G209" s="50">
        <v>223</v>
      </c>
      <c r="H209" s="51">
        <v>3.62365940851479E-2</v>
      </c>
      <c r="I209" s="51">
        <v>1.6260755432404801E-2</v>
      </c>
      <c r="J209" s="52" t="s">
        <v>1055</v>
      </c>
      <c r="K209" s="109" t="s">
        <v>1056</v>
      </c>
    </row>
    <row r="210" spans="1:11" x14ac:dyDescent="0.35">
      <c r="A210" s="61">
        <v>45345</v>
      </c>
      <c r="B210" s="49" t="s">
        <v>175</v>
      </c>
      <c r="C210" s="49" t="s">
        <v>10</v>
      </c>
      <c r="D210" s="50">
        <v>3823727</v>
      </c>
      <c r="E210" s="50">
        <v>1425316</v>
      </c>
      <c r="F210" s="51">
        <v>0.37275569097898498</v>
      </c>
      <c r="G210" s="50">
        <v>25385</v>
      </c>
      <c r="H210" s="51">
        <v>1.7810085623118001E-2</v>
      </c>
      <c r="I210" s="51">
        <v>6.63881077284022E-3</v>
      </c>
      <c r="J210" s="52" t="s">
        <v>1055</v>
      </c>
      <c r="K210" s="109" t="s">
        <v>1056</v>
      </c>
    </row>
    <row r="211" spans="1:11" x14ac:dyDescent="0.35">
      <c r="A211" s="61">
        <v>45345</v>
      </c>
      <c r="B211" s="49" t="s">
        <v>175</v>
      </c>
      <c r="C211" s="49" t="s">
        <v>131</v>
      </c>
      <c r="D211" s="50">
        <v>458108</v>
      </c>
      <c r="E211" s="50">
        <v>156299</v>
      </c>
      <c r="F211" s="51">
        <v>0.34118373833244597</v>
      </c>
      <c r="G211" s="50">
        <v>3807</v>
      </c>
      <c r="H211" s="51">
        <v>2.4357161594124099E-2</v>
      </c>
      <c r="I211" s="51">
        <v>8.3102674478507197E-3</v>
      </c>
      <c r="J211" s="52" t="s">
        <v>1055</v>
      </c>
      <c r="K211" s="109" t="s">
        <v>1056</v>
      </c>
    </row>
    <row r="212" spans="1:11" x14ac:dyDescent="0.35">
      <c r="A212" s="61">
        <v>45345</v>
      </c>
      <c r="B212" s="49" t="s">
        <v>175</v>
      </c>
      <c r="C212" s="49" t="s">
        <v>11</v>
      </c>
      <c r="D212" s="50">
        <v>225735</v>
      </c>
      <c r="E212" s="50">
        <v>70224</v>
      </c>
      <c r="F212" s="51">
        <v>0.31109043790285101</v>
      </c>
      <c r="G212" s="50">
        <v>1657</v>
      </c>
      <c r="H212" s="51">
        <v>2.3595921622237399E-2</v>
      </c>
      <c r="I212" s="51">
        <v>7.3404655901831801E-3</v>
      </c>
      <c r="J212" s="52" t="s">
        <v>1055</v>
      </c>
      <c r="K212" s="109" t="s">
        <v>1056</v>
      </c>
    </row>
    <row r="213" spans="1:11" x14ac:dyDescent="0.35">
      <c r="A213" s="61">
        <v>45345</v>
      </c>
      <c r="B213" s="49" t="s">
        <v>175</v>
      </c>
      <c r="C213" s="49" t="s">
        <v>132</v>
      </c>
      <c r="D213" s="50">
        <v>34967</v>
      </c>
      <c r="E213" s="50">
        <v>10904</v>
      </c>
      <c r="F213" s="51">
        <v>0.31183687476763799</v>
      </c>
      <c r="G213" s="50">
        <v>321</v>
      </c>
      <c r="H213" s="51">
        <v>2.9438738077769599E-2</v>
      </c>
      <c r="I213" s="51">
        <v>9.1800840792747394E-3</v>
      </c>
      <c r="J213" s="52" t="s">
        <v>1055</v>
      </c>
      <c r="K213" s="109" t="s">
        <v>1056</v>
      </c>
    </row>
    <row r="214" spans="1:11" x14ac:dyDescent="0.35">
      <c r="A214" s="61">
        <v>45345</v>
      </c>
      <c r="B214" s="49" t="s">
        <v>176</v>
      </c>
      <c r="C214" s="49" t="s">
        <v>10</v>
      </c>
      <c r="D214" s="50">
        <v>614756</v>
      </c>
      <c r="E214" s="50">
        <v>269618</v>
      </c>
      <c r="F214" s="51">
        <v>0.43857725666768599</v>
      </c>
      <c r="G214" s="50">
        <v>5037</v>
      </c>
      <c r="H214" s="51">
        <v>1.8681987107685701E-2</v>
      </c>
      <c r="I214" s="51">
        <v>8.1934946547898707E-3</v>
      </c>
      <c r="J214" s="52" t="s">
        <v>1057</v>
      </c>
      <c r="K214" s="109" t="s">
        <v>1054</v>
      </c>
    </row>
    <row r="215" spans="1:11" x14ac:dyDescent="0.35">
      <c r="A215" s="61">
        <v>45345</v>
      </c>
      <c r="B215" s="49" t="s">
        <v>176</v>
      </c>
      <c r="C215" s="49" t="s">
        <v>11</v>
      </c>
      <c r="D215" s="50">
        <v>45428</v>
      </c>
      <c r="E215" s="50">
        <v>18401</v>
      </c>
      <c r="F215" s="51">
        <v>0.40505855419565001</v>
      </c>
      <c r="G215" s="50">
        <v>737</v>
      </c>
      <c r="H215" s="51">
        <v>4.0052171077658801E-2</v>
      </c>
      <c r="I215" s="51">
        <v>1.6223474509113298E-2</v>
      </c>
      <c r="J215" s="52" t="s">
        <v>1057</v>
      </c>
      <c r="K215" s="109" t="s">
        <v>1054</v>
      </c>
    </row>
    <row r="216" spans="1:11" x14ac:dyDescent="0.35">
      <c r="A216" s="61">
        <v>45345</v>
      </c>
      <c r="B216" s="49" t="s">
        <v>177</v>
      </c>
      <c r="C216" s="49" t="s">
        <v>10</v>
      </c>
      <c r="D216" s="50">
        <v>410302</v>
      </c>
      <c r="E216" s="50">
        <v>162236</v>
      </c>
      <c r="F216" s="51">
        <v>0.39540631047374902</v>
      </c>
      <c r="G216" s="50">
        <v>3657</v>
      </c>
      <c r="H216" s="51">
        <v>2.2541236223772802E-2</v>
      </c>
      <c r="I216" s="51">
        <v>8.9129470487592094E-3</v>
      </c>
      <c r="J216" s="52" t="s">
        <v>1057</v>
      </c>
      <c r="K216" s="109" t="s">
        <v>1054</v>
      </c>
    </row>
    <row r="217" spans="1:11" x14ac:dyDescent="0.35">
      <c r="A217" s="61">
        <v>45345</v>
      </c>
      <c r="B217" s="49" t="s">
        <v>178</v>
      </c>
      <c r="C217" s="49" t="s">
        <v>11</v>
      </c>
      <c r="D217" s="50">
        <v>139023</v>
      </c>
      <c r="E217" s="50">
        <v>56118</v>
      </c>
      <c r="F217" s="51">
        <v>0.403659826071945</v>
      </c>
      <c r="G217" s="50">
        <v>3108</v>
      </c>
      <c r="H217" s="51">
        <v>5.5383299476103903E-2</v>
      </c>
      <c r="I217" s="51">
        <v>2.2356013033814501E-2</v>
      </c>
      <c r="J217" s="52" t="s">
        <v>1059</v>
      </c>
      <c r="K217" s="109" t="s">
        <v>1056</v>
      </c>
    </row>
    <row r="218" spans="1:11" x14ac:dyDescent="0.35">
      <c r="A218" s="61">
        <v>45345</v>
      </c>
      <c r="B218" s="49" t="s">
        <v>179</v>
      </c>
      <c r="C218" s="49" t="s">
        <v>10</v>
      </c>
      <c r="D218" s="50">
        <v>5238</v>
      </c>
      <c r="E218" s="50">
        <v>2493</v>
      </c>
      <c r="F218" s="51">
        <v>0.475945017182131</v>
      </c>
      <c r="G218" s="50">
        <v>292</v>
      </c>
      <c r="H218" s="51">
        <v>0.117127958283193</v>
      </c>
      <c r="I218" s="51">
        <v>5.5746468117602102E-2</v>
      </c>
      <c r="J218" s="52" t="s">
        <v>1058</v>
      </c>
      <c r="K218" s="109" t="s">
        <v>1054</v>
      </c>
    </row>
    <row r="219" spans="1:11" x14ac:dyDescent="0.35">
      <c r="A219" s="61">
        <v>45345</v>
      </c>
      <c r="B219" s="49" t="s">
        <v>179</v>
      </c>
      <c r="C219" s="49" t="s">
        <v>11</v>
      </c>
      <c r="D219" s="50">
        <v>1769</v>
      </c>
      <c r="E219" s="50">
        <v>935</v>
      </c>
      <c r="F219" s="51">
        <v>0.528547201808932</v>
      </c>
      <c r="G219" s="50">
        <v>139</v>
      </c>
      <c r="H219" s="51">
        <v>0.14866310160427801</v>
      </c>
      <c r="I219" s="51">
        <v>7.8575466365178107E-2</v>
      </c>
      <c r="J219" s="52" t="s">
        <v>1058</v>
      </c>
      <c r="K219" s="109" t="s">
        <v>1054</v>
      </c>
    </row>
    <row r="220" spans="1:11" x14ac:dyDescent="0.35">
      <c r="A220" s="61">
        <v>45346</v>
      </c>
      <c r="B220" s="49" t="s">
        <v>180</v>
      </c>
      <c r="C220" s="49" t="s">
        <v>11</v>
      </c>
      <c r="D220" s="50">
        <v>98426</v>
      </c>
      <c r="E220" s="50">
        <v>32499</v>
      </c>
      <c r="F220" s="51">
        <v>0.33018714567289098</v>
      </c>
      <c r="G220" s="50">
        <v>1020</v>
      </c>
      <c r="H220" s="51">
        <v>3.1385581094802897E-2</v>
      </c>
      <c r="I220" s="51">
        <v>1.0363115436978E-2</v>
      </c>
      <c r="J220" s="52" t="s">
        <v>1055</v>
      </c>
      <c r="K220" s="109" t="s">
        <v>1056</v>
      </c>
    </row>
    <row r="221" spans="1:11" x14ac:dyDescent="0.35">
      <c r="A221" s="61">
        <v>45348</v>
      </c>
      <c r="B221" s="49" t="s">
        <v>181</v>
      </c>
      <c r="C221" s="49" t="s">
        <v>182</v>
      </c>
      <c r="D221" s="50">
        <v>255451</v>
      </c>
      <c r="E221" s="50">
        <v>106656</v>
      </c>
      <c r="F221" s="51">
        <v>0.41752038551424703</v>
      </c>
      <c r="G221" s="50">
        <v>3525</v>
      </c>
      <c r="H221" s="51">
        <v>3.30501800180018E-2</v>
      </c>
      <c r="I221" s="51">
        <v>1.37991239024314E-2</v>
      </c>
      <c r="J221" s="52" t="s">
        <v>1060</v>
      </c>
      <c r="K221" s="109" t="s">
        <v>1054</v>
      </c>
    </row>
    <row r="222" spans="1:11" x14ac:dyDescent="0.35">
      <c r="A222" s="61">
        <v>45349</v>
      </c>
      <c r="B222" s="49" t="s">
        <v>183</v>
      </c>
      <c r="C222" s="49" t="s">
        <v>10</v>
      </c>
      <c r="D222" s="50">
        <v>1379738</v>
      </c>
      <c r="E222" s="50">
        <v>519705</v>
      </c>
      <c r="F222" s="51">
        <v>0.37666933867154501</v>
      </c>
      <c r="G222" s="50">
        <v>7904</v>
      </c>
      <c r="H222" s="51">
        <v>1.52086279716378E-2</v>
      </c>
      <c r="I222" s="51">
        <v>5.72862384017835E-3</v>
      </c>
      <c r="J222" s="52" t="s">
        <v>1055</v>
      </c>
      <c r="K222" s="109" t="s">
        <v>1056</v>
      </c>
    </row>
    <row r="223" spans="1:11" x14ac:dyDescent="0.35">
      <c r="A223" s="61">
        <v>45349</v>
      </c>
      <c r="B223" s="49" t="s">
        <v>183</v>
      </c>
      <c r="C223" s="49" t="s">
        <v>11</v>
      </c>
      <c r="D223" s="50">
        <v>98783</v>
      </c>
      <c r="E223" s="50">
        <v>31118</v>
      </c>
      <c r="F223" s="51">
        <v>0.3150137169351</v>
      </c>
      <c r="G223" s="50">
        <v>962</v>
      </c>
      <c r="H223" s="51">
        <v>3.0914583199434399E-2</v>
      </c>
      <c r="I223" s="51">
        <v>9.7385177611532293E-3</v>
      </c>
      <c r="J223" s="52" t="s">
        <v>1055</v>
      </c>
      <c r="K223" s="109" t="s">
        <v>1056</v>
      </c>
    </row>
    <row r="224" spans="1:11" x14ac:dyDescent="0.35">
      <c r="A224" s="61">
        <v>45349</v>
      </c>
      <c r="B224" s="49" t="s">
        <v>184</v>
      </c>
      <c r="C224" s="49" t="s">
        <v>185</v>
      </c>
      <c r="D224" s="50">
        <v>61113</v>
      </c>
      <c r="E224" s="50">
        <v>23037</v>
      </c>
      <c r="F224" s="51">
        <v>0.37695743949732502</v>
      </c>
      <c r="G224" s="50">
        <v>857</v>
      </c>
      <c r="H224" s="51">
        <v>3.7201024438945997E-2</v>
      </c>
      <c r="I224" s="51">
        <v>1.4023202919182499E-2</v>
      </c>
      <c r="J224" s="52" t="s">
        <v>1060</v>
      </c>
      <c r="K224" s="109" t="s">
        <v>1054</v>
      </c>
    </row>
    <row r="225" spans="1:11" x14ac:dyDescent="0.35">
      <c r="A225" s="61">
        <v>45350</v>
      </c>
      <c r="B225" s="49" t="s">
        <v>186</v>
      </c>
      <c r="C225" s="49" t="s">
        <v>11</v>
      </c>
      <c r="D225" s="50">
        <v>7626</v>
      </c>
      <c r="E225" s="50">
        <v>2982</v>
      </c>
      <c r="F225" s="51">
        <v>0.39103068450039302</v>
      </c>
      <c r="G225" s="50">
        <v>51</v>
      </c>
      <c r="H225" s="51">
        <v>1.7102615694165001E-2</v>
      </c>
      <c r="I225" s="51">
        <v>6.6876475216365097E-3</v>
      </c>
      <c r="J225" s="52" t="s">
        <v>1055</v>
      </c>
      <c r="K225" s="109" t="s">
        <v>1056</v>
      </c>
    </row>
    <row r="226" spans="1:11" x14ac:dyDescent="0.35">
      <c r="A226" s="61">
        <v>45351</v>
      </c>
      <c r="B226" s="49" t="s">
        <v>165</v>
      </c>
      <c r="C226" s="49" t="s">
        <v>187</v>
      </c>
      <c r="D226" s="50">
        <v>322692</v>
      </c>
      <c r="E226" s="50">
        <v>133773</v>
      </c>
      <c r="F226" s="60">
        <v>0.41460000000000002</v>
      </c>
      <c r="G226" s="50">
        <v>1490</v>
      </c>
      <c r="H226" s="60">
        <v>1.11E-2</v>
      </c>
      <c r="I226" s="60">
        <v>4.5999999999999999E-3</v>
      </c>
      <c r="J226" s="52" t="s">
        <v>1055</v>
      </c>
      <c r="K226" s="109" t="s">
        <v>1056</v>
      </c>
    </row>
    <row r="227" spans="1:11" x14ac:dyDescent="0.35">
      <c r="A227" s="61">
        <v>45351</v>
      </c>
      <c r="B227" s="49" t="s">
        <v>166</v>
      </c>
      <c r="C227" s="49" t="s">
        <v>188</v>
      </c>
      <c r="D227" s="50">
        <v>20537</v>
      </c>
      <c r="E227" s="50">
        <v>8265</v>
      </c>
      <c r="F227" s="60">
        <v>0.40239999999999998</v>
      </c>
      <c r="G227" s="49">
        <v>119</v>
      </c>
      <c r="H227" s="60">
        <v>1.44E-2</v>
      </c>
      <c r="I227" s="60">
        <v>5.7999999999999996E-3</v>
      </c>
      <c r="J227" s="52" t="s">
        <v>1055</v>
      </c>
      <c r="K227" s="109" t="s">
        <v>1056</v>
      </c>
    </row>
    <row r="228" spans="1:11" x14ac:dyDescent="0.35">
      <c r="A228" s="61">
        <v>45351</v>
      </c>
      <c r="B228" s="49" t="s">
        <v>167</v>
      </c>
      <c r="C228" s="49" t="s">
        <v>187</v>
      </c>
      <c r="D228" s="50">
        <v>1451006</v>
      </c>
      <c r="E228" s="50">
        <v>517525</v>
      </c>
      <c r="F228" s="60">
        <v>0.35670000000000002</v>
      </c>
      <c r="G228" s="50">
        <v>3831</v>
      </c>
      <c r="H228" s="60">
        <v>7.4000000000000003E-3</v>
      </c>
      <c r="I228" s="60">
        <v>2.5999999999999999E-3</v>
      </c>
      <c r="J228" s="52" t="s">
        <v>1055</v>
      </c>
      <c r="K228" s="109" t="s">
        <v>1056</v>
      </c>
    </row>
    <row r="229" spans="1:11" x14ac:dyDescent="0.35">
      <c r="A229" s="61">
        <v>45351</v>
      </c>
      <c r="B229" s="49" t="s">
        <v>168</v>
      </c>
      <c r="C229" s="49" t="s">
        <v>188</v>
      </c>
      <c r="D229" s="50">
        <v>70838</v>
      </c>
      <c r="E229" s="50">
        <v>22719</v>
      </c>
      <c r="F229" s="60">
        <v>0.32069999999999999</v>
      </c>
      <c r="G229" s="49">
        <v>298</v>
      </c>
      <c r="H229" s="60">
        <v>1.3100000000000001E-2</v>
      </c>
      <c r="I229" s="60">
        <v>4.1999999999999997E-3</v>
      </c>
      <c r="J229" s="52" t="s">
        <v>1055</v>
      </c>
      <c r="K229" s="109" t="s">
        <v>1056</v>
      </c>
    </row>
    <row r="230" spans="1:11" x14ac:dyDescent="0.35">
      <c r="A230" s="61">
        <v>45351</v>
      </c>
      <c r="B230" s="49" t="s">
        <v>169</v>
      </c>
      <c r="C230" s="49" t="s">
        <v>189</v>
      </c>
      <c r="D230" s="50">
        <v>478675</v>
      </c>
      <c r="E230" s="50">
        <v>175360</v>
      </c>
      <c r="F230" s="60">
        <v>0.36630000000000001</v>
      </c>
      <c r="G230" s="50">
        <v>1306</v>
      </c>
      <c r="H230" s="60">
        <v>7.4000000000000003E-3</v>
      </c>
      <c r="I230" s="60">
        <v>2.7000000000000001E-3</v>
      </c>
      <c r="J230" s="52" t="s">
        <v>1055</v>
      </c>
      <c r="K230" s="109" t="s">
        <v>1056</v>
      </c>
    </row>
    <row r="231" spans="1:11" x14ac:dyDescent="0.35">
      <c r="A231" s="61">
        <v>45351</v>
      </c>
      <c r="B231" s="49" t="s">
        <v>171</v>
      </c>
      <c r="C231" s="49" t="s">
        <v>190</v>
      </c>
      <c r="D231" s="50">
        <v>34737</v>
      </c>
      <c r="E231" s="50">
        <v>11736</v>
      </c>
      <c r="F231" s="60">
        <v>0.33789999999999998</v>
      </c>
      <c r="G231" s="49">
        <v>127</v>
      </c>
      <c r="H231" s="60">
        <v>1.0800000000000001E-2</v>
      </c>
      <c r="I231" s="60">
        <v>3.7000000000000002E-3</v>
      </c>
      <c r="J231" s="52" t="s">
        <v>1055</v>
      </c>
      <c r="K231" s="109" t="s">
        <v>1056</v>
      </c>
    </row>
    <row r="232" spans="1:11" x14ac:dyDescent="0.35">
      <c r="A232" s="61">
        <v>45351</v>
      </c>
      <c r="B232" s="49" t="s">
        <v>191</v>
      </c>
      <c r="C232" s="49" t="s">
        <v>10</v>
      </c>
      <c r="D232" s="50">
        <v>6743500</v>
      </c>
      <c r="E232" s="50">
        <v>2371265</v>
      </c>
      <c r="F232" s="51">
        <v>0.351637132053088</v>
      </c>
      <c r="G232" s="50">
        <v>28616</v>
      </c>
      <c r="H232" s="51">
        <v>1.20678203406199E-2</v>
      </c>
      <c r="I232" s="51">
        <v>4.2434937347074998E-3</v>
      </c>
      <c r="J232" s="52" t="s">
        <v>1055</v>
      </c>
      <c r="K232" s="109" t="s">
        <v>1056</v>
      </c>
    </row>
    <row r="233" spans="1:11" x14ac:dyDescent="0.35">
      <c r="A233" s="61">
        <v>45351</v>
      </c>
      <c r="B233" s="49" t="s">
        <v>191</v>
      </c>
      <c r="C233" s="49" t="s">
        <v>11</v>
      </c>
      <c r="D233" s="50">
        <v>435173</v>
      </c>
      <c r="E233" s="50">
        <v>142705</v>
      </c>
      <c r="F233" s="51">
        <v>0.327927054297946</v>
      </c>
      <c r="G233" s="50">
        <v>2180</v>
      </c>
      <c r="H233" s="51">
        <v>1.5276269226726501E-2</v>
      </c>
      <c r="I233" s="51">
        <v>5.0095019681827696E-3</v>
      </c>
      <c r="J233" s="52" t="s">
        <v>1055</v>
      </c>
      <c r="K233" s="109" t="s">
        <v>1056</v>
      </c>
    </row>
    <row r="234" spans="1:11" x14ac:dyDescent="0.35">
      <c r="A234" s="61">
        <v>45351</v>
      </c>
      <c r="B234" s="49" t="s">
        <v>192</v>
      </c>
      <c r="C234" s="49" t="s">
        <v>10</v>
      </c>
      <c r="D234" s="50">
        <v>137249</v>
      </c>
      <c r="E234" s="50">
        <v>54812</v>
      </c>
      <c r="F234" s="51">
        <v>0.399361743983563</v>
      </c>
      <c r="G234" s="50">
        <v>1402</v>
      </c>
      <c r="H234" s="51">
        <v>2.55783405093775E-2</v>
      </c>
      <c r="I234" s="51">
        <v>1.0215010674030399E-2</v>
      </c>
      <c r="J234" s="52" t="s">
        <v>1055</v>
      </c>
      <c r="K234" s="109" t="s">
        <v>1056</v>
      </c>
    </row>
    <row r="235" spans="1:11" x14ac:dyDescent="0.35">
      <c r="A235" s="61">
        <v>45352</v>
      </c>
      <c r="B235" s="49" t="s">
        <v>193</v>
      </c>
      <c r="C235" s="49" t="s">
        <v>10</v>
      </c>
      <c r="D235" s="50">
        <v>6747101</v>
      </c>
      <c r="E235" s="50">
        <v>2481139</v>
      </c>
      <c r="F235" s="51">
        <v>0.36773408312696099</v>
      </c>
      <c r="G235" s="50">
        <v>19901</v>
      </c>
      <c r="H235" s="51">
        <v>8.0209129758550407E-3</v>
      </c>
      <c r="I235" s="51">
        <v>2.9495630790172E-3</v>
      </c>
      <c r="J235" s="52" t="s">
        <v>1059</v>
      </c>
      <c r="K235" s="109" t="s">
        <v>1054</v>
      </c>
    </row>
    <row r="236" spans="1:11" x14ac:dyDescent="0.35">
      <c r="A236" s="61">
        <v>45352</v>
      </c>
      <c r="B236" s="49" t="s">
        <v>193</v>
      </c>
      <c r="C236" s="49" t="s">
        <v>11</v>
      </c>
      <c r="D236" s="50">
        <v>435113</v>
      </c>
      <c r="E236" s="50">
        <v>142360</v>
      </c>
      <c r="F236" s="51">
        <v>0.32717937639187999</v>
      </c>
      <c r="G236" s="50">
        <v>1836</v>
      </c>
      <c r="H236" s="51">
        <v>1.28968811463894E-2</v>
      </c>
      <c r="I236" s="51">
        <v>4.2195935308758899E-3</v>
      </c>
      <c r="J236" s="52" t="s">
        <v>1059</v>
      </c>
      <c r="K236" s="109" t="s">
        <v>1054</v>
      </c>
    </row>
    <row r="237" spans="1:11" x14ac:dyDescent="0.35">
      <c r="A237" s="61">
        <v>45352</v>
      </c>
      <c r="B237" s="49" t="s">
        <v>194</v>
      </c>
      <c r="C237" s="49" t="s">
        <v>10</v>
      </c>
      <c r="D237" s="50">
        <v>5035944</v>
      </c>
      <c r="E237" s="50">
        <v>1748478</v>
      </c>
      <c r="F237" s="51">
        <v>0.34719965114782803</v>
      </c>
      <c r="G237" s="50">
        <v>31683</v>
      </c>
      <c r="H237" s="51">
        <v>1.8120330939251202E-2</v>
      </c>
      <c r="I237" s="51">
        <v>6.2913725807912102E-3</v>
      </c>
      <c r="J237" s="52" t="s">
        <v>1055</v>
      </c>
      <c r="K237" s="109" t="s">
        <v>1056</v>
      </c>
    </row>
    <row r="238" spans="1:11" x14ac:dyDescent="0.35">
      <c r="A238" s="61">
        <v>45352</v>
      </c>
      <c r="B238" s="49" t="s">
        <v>194</v>
      </c>
      <c r="C238" s="49" t="s">
        <v>11</v>
      </c>
      <c r="D238" s="50">
        <v>320466</v>
      </c>
      <c r="E238" s="50">
        <v>99391</v>
      </c>
      <c r="F238" s="51">
        <v>0.31014522601461603</v>
      </c>
      <c r="G238" s="50">
        <v>3054</v>
      </c>
      <c r="H238" s="51">
        <v>3.0727128210803801E-2</v>
      </c>
      <c r="I238" s="51">
        <v>9.5298721237198295E-3</v>
      </c>
      <c r="J238" s="52" t="s">
        <v>1055</v>
      </c>
      <c r="K238" s="109" t="s">
        <v>1056</v>
      </c>
    </row>
    <row r="239" spans="1:11" x14ac:dyDescent="0.35">
      <c r="A239" s="61">
        <v>45352</v>
      </c>
      <c r="B239" s="49" t="s">
        <v>195</v>
      </c>
      <c r="C239" s="49" t="s">
        <v>10</v>
      </c>
      <c r="D239" s="50">
        <v>429995</v>
      </c>
      <c r="E239" s="50">
        <v>159810</v>
      </c>
      <c r="F239" s="51">
        <v>0.37165548436609702</v>
      </c>
      <c r="G239" s="50">
        <v>3063</v>
      </c>
      <c r="H239" s="51">
        <v>1.91665102308992E-2</v>
      </c>
      <c r="I239" s="51">
        <v>7.1233386434725997E-3</v>
      </c>
      <c r="J239" s="52" t="s">
        <v>1057</v>
      </c>
      <c r="K239" s="109" t="s">
        <v>1054</v>
      </c>
    </row>
    <row r="240" spans="1:11" x14ac:dyDescent="0.35">
      <c r="A240" s="61">
        <v>45352</v>
      </c>
      <c r="B240" s="49" t="s">
        <v>195</v>
      </c>
      <c r="C240" s="49" t="s">
        <v>11</v>
      </c>
      <c r="D240" s="50">
        <v>22818</v>
      </c>
      <c r="E240" s="50">
        <v>7771</v>
      </c>
      <c r="F240" s="51">
        <v>0.34056446664913698</v>
      </c>
      <c r="G240" s="50">
        <v>245</v>
      </c>
      <c r="H240" s="51">
        <v>3.1527473941577698E-2</v>
      </c>
      <c r="I240" s="51">
        <v>1.0737137347708E-2</v>
      </c>
      <c r="J240" s="52" t="s">
        <v>1057</v>
      </c>
      <c r="K240" s="109" t="s">
        <v>1054</v>
      </c>
    </row>
    <row r="241" spans="1:11" x14ac:dyDescent="0.35">
      <c r="A241" s="61">
        <v>45352</v>
      </c>
      <c r="B241" s="49" t="s">
        <v>196</v>
      </c>
      <c r="C241" s="49" t="s">
        <v>101</v>
      </c>
      <c r="D241" s="50">
        <v>24552</v>
      </c>
      <c r="E241" s="50">
        <v>8180</v>
      </c>
      <c r="F241" s="51">
        <v>0.333170413815575</v>
      </c>
      <c r="G241" s="50">
        <v>194</v>
      </c>
      <c r="H241" s="51">
        <v>2.3716381418092899E-2</v>
      </c>
      <c r="I241" s="51">
        <v>7.90159661127403E-3</v>
      </c>
      <c r="J241" s="52" t="s">
        <v>1060</v>
      </c>
      <c r="K241" s="109" t="s">
        <v>1054</v>
      </c>
    </row>
    <row r="242" spans="1:11" x14ac:dyDescent="0.35">
      <c r="A242" s="61">
        <v>45352</v>
      </c>
      <c r="B242" s="49" t="s">
        <v>196</v>
      </c>
      <c r="C242" s="49" t="s">
        <v>102</v>
      </c>
      <c r="D242" s="50">
        <v>8145</v>
      </c>
      <c r="E242" s="50">
        <v>3028</v>
      </c>
      <c r="F242" s="51">
        <v>0.37176181706568401</v>
      </c>
      <c r="G242" s="50">
        <v>124</v>
      </c>
      <c r="H242" s="51">
        <v>4.0951122853368598E-2</v>
      </c>
      <c r="I242" s="51">
        <v>1.52240638428484E-2</v>
      </c>
      <c r="J242" s="52" t="s">
        <v>1060</v>
      </c>
      <c r="K242" s="109" t="s">
        <v>1054</v>
      </c>
    </row>
    <row r="243" spans="1:11" x14ac:dyDescent="0.35">
      <c r="A243" s="61">
        <v>45352</v>
      </c>
      <c r="B243" s="49" t="s">
        <v>196</v>
      </c>
      <c r="C243" s="49" t="s">
        <v>103</v>
      </c>
      <c r="D243" s="50">
        <v>37898</v>
      </c>
      <c r="E243" s="50">
        <v>15345</v>
      </c>
      <c r="F243" s="51">
        <v>0.40490263338434701</v>
      </c>
      <c r="G243" s="50">
        <v>457</v>
      </c>
      <c r="H243" s="51">
        <v>2.9781687846204E-2</v>
      </c>
      <c r="I243" s="51">
        <v>1.20586838355586E-2</v>
      </c>
      <c r="J243" s="52" t="s">
        <v>1060</v>
      </c>
      <c r="K243" s="109" t="s">
        <v>1054</v>
      </c>
    </row>
    <row r="244" spans="1:11" x14ac:dyDescent="0.35">
      <c r="A244" s="61">
        <v>45352</v>
      </c>
      <c r="B244" s="49" t="s">
        <v>196</v>
      </c>
      <c r="C244" s="49" t="s">
        <v>106</v>
      </c>
      <c r="D244" s="50">
        <v>12113</v>
      </c>
      <c r="E244" s="50">
        <v>4453</v>
      </c>
      <c r="F244" s="51">
        <v>0.367621563609345</v>
      </c>
      <c r="G244" s="50">
        <v>120</v>
      </c>
      <c r="H244" s="51">
        <v>2.6948124859645199E-2</v>
      </c>
      <c r="I244" s="51">
        <v>9.9067117972426299E-3</v>
      </c>
      <c r="J244" s="52" t="s">
        <v>1060</v>
      </c>
      <c r="K244" s="109" t="s">
        <v>1054</v>
      </c>
    </row>
    <row r="245" spans="1:11" x14ac:dyDescent="0.35">
      <c r="A245" s="61">
        <v>45352</v>
      </c>
      <c r="B245" s="49" t="s">
        <v>196</v>
      </c>
      <c r="C245" s="49" t="s">
        <v>104</v>
      </c>
      <c r="D245" s="50">
        <v>158906</v>
      </c>
      <c r="E245" s="50">
        <v>60614</v>
      </c>
      <c r="F245" s="51">
        <v>0.381445634526072</v>
      </c>
      <c r="G245" s="50">
        <v>1466</v>
      </c>
      <c r="H245" s="51">
        <v>2.4185831656053099E-2</v>
      </c>
      <c r="I245" s="51">
        <v>9.2255799025839202E-3</v>
      </c>
      <c r="J245" s="52" t="s">
        <v>1060</v>
      </c>
      <c r="K245" s="109" t="s">
        <v>1054</v>
      </c>
    </row>
    <row r="246" spans="1:11" x14ac:dyDescent="0.35">
      <c r="A246" s="61">
        <v>45352</v>
      </c>
      <c r="B246" s="49" t="s">
        <v>197</v>
      </c>
      <c r="C246" s="49" t="s">
        <v>10</v>
      </c>
      <c r="D246" s="50">
        <v>87651</v>
      </c>
      <c r="E246" s="50">
        <v>34909</v>
      </c>
      <c r="F246" s="51">
        <v>0.39827269512042102</v>
      </c>
      <c r="G246" s="50">
        <v>3631</v>
      </c>
      <c r="H246" s="51">
        <v>0.10401329170128</v>
      </c>
      <c r="I246" s="51">
        <v>4.1425654014215503E-2</v>
      </c>
      <c r="J246" s="52" t="s">
        <v>1053</v>
      </c>
      <c r="K246" s="109" t="s">
        <v>1054</v>
      </c>
    </row>
    <row r="247" spans="1:11" x14ac:dyDescent="0.35">
      <c r="A247" s="61">
        <v>45352</v>
      </c>
      <c r="B247" s="49" t="s">
        <v>197</v>
      </c>
      <c r="C247" s="49" t="s">
        <v>11</v>
      </c>
      <c r="D247" s="50">
        <v>9645</v>
      </c>
      <c r="E247" s="50">
        <v>3592</v>
      </c>
      <c r="F247" s="51">
        <v>0.37242094349403798</v>
      </c>
      <c r="G247" s="50">
        <v>597</v>
      </c>
      <c r="H247" s="51">
        <v>0.166202672605791</v>
      </c>
      <c r="I247" s="51">
        <v>6.1897356143079299E-2</v>
      </c>
      <c r="J247" s="52" t="s">
        <v>1053</v>
      </c>
      <c r="K247" s="109" t="s">
        <v>1054</v>
      </c>
    </row>
    <row r="248" spans="1:11" x14ac:dyDescent="0.35">
      <c r="A248" s="61">
        <v>45353</v>
      </c>
      <c r="B248" s="49" t="s">
        <v>198</v>
      </c>
      <c r="C248" s="49" t="s">
        <v>10</v>
      </c>
      <c r="D248" s="50">
        <v>56811</v>
      </c>
      <c r="E248" s="50">
        <v>24929</v>
      </c>
      <c r="F248" s="51">
        <v>0.438805865061344</v>
      </c>
      <c r="G248" s="50">
        <v>1849</v>
      </c>
      <c r="H248" s="51">
        <v>7.4170644630751306E-2</v>
      </c>
      <c r="I248" s="51">
        <v>3.2546513879354401E-2</v>
      </c>
      <c r="J248" s="52" t="s">
        <v>1055</v>
      </c>
      <c r="K248" s="109" t="s">
        <v>1056</v>
      </c>
    </row>
    <row r="249" spans="1:11" x14ac:dyDescent="0.35">
      <c r="A249" s="61">
        <v>45353</v>
      </c>
      <c r="B249" s="49" t="s">
        <v>198</v>
      </c>
      <c r="C249" s="49" t="s">
        <v>11</v>
      </c>
      <c r="D249" s="50">
        <v>5502</v>
      </c>
      <c r="E249" s="50">
        <v>2592</v>
      </c>
      <c r="F249" s="51">
        <v>0.47110141766630298</v>
      </c>
      <c r="G249" s="50">
        <v>247</v>
      </c>
      <c r="H249" s="51">
        <v>9.5293209876543203E-2</v>
      </c>
      <c r="I249" s="51">
        <v>4.4892766266812101E-2</v>
      </c>
      <c r="J249" s="52" t="s">
        <v>1055</v>
      </c>
      <c r="K249" s="109" t="s">
        <v>1056</v>
      </c>
    </row>
    <row r="250" spans="1:11" x14ac:dyDescent="0.35">
      <c r="A250" s="61">
        <v>45354</v>
      </c>
      <c r="B250" s="49" t="s">
        <v>199</v>
      </c>
      <c r="C250" s="49" t="s">
        <v>10</v>
      </c>
      <c r="D250" s="50">
        <v>253049</v>
      </c>
      <c r="E250" s="50">
        <v>94556</v>
      </c>
      <c r="F250" s="51">
        <v>0.37366676019269002</v>
      </c>
      <c r="G250" s="50">
        <v>1865</v>
      </c>
      <c r="H250" s="51">
        <v>1.9723761580439099E-2</v>
      </c>
      <c r="I250" s="51">
        <v>7.3701140885757297E-3</v>
      </c>
      <c r="J250" s="52" t="s">
        <v>1060</v>
      </c>
      <c r="K250" s="109" t="s">
        <v>1054</v>
      </c>
    </row>
    <row r="251" spans="1:11" x14ac:dyDescent="0.35">
      <c r="A251" s="61">
        <v>45355</v>
      </c>
      <c r="B251" s="49" t="s">
        <v>200</v>
      </c>
      <c r="C251" s="49" t="s">
        <v>201</v>
      </c>
      <c r="D251" s="50">
        <v>252957</v>
      </c>
      <c r="E251" s="50">
        <v>90673</v>
      </c>
      <c r="F251" s="51">
        <v>0.358452227058354</v>
      </c>
      <c r="G251" s="50">
        <v>1981</v>
      </c>
      <c r="H251" s="51">
        <v>2.1847738577084701E-2</v>
      </c>
      <c r="I251" s="51">
        <v>7.83137054914472E-3</v>
      </c>
      <c r="J251" s="52" t="s">
        <v>1060</v>
      </c>
      <c r="K251" s="109" t="s">
        <v>1054</v>
      </c>
    </row>
    <row r="252" spans="1:11" x14ac:dyDescent="0.35">
      <c r="A252" s="61">
        <v>45356</v>
      </c>
      <c r="B252" s="49" t="s">
        <v>202</v>
      </c>
      <c r="C252" s="49" t="s">
        <v>10</v>
      </c>
      <c r="D252" s="50">
        <v>1371931</v>
      </c>
      <c r="E252" s="50">
        <v>525432</v>
      </c>
      <c r="F252" s="51">
        <v>0.38298719104677997</v>
      </c>
      <c r="G252" s="50">
        <v>14760</v>
      </c>
      <c r="H252" s="51">
        <v>2.80911706938291E-2</v>
      </c>
      <c r="I252" s="51">
        <v>1.0758558557245199E-2</v>
      </c>
      <c r="J252" s="52" t="s">
        <v>1055</v>
      </c>
      <c r="K252" s="109" t="s">
        <v>1056</v>
      </c>
    </row>
    <row r="253" spans="1:11" x14ac:dyDescent="0.35">
      <c r="A253" s="61">
        <v>45356</v>
      </c>
      <c r="B253" s="49" t="s">
        <v>202</v>
      </c>
      <c r="C253" s="49" t="s">
        <v>11</v>
      </c>
      <c r="D253" s="50">
        <v>97095</v>
      </c>
      <c r="E253" s="50">
        <v>31379</v>
      </c>
      <c r="F253" s="51">
        <v>0.32317833050105599</v>
      </c>
      <c r="G253" s="50">
        <v>1122</v>
      </c>
      <c r="H253" s="51">
        <v>3.5756397590745399E-2</v>
      </c>
      <c r="I253" s="51">
        <v>1.15556928781091E-2</v>
      </c>
      <c r="J253" s="52" t="s">
        <v>1055</v>
      </c>
      <c r="K253" s="109" t="s">
        <v>1056</v>
      </c>
    </row>
    <row r="254" spans="1:11" x14ac:dyDescent="0.35">
      <c r="A254" s="61">
        <v>45356</v>
      </c>
      <c r="B254" s="49" t="s">
        <v>203</v>
      </c>
      <c r="C254" s="49" t="s">
        <v>204</v>
      </c>
      <c r="D254" s="50">
        <v>60841</v>
      </c>
      <c r="E254" s="50">
        <v>21932</v>
      </c>
      <c r="F254" s="51">
        <v>0.36048059696586199</v>
      </c>
      <c r="G254" s="50">
        <v>294</v>
      </c>
      <c r="H254" s="51">
        <v>1.34050702170345E-2</v>
      </c>
      <c r="I254" s="51">
        <v>4.8322677142058797E-3</v>
      </c>
      <c r="J254" s="52" t="s">
        <v>1060</v>
      </c>
      <c r="K254" s="109" t="s">
        <v>1054</v>
      </c>
    </row>
    <row r="255" spans="1:11" x14ac:dyDescent="0.35">
      <c r="A255" s="61">
        <v>45357</v>
      </c>
      <c r="B255" s="49" t="s">
        <v>205</v>
      </c>
      <c r="C255" s="49" t="s">
        <v>10</v>
      </c>
      <c r="D255" s="50">
        <v>228386</v>
      </c>
      <c r="E255" s="50">
        <v>98763</v>
      </c>
      <c r="F255" s="51">
        <v>0.43243894109095998</v>
      </c>
      <c r="G255" s="50">
        <v>1649</v>
      </c>
      <c r="H255" s="51">
        <v>1.66965361522027E-2</v>
      </c>
      <c r="I255" s="51">
        <v>7.2202324135454904E-3</v>
      </c>
      <c r="J255" s="52" t="s">
        <v>1055</v>
      </c>
      <c r="K255" s="109" t="s">
        <v>1056</v>
      </c>
    </row>
    <row r="256" spans="1:11" x14ac:dyDescent="0.35">
      <c r="A256" s="61">
        <v>45357</v>
      </c>
      <c r="B256" s="49" t="s">
        <v>205</v>
      </c>
      <c r="C256" s="49" t="s">
        <v>11</v>
      </c>
      <c r="D256" s="50">
        <v>13548</v>
      </c>
      <c r="E256" s="50">
        <v>5985</v>
      </c>
      <c r="F256" s="51">
        <v>0.44176262178919401</v>
      </c>
      <c r="G256" s="50">
        <v>211</v>
      </c>
      <c r="H256" s="51">
        <v>3.5254803675856303E-2</v>
      </c>
      <c r="I256" s="51">
        <v>1.5574254502509601E-2</v>
      </c>
      <c r="J256" s="52" t="s">
        <v>1055</v>
      </c>
      <c r="K256" s="109" t="s">
        <v>1056</v>
      </c>
    </row>
    <row r="257" spans="1:11" x14ac:dyDescent="0.35">
      <c r="A257" s="61">
        <v>45357</v>
      </c>
      <c r="B257" s="49" t="s">
        <v>206</v>
      </c>
      <c r="C257" s="49" t="s">
        <v>10</v>
      </c>
      <c r="D257" s="50">
        <v>313292</v>
      </c>
      <c r="E257" s="50">
        <v>104078</v>
      </c>
      <c r="F257" s="51">
        <v>0.332207652924428</v>
      </c>
      <c r="G257" s="50">
        <v>1313</v>
      </c>
      <c r="H257" s="51">
        <v>1.2615538346240299E-2</v>
      </c>
      <c r="I257" s="51">
        <v>4.1909783843826201E-3</v>
      </c>
      <c r="J257" s="52" t="s">
        <v>1055</v>
      </c>
      <c r="K257" s="109" t="s">
        <v>1056</v>
      </c>
    </row>
    <row r="258" spans="1:11" x14ac:dyDescent="0.35">
      <c r="A258" s="61">
        <v>45357</v>
      </c>
      <c r="B258" s="49" t="s">
        <v>206</v>
      </c>
      <c r="C258" s="49" t="s">
        <v>11</v>
      </c>
      <c r="D258" s="50">
        <v>16093</v>
      </c>
      <c r="E258" s="50">
        <v>4980</v>
      </c>
      <c r="F258" s="51">
        <v>0.30945131423600297</v>
      </c>
      <c r="G258" s="50">
        <v>134</v>
      </c>
      <c r="H258" s="51">
        <v>2.6907630522088399E-2</v>
      </c>
      <c r="I258" s="51">
        <v>8.3266016280370402E-3</v>
      </c>
      <c r="J258" s="52" t="s">
        <v>1055</v>
      </c>
      <c r="K258" s="109" t="s">
        <v>1056</v>
      </c>
    </row>
    <row r="259" spans="1:11" x14ac:dyDescent="0.35">
      <c r="A259" s="61">
        <v>45357</v>
      </c>
      <c r="B259" s="49" t="s">
        <v>207</v>
      </c>
      <c r="C259" s="49" t="s">
        <v>10</v>
      </c>
      <c r="D259" s="50">
        <v>283875</v>
      </c>
      <c r="E259" s="50">
        <v>108535</v>
      </c>
      <c r="F259" s="51">
        <v>0.38233377366798799</v>
      </c>
      <c r="G259" s="50">
        <v>2748</v>
      </c>
      <c r="H259" s="51">
        <v>2.5319021513797401E-2</v>
      </c>
      <c r="I259" s="51">
        <v>9.68031704095112E-3</v>
      </c>
      <c r="J259" s="52" t="s">
        <v>1055</v>
      </c>
      <c r="K259" s="109" t="s">
        <v>1056</v>
      </c>
    </row>
    <row r="260" spans="1:11" x14ac:dyDescent="0.35">
      <c r="A260" s="61">
        <v>45358</v>
      </c>
      <c r="B260" s="49" t="s">
        <v>208</v>
      </c>
      <c r="C260" s="49" t="s">
        <v>209</v>
      </c>
      <c r="D260" s="50">
        <v>576592</v>
      </c>
      <c r="E260" s="50">
        <v>201819</v>
      </c>
      <c r="F260" s="60">
        <v>0.35</v>
      </c>
      <c r="G260" s="50">
        <v>3426</v>
      </c>
      <c r="H260" s="60">
        <v>1.7000000000000001E-2</v>
      </c>
      <c r="I260" s="60">
        <v>5.8999999999999999E-3</v>
      </c>
      <c r="J260" s="52" t="s">
        <v>1055</v>
      </c>
      <c r="K260" s="109" t="s">
        <v>1056</v>
      </c>
    </row>
    <row r="261" spans="1:11" x14ac:dyDescent="0.35">
      <c r="A261" s="61">
        <v>45358</v>
      </c>
      <c r="B261" s="49" t="s">
        <v>210</v>
      </c>
      <c r="C261" s="49" t="s">
        <v>211</v>
      </c>
      <c r="D261" s="50">
        <v>50402</v>
      </c>
      <c r="E261" s="50">
        <v>17879</v>
      </c>
      <c r="F261" s="60">
        <v>0.35470000000000002</v>
      </c>
      <c r="G261" s="49">
        <v>486</v>
      </c>
      <c r="H261" s="60">
        <v>2.7199999999999998E-2</v>
      </c>
      <c r="I261" s="60">
        <v>9.5999999999999992E-3</v>
      </c>
      <c r="J261" s="52" t="s">
        <v>1055</v>
      </c>
      <c r="K261" s="109" t="s">
        <v>1056</v>
      </c>
    </row>
    <row r="262" spans="1:11" x14ac:dyDescent="0.35">
      <c r="A262" s="61">
        <v>45358</v>
      </c>
      <c r="B262" s="49" t="s">
        <v>165</v>
      </c>
      <c r="C262" s="49" t="s">
        <v>31</v>
      </c>
      <c r="D262" s="50">
        <v>319928</v>
      </c>
      <c r="E262" s="50">
        <v>125157</v>
      </c>
      <c r="F262" s="60">
        <v>0.39119999999999999</v>
      </c>
      <c r="G262" s="50">
        <v>1485</v>
      </c>
      <c r="H262" s="60">
        <v>1.1900000000000001E-2</v>
      </c>
      <c r="I262" s="60">
        <v>4.5999999999999999E-3</v>
      </c>
      <c r="J262" s="52" t="s">
        <v>1055</v>
      </c>
      <c r="K262" s="109" t="s">
        <v>1056</v>
      </c>
    </row>
    <row r="263" spans="1:11" x14ac:dyDescent="0.35">
      <c r="A263" s="61">
        <v>45358</v>
      </c>
      <c r="B263" s="49" t="s">
        <v>166</v>
      </c>
      <c r="C263" s="49" t="s">
        <v>32</v>
      </c>
      <c r="D263" s="50">
        <v>20282</v>
      </c>
      <c r="E263" s="50">
        <v>7801</v>
      </c>
      <c r="F263" s="60">
        <v>0.3846</v>
      </c>
      <c r="G263" s="49">
        <v>135</v>
      </c>
      <c r="H263" s="60">
        <v>1.7299999999999999E-2</v>
      </c>
      <c r="I263" s="60">
        <v>6.7000000000000002E-3</v>
      </c>
      <c r="J263" s="52" t="s">
        <v>1055</v>
      </c>
      <c r="K263" s="109" t="s">
        <v>1056</v>
      </c>
    </row>
    <row r="264" spans="1:11" x14ac:dyDescent="0.35">
      <c r="A264" s="61">
        <v>45358</v>
      </c>
      <c r="B264" s="49" t="s">
        <v>167</v>
      </c>
      <c r="C264" s="49" t="s">
        <v>31</v>
      </c>
      <c r="D264" s="50">
        <v>1444966</v>
      </c>
      <c r="E264" s="50">
        <v>485826</v>
      </c>
      <c r="F264" s="60">
        <v>0.3362</v>
      </c>
      <c r="G264" s="50">
        <v>4003</v>
      </c>
      <c r="H264" s="60">
        <v>8.2000000000000007E-3</v>
      </c>
      <c r="I264" s="60">
        <v>2.8E-3</v>
      </c>
      <c r="J264" s="52" t="s">
        <v>1055</v>
      </c>
      <c r="K264" s="109" t="s">
        <v>1056</v>
      </c>
    </row>
    <row r="265" spans="1:11" x14ac:dyDescent="0.35">
      <c r="A265" s="61">
        <v>45358</v>
      </c>
      <c r="B265" s="49" t="s">
        <v>168</v>
      </c>
      <c r="C265" s="49" t="s">
        <v>32</v>
      </c>
      <c r="D265" s="50">
        <v>70236</v>
      </c>
      <c r="E265" s="50">
        <v>21440</v>
      </c>
      <c r="F265" s="60">
        <v>0.30530000000000002</v>
      </c>
      <c r="G265" s="49">
        <v>295</v>
      </c>
      <c r="H265" s="60">
        <v>1.38E-2</v>
      </c>
      <c r="I265" s="60">
        <v>4.1999999999999997E-3</v>
      </c>
      <c r="J265" s="52" t="s">
        <v>1055</v>
      </c>
      <c r="K265" s="109" t="s">
        <v>1056</v>
      </c>
    </row>
    <row r="266" spans="1:11" x14ac:dyDescent="0.35">
      <c r="A266" s="61">
        <v>45358</v>
      </c>
      <c r="B266" s="49" t="s">
        <v>169</v>
      </c>
      <c r="C266" s="49" t="s">
        <v>212</v>
      </c>
      <c r="D266" s="50">
        <v>477386</v>
      </c>
      <c r="E266" s="50">
        <v>164066</v>
      </c>
      <c r="F266" s="60">
        <v>0.34370000000000001</v>
      </c>
      <c r="G266" s="50">
        <v>1289</v>
      </c>
      <c r="H266" s="60">
        <v>7.9000000000000008E-3</v>
      </c>
      <c r="I266" s="60">
        <v>2.7000000000000001E-3</v>
      </c>
      <c r="J266" s="52" t="s">
        <v>1055</v>
      </c>
      <c r="K266" s="109" t="s">
        <v>1056</v>
      </c>
    </row>
    <row r="267" spans="1:11" x14ac:dyDescent="0.35">
      <c r="A267" s="61">
        <v>45358</v>
      </c>
      <c r="B267" s="49" t="s">
        <v>171</v>
      </c>
      <c r="C267" s="49" t="s">
        <v>213</v>
      </c>
      <c r="D267" s="50">
        <v>34628</v>
      </c>
      <c r="E267" s="50">
        <v>10983</v>
      </c>
      <c r="F267" s="60">
        <v>0.31719999999999998</v>
      </c>
      <c r="G267" s="49">
        <v>125</v>
      </c>
      <c r="H267" s="60">
        <v>1.14E-2</v>
      </c>
      <c r="I267" s="60">
        <v>3.5999999999999999E-3</v>
      </c>
      <c r="J267" s="52" t="s">
        <v>1055</v>
      </c>
      <c r="K267" s="109" t="s">
        <v>1056</v>
      </c>
    </row>
    <row r="268" spans="1:11" x14ac:dyDescent="0.35">
      <c r="A268" s="61">
        <v>45358</v>
      </c>
      <c r="B268" s="49" t="s">
        <v>214</v>
      </c>
      <c r="C268" s="49" t="s">
        <v>10</v>
      </c>
      <c r="D268" s="50">
        <v>797837</v>
      </c>
      <c r="E268" s="50">
        <v>210164</v>
      </c>
      <c r="F268" s="51">
        <v>0.30669999999999997</v>
      </c>
      <c r="G268" s="50">
        <v>2917</v>
      </c>
      <c r="H268" s="51">
        <v>1.2566376734359799E-2</v>
      </c>
      <c r="I268" s="51">
        <v>3.7000000000000002E-3</v>
      </c>
      <c r="J268" s="52" t="s">
        <v>1055</v>
      </c>
      <c r="K268" s="109" t="s">
        <v>1056</v>
      </c>
    </row>
    <row r="269" spans="1:11" x14ac:dyDescent="0.35">
      <c r="A269" s="61">
        <v>45358</v>
      </c>
      <c r="B269" s="49" t="s">
        <v>215</v>
      </c>
      <c r="C269" s="49" t="s">
        <v>10</v>
      </c>
      <c r="D269" s="50">
        <v>369655</v>
      </c>
      <c r="E269" s="50">
        <v>133989</v>
      </c>
      <c r="F269" s="51">
        <v>0.36247041160000498</v>
      </c>
      <c r="G269" s="50">
        <v>2579</v>
      </c>
      <c r="H269" s="51">
        <v>1.9247848703998101E-2</v>
      </c>
      <c r="I269" s="51">
        <v>6.9767756421528198E-3</v>
      </c>
      <c r="J269" s="52" t="s">
        <v>1057</v>
      </c>
      <c r="K269" s="109" t="s">
        <v>1054</v>
      </c>
    </row>
    <row r="270" spans="1:11" x14ac:dyDescent="0.35">
      <c r="A270" s="61">
        <v>45358</v>
      </c>
      <c r="B270" s="49" t="s">
        <v>215</v>
      </c>
      <c r="C270" s="49" t="s">
        <v>11</v>
      </c>
      <c r="D270" s="50">
        <v>22484</v>
      </c>
      <c r="E270" s="50">
        <v>7843</v>
      </c>
      <c r="F270" s="51">
        <v>0.348825831702544</v>
      </c>
      <c r="G270" s="50">
        <v>269</v>
      </c>
      <c r="H270" s="51">
        <v>3.42981002167538E-2</v>
      </c>
      <c r="I270" s="51">
        <v>1.19640633339263E-2</v>
      </c>
      <c r="J270" s="52" t="s">
        <v>1057</v>
      </c>
      <c r="K270" s="109" t="s">
        <v>1054</v>
      </c>
    </row>
    <row r="271" spans="1:11" x14ac:dyDescent="0.35">
      <c r="A271" s="61">
        <v>45359</v>
      </c>
      <c r="B271" s="49" t="s">
        <v>216</v>
      </c>
      <c r="C271" s="49" t="s">
        <v>10</v>
      </c>
      <c r="D271" s="50">
        <v>425014</v>
      </c>
      <c r="E271" s="50">
        <v>136083</v>
      </c>
      <c r="F271" s="51">
        <v>0.32018474685539799</v>
      </c>
      <c r="G271" s="50">
        <v>2737</v>
      </c>
      <c r="H271" s="51">
        <v>2.01127253220461E-2</v>
      </c>
      <c r="I271" s="51">
        <v>6.4397878658114796E-3</v>
      </c>
      <c r="J271" s="52" t="s">
        <v>1057</v>
      </c>
      <c r="K271" s="109" t="s">
        <v>1054</v>
      </c>
    </row>
    <row r="272" spans="1:11" x14ac:dyDescent="0.35">
      <c r="A272" s="61">
        <v>45359</v>
      </c>
      <c r="B272" s="49" t="s">
        <v>217</v>
      </c>
      <c r="C272" s="49" t="s">
        <v>10</v>
      </c>
      <c r="D272" s="50">
        <v>283579</v>
      </c>
      <c r="E272" s="50">
        <v>95283</v>
      </c>
      <c r="F272" s="51">
        <v>0.33600160801751899</v>
      </c>
      <c r="G272" s="50">
        <v>1163</v>
      </c>
      <c r="H272" s="51">
        <v>1.2205744991236601E-2</v>
      </c>
      <c r="I272" s="51">
        <v>4.1011499441072899E-3</v>
      </c>
      <c r="J272" s="52" t="s">
        <v>1055</v>
      </c>
      <c r="K272" s="109" t="s">
        <v>1056</v>
      </c>
    </row>
    <row r="273" spans="1:11" x14ac:dyDescent="0.35">
      <c r="A273" s="61">
        <v>45359</v>
      </c>
      <c r="B273" s="49" t="s">
        <v>218</v>
      </c>
      <c r="C273" s="49" t="s">
        <v>10</v>
      </c>
      <c r="D273" s="50">
        <v>4998705</v>
      </c>
      <c r="E273" s="50">
        <v>1795311</v>
      </c>
      <c r="F273" s="51">
        <v>0.36109999999999998</v>
      </c>
      <c r="G273" s="50">
        <v>27363</v>
      </c>
      <c r="H273" s="51">
        <v>1.52E-2</v>
      </c>
      <c r="I273" s="51">
        <v>5.4999999999999997E-3</v>
      </c>
      <c r="J273" s="52" t="s">
        <v>1055</v>
      </c>
      <c r="K273" s="109" t="s">
        <v>1056</v>
      </c>
    </row>
    <row r="274" spans="1:11" x14ac:dyDescent="0.35">
      <c r="A274" s="61">
        <v>45359</v>
      </c>
      <c r="B274" s="49" t="s">
        <v>218</v>
      </c>
      <c r="C274" s="49" t="s">
        <v>11</v>
      </c>
      <c r="D274" s="50">
        <v>318098</v>
      </c>
      <c r="E274" s="50">
        <v>97562</v>
      </c>
      <c r="F274" s="51">
        <v>0.30809999999999998</v>
      </c>
      <c r="G274" s="50">
        <v>2221</v>
      </c>
      <c r="H274" s="51">
        <v>2.2800000000000001E-2</v>
      </c>
      <c r="I274" s="51">
        <v>7.0000000000000001E-3</v>
      </c>
      <c r="J274" s="52" t="s">
        <v>1055</v>
      </c>
      <c r="K274" s="109" t="s">
        <v>1056</v>
      </c>
    </row>
    <row r="275" spans="1:11" x14ac:dyDescent="0.35">
      <c r="A275" s="61">
        <v>45361</v>
      </c>
      <c r="B275" s="49" t="s">
        <v>199</v>
      </c>
      <c r="C275" s="49" t="s">
        <v>14</v>
      </c>
      <c r="D275" s="50">
        <v>252050</v>
      </c>
      <c r="E275" s="50">
        <v>99128</v>
      </c>
      <c r="F275" s="51">
        <v>0.39328704622098798</v>
      </c>
      <c r="G275" s="50">
        <v>2187</v>
      </c>
      <c r="H275" s="51">
        <v>2.20623839883787E-2</v>
      </c>
      <c r="I275" s="51">
        <v>8.6768498313826593E-3</v>
      </c>
      <c r="J275" s="52" t="s">
        <v>1060</v>
      </c>
      <c r="K275" s="109" t="s">
        <v>1054</v>
      </c>
    </row>
    <row r="276" spans="1:11" x14ac:dyDescent="0.35">
      <c r="A276" s="61">
        <v>45361</v>
      </c>
      <c r="B276" s="49" t="s">
        <v>219</v>
      </c>
      <c r="C276" s="49" t="s">
        <v>10</v>
      </c>
      <c r="D276" s="50">
        <v>259761</v>
      </c>
      <c r="E276" s="50">
        <v>98413</v>
      </c>
      <c r="F276" s="51">
        <v>0.37885979804512598</v>
      </c>
      <c r="G276" s="50">
        <v>1226</v>
      </c>
      <c r="H276" s="51">
        <v>1.24577037586498E-2</v>
      </c>
      <c r="I276" s="51">
        <v>4.7197231301080601E-3</v>
      </c>
      <c r="J276" s="52" t="s">
        <v>1055</v>
      </c>
      <c r="K276" s="109" t="s">
        <v>1056</v>
      </c>
    </row>
    <row r="277" spans="1:11" x14ac:dyDescent="0.35">
      <c r="A277" s="61">
        <v>45361</v>
      </c>
      <c r="B277" s="49" t="s">
        <v>219</v>
      </c>
      <c r="C277" s="49" t="s">
        <v>11</v>
      </c>
      <c r="D277" s="50">
        <v>9812</v>
      </c>
      <c r="E277" s="50">
        <v>3401</v>
      </c>
      <c r="F277" s="51">
        <v>0.34661638809620898</v>
      </c>
      <c r="G277" s="50">
        <v>54</v>
      </c>
      <c r="H277" s="51">
        <v>1.58776830344016E-2</v>
      </c>
      <c r="I277" s="51">
        <v>5.5034651447207501E-3</v>
      </c>
      <c r="J277" s="52" t="s">
        <v>1055</v>
      </c>
      <c r="K277" s="109" t="s">
        <v>1056</v>
      </c>
    </row>
    <row r="278" spans="1:11" x14ac:dyDescent="0.35">
      <c r="A278" s="61">
        <v>45362</v>
      </c>
      <c r="B278" s="49" t="s">
        <v>220</v>
      </c>
      <c r="C278" s="49" t="s">
        <v>221</v>
      </c>
      <c r="D278" s="50">
        <v>9120</v>
      </c>
      <c r="E278" s="50">
        <v>3825</v>
      </c>
      <c r="F278" s="51">
        <v>0.41940789473684198</v>
      </c>
      <c r="G278" s="50">
        <v>80</v>
      </c>
      <c r="H278" s="51">
        <v>2.0915032679738599E-2</v>
      </c>
      <c r="I278" s="51">
        <v>8.7719298245613996E-3</v>
      </c>
      <c r="J278" s="52" t="s">
        <v>1055</v>
      </c>
      <c r="K278" s="109" t="s">
        <v>1056</v>
      </c>
    </row>
    <row r="279" spans="1:11" x14ac:dyDescent="0.35">
      <c r="A279" s="61">
        <v>45362</v>
      </c>
      <c r="B279" s="49" t="s">
        <v>220</v>
      </c>
      <c r="C279" s="49" t="s">
        <v>222</v>
      </c>
      <c r="D279" s="50">
        <v>821</v>
      </c>
      <c r="E279" s="50">
        <v>315</v>
      </c>
      <c r="F279" s="51">
        <v>0.38367844092570003</v>
      </c>
      <c r="G279" s="50">
        <v>7</v>
      </c>
      <c r="H279" s="51">
        <v>2.2222222222222199E-2</v>
      </c>
      <c r="I279" s="51">
        <v>8.5261875761266804E-3</v>
      </c>
      <c r="J279" s="52" t="s">
        <v>1055</v>
      </c>
      <c r="K279" s="109" t="s">
        <v>1056</v>
      </c>
    </row>
    <row r="280" spans="1:11" x14ac:dyDescent="0.35">
      <c r="A280" s="61">
        <v>45362</v>
      </c>
      <c r="B280" s="49" t="s">
        <v>223</v>
      </c>
      <c r="C280" s="49" t="s">
        <v>224</v>
      </c>
      <c r="D280" s="50">
        <v>149850</v>
      </c>
      <c r="E280" s="50">
        <v>59513</v>
      </c>
      <c r="F280" s="51">
        <v>0.39715048381715001</v>
      </c>
      <c r="G280" s="50">
        <v>829</v>
      </c>
      <c r="H280" s="51">
        <v>1.39297296389024E-2</v>
      </c>
      <c r="I280" s="51">
        <v>5.5321988655322001E-3</v>
      </c>
      <c r="J280" s="52" t="s">
        <v>1055</v>
      </c>
      <c r="K280" s="109" t="s">
        <v>1056</v>
      </c>
    </row>
    <row r="281" spans="1:11" x14ac:dyDescent="0.35">
      <c r="A281" s="61">
        <v>45362</v>
      </c>
      <c r="B281" s="49" t="s">
        <v>223</v>
      </c>
      <c r="C281" s="49" t="s">
        <v>225</v>
      </c>
      <c r="D281" s="50">
        <v>8120</v>
      </c>
      <c r="E281" s="50">
        <v>3321</v>
      </c>
      <c r="F281" s="51">
        <v>0.40899014778325099</v>
      </c>
      <c r="G281" s="50">
        <v>117</v>
      </c>
      <c r="H281" s="51">
        <v>3.5230352303522998E-2</v>
      </c>
      <c r="I281" s="51">
        <v>1.4408866995073899E-2</v>
      </c>
      <c r="J281" s="52" t="s">
        <v>1055</v>
      </c>
      <c r="K281" s="109" t="s">
        <v>1056</v>
      </c>
    </row>
    <row r="282" spans="1:11" x14ac:dyDescent="0.35">
      <c r="A282" s="61">
        <v>45363</v>
      </c>
      <c r="B282" s="49" t="s">
        <v>226</v>
      </c>
      <c r="C282" s="49" t="s">
        <v>227</v>
      </c>
      <c r="D282" s="50">
        <v>2496</v>
      </c>
      <c r="E282" s="50">
        <v>676</v>
      </c>
      <c r="F282" s="51">
        <v>0.27083333333333298</v>
      </c>
      <c r="G282" s="50">
        <v>96</v>
      </c>
      <c r="H282" s="51">
        <v>0.14201183431952699</v>
      </c>
      <c r="I282" s="51">
        <v>3.8461538461538498E-2</v>
      </c>
      <c r="J282" s="52" t="s">
        <v>1061</v>
      </c>
      <c r="K282" s="109" t="s">
        <v>1054</v>
      </c>
    </row>
    <row r="283" spans="1:11" x14ac:dyDescent="0.35">
      <c r="A283" s="61">
        <v>45363</v>
      </c>
      <c r="B283" s="49" t="s">
        <v>228</v>
      </c>
      <c r="C283" s="49" t="s">
        <v>229</v>
      </c>
      <c r="D283" s="50">
        <v>109</v>
      </c>
      <c r="E283" s="50">
        <v>39</v>
      </c>
      <c r="F283" s="51">
        <v>0.35779816513761498</v>
      </c>
      <c r="G283" s="50">
        <v>1</v>
      </c>
      <c r="H283" s="51">
        <v>2.5641025641025599E-2</v>
      </c>
      <c r="I283" s="51">
        <v>9.1743119266055103E-3</v>
      </c>
      <c r="J283" s="52" t="s">
        <v>1061</v>
      </c>
      <c r="K283" s="109" t="s">
        <v>1054</v>
      </c>
    </row>
    <row r="284" spans="1:11" x14ac:dyDescent="0.35">
      <c r="A284" s="61">
        <v>45363</v>
      </c>
      <c r="B284" s="49" t="s">
        <v>230</v>
      </c>
      <c r="C284" s="49" t="s">
        <v>10</v>
      </c>
      <c r="D284" s="50">
        <v>1361948</v>
      </c>
      <c r="E284" s="50">
        <v>514624</v>
      </c>
      <c r="F284" s="51">
        <v>0.37785877287532299</v>
      </c>
      <c r="G284" s="50">
        <v>10922</v>
      </c>
      <c r="H284" s="51">
        <v>2.1223262032085601E-2</v>
      </c>
      <c r="I284" s="51">
        <v>8.0193957478552798E-3</v>
      </c>
      <c r="J284" s="52" t="s">
        <v>1055</v>
      </c>
      <c r="K284" s="109" t="s">
        <v>1056</v>
      </c>
    </row>
    <row r="285" spans="1:11" x14ac:dyDescent="0.35">
      <c r="A285" s="61">
        <v>45363</v>
      </c>
      <c r="B285" s="49" t="s">
        <v>230</v>
      </c>
      <c r="C285" s="49" t="s">
        <v>11</v>
      </c>
      <c r="D285" s="50">
        <v>97348</v>
      </c>
      <c r="E285" s="50">
        <v>32090</v>
      </c>
      <c r="F285" s="51">
        <v>0.32964210872334299</v>
      </c>
      <c r="G285" s="50">
        <v>954</v>
      </c>
      <c r="H285" s="51">
        <v>2.9728887503895299E-2</v>
      </c>
      <c r="I285" s="51">
        <v>9.7998931667830896E-3</v>
      </c>
      <c r="J285" s="52" t="s">
        <v>1055</v>
      </c>
      <c r="K285" s="109" t="s">
        <v>1056</v>
      </c>
    </row>
    <row r="286" spans="1:11" x14ac:dyDescent="0.35">
      <c r="A286" s="61">
        <v>45364</v>
      </c>
      <c r="B286" s="49" t="s">
        <v>231</v>
      </c>
      <c r="C286" s="49" t="s">
        <v>10</v>
      </c>
      <c r="D286" s="50">
        <v>376862</v>
      </c>
      <c r="E286" s="50">
        <v>162292</v>
      </c>
      <c r="F286" s="51">
        <v>0.43064039356581502</v>
      </c>
      <c r="G286" s="50">
        <v>4041</v>
      </c>
      <c r="H286" s="51">
        <v>2.4899563749291399E-2</v>
      </c>
      <c r="I286" s="51">
        <v>1.07227579326119E-2</v>
      </c>
      <c r="J286" s="52" t="s">
        <v>1055</v>
      </c>
      <c r="K286" s="109" t="s">
        <v>1056</v>
      </c>
    </row>
    <row r="287" spans="1:11" x14ac:dyDescent="0.35">
      <c r="A287" s="61">
        <v>45364</v>
      </c>
      <c r="B287" s="49" t="s">
        <v>232</v>
      </c>
      <c r="C287" s="49" t="s">
        <v>10</v>
      </c>
      <c r="D287" s="50">
        <v>166293</v>
      </c>
      <c r="E287" s="50">
        <v>18149</v>
      </c>
      <c r="F287" s="51">
        <v>0.10913868894060499</v>
      </c>
      <c r="G287" s="50">
        <v>471</v>
      </c>
      <c r="H287" s="51">
        <v>2.5951843076753502E-2</v>
      </c>
      <c r="I287" s="51">
        <v>2.83235012898919E-3</v>
      </c>
      <c r="J287" s="52" t="s">
        <v>1055</v>
      </c>
      <c r="K287" s="109" t="s">
        <v>1056</v>
      </c>
    </row>
    <row r="288" spans="1:11" x14ac:dyDescent="0.35">
      <c r="A288" s="61">
        <v>45364</v>
      </c>
      <c r="B288" s="49" t="s">
        <v>232</v>
      </c>
      <c r="C288" s="49" t="s">
        <v>11</v>
      </c>
      <c r="D288" s="50">
        <v>6663</v>
      </c>
      <c r="E288" s="50">
        <v>853</v>
      </c>
      <c r="F288" s="51">
        <v>0.128020411226174</v>
      </c>
      <c r="G288" s="50">
        <v>22</v>
      </c>
      <c r="H288" s="51">
        <v>2.5791324736225099E-2</v>
      </c>
      <c r="I288" s="51">
        <v>3.3018159987993402E-3</v>
      </c>
      <c r="J288" s="52" t="s">
        <v>1055</v>
      </c>
      <c r="K288" s="109" t="s">
        <v>1056</v>
      </c>
    </row>
    <row r="289" spans="1:11" x14ac:dyDescent="0.35">
      <c r="A289" s="61">
        <v>45364</v>
      </c>
      <c r="B289" s="49" t="s">
        <v>233</v>
      </c>
      <c r="C289" s="49" t="s">
        <v>10</v>
      </c>
      <c r="D289" s="50">
        <v>6655629</v>
      </c>
      <c r="E289" s="50">
        <v>2342321</v>
      </c>
      <c r="F289" s="51">
        <v>0.35193082426920103</v>
      </c>
      <c r="G289" s="50">
        <v>29937</v>
      </c>
      <c r="H289" s="51">
        <v>1.2780912607623001E-2</v>
      </c>
      <c r="I289" s="51">
        <v>4.4979971089133697E-3</v>
      </c>
      <c r="J289" s="52" t="s">
        <v>1055</v>
      </c>
      <c r="K289" s="109" t="s">
        <v>1056</v>
      </c>
    </row>
    <row r="290" spans="1:11" x14ac:dyDescent="0.35">
      <c r="A290" s="61">
        <v>45364</v>
      </c>
      <c r="B290" s="49" t="s">
        <v>233</v>
      </c>
      <c r="C290" s="49" t="s">
        <v>11</v>
      </c>
      <c r="D290" s="50">
        <v>431113</v>
      </c>
      <c r="E290" s="50">
        <v>134517</v>
      </c>
      <c r="F290" s="51">
        <v>0.312022601962826</v>
      </c>
      <c r="G290" s="50">
        <v>1983</v>
      </c>
      <c r="H290" s="51">
        <v>1.4741631169294601E-2</v>
      </c>
      <c r="I290" s="51">
        <v>4.5997221146195999E-3</v>
      </c>
      <c r="J290" s="52" t="s">
        <v>1055</v>
      </c>
      <c r="K290" s="109" t="s">
        <v>1056</v>
      </c>
    </row>
    <row r="291" spans="1:11" x14ac:dyDescent="0.35">
      <c r="A291" s="61">
        <v>45365</v>
      </c>
      <c r="B291" s="49" t="s">
        <v>208</v>
      </c>
      <c r="C291" s="49" t="s">
        <v>234</v>
      </c>
      <c r="D291" s="50">
        <v>599620</v>
      </c>
      <c r="E291" s="50">
        <v>217899</v>
      </c>
      <c r="F291" s="60">
        <v>0.3634</v>
      </c>
      <c r="G291" s="50">
        <v>3162</v>
      </c>
      <c r="H291" s="60">
        <v>1.4500000000000001E-2</v>
      </c>
      <c r="I291" s="60">
        <v>5.3E-3</v>
      </c>
      <c r="J291" s="52" t="s">
        <v>1055</v>
      </c>
      <c r="K291" s="109" t="s">
        <v>1056</v>
      </c>
    </row>
    <row r="292" spans="1:11" x14ac:dyDescent="0.35">
      <c r="A292" s="61">
        <v>45365</v>
      </c>
      <c r="B292" s="49" t="s">
        <v>210</v>
      </c>
      <c r="C292" s="49" t="s">
        <v>235</v>
      </c>
      <c r="D292" s="50">
        <v>56245</v>
      </c>
      <c r="E292" s="50">
        <v>21148</v>
      </c>
      <c r="F292" s="60">
        <v>0.376</v>
      </c>
      <c r="G292" s="49">
        <v>570</v>
      </c>
      <c r="H292" s="60">
        <v>2.7E-2</v>
      </c>
      <c r="I292" s="60">
        <v>1.01E-2</v>
      </c>
      <c r="J292" s="52" t="s">
        <v>1055</v>
      </c>
      <c r="K292" s="109" t="s">
        <v>1056</v>
      </c>
    </row>
    <row r="293" spans="1:11" x14ac:dyDescent="0.35">
      <c r="A293" s="61">
        <v>45365</v>
      </c>
      <c r="B293" s="49" t="s">
        <v>236</v>
      </c>
      <c r="C293" s="49" t="s">
        <v>23</v>
      </c>
      <c r="D293" s="50">
        <v>1065806</v>
      </c>
      <c r="E293" s="50">
        <v>370099</v>
      </c>
      <c r="F293" s="60">
        <v>0.34720000000000001</v>
      </c>
      <c r="G293" s="50">
        <v>4644</v>
      </c>
      <c r="H293" s="60">
        <v>1.2500000000000001E-2</v>
      </c>
      <c r="I293" s="60">
        <v>4.4000000000000003E-3</v>
      </c>
      <c r="J293" s="52" t="s">
        <v>1055</v>
      </c>
      <c r="K293" s="109" t="s">
        <v>1056</v>
      </c>
    </row>
    <row r="294" spans="1:11" x14ac:dyDescent="0.35">
      <c r="A294" s="61">
        <v>45365</v>
      </c>
      <c r="B294" s="49" t="s">
        <v>237</v>
      </c>
      <c r="C294" s="49" t="s">
        <v>25</v>
      </c>
      <c r="D294" s="50">
        <v>64395</v>
      </c>
      <c r="E294" s="50">
        <v>20223</v>
      </c>
      <c r="F294" s="60">
        <v>0.314</v>
      </c>
      <c r="G294" s="49">
        <v>229</v>
      </c>
      <c r="H294" s="60">
        <v>1.1299999999999999E-2</v>
      </c>
      <c r="I294" s="60">
        <v>3.5999999999999999E-3</v>
      </c>
      <c r="J294" s="52" t="s">
        <v>1055</v>
      </c>
      <c r="K294" s="109" t="s">
        <v>1056</v>
      </c>
    </row>
    <row r="295" spans="1:11" x14ac:dyDescent="0.35">
      <c r="A295" s="61">
        <v>45365</v>
      </c>
      <c r="B295" s="49" t="s">
        <v>223</v>
      </c>
      <c r="C295" s="49" t="s">
        <v>238</v>
      </c>
      <c r="D295" s="50">
        <v>151940</v>
      </c>
      <c r="E295" s="50">
        <v>57935</v>
      </c>
      <c r="F295" s="51">
        <v>0.38130182966960602</v>
      </c>
      <c r="G295" s="50">
        <v>851</v>
      </c>
      <c r="H295" s="51">
        <v>1.46888754638819E-2</v>
      </c>
      <c r="I295" s="51">
        <v>5.6008950901671696E-3</v>
      </c>
      <c r="J295" s="52" t="s">
        <v>1055</v>
      </c>
      <c r="K295" s="109" t="s">
        <v>1056</v>
      </c>
    </row>
    <row r="296" spans="1:11" x14ac:dyDescent="0.35">
      <c r="A296" s="61">
        <v>45365</v>
      </c>
      <c r="B296" s="49" t="s">
        <v>223</v>
      </c>
      <c r="C296" s="49" t="s">
        <v>239</v>
      </c>
      <c r="D296" s="50">
        <v>8514</v>
      </c>
      <c r="E296" s="50">
        <v>3394</v>
      </c>
      <c r="F296" s="51">
        <v>0.39863753817242198</v>
      </c>
      <c r="G296" s="50">
        <v>116</v>
      </c>
      <c r="H296" s="51">
        <v>3.4177961107837398E-2</v>
      </c>
      <c r="I296" s="51">
        <v>1.3624618275781099E-2</v>
      </c>
      <c r="J296" s="52" t="s">
        <v>1055</v>
      </c>
      <c r="K296" s="109" t="s">
        <v>1056</v>
      </c>
    </row>
    <row r="297" spans="1:11" x14ac:dyDescent="0.35">
      <c r="A297" s="61">
        <v>45366</v>
      </c>
      <c r="B297" s="49" t="s">
        <v>240</v>
      </c>
      <c r="C297" s="49" t="s">
        <v>10</v>
      </c>
      <c r="D297" s="50">
        <v>421203</v>
      </c>
      <c r="E297" s="50">
        <v>156106</v>
      </c>
      <c r="F297" s="51">
        <v>0.37061939254943599</v>
      </c>
      <c r="G297" s="50">
        <v>3013</v>
      </c>
      <c r="H297" s="51">
        <v>1.9300987790347598E-2</v>
      </c>
      <c r="I297" s="51">
        <v>7.1533203704626999E-3</v>
      </c>
      <c r="J297" s="52" t="s">
        <v>1057</v>
      </c>
      <c r="K297" s="109" t="s">
        <v>1054</v>
      </c>
    </row>
    <row r="298" spans="1:11" x14ac:dyDescent="0.35">
      <c r="A298" s="61">
        <v>45366</v>
      </c>
      <c r="B298" s="49" t="s">
        <v>240</v>
      </c>
      <c r="C298" s="49" t="s">
        <v>11</v>
      </c>
      <c r="D298" s="50">
        <v>22429</v>
      </c>
      <c r="E298" s="50">
        <v>7848</v>
      </c>
      <c r="F298" s="51">
        <v>0.34990414195907099</v>
      </c>
      <c r="G298" s="50">
        <v>287</v>
      </c>
      <c r="H298" s="51">
        <v>3.6569826707441397E-2</v>
      </c>
      <c r="I298" s="51">
        <v>1.27959338356592E-2</v>
      </c>
      <c r="J298" s="52" t="s">
        <v>1057</v>
      </c>
      <c r="K298" s="109" t="s">
        <v>1054</v>
      </c>
    </row>
    <row r="299" spans="1:11" x14ac:dyDescent="0.35">
      <c r="A299" s="61">
        <v>45366</v>
      </c>
      <c r="B299" s="49" t="s">
        <v>241</v>
      </c>
      <c r="C299" s="49" t="s">
        <v>10</v>
      </c>
      <c r="D299" s="50">
        <v>4971049</v>
      </c>
      <c r="E299" s="50">
        <v>1713996</v>
      </c>
      <c r="F299" s="51">
        <v>0.34479563568977101</v>
      </c>
      <c r="G299" s="50">
        <v>24008</v>
      </c>
      <c r="H299" s="51">
        <v>1.40070338553882E-2</v>
      </c>
      <c r="I299" s="51">
        <v>4.8295641422967297E-3</v>
      </c>
      <c r="J299" s="52" t="s">
        <v>1055</v>
      </c>
      <c r="K299" s="109" t="s">
        <v>1056</v>
      </c>
    </row>
    <row r="300" spans="1:11" x14ac:dyDescent="0.35">
      <c r="A300" s="61">
        <v>45366</v>
      </c>
      <c r="B300" s="49" t="s">
        <v>241</v>
      </c>
      <c r="C300" s="49" t="s">
        <v>11</v>
      </c>
      <c r="D300" s="50">
        <v>317204</v>
      </c>
      <c r="E300" s="50">
        <v>94342</v>
      </c>
      <c r="F300" s="51">
        <v>0.29741743483688698</v>
      </c>
      <c r="G300" s="50">
        <v>2081</v>
      </c>
      <c r="H300" s="51">
        <v>2.2058044137287701E-2</v>
      </c>
      <c r="I300" s="51">
        <v>6.5604469048309603E-3</v>
      </c>
      <c r="J300" s="52" t="s">
        <v>1055</v>
      </c>
      <c r="K300" s="109" t="s">
        <v>1056</v>
      </c>
    </row>
    <row r="301" spans="1:11" x14ac:dyDescent="0.35">
      <c r="A301" s="61">
        <v>45367</v>
      </c>
      <c r="B301" s="49" t="s">
        <v>242</v>
      </c>
      <c r="C301" s="49" t="s">
        <v>10</v>
      </c>
      <c r="D301" s="50">
        <v>1258369</v>
      </c>
      <c r="E301" s="50">
        <v>403795</v>
      </c>
      <c r="F301" s="51">
        <v>0.32088759338477002</v>
      </c>
      <c r="G301" s="50">
        <v>9815</v>
      </c>
      <c r="H301" s="51">
        <v>2.4306888396339699E-2</v>
      </c>
      <c r="I301" s="51">
        <v>7.7997789201736502E-3</v>
      </c>
      <c r="J301" s="52" t="s">
        <v>1055</v>
      </c>
      <c r="K301" s="109" t="s">
        <v>1056</v>
      </c>
    </row>
    <row r="302" spans="1:11" x14ac:dyDescent="0.35">
      <c r="A302" s="61">
        <v>45367</v>
      </c>
      <c r="B302" s="49" t="s">
        <v>242</v>
      </c>
      <c r="C302" s="49" t="s">
        <v>11</v>
      </c>
      <c r="D302" s="50">
        <v>95197</v>
      </c>
      <c r="E302" s="50">
        <v>30208</v>
      </c>
      <c r="F302" s="51">
        <v>0.31732092397869699</v>
      </c>
      <c r="G302" s="50">
        <v>782</v>
      </c>
      <c r="H302" s="51">
        <v>2.58871822033898E-2</v>
      </c>
      <c r="I302" s="51">
        <v>8.2145445759845403E-3</v>
      </c>
      <c r="J302" s="52" t="s">
        <v>1055</v>
      </c>
      <c r="K302" s="109" t="s">
        <v>1056</v>
      </c>
    </row>
    <row r="303" spans="1:11" x14ac:dyDescent="0.35">
      <c r="A303" s="61">
        <v>45369</v>
      </c>
      <c r="B303" s="49" t="s">
        <v>220</v>
      </c>
      <c r="C303" s="49" t="s">
        <v>243</v>
      </c>
      <c r="D303" s="50">
        <v>9069</v>
      </c>
      <c r="E303" s="50">
        <v>3741</v>
      </c>
      <c r="F303" s="51">
        <v>0.412504134965266</v>
      </c>
      <c r="G303" s="50">
        <v>65</v>
      </c>
      <c r="H303" s="51">
        <v>1.7375033413525798E-2</v>
      </c>
      <c r="I303" s="51">
        <v>7.16727312823906E-3</v>
      </c>
      <c r="J303" s="52" t="s">
        <v>1055</v>
      </c>
      <c r="K303" s="109" t="s">
        <v>1056</v>
      </c>
    </row>
    <row r="304" spans="1:11" x14ac:dyDescent="0.35">
      <c r="A304" s="61">
        <v>45369</v>
      </c>
      <c r="B304" s="49" t="s">
        <v>220</v>
      </c>
      <c r="C304" s="49" t="s">
        <v>244</v>
      </c>
      <c r="D304" s="50">
        <v>820</v>
      </c>
      <c r="E304" s="50">
        <v>307</v>
      </c>
      <c r="F304" s="51">
        <v>0.37439024390243902</v>
      </c>
      <c r="G304" s="50">
        <v>9</v>
      </c>
      <c r="H304" s="51">
        <v>2.9315960912052099E-2</v>
      </c>
      <c r="I304" s="51">
        <v>1.09756097560976E-2</v>
      </c>
      <c r="J304" s="52" t="s">
        <v>1055</v>
      </c>
      <c r="K304" s="109" t="s">
        <v>1056</v>
      </c>
    </row>
    <row r="305" spans="1:11" x14ac:dyDescent="0.35">
      <c r="A305" s="61">
        <v>45369</v>
      </c>
      <c r="B305" s="49" t="s">
        <v>223</v>
      </c>
      <c r="C305" s="49" t="s">
        <v>245</v>
      </c>
      <c r="D305" s="50">
        <v>149437</v>
      </c>
      <c r="E305" s="50">
        <v>58272</v>
      </c>
      <c r="F305" s="51">
        <v>0.38994358826796599</v>
      </c>
      <c r="G305" s="50">
        <v>923</v>
      </c>
      <c r="H305" s="51">
        <v>1.5839511257550801E-2</v>
      </c>
      <c r="I305" s="51">
        <v>6.1765158561802001E-3</v>
      </c>
      <c r="J305" s="52" t="s">
        <v>1055</v>
      </c>
      <c r="K305" s="109" t="s">
        <v>1056</v>
      </c>
    </row>
    <row r="306" spans="1:11" x14ac:dyDescent="0.35">
      <c r="A306" s="61">
        <v>45369</v>
      </c>
      <c r="B306" s="49" t="s">
        <v>223</v>
      </c>
      <c r="C306" s="49" t="s">
        <v>246</v>
      </c>
      <c r="D306" s="50">
        <v>8107</v>
      </c>
      <c r="E306" s="50">
        <v>3307</v>
      </c>
      <c r="F306" s="51">
        <v>0.40791908227457802</v>
      </c>
      <c r="G306" s="50">
        <v>115</v>
      </c>
      <c r="H306" s="51">
        <v>3.4774720290293298E-2</v>
      </c>
      <c r="I306" s="51">
        <v>1.4185271987171601E-2</v>
      </c>
      <c r="J306" s="52" t="s">
        <v>1055</v>
      </c>
      <c r="K306" s="109" t="s">
        <v>1056</v>
      </c>
    </row>
    <row r="307" spans="1:11" x14ac:dyDescent="0.35">
      <c r="A307" s="61">
        <v>45369</v>
      </c>
      <c r="B307" s="49" t="s">
        <v>247</v>
      </c>
      <c r="C307" s="49" t="s">
        <v>10</v>
      </c>
      <c r="D307" s="50">
        <v>58</v>
      </c>
      <c r="E307" s="50">
        <v>30</v>
      </c>
      <c r="F307" s="51">
        <v>0.52631578947368396</v>
      </c>
      <c r="G307" s="50">
        <v>2</v>
      </c>
      <c r="H307" s="51">
        <v>6.6666666666666693E-2</v>
      </c>
      <c r="I307" s="51">
        <v>3.5087719298245598E-2</v>
      </c>
      <c r="J307" s="52" t="s">
        <v>1055</v>
      </c>
      <c r="K307" s="109" t="s">
        <v>1056</v>
      </c>
    </row>
    <row r="308" spans="1:11" x14ac:dyDescent="0.35">
      <c r="A308" s="61">
        <v>45369</v>
      </c>
      <c r="B308" s="49" t="s">
        <v>248</v>
      </c>
      <c r="C308" s="49" t="s">
        <v>11</v>
      </c>
      <c r="D308" s="50">
        <v>3</v>
      </c>
      <c r="E308" s="50">
        <v>3</v>
      </c>
      <c r="F308" s="51">
        <v>1</v>
      </c>
      <c r="G308" s="50">
        <v>0</v>
      </c>
      <c r="H308" s="51">
        <v>0</v>
      </c>
      <c r="I308" s="51">
        <v>0</v>
      </c>
      <c r="J308" s="52" t="s">
        <v>1055</v>
      </c>
      <c r="K308" s="109" t="s">
        <v>1056</v>
      </c>
    </row>
    <row r="309" spans="1:11" x14ac:dyDescent="0.35">
      <c r="A309" s="61">
        <v>45370</v>
      </c>
      <c r="B309" s="49" t="s">
        <v>249</v>
      </c>
      <c r="C309" s="49" t="s">
        <v>10</v>
      </c>
      <c r="D309" s="50">
        <v>1355459</v>
      </c>
      <c r="E309" s="50">
        <v>502716</v>
      </c>
      <c r="F309" s="51">
        <v>0.37088248335065799</v>
      </c>
      <c r="G309" s="50">
        <v>8669</v>
      </c>
      <c r="H309" s="51">
        <v>1.7244328805926201E-2</v>
      </c>
      <c r="I309" s="51">
        <v>6.3956194912572102E-3</v>
      </c>
      <c r="J309" s="52" t="s">
        <v>1055</v>
      </c>
      <c r="K309" s="109" t="s">
        <v>1056</v>
      </c>
    </row>
    <row r="310" spans="1:11" x14ac:dyDescent="0.35">
      <c r="A310" s="61">
        <v>45370</v>
      </c>
      <c r="B310" s="49" t="s">
        <v>249</v>
      </c>
      <c r="C310" s="49" t="s">
        <v>11</v>
      </c>
      <c r="D310" s="50">
        <v>96874</v>
      </c>
      <c r="E310" s="50">
        <v>34325</v>
      </c>
      <c r="F310" s="51">
        <v>0.35432623820633002</v>
      </c>
      <c r="G310" s="50">
        <v>1055</v>
      </c>
      <c r="H310" s="51">
        <v>3.07356154406409E-2</v>
      </c>
      <c r="I310" s="51">
        <v>1.0890434998038699E-2</v>
      </c>
      <c r="J310" s="52" t="s">
        <v>1055</v>
      </c>
      <c r="K310" s="109" t="s">
        <v>1056</v>
      </c>
    </row>
    <row r="311" spans="1:11" x14ac:dyDescent="0.35">
      <c r="A311" s="61">
        <v>45371</v>
      </c>
      <c r="B311" s="49" t="s">
        <v>250</v>
      </c>
      <c r="C311" s="49" t="s">
        <v>10</v>
      </c>
      <c r="D311" s="50">
        <v>6621903</v>
      </c>
      <c r="E311" s="50">
        <v>2426027</v>
      </c>
      <c r="F311" s="51">
        <v>0.36636401952731701</v>
      </c>
      <c r="G311" s="50">
        <v>30300</v>
      </c>
      <c r="H311" s="51">
        <v>1.24895559694925E-2</v>
      </c>
      <c r="I311" s="51">
        <v>4.5757239270946704E-3</v>
      </c>
      <c r="J311" s="52" t="s">
        <v>1061</v>
      </c>
      <c r="K311" s="109" t="s">
        <v>1054</v>
      </c>
    </row>
    <row r="312" spans="1:11" x14ac:dyDescent="0.35">
      <c r="A312" s="61">
        <v>45371</v>
      </c>
      <c r="B312" s="49" t="s">
        <v>250</v>
      </c>
      <c r="C312" s="49" t="s">
        <v>11</v>
      </c>
      <c r="D312" s="50">
        <v>429078</v>
      </c>
      <c r="E312" s="50">
        <v>150214</v>
      </c>
      <c r="F312" s="51">
        <v>0.350085532234232</v>
      </c>
      <c r="G312" s="50">
        <v>3103</v>
      </c>
      <c r="H312" s="51">
        <v>2.0657195734086E-2</v>
      </c>
      <c r="I312" s="51">
        <v>7.2317853630342304E-3</v>
      </c>
      <c r="J312" s="52" t="s">
        <v>1061</v>
      </c>
      <c r="K312" s="109" t="s">
        <v>1054</v>
      </c>
    </row>
    <row r="313" spans="1:11" x14ac:dyDescent="0.35">
      <c r="A313" s="61">
        <v>45371</v>
      </c>
      <c r="B313" s="49" t="s">
        <v>251</v>
      </c>
      <c r="C313" s="49" t="s">
        <v>10</v>
      </c>
      <c r="D313" s="50">
        <v>424389</v>
      </c>
      <c r="E313" s="50">
        <v>159887</v>
      </c>
      <c r="F313" s="51">
        <v>0.37674633414155401</v>
      </c>
      <c r="G313" s="50">
        <v>1175</v>
      </c>
      <c r="H313" s="51">
        <v>7.3489401890084903E-3</v>
      </c>
      <c r="I313" s="51">
        <v>2.7686862760344902E-3</v>
      </c>
      <c r="J313" s="52" t="s">
        <v>1055</v>
      </c>
      <c r="K313" s="109" t="s">
        <v>1056</v>
      </c>
    </row>
    <row r="314" spans="1:11" x14ac:dyDescent="0.35">
      <c r="A314" s="61">
        <v>45371</v>
      </c>
      <c r="B314" s="49" t="s">
        <v>252</v>
      </c>
      <c r="C314" s="49" t="s">
        <v>10</v>
      </c>
      <c r="D314" s="50">
        <v>5126459</v>
      </c>
      <c r="E314" s="50">
        <v>1808301</v>
      </c>
      <c r="F314" s="51">
        <v>0.35273880079797798</v>
      </c>
      <c r="G314" s="50">
        <v>18243</v>
      </c>
      <c r="H314" s="51">
        <v>1.00884753146738E-2</v>
      </c>
      <c r="I314" s="51">
        <v>3.5585966843780501E-3</v>
      </c>
      <c r="J314" s="52" t="s">
        <v>1055</v>
      </c>
      <c r="K314" s="109" t="s">
        <v>1056</v>
      </c>
    </row>
    <row r="315" spans="1:11" x14ac:dyDescent="0.35">
      <c r="A315" s="61">
        <v>45371</v>
      </c>
      <c r="B315" s="49" t="s">
        <v>252</v>
      </c>
      <c r="C315" s="49" t="s">
        <v>11</v>
      </c>
      <c r="D315" s="50">
        <v>336329</v>
      </c>
      <c r="E315" s="50">
        <v>109308</v>
      </c>
      <c r="F315" s="51">
        <v>0.32500319627507601</v>
      </c>
      <c r="G315" s="50">
        <v>1486</v>
      </c>
      <c r="H315" s="51">
        <v>1.3594613386028499E-2</v>
      </c>
      <c r="I315" s="51">
        <v>4.4182928025831803E-3</v>
      </c>
      <c r="J315" s="52" t="s">
        <v>1055</v>
      </c>
      <c r="K315" s="109" t="s">
        <v>1056</v>
      </c>
    </row>
    <row r="316" spans="1:11" x14ac:dyDescent="0.35">
      <c r="A316" s="61">
        <v>45372</v>
      </c>
      <c r="B316" s="49" t="s">
        <v>208</v>
      </c>
      <c r="C316" s="49" t="s">
        <v>253</v>
      </c>
      <c r="D316" s="50">
        <v>485263</v>
      </c>
      <c r="E316" s="50">
        <v>172154</v>
      </c>
      <c r="F316" s="51">
        <v>0.35339999999999999</v>
      </c>
      <c r="G316" s="50">
        <v>2777</v>
      </c>
      <c r="H316" s="51">
        <v>1.6E-2</v>
      </c>
      <c r="I316" s="51">
        <v>5.7000000000000002E-3</v>
      </c>
      <c r="J316" s="52" t="s">
        <v>1055</v>
      </c>
      <c r="K316" s="109" t="s">
        <v>1056</v>
      </c>
    </row>
    <row r="317" spans="1:11" x14ac:dyDescent="0.35">
      <c r="A317" s="61">
        <v>45372</v>
      </c>
      <c r="B317" s="49" t="s">
        <v>208</v>
      </c>
      <c r="C317" s="49" t="s">
        <v>254</v>
      </c>
      <c r="D317" s="50">
        <v>113459</v>
      </c>
      <c r="E317" s="50">
        <v>44433</v>
      </c>
      <c r="F317" s="60">
        <v>0.3916</v>
      </c>
      <c r="G317" s="49">
        <v>958</v>
      </c>
      <c r="H317" s="60">
        <v>2.1600000000000001E-2</v>
      </c>
      <c r="I317" s="51">
        <v>8.4435787376937899E-3</v>
      </c>
      <c r="J317" s="52" t="s">
        <v>1055</v>
      </c>
      <c r="K317" s="109" t="s">
        <v>1056</v>
      </c>
    </row>
    <row r="318" spans="1:11" x14ac:dyDescent="0.35">
      <c r="A318" s="61">
        <v>45372</v>
      </c>
      <c r="B318" s="49" t="s">
        <v>210</v>
      </c>
      <c r="C318" s="49" t="s">
        <v>255</v>
      </c>
      <c r="D318" s="50">
        <v>42142</v>
      </c>
      <c r="E318" s="50">
        <v>14992</v>
      </c>
      <c r="F318" s="51">
        <v>0.36120000000000002</v>
      </c>
      <c r="G318" s="50">
        <v>482</v>
      </c>
      <c r="H318" s="51">
        <v>3.2500000000000001E-2</v>
      </c>
      <c r="I318" s="51">
        <v>1.1900000000000001E-2</v>
      </c>
      <c r="J318" s="52" t="s">
        <v>1055</v>
      </c>
      <c r="K318" s="109" t="s">
        <v>1056</v>
      </c>
    </row>
    <row r="319" spans="1:11" x14ac:dyDescent="0.35">
      <c r="A319" s="61">
        <v>45372</v>
      </c>
      <c r="B319" s="49" t="s">
        <v>210</v>
      </c>
      <c r="C319" s="49" t="s">
        <v>256</v>
      </c>
      <c r="D319" s="50">
        <v>14001</v>
      </c>
      <c r="E319" s="50">
        <v>5792</v>
      </c>
      <c r="F319" s="60">
        <v>0.41370000000000001</v>
      </c>
      <c r="G319" s="49">
        <v>149</v>
      </c>
      <c r="H319" s="60">
        <v>2.5700000000000001E-2</v>
      </c>
      <c r="I319" s="60">
        <v>1.06E-2</v>
      </c>
      <c r="J319" s="52" t="s">
        <v>1055</v>
      </c>
      <c r="K319" s="109" t="s">
        <v>1056</v>
      </c>
    </row>
    <row r="320" spans="1:11" x14ac:dyDescent="0.35">
      <c r="A320" s="61">
        <v>45372</v>
      </c>
      <c r="B320" s="49" t="s">
        <v>236</v>
      </c>
      <c r="C320" s="49" t="s">
        <v>234</v>
      </c>
      <c r="D320" s="50">
        <v>962745</v>
      </c>
      <c r="E320" s="50">
        <v>323008</v>
      </c>
      <c r="F320" s="60">
        <v>0.33550000000000002</v>
      </c>
      <c r="G320" s="50">
        <v>2974</v>
      </c>
      <c r="H320" s="60">
        <v>9.1999999999999998E-3</v>
      </c>
      <c r="I320" s="60">
        <v>3.0999999999999999E-3</v>
      </c>
      <c r="J320" s="52" t="s">
        <v>1055</v>
      </c>
      <c r="K320" s="109" t="s">
        <v>1056</v>
      </c>
    </row>
    <row r="321" spans="1:11" x14ac:dyDescent="0.35">
      <c r="A321" s="61">
        <v>45372</v>
      </c>
      <c r="B321" s="49" t="s">
        <v>237</v>
      </c>
      <c r="C321" s="49" t="s">
        <v>235</v>
      </c>
      <c r="D321" s="50">
        <v>59758</v>
      </c>
      <c r="E321" s="50">
        <v>17680</v>
      </c>
      <c r="F321" s="60">
        <v>0.2959</v>
      </c>
      <c r="G321" s="49">
        <v>263</v>
      </c>
      <c r="H321" s="60">
        <v>1.49E-2</v>
      </c>
      <c r="I321" s="60">
        <v>4.4000000000000003E-3</v>
      </c>
      <c r="J321" s="52" t="s">
        <v>1055</v>
      </c>
      <c r="K321" s="109" t="s">
        <v>1056</v>
      </c>
    </row>
    <row r="322" spans="1:11" x14ac:dyDescent="0.35">
      <c r="A322" s="61">
        <v>45372</v>
      </c>
      <c r="B322" s="49" t="s">
        <v>223</v>
      </c>
      <c r="C322" s="49" t="s">
        <v>257</v>
      </c>
      <c r="D322" s="50">
        <v>151681</v>
      </c>
      <c r="E322" s="50">
        <v>56875</v>
      </c>
      <c r="F322" s="51">
        <v>0.37496456378847698</v>
      </c>
      <c r="G322" s="50">
        <v>810</v>
      </c>
      <c r="H322" s="51">
        <v>1.42417582417582E-2</v>
      </c>
      <c r="I322" s="51">
        <v>5.3401546667018298E-3</v>
      </c>
      <c r="J322" s="52" t="s">
        <v>1055</v>
      </c>
      <c r="K322" s="109" t="s">
        <v>1056</v>
      </c>
    </row>
    <row r="323" spans="1:11" x14ac:dyDescent="0.35">
      <c r="A323" s="61">
        <v>45372</v>
      </c>
      <c r="B323" s="49" t="s">
        <v>223</v>
      </c>
      <c r="C323" s="49" t="s">
        <v>258</v>
      </c>
      <c r="D323" s="50">
        <v>8510</v>
      </c>
      <c r="E323" s="50">
        <v>3319</v>
      </c>
      <c r="F323" s="51">
        <v>0.39001175088131601</v>
      </c>
      <c r="G323" s="50">
        <v>80</v>
      </c>
      <c r="H323" s="51">
        <v>2.4103645676408599E-2</v>
      </c>
      <c r="I323" s="51">
        <v>9.4007050528789708E-3</v>
      </c>
      <c r="J323" s="52" t="s">
        <v>1055</v>
      </c>
      <c r="K323" s="109" t="s">
        <v>1056</v>
      </c>
    </row>
    <row r="324" spans="1:11" x14ac:dyDescent="0.35">
      <c r="A324" s="61">
        <v>45373</v>
      </c>
      <c r="B324" s="49" t="s">
        <v>259</v>
      </c>
      <c r="C324" s="49" t="s">
        <v>260</v>
      </c>
      <c r="D324" s="50">
        <v>249695</v>
      </c>
      <c r="E324" s="50">
        <v>120734</v>
      </c>
      <c r="F324" s="51">
        <v>0.48352590159995201</v>
      </c>
      <c r="G324" s="50">
        <v>2629</v>
      </c>
      <c r="H324" s="51">
        <v>2.18E-2</v>
      </c>
      <c r="I324" s="51">
        <v>1.0500000000000001E-2</v>
      </c>
      <c r="J324" s="52" t="s">
        <v>1060</v>
      </c>
      <c r="K324" s="109" t="s">
        <v>1054</v>
      </c>
    </row>
    <row r="325" spans="1:11" x14ac:dyDescent="0.35">
      <c r="A325" s="61">
        <v>45373</v>
      </c>
      <c r="B325" s="49" t="s">
        <v>261</v>
      </c>
      <c r="C325" s="49" t="s">
        <v>10</v>
      </c>
      <c r="D325" s="50">
        <v>420436</v>
      </c>
      <c r="E325" s="50">
        <v>153400</v>
      </c>
      <c r="F325" s="51">
        <v>0.36485933649830199</v>
      </c>
      <c r="G325" s="50">
        <v>2952</v>
      </c>
      <c r="H325" s="51">
        <v>1.9243807040417199E-2</v>
      </c>
      <c r="I325" s="51">
        <v>7.0212826684679704E-3</v>
      </c>
      <c r="J325" s="52" t="s">
        <v>1057</v>
      </c>
      <c r="K325" s="109" t="s">
        <v>1054</v>
      </c>
    </row>
    <row r="326" spans="1:11" x14ac:dyDescent="0.35">
      <c r="A326" s="61">
        <v>45373</v>
      </c>
      <c r="B326" s="49" t="s">
        <v>262</v>
      </c>
      <c r="C326" s="49" t="s">
        <v>10</v>
      </c>
      <c r="D326" s="50">
        <v>2770241</v>
      </c>
      <c r="E326" s="50">
        <v>929503</v>
      </c>
      <c r="F326" s="51">
        <v>0.335531457371398</v>
      </c>
      <c r="G326" s="50">
        <v>13992</v>
      </c>
      <c r="H326" s="51">
        <v>1.5053205853020399E-2</v>
      </c>
      <c r="I326" s="51">
        <v>5.0508240979755901E-3</v>
      </c>
      <c r="J326" s="52" t="s">
        <v>1055</v>
      </c>
      <c r="K326" s="109" t="s">
        <v>1056</v>
      </c>
    </row>
    <row r="327" spans="1:11" x14ac:dyDescent="0.35">
      <c r="A327" s="61">
        <v>45373</v>
      </c>
      <c r="B327" s="49" t="s">
        <v>262</v>
      </c>
      <c r="C327" s="49" t="s">
        <v>263</v>
      </c>
      <c r="D327" s="50">
        <v>3376122</v>
      </c>
      <c r="E327" s="50">
        <v>1248593</v>
      </c>
      <c r="F327" s="51">
        <v>0.36983053337527499</v>
      </c>
      <c r="G327" s="50">
        <v>16048</v>
      </c>
      <c r="H327" s="51">
        <v>1.2852867187305999E-2</v>
      </c>
      <c r="I327" s="51">
        <v>4.75338272728296E-3</v>
      </c>
      <c r="J327" s="52" t="s">
        <v>1055</v>
      </c>
      <c r="K327" s="109" t="s">
        <v>1056</v>
      </c>
    </row>
    <row r="328" spans="1:11" x14ac:dyDescent="0.35">
      <c r="A328" s="61">
        <v>45373</v>
      </c>
      <c r="B328" s="49" t="s">
        <v>262</v>
      </c>
      <c r="C328" s="49" t="s">
        <v>11</v>
      </c>
      <c r="D328" s="50">
        <v>159952</v>
      </c>
      <c r="E328" s="50">
        <v>45030</v>
      </c>
      <c r="F328" s="51">
        <v>0.28152195658697599</v>
      </c>
      <c r="G328" s="50">
        <v>953</v>
      </c>
      <c r="H328" s="51">
        <v>2.1163668665334201E-2</v>
      </c>
      <c r="I328" s="51">
        <v>5.9580374112233698E-3</v>
      </c>
      <c r="J328" s="52" t="s">
        <v>1055</v>
      </c>
      <c r="K328" s="109" t="s">
        <v>1056</v>
      </c>
    </row>
    <row r="329" spans="1:11" x14ac:dyDescent="0.35">
      <c r="A329" s="61">
        <v>45373</v>
      </c>
      <c r="B329" s="49" t="s">
        <v>262</v>
      </c>
      <c r="C329" s="49" t="s">
        <v>264</v>
      </c>
      <c r="D329" s="50">
        <v>246611</v>
      </c>
      <c r="E329" s="50">
        <v>73973</v>
      </c>
      <c r="F329" s="51">
        <v>0.29995823381763198</v>
      </c>
      <c r="G329" s="50">
        <v>1722</v>
      </c>
      <c r="H329" s="51">
        <v>2.3278763873305099E-2</v>
      </c>
      <c r="I329" s="51">
        <v>6.9826568968943004E-3</v>
      </c>
      <c r="J329" s="52" t="s">
        <v>1055</v>
      </c>
      <c r="K329" s="109" t="s">
        <v>1056</v>
      </c>
    </row>
    <row r="330" spans="1:11" x14ac:dyDescent="0.35">
      <c r="A330" s="61">
        <v>45374</v>
      </c>
      <c r="B330" s="49" t="s">
        <v>265</v>
      </c>
      <c r="C330" s="49" t="s">
        <v>266</v>
      </c>
      <c r="D330" s="50">
        <v>22606</v>
      </c>
      <c r="E330" s="50">
        <v>8862</v>
      </c>
      <c r="F330" s="51">
        <v>0.392019817747501</v>
      </c>
      <c r="G330" s="50">
        <v>218</v>
      </c>
      <c r="H330" s="51">
        <v>2.4599413225005601E-2</v>
      </c>
      <c r="I330" s="51">
        <v>9.6434574891621702E-3</v>
      </c>
      <c r="J330" s="52" t="s">
        <v>1060</v>
      </c>
      <c r="K330" s="109" t="s">
        <v>1054</v>
      </c>
    </row>
    <row r="331" spans="1:11" x14ac:dyDescent="0.35">
      <c r="A331" s="61">
        <v>45376</v>
      </c>
      <c r="B331" s="49" t="s">
        <v>267</v>
      </c>
      <c r="C331" s="49" t="s">
        <v>10</v>
      </c>
      <c r="D331" s="50">
        <v>623367</v>
      </c>
      <c r="E331" s="50">
        <v>234926</v>
      </c>
      <c r="F331" s="51">
        <v>0.37686627620647201</v>
      </c>
      <c r="G331" s="50">
        <v>2227</v>
      </c>
      <c r="H331" s="51">
        <v>9.4795808041681206E-3</v>
      </c>
      <c r="I331" s="51">
        <v>3.5725343176652002E-3</v>
      </c>
      <c r="J331" s="52" t="s">
        <v>1057</v>
      </c>
      <c r="K331" s="109" t="s">
        <v>1054</v>
      </c>
    </row>
    <row r="332" spans="1:11" x14ac:dyDescent="0.35">
      <c r="A332" s="61">
        <v>45376</v>
      </c>
      <c r="B332" s="49" t="s">
        <v>267</v>
      </c>
      <c r="C332" s="49" t="s">
        <v>11</v>
      </c>
      <c r="D332" s="50">
        <v>32507</v>
      </c>
      <c r="E332" s="50">
        <v>11642</v>
      </c>
      <c r="F332" s="51">
        <v>0.35813824714676801</v>
      </c>
      <c r="G332" s="50">
        <v>147</v>
      </c>
      <c r="H332" s="51">
        <v>1.2626696443910001E-2</v>
      </c>
      <c r="I332" s="51">
        <v>4.5221029316762501E-3</v>
      </c>
      <c r="J332" s="52" t="s">
        <v>1057</v>
      </c>
      <c r="K332" s="109" t="s">
        <v>1054</v>
      </c>
    </row>
    <row r="333" spans="1:11" x14ac:dyDescent="0.35">
      <c r="A333" s="61">
        <v>45376</v>
      </c>
      <c r="B333" s="49" t="s">
        <v>268</v>
      </c>
      <c r="C333" s="49" t="s">
        <v>269</v>
      </c>
      <c r="D333" s="50">
        <v>250871</v>
      </c>
      <c r="E333" s="50">
        <v>92802</v>
      </c>
      <c r="F333" s="51">
        <v>0.369919201501967</v>
      </c>
      <c r="G333" s="50">
        <v>1892</v>
      </c>
      <c r="H333" s="51">
        <v>2.03874916488869E-2</v>
      </c>
      <c r="I333" s="51">
        <v>7.5417246313842596E-3</v>
      </c>
      <c r="J333" s="52" t="s">
        <v>1060</v>
      </c>
      <c r="K333" s="109" t="s">
        <v>1054</v>
      </c>
    </row>
    <row r="334" spans="1:11" x14ac:dyDescent="0.35">
      <c r="A334" s="61">
        <v>45377</v>
      </c>
      <c r="B334" s="49" t="s">
        <v>270</v>
      </c>
      <c r="C334" s="49" t="s">
        <v>271</v>
      </c>
      <c r="D334" s="50">
        <v>60276</v>
      </c>
      <c r="E334" s="50">
        <v>21755</v>
      </c>
      <c r="F334" s="51">
        <v>0.36092308713252402</v>
      </c>
      <c r="G334" s="50">
        <v>307</v>
      </c>
      <c r="H334" s="51">
        <v>1.4111698460124099E-2</v>
      </c>
      <c r="I334" s="51">
        <v>5.0932377729112702E-3</v>
      </c>
      <c r="J334" s="52" t="s">
        <v>1060</v>
      </c>
      <c r="K334" s="109" t="s">
        <v>1054</v>
      </c>
    </row>
    <row r="335" spans="1:11" x14ac:dyDescent="0.35">
      <c r="A335" s="61">
        <v>45377</v>
      </c>
      <c r="B335" s="49" t="s">
        <v>272</v>
      </c>
      <c r="C335" s="49" t="s">
        <v>10</v>
      </c>
      <c r="D335" s="50">
        <v>1380065</v>
      </c>
      <c r="E335" s="50">
        <v>511745</v>
      </c>
      <c r="F335" s="51">
        <v>0.37081224435081001</v>
      </c>
      <c r="G335" s="50">
        <v>8662</v>
      </c>
      <c r="H335" s="51">
        <v>1.6926398890072199E-2</v>
      </c>
      <c r="I335" s="51">
        <v>6.2765159612047303E-3</v>
      </c>
      <c r="J335" s="52" t="s">
        <v>1055</v>
      </c>
      <c r="K335" s="109" t="s">
        <v>1056</v>
      </c>
    </row>
    <row r="336" spans="1:11" x14ac:dyDescent="0.35">
      <c r="A336" s="61">
        <v>45377</v>
      </c>
      <c r="B336" s="49" t="s">
        <v>272</v>
      </c>
      <c r="C336" s="49" t="s">
        <v>11</v>
      </c>
      <c r="D336" s="50">
        <v>98120</v>
      </c>
      <c r="E336" s="50">
        <v>33872</v>
      </c>
      <c r="F336" s="51">
        <v>0.34520994700366903</v>
      </c>
      <c r="G336" s="50">
        <v>768</v>
      </c>
      <c r="H336" s="51">
        <v>2.26735947094946E-2</v>
      </c>
      <c r="I336" s="51">
        <v>7.8271504280472901E-3</v>
      </c>
      <c r="J336" s="52" t="s">
        <v>1055</v>
      </c>
      <c r="K336" s="109" t="s">
        <v>1056</v>
      </c>
    </row>
    <row r="337" spans="1:11" x14ac:dyDescent="0.35">
      <c r="A337" s="61">
        <v>45378</v>
      </c>
      <c r="B337" s="49" t="s">
        <v>273</v>
      </c>
      <c r="C337" s="49" t="s">
        <v>14</v>
      </c>
      <c r="D337" s="50">
        <v>6610016</v>
      </c>
      <c r="E337" s="50">
        <v>2390001</v>
      </c>
      <c r="F337" s="51">
        <v>0.36157264974850301</v>
      </c>
      <c r="G337" s="50">
        <v>28589</v>
      </c>
      <c r="H337" s="51">
        <v>1.19619196812052E-2</v>
      </c>
      <c r="I337" s="51">
        <v>4.3251029952121097E-3</v>
      </c>
      <c r="J337" s="52" t="s">
        <v>1061</v>
      </c>
      <c r="K337" s="109" t="s">
        <v>1054</v>
      </c>
    </row>
    <row r="338" spans="1:11" x14ac:dyDescent="0.35">
      <c r="A338" s="61">
        <v>45378</v>
      </c>
      <c r="B338" s="49" t="s">
        <v>273</v>
      </c>
      <c r="C338" s="49" t="s">
        <v>274</v>
      </c>
      <c r="D338" s="50">
        <v>428438</v>
      </c>
      <c r="E338" s="50">
        <v>148409</v>
      </c>
      <c r="F338" s="51">
        <v>0.34639551113580003</v>
      </c>
      <c r="G338" s="50">
        <v>2858</v>
      </c>
      <c r="H338" s="51">
        <v>1.92575921945435E-2</v>
      </c>
      <c r="I338" s="51">
        <v>6.6707434914736801E-3</v>
      </c>
      <c r="J338" s="52" t="s">
        <v>1061</v>
      </c>
      <c r="K338" s="109" t="s">
        <v>1054</v>
      </c>
    </row>
    <row r="339" spans="1:11" x14ac:dyDescent="0.35">
      <c r="A339" s="61">
        <v>45378</v>
      </c>
      <c r="B339" s="49" t="s">
        <v>275</v>
      </c>
      <c r="C339" s="49" t="s">
        <v>74</v>
      </c>
      <c r="D339" s="50">
        <v>33826</v>
      </c>
      <c r="E339" s="50">
        <v>12879</v>
      </c>
      <c r="F339" s="51">
        <v>0.38074262401702802</v>
      </c>
      <c r="G339" s="50">
        <v>173</v>
      </c>
      <c r="H339" s="51">
        <v>1.3432719931671701E-2</v>
      </c>
      <c r="I339" s="51">
        <v>5.11440903447053E-3</v>
      </c>
      <c r="J339" s="52" t="s">
        <v>1055</v>
      </c>
      <c r="K339" s="109" t="s">
        <v>1056</v>
      </c>
    </row>
    <row r="340" spans="1:11" x14ac:dyDescent="0.35">
      <c r="A340" s="61">
        <v>45378</v>
      </c>
      <c r="B340" s="49" t="s">
        <v>275</v>
      </c>
      <c r="C340" s="49" t="s">
        <v>72</v>
      </c>
      <c r="D340" s="50">
        <v>639027</v>
      </c>
      <c r="E340" s="50">
        <v>240229</v>
      </c>
      <c r="F340" s="51">
        <v>0.37592934257863903</v>
      </c>
      <c r="G340" s="50">
        <v>3041</v>
      </c>
      <c r="H340" s="51">
        <v>1.26587547714889E-2</v>
      </c>
      <c r="I340" s="51">
        <v>4.7587973591100199E-3</v>
      </c>
      <c r="J340" s="52" t="s">
        <v>1055</v>
      </c>
      <c r="K340" s="109" t="s">
        <v>1056</v>
      </c>
    </row>
    <row r="341" spans="1:11" x14ac:dyDescent="0.35">
      <c r="A341" s="61">
        <v>45378</v>
      </c>
      <c r="B341" s="49" t="s">
        <v>275</v>
      </c>
      <c r="C341" s="49" t="s">
        <v>75</v>
      </c>
      <c r="D341" s="50">
        <v>2001</v>
      </c>
      <c r="E341" s="50">
        <v>725</v>
      </c>
      <c r="F341" s="51">
        <v>0.36231884057970998</v>
      </c>
      <c r="G341" s="50">
        <v>20</v>
      </c>
      <c r="H341" s="51">
        <v>2.7586206896551699E-2</v>
      </c>
      <c r="I341" s="51">
        <v>9.9950024987506304E-3</v>
      </c>
      <c r="J341" s="52" t="s">
        <v>1055</v>
      </c>
      <c r="K341" s="109" t="s">
        <v>1056</v>
      </c>
    </row>
    <row r="342" spans="1:11" x14ac:dyDescent="0.35">
      <c r="A342" s="61">
        <v>45378</v>
      </c>
      <c r="B342" s="49" t="s">
        <v>275</v>
      </c>
      <c r="C342" s="49" t="s">
        <v>73</v>
      </c>
      <c r="D342" s="50">
        <v>37845</v>
      </c>
      <c r="E342" s="50">
        <v>13487</v>
      </c>
      <c r="F342" s="51">
        <v>0.35637468622010798</v>
      </c>
      <c r="G342" s="50">
        <v>242</v>
      </c>
      <c r="H342" s="51">
        <v>1.79432045673612E-2</v>
      </c>
      <c r="I342" s="51">
        <v>6.3945038974765498E-3</v>
      </c>
      <c r="J342" s="52" t="s">
        <v>1055</v>
      </c>
      <c r="K342" s="109" t="s">
        <v>1056</v>
      </c>
    </row>
    <row r="343" spans="1:11" x14ac:dyDescent="0.35">
      <c r="A343" s="61">
        <v>45378</v>
      </c>
      <c r="B343" s="49" t="s">
        <v>276</v>
      </c>
      <c r="C343" s="49" t="s">
        <v>10</v>
      </c>
      <c r="D343" s="50">
        <v>12036</v>
      </c>
      <c r="E343" s="50">
        <v>4125</v>
      </c>
      <c r="F343" s="51">
        <v>0.34272183449651</v>
      </c>
      <c r="G343" s="50">
        <v>83</v>
      </c>
      <c r="H343" s="51">
        <v>2.0121212121212099E-2</v>
      </c>
      <c r="I343" s="51">
        <v>6.8959787304752398E-3</v>
      </c>
      <c r="J343" s="52" t="s">
        <v>1058</v>
      </c>
      <c r="K343" s="109" t="s">
        <v>1054</v>
      </c>
    </row>
    <row r="344" spans="1:11" x14ac:dyDescent="0.35">
      <c r="A344" s="61">
        <v>45378</v>
      </c>
      <c r="B344" s="49" t="s">
        <v>277</v>
      </c>
      <c r="C344" s="49" t="s">
        <v>10</v>
      </c>
      <c r="D344" s="50">
        <v>97304</v>
      </c>
      <c r="E344" s="50">
        <v>45542</v>
      </c>
      <c r="F344" s="51">
        <v>0.468038312916221</v>
      </c>
      <c r="G344" s="50">
        <v>3631</v>
      </c>
      <c r="H344" s="51">
        <v>7.9728602169425997E-2</v>
      </c>
      <c r="I344" s="51">
        <v>3.7316040450546699E-2</v>
      </c>
      <c r="J344" s="52" t="s">
        <v>1058</v>
      </c>
      <c r="K344" s="109" t="s">
        <v>1056</v>
      </c>
    </row>
    <row r="345" spans="1:11" x14ac:dyDescent="0.35">
      <c r="A345" s="61">
        <v>45378</v>
      </c>
      <c r="B345" s="49" t="s">
        <v>277</v>
      </c>
      <c r="C345" s="49" t="s">
        <v>11</v>
      </c>
      <c r="D345" s="50">
        <v>4435</v>
      </c>
      <c r="E345" s="50">
        <v>1987</v>
      </c>
      <c r="F345" s="51">
        <v>0.44802705749718202</v>
      </c>
      <c r="G345" s="50">
        <v>129</v>
      </c>
      <c r="H345" s="51">
        <v>6.4921992954202298E-2</v>
      </c>
      <c r="I345" s="51">
        <v>2.9086809470124E-2</v>
      </c>
      <c r="J345" s="52" t="s">
        <v>1058</v>
      </c>
      <c r="K345" s="109" t="s">
        <v>1056</v>
      </c>
    </row>
    <row r="346" spans="1:11" x14ac:dyDescent="0.35">
      <c r="A346" s="61">
        <v>45379</v>
      </c>
      <c r="B346" s="49" t="s">
        <v>278</v>
      </c>
      <c r="C346" s="49" t="s">
        <v>279</v>
      </c>
      <c r="D346" s="50">
        <v>1005433</v>
      </c>
      <c r="E346" s="50">
        <v>350499</v>
      </c>
      <c r="F346" s="60">
        <v>0.34860000000000002</v>
      </c>
      <c r="G346" s="50">
        <v>2824</v>
      </c>
      <c r="H346" s="60">
        <v>8.0999999999999996E-3</v>
      </c>
      <c r="I346" s="60">
        <v>2.8E-3</v>
      </c>
      <c r="J346" s="52" t="s">
        <v>1055</v>
      </c>
      <c r="K346" s="109" t="s">
        <v>1056</v>
      </c>
    </row>
    <row r="347" spans="1:11" x14ac:dyDescent="0.35">
      <c r="A347" s="61">
        <v>45379</v>
      </c>
      <c r="B347" s="49" t="s">
        <v>280</v>
      </c>
      <c r="C347" s="49" t="s">
        <v>281</v>
      </c>
      <c r="D347" s="50">
        <v>75943</v>
      </c>
      <c r="E347" s="50">
        <v>25013</v>
      </c>
      <c r="F347" s="60">
        <v>0.32940000000000003</v>
      </c>
      <c r="G347" s="49">
        <v>254</v>
      </c>
      <c r="H347" s="60">
        <v>1.0200000000000001E-2</v>
      </c>
      <c r="I347" s="60">
        <v>3.3E-3</v>
      </c>
      <c r="J347" s="52" t="s">
        <v>1055</v>
      </c>
      <c r="K347" s="109" t="s">
        <v>1056</v>
      </c>
    </row>
    <row r="348" spans="1:11" x14ac:dyDescent="0.35">
      <c r="A348" s="61">
        <v>45379</v>
      </c>
      <c r="B348" s="49" t="s">
        <v>282</v>
      </c>
      <c r="C348" s="49" t="s">
        <v>283</v>
      </c>
      <c r="D348" s="50">
        <v>952986</v>
      </c>
      <c r="E348" s="50">
        <v>316973</v>
      </c>
      <c r="F348" s="60">
        <v>0.33260000000000001</v>
      </c>
      <c r="G348" s="50">
        <v>3738</v>
      </c>
      <c r="H348" s="60">
        <v>1.18E-2</v>
      </c>
      <c r="I348" s="60">
        <v>3.8999999999999998E-3</v>
      </c>
      <c r="J348" s="52" t="s">
        <v>1055</v>
      </c>
      <c r="K348" s="109" t="s">
        <v>1056</v>
      </c>
    </row>
    <row r="349" spans="1:11" x14ac:dyDescent="0.35">
      <c r="A349" s="61">
        <v>45379</v>
      </c>
      <c r="B349" s="49" t="s">
        <v>284</v>
      </c>
      <c r="C349" s="49" t="s">
        <v>285</v>
      </c>
      <c r="D349" s="50">
        <v>59301</v>
      </c>
      <c r="E349" s="50">
        <v>17744</v>
      </c>
      <c r="F349" s="60">
        <v>0.29920000000000002</v>
      </c>
      <c r="G349" s="49">
        <v>272</v>
      </c>
      <c r="H349" s="60">
        <v>1.5299999999999999E-2</v>
      </c>
      <c r="I349" s="60">
        <v>4.5999999999999999E-3</v>
      </c>
      <c r="J349" s="52" t="s">
        <v>1055</v>
      </c>
      <c r="K349" s="109" t="s">
        <v>1056</v>
      </c>
    </row>
    <row r="350" spans="1:11" x14ac:dyDescent="0.35">
      <c r="A350" s="61">
        <v>45379</v>
      </c>
      <c r="B350" s="49" t="s">
        <v>286</v>
      </c>
      <c r="C350" s="49" t="s">
        <v>287</v>
      </c>
      <c r="D350" s="50">
        <v>41958</v>
      </c>
      <c r="E350" s="50">
        <v>11798</v>
      </c>
      <c r="F350" s="51">
        <v>0.28118594785261503</v>
      </c>
      <c r="G350" s="50">
        <v>603</v>
      </c>
      <c r="H350" s="51">
        <v>5.1110357687743697E-2</v>
      </c>
      <c r="I350" s="51">
        <v>1.4371514371514399E-2</v>
      </c>
      <c r="J350" s="52" t="s">
        <v>1055</v>
      </c>
      <c r="K350" s="109" t="s">
        <v>1056</v>
      </c>
    </row>
    <row r="351" spans="1:11" x14ac:dyDescent="0.35">
      <c r="A351" s="61">
        <v>45379</v>
      </c>
      <c r="B351" s="49" t="s">
        <v>286</v>
      </c>
      <c r="C351" s="49" t="s">
        <v>288</v>
      </c>
      <c r="D351" s="50">
        <v>125395</v>
      </c>
      <c r="E351" s="50">
        <v>41855</v>
      </c>
      <c r="F351" s="51">
        <v>0.333785238645879</v>
      </c>
      <c r="G351" s="50">
        <v>2867</v>
      </c>
      <c r="H351" s="51">
        <v>6.8498387289451707E-2</v>
      </c>
      <c r="I351" s="51">
        <v>2.28637505482675E-2</v>
      </c>
      <c r="J351" s="52" t="s">
        <v>1055</v>
      </c>
      <c r="K351" s="109" t="s">
        <v>1056</v>
      </c>
    </row>
    <row r="352" spans="1:11" x14ac:dyDescent="0.35">
      <c r="A352" s="61">
        <v>45380</v>
      </c>
      <c r="B352" s="49" t="s">
        <v>289</v>
      </c>
      <c r="C352" s="49" t="s">
        <v>10</v>
      </c>
      <c r="D352" s="50">
        <v>421524</v>
      </c>
      <c r="E352" s="50">
        <v>161173</v>
      </c>
      <c r="F352" s="51">
        <v>0.38235782541444902</v>
      </c>
      <c r="G352" s="50">
        <v>3776</v>
      </c>
      <c r="H352" s="51">
        <v>2.3428241703014802E-2</v>
      </c>
      <c r="I352" s="51">
        <v>8.9579715508488304E-3</v>
      </c>
      <c r="J352" s="52" t="s">
        <v>1057</v>
      </c>
      <c r="K352" s="109" t="s">
        <v>1054</v>
      </c>
    </row>
    <row r="353" spans="1:11" x14ac:dyDescent="0.35">
      <c r="A353" s="61">
        <v>45380</v>
      </c>
      <c r="B353" s="49" t="s">
        <v>289</v>
      </c>
      <c r="C353" s="49" t="s">
        <v>11</v>
      </c>
      <c r="D353" s="50">
        <v>22557</v>
      </c>
      <c r="E353" s="50">
        <v>8185</v>
      </c>
      <c r="F353" s="51">
        <v>0.36285853615285701</v>
      </c>
      <c r="G353" s="50">
        <v>338</v>
      </c>
      <c r="H353" s="51">
        <v>4.1295051924251702E-2</v>
      </c>
      <c r="I353" s="51">
        <v>1.4984262091590201E-2</v>
      </c>
      <c r="J353" s="52" t="s">
        <v>1057</v>
      </c>
      <c r="K353" s="109" t="s">
        <v>1054</v>
      </c>
    </row>
    <row r="354" spans="1:11" x14ac:dyDescent="0.35">
      <c r="A354" s="61">
        <v>45380</v>
      </c>
      <c r="B354" s="49" t="s">
        <v>290</v>
      </c>
      <c r="C354" s="49" t="s">
        <v>10</v>
      </c>
      <c r="D354" s="50">
        <v>4947682</v>
      </c>
      <c r="E354" s="50">
        <v>1724641</v>
      </c>
      <c r="F354" s="51">
        <v>0.34857555517917299</v>
      </c>
      <c r="G354" s="50">
        <v>24812</v>
      </c>
      <c r="H354" s="51">
        <v>1.43867622305164E-2</v>
      </c>
      <c r="I354" s="51">
        <v>5.0148736317329997E-3</v>
      </c>
      <c r="J354" s="52" t="s">
        <v>1055</v>
      </c>
      <c r="K354" s="109" t="s">
        <v>1056</v>
      </c>
    </row>
    <row r="355" spans="1:11" x14ac:dyDescent="0.35">
      <c r="A355" s="61">
        <v>45380</v>
      </c>
      <c r="B355" s="49" t="s">
        <v>290</v>
      </c>
      <c r="C355" s="49" t="s">
        <v>11</v>
      </c>
      <c r="D355" s="50">
        <v>316295</v>
      </c>
      <c r="E355" s="50">
        <v>87808</v>
      </c>
      <c r="F355" s="51">
        <v>0.277614252517428</v>
      </c>
      <c r="G355" s="50">
        <v>1715</v>
      </c>
      <c r="H355" s="51">
        <v>1.953125E-2</v>
      </c>
      <c r="I355" s="51">
        <v>5.4221533694810203E-3</v>
      </c>
      <c r="J355" s="52" t="s">
        <v>1055</v>
      </c>
      <c r="K355" s="109" t="s">
        <v>1056</v>
      </c>
    </row>
    <row r="356" spans="1:11" x14ac:dyDescent="0.35">
      <c r="A356" s="61">
        <v>45383</v>
      </c>
      <c r="B356" s="49" t="s">
        <v>291</v>
      </c>
      <c r="C356" s="49" t="s">
        <v>101</v>
      </c>
      <c r="D356" s="50">
        <v>24277</v>
      </c>
      <c r="E356" s="50">
        <v>8175</v>
      </c>
      <c r="F356" s="51">
        <v>0.33673847674753898</v>
      </c>
      <c r="G356" s="50">
        <v>126</v>
      </c>
      <c r="H356" s="51">
        <v>1.5412844036697199E-2</v>
      </c>
      <c r="I356" s="51">
        <v>5.1900976232648202E-3</v>
      </c>
      <c r="J356" s="52" t="s">
        <v>1060</v>
      </c>
      <c r="K356" s="109" t="s">
        <v>1054</v>
      </c>
    </row>
    <row r="357" spans="1:11" x14ac:dyDescent="0.35">
      <c r="A357" s="61">
        <v>45383</v>
      </c>
      <c r="B357" s="49" t="s">
        <v>291</v>
      </c>
      <c r="C357" s="49" t="s">
        <v>102</v>
      </c>
      <c r="D357" s="50">
        <v>8351</v>
      </c>
      <c r="E357" s="50">
        <v>3141</v>
      </c>
      <c r="F357" s="51">
        <v>0.37612262004550401</v>
      </c>
      <c r="G357" s="50">
        <v>72</v>
      </c>
      <c r="H357" s="51">
        <v>2.29226361031519E-2</v>
      </c>
      <c r="I357" s="51">
        <v>8.6217219494671305E-3</v>
      </c>
      <c r="J357" s="52" t="s">
        <v>1060</v>
      </c>
      <c r="K357" s="109" t="s">
        <v>1054</v>
      </c>
    </row>
    <row r="358" spans="1:11" x14ac:dyDescent="0.35">
      <c r="A358" s="61">
        <v>45383</v>
      </c>
      <c r="B358" s="49" t="s">
        <v>291</v>
      </c>
      <c r="C358" s="49" t="s">
        <v>103</v>
      </c>
      <c r="D358" s="50">
        <v>37692</v>
      </c>
      <c r="E358" s="50">
        <v>15136</v>
      </c>
      <c r="F358" s="51">
        <v>0.40157062506632701</v>
      </c>
      <c r="G358" s="50">
        <v>433</v>
      </c>
      <c r="H358" s="51">
        <v>2.8607293868921801E-2</v>
      </c>
      <c r="I358" s="51">
        <v>1.1487848880399E-2</v>
      </c>
      <c r="J358" s="52" t="s">
        <v>1060</v>
      </c>
      <c r="K358" s="109" t="s">
        <v>1054</v>
      </c>
    </row>
    <row r="359" spans="1:11" x14ac:dyDescent="0.35">
      <c r="A359" s="61">
        <v>45383</v>
      </c>
      <c r="B359" s="49" t="s">
        <v>291</v>
      </c>
      <c r="C359" s="49" t="s">
        <v>104</v>
      </c>
      <c r="D359" s="50">
        <v>158095</v>
      </c>
      <c r="E359" s="50">
        <v>60843</v>
      </c>
      <c r="F359" s="51">
        <v>0.38485088079951901</v>
      </c>
      <c r="G359" s="50">
        <v>1327</v>
      </c>
      <c r="H359" s="51">
        <v>2.1810232894499001E-2</v>
      </c>
      <c r="I359" s="51">
        <v>8.3936873398905692E-3</v>
      </c>
      <c r="J359" s="52" t="s">
        <v>1060</v>
      </c>
      <c r="K359" s="109" t="s">
        <v>1054</v>
      </c>
    </row>
    <row r="360" spans="1:11" x14ac:dyDescent="0.35">
      <c r="A360" s="61">
        <v>45383</v>
      </c>
      <c r="B360" s="49" t="s">
        <v>291</v>
      </c>
      <c r="C360" s="49" t="s">
        <v>106</v>
      </c>
      <c r="D360" s="50">
        <v>12046</v>
      </c>
      <c r="E360" s="50">
        <v>4423</v>
      </c>
      <c r="F360" s="51">
        <v>0.367175826000332</v>
      </c>
      <c r="G360" s="50">
        <v>98</v>
      </c>
      <c r="H360" s="51">
        <v>2.2156907076644802E-2</v>
      </c>
      <c r="I360" s="51">
        <v>8.1354806574796597E-3</v>
      </c>
      <c r="J360" s="52" t="s">
        <v>1060</v>
      </c>
      <c r="K360" s="109" t="s">
        <v>1054</v>
      </c>
    </row>
    <row r="361" spans="1:11" x14ac:dyDescent="0.35">
      <c r="A361" s="61">
        <v>45383</v>
      </c>
      <c r="B361" s="49" t="s">
        <v>292</v>
      </c>
      <c r="C361" s="49" t="s">
        <v>10</v>
      </c>
      <c r="D361" s="50">
        <v>87337</v>
      </c>
      <c r="E361" s="50">
        <v>35572</v>
      </c>
      <c r="F361" s="51">
        <v>0.40729587689066499</v>
      </c>
      <c r="G361" s="50">
        <v>3924</v>
      </c>
      <c r="H361" s="51">
        <v>0.110311480940065</v>
      </c>
      <c r="I361" s="51">
        <v>4.4929411360591698E-2</v>
      </c>
      <c r="J361" s="52" t="s">
        <v>1053</v>
      </c>
      <c r="K361" s="109" t="s">
        <v>1054</v>
      </c>
    </row>
    <row r="362" spans="1:11" x14ac:dyDescent="0.35">
      <c r="A362" s="61">
        <v>45383</v>
      </c>
      <c r="B362" s="49" t="s">
        <v>292</v>
      </c>
      <c r="C362" s="49" t="s">
        <v>11</v>
      </c>
      <c r="D362" s="50">
        <v>9638</v>
      </c>
      <c r="E362" s="50">
        <v>3765</v>
      </c>
      <c r="F362" s="51">
        <v>0.39064121186968198</v>
      </c>
      <c r="G362" s="50">
        <v>641</v>
      </c>
      <c r="H362" s="51">
        <v>0.17025232403718499</v>
      </c>
      <c r="I362" s="51">
        <v>6.65075741855157E-2</v>
      </c>
      <c r="J362" s="52" t="s">
        <v>1053</v>
      </c>
      <c r="K362" s="109" t="s">
        <v>1054</v>
      </c>
    </row>
    <row r="363" spans="1:11" x14ac:dyDescent="0.35">
      <c r="A363" s="61">
        <v>45384</v>
      </c>
      <c r="B363" s="49" t="s">
        <v>293</v>
      </c>
      <c r="C363" s="49" t="s">
        <v>10</v>
      </c>
      <c r="D363" s="50">
        <v>1377697</v>
      </c>
      <c r="E363" s="50">
        <v>515504</v>
      </c>
      <c r="F363" s="51">
        <v>0.37417806673020299</v>
      </c>
      <c r="G363" s="50">
        <v>6150</v>
      </c>
      <c r="H363" s="51">
        <v>1.19300723175766E-2</v>
      </c>
      <c r="I363" s="51">
        <v>4.4639713957423102E-3</v>
      </c>
      <c r="J363" s="52" t="s">
        <v>1055</v>
      </c>
      <c r="K363" s="109" t="s">
        <v>1056</v>
      </c>
    </row>
    <row r="364" spans="1:11" x14ac:dyDescent="0.35">
      <c r="A364" s="61">
        <v>45384</v>
      </c>
      <c r="B364" s="49" t="s">
        <v>293</v>
      </c>
      <c r="C364" s="49" t="s">
        <v>11</v>
      </c>
      <c r="D364" s="50">
        <v>97843</v>
      </c>
      <c r="E364" s="50">
        <v>31706</v>
      </c>
      <c r="F364" s="51">
        <v>0.32404975317600598</v>
      </c>
      <c r="G364" s="50">
        <v>789</v>
      </c>
      <c r="H364" s="51">
        <v>2.488487983347E-2</v>
      </c>
      <c r="I364" s="51">
        <v>8.0639391678505399E-3</v>
      </c>
      <c r="J364" s="52" t="s">
        <v>1055</v>
      </c>
      <c r="K364" s="109" t="s">
        <v>1056</v>
      </c>
    </row>
    <row r="365" spans="1:11" x14ac:dyDescent="0.35">
      <c r="A365" s="61">
        <v>45385</v>
      </c>
      <c r="B365" s="49" t="s">
        <v>294</v>
      </c>
      <c r="C365" s="49" t="s">
        <v>10</v>
      </c>
      <c r="D365" s="50">
        <v>228661</v>
      </c>
      <c r="E365" s="50">
        <v>99181</v>
      </c>
      <c r="F365" s="51">
        <v>0.43374690043339298</v>
      </c>
      <c r="G365" s="50">
        <v>1814</v>
      </c>
      <c r="H365" s="51">
        <v>1.8289793408011599E-2</v>
      </c>
      <c r="I365" s="51">
        <v>7.9331412002921296E-3</v>
      </c>
      <c r="J365" s="52" t="s">
        <v>1055</v>
      </c>
      <c r="K365" s="109" t="s">
        <v>1056</v>
      </c>
    </row>
    <row r="366" spans="1:11" x14ac:dyDescent="0.35">
      <c r="A366" s="61">
        <v>45385</v>
      </c>
      <c r="B366" s="49" t="s">
        <v>294</v>
      </c>
      <c r="C366" s="49" t="s">
        <v>11</v>
      </c>
      <c r="D366" s="50">
        <v>13629</v>
      </c>
      <c r="E366" s="50">
        <v>6007</v>
      </c>
      <c r="F366" s="51">
        <v>0.440751339056424</v>
      </c>
      <c r="G366" s="50">
        <v>159</v>
      </c>
      <c r="H366" s="51">
        <v>2.6469119360745801E-2</v>
      </c>
      <c r="I366" s="51">
        <v>1.1666299801893E-2</v>
      </c>
      <c r="J366" s="52" t="s">
        <v>1055</v>
      </c>
      <c r="K366" s="109" t="s">
        <v>1056</v>
      </c>
    </row>
    <row r="367" spans="1:11" x14ac:dyDescent="0.35">
      <c r="A367" s="61">
        <v>45385</v>
      </c>
      <c r="B367" s="49" t="s">
        <v>295</v>
      </c>
      <c r="C367" s="49" t="s">
        <v>10</v>
      </c>
      <c r="D367" s="50">
        <v>685325</v>
      </c>
      <c r="E367" s="50">
        <v>254297</v>
      </c>
      <c r="F367" s="51">
        <v>0.37106044577390301</v>
      </c>
      <c r="G367" s="50">
        <v>2634</v>
      </c>
      <c r="H367" s="51">
        <v>1.03579672587565E-2</v>
      </c>
      <c r="I367" s="51">
        <v>3.8434319483456802E-3</v>
      </c>
      <c r="J367" s="52" t="s">
        <v>1055</v>
      </c>
      <c r="K367" s="109" t="s">
        <v>1056</v>
      </c>
    </row>
    <row r="368" spans="1:11" x14ac:dyDescent="0.35">
      <c r="A368" s="61">
        <v>45385</v>
      </c>
      <c r="B368" s="49" t="s">
        <v>295</v>
      </c>
      <c r="C368" s="49" t="s">
        <v>11</v>
      </c>
      <c r="D368" s="50">
        <v>23398</v>
      </c>
      <c r="E368" s="50">
        <v>7521</v>
      </c>
      <c r="F368" s="51">
        <v>0.32143772972048901</v>
      </c>
      <c r="G368" s="50">
        <v>121</v>
      </c>
      <c r="H368" s="51">
        <v>1.6088286132163301E-2</v>
      </c>
      <c r="I368" s="51">
        <v>5.1713821694161898E-3</v>
      </c>
      <c r="J368" s="52" t="s">
        <v>1055</v>
      </c>
      <c r="K368" s="109" t="s">
        <v>1056</v>
      </c>
    </row>
    <row r="369" spans="1:11" x14ac:dyDescent="0.35">
      <c r="A369" s="61">
        <v>45386</v>
      </c>
      <c r="B369" s="49" t="s">
        <v>296</v>
      </c>
      <c r="C369" s="49" t="s">
        <v>234</v>
      </c>
      <c r="D369" s="50">
        <v>888174</v>
      </c>
      <c r="E369" s="50">
        <v>324638</v>
      </c>
      <c r="F369" s="60">
        <v>0.36549999999999999</v>
      </c>
      <c r="G369" s="50">
        <v>2474</v>
      </c>
      <c r="H369" s="60">
        <v>7.6E-3</v>
      </c>
      <c r="I369" s="60">
        <v>2.8E-3</v>
      </c>
      <c r="J369" s="52" t="s">
        <v>1055</v>
      </c>
      <c r="K369" s="109" t="s">
        <v>1056</v>
      </c>
    </row>
    <row r="370" spans="1:11" x14ac:dyDescent="0.35">
      <c r="A370" s="61">
        <v>45386</v>
      </c>
      <c r="B370" s="49" t="s">
        <v>297</v>
      </c>
      <c r="C370" s="49" t="s">
        <v>235</v>
      </c>
      <c r="D370" s="50">
        <v>69806</v>
      </c>
      <c r="E370" s="50">
        <v>24058</v>
      </c>
      <c r="F370" s="60">
        <v>0.34460000000000002</v>
      </c>
      <c r="G370" s="49">
        <v>270</v>
      </c>
      <c r="H370" s="60">
        <v>1.12E-2</v>
      </c>
      <c r="I370" s="60">
        <v>3.8999999999999998E-3</v>
      </c>
      <c r="J370" s="52" t="s">
        <v>1055</v>
      </c>
      <c r="K370" s="109" t="s">
        <v>1056</v>
      </c>
    </row>
    <row r="371" spans="1:11" x14ac:dyDescent="0.35">
      <c r="A371" s="61">
        <v>45386</v>
      </c>
      <c r="B371" s="49" t="s">
        <v>298</v>
      </c>
      <c r="C371" s="49" t="s">
        <v>299</v>
      </c>
      <c r="D371" s="50">
        <v>323877</v>
      </c>
      <c r="E371" s="50">
        <v>116989</v>
      </c>
      <c r="F371" s="60">
        <v>0.36120000000000002</v>
      </c>
      <c r="G371" s="50">
        <v>1775</v>
      </c>
      <c r="H371" s="60">
        <v>1.52E-2</v>
      </c>
      <c r="I371" s="60">
        <v>5.4999999999999997E-3</v>
      </c>
      <c r="J371" s="52" t="s">
        <v>1055</v>
      </c>
      <c r="K371" s="109" t="s">
        <v>1056</v>
      </c>
    </row>
    <row r="372" spans="1:11" x14ac:dyDescent="0.35">
      <c r="A372" s="61">
        <v>45386</v>
      </c>
      <c r="B372" s="49" t="s">
        <v>300</v>
      </c>
      <c r="C372" s="49" t="s">
        <v>301</v>
      </c>
      <c r="D372" s="50">
        <v>15639</v>
      </c>
      <c r="E372" s="50">
        <v>5120</v>
      </c>
      <c r="F372" s="60">
        <v>0.32740000000000002</v>
      </c>
      <c r="G372" s="49">
        <v>84</v>
      </c>
      <c r="H372" s="60">
        <v>1.6400000000000001E-2</v>
      </c>
      <c r="I372" s="60">
        <v>5.4000000000000003E-3</v>
      </c>
      <c r="J372" s="52" t="s">
        <v>1055</v>
      </c>
      <c r="K372" s="109" t="s">
        <v>1056</v>
      </c>
    </row>
    <row r="373" spans="1:11" x14ac:dyDescent="0.35">
      <c r="A373" s="61">
        <v>45387</v>
      </c>
      <c r="B373" s="49" t="s">
        <v>303</v>
      </c>
      <c r="C373" s="49" t="s">
        <v>10</v>
      </c>
      <c r="D373" s="50">
        <v>429164</v>
      </c>
      <c r="E373" s="50">
        <v>165313</v>
      </c>
      <c r="F373" s="51">
        <v>0.38519773326746898</v>
      </c>
      <c r="G373" s="50">
        <v>3318</v>
      </c>
      <c r="H373" s="51">
        <v>2.00710167984369E-2</v>
      </c>
      <c r="I373" s="51">
        <v>7.7313101751311899E-3</v>
      </c>
      <c r="J373" s="52" t="s">
        <v>1057</v>
      </c>
      <c r="K373" s="109" t="s">
        <v>1054</v>
      </c>
    </row>
    <row r="374" spans="1:11" x14ac:dyDescent="0.35">
      <c r="A374" s="61">
        <v>45387</v>
      </c>
      <c r="B374" s="49" t="s">
        <v>304</v>
      </c>
      <c r="C374" s="49" t="s">
        <v>10</v>
      </c>
      <c r="D374" s="50">
        <v>4948812</v>
      </c>
      <c r="E374" s="50">
        <v>1712387</v>
      </c>
      <c r="F374" s="51">
        <v>0.34601981243175101</v>
      </c>
      <c r="G374" s="50">
        <v>21571</v>
      </c>
      <c r="H374" s="51">
        <v>1.2597035600013301E-2</v>
      </c>
      <c r="I374" s="51">
        <v>4.3588238955127E-3</v>
      </c>
      <c r="J374" s="52" t="s">
        <v>1055</v>
      </c>
      <c r="K374" s="109" t="s">
        <v>1056</v>
      </c>
    </row>
    <row r="375" spans="1:11" x14ac:dyDescent="0.35">
      <c r="A375" s="61">
        <v>45387</v>
      </c>
      <c r="B375" s="49" t="s">
        <v>304</v>
      </c>
      <c r="C375" s="49" t="s">
        <v>11</v>
      </c>
      <c r="D375" s="50">
        <v>316226</v>
      </c>
      <c r="E375" s="50">
        <v>99671</v>
      </c>
      <c r="F375" s="51">
        <v>0.31518913688311501</v>
      </c>
      <c r="G375" s="50">
        <v>1692</v>
      </c>
      <c r="H375" s="51">
        <v>1.6975850548303899E-2</v>
      </c>
      <c r="I375" s="51">
        <v>5.35060368217667E-3</v>
      </c>
      <c r="J375" s="52" t="s">
        <v>1055</v>
      </c>
      <c r="K375" s="109" t="s">
        <v>1056</v>
      </c>
    </row>
    <row r="376" spans="1:11" x14ac:dyDescent="0.35">
      <c r="A376" s="61">
        <v>45387</v>
      </c>
      <c r="B376" s="49" t="s">
        <v>305</v>
      </c>
      <c r="C376" s="49" t="s">
        <v>10</v>
      </c>
      <c r="D376" s="50">
        <v>1257</v>
      </c>
      <c r="E376" s="50">
        <v>588</v>
      </c>
      <c r="F376" s="51">
        <v>0.46778042959427202</v>
      </c>
      <c r="G376" s="50">
        <v>48</v>
      </c>
      <c r="H376" s="51">
        <v>8.1632653061224497E-2</v>
      </c>
      <c r="I376" s="51">
        <v>3.8186157517899798E-2</v>
      </c>
      <c r="J376" s="52" t="s">
        <v>1055</v>
      </c>
      <c r="K376" s="109" t="s">
        <v>1056</v>
      </c>
    </row>
    <row r="377" spans="1:11" x14ac:dyDescent="0.35">
      <c r="A377" s="61">
        <v>45387</v>
      </c>
      <c r="B377" s="49" t="s">
        <v>305</v>
      </c>
      <c r="C377" s="49" t="s">
        <v>11</v>
      </c>
      <c r="D377" s="50">
        <v>569</v>
      </c>
      <c r="E377" s="50">
        <v>225</v>
      </c>
      <c r="F377" s="51">
        <v>0.39543057996485098</v>
      </c>
      <c r="G377" s="50">
        <v>15</v>
      </c>
      <c r="H377" s="51">
        <v>6.6666666666666693E-2</v>
      </c>
      <c r="I377" s="51">
        <v>2.6362038664323399E-2</v>
      </c>
      <c r="J377" s="52" t="s">
        <v>1055</v>
      </c>
      <c r="K377" s="109" t="s">
        <v>1056</v>
      </c>
    </row>
    <row r="378" spans="1:11" x14ac:dyDescent="0.35">
      <c r="A378" s="61">
        <v>45387</v>
      </c>
      <c r="B378" s="49" t="s">
        <v>306</v>
      </c>
      <c r="C378" s="49" t="s">
        <v>307</v>
      </c>
      <c r="D378" s="50">
        <v>259013</v>
      </c>
      <c r="E378" s="50">
        <v>95392</v>
      </c>
      <c r="F378" s="51">
        <v>0.36829039469061398</v>
      </c>
      <c r="G378" s="50">
        <v>1413</v>
      </c>
      <c r="H378" s="51">
        <v>1.48125628983563E-2</v>
      </c>
      <c r="I378" s="51">
        <v>5.4553246362151701E-3</v>
      </c>
      <c r="J378" s="52" t="s">
        <v>1060</v>
      </c>
      <c r="K378" s="109" t="s">
        <v>1054</v>
      </c>
    </row>
    <row r="379" spans="1:11" x14ac:dyDescent="0.35">
      <c r="A379" s="61">
        <v>45387</v>
      </c>
      <c r="B379" s="49" t="s">
        <v>308</v>
      </c>
      <c r="C379" s="49" t="s">
        <v>309</v>
      </c>
      <c r="D379" s="50">
        <v>8438</v>
      </c>
      <c r="E379" s="50">
        <v>3842</v>
      </c>
      <c r="F379" s="51">
        <v>0.45532116615311702</v>
      </c>
      <c r="G379" s="50">
        <v>325</v>
      </c>
      <c r="H379" s="51">
        <v>8.4591358667360797E-2</v>
      </c>
      <c r="I379" s="51">
        <v>3.8516236074899297E-2</v>
      </c>
      <c r="J379" s="52" t="s">
        <v>1058</v>
      </c>
      <c r="K379" s="109" t="s">
        <v>1054</v>
      </c>
    </row>
    <row r="380" spans="1:11" x14ac:dyDescent="0.35">
      <c r="A380" s="61">
        <v>45387</v>
      </c>
      <c r="B380" s="49" t="s">
        <v>308</v>
      </c>
      <c r="C380" s="49" t="s">
        <v>310</v>
      </c>
      <c r="D380" s="50">
        <v>42103</v>
      </c>
      <c r="E380" s="50">
        <v>19410</v>
      </c>
      <c r="F380" s="51">
        <v>0.46101227941001799</v>
      </c>
      <c r="G380" s="50">
        <v>1778</v>
      </c>
      <c r="H380" s="51">
        <v>9.1602266872746002E-2</v>
      </c>
      <c r="I380" s="51">
        <v>4.2229769850129398E-2</v>
      </c>
      <c r="J380" s="52" t="s">
        <v>1058</v>
      </c>
      <c r="K380" s="109" t="s">
        <v>1054</v>
      </c>
    </row>
    <row r="381" spans="1:11" x14ac:dyDescent="0.35">
      <c r="A381" s="61">
        <v>45387</v>
      </c>
      <c r="B381" s="49" t="s">
        <v>308</v>
      </c>
      <c r="C381" s="49" t="s">
        <v>311</v>
      </c>
      <c r="D381" s="50">
        <v>1417</v>
      </c>
      <c r="E381" s="50">
        <v>654</v>
      </c>
      <c r="F381" s="51">
        <v>0.46153846153846201</v>
      </c>
      <c r="G381" s="50">
        <v>54</v>
      </c>
      <c r="H381" s="51">
        <v>8.2568807339449504E-2</v>
      </c>
      <c r="I381" s="51">
        <v>3.8108680310515203E-2</v>
      </c>
      <c r="J381" s="52" t="s">
        <v>1058</v>
      </c>
      <c r="K381" s="109" t="s">
        <v>1054</v>
      </c>
    </row>
    <row r="382" spans="1:11" x14ac:dyDescent="0.35">
      <c r="A382" s="61">
        <v>45387</v>
      </c>
      <c r="B382" s="49" t="s">
        <v>308</v>
      </c>
      <c r="C382" s="49" t="s">
        <v>312</v>
      </c>
      <c r="D382" s="50">
        <v>15768</v>
      </c>
      <c r="E382" s="50">
        <v>7303</v>
      </c>
      <c r="F382" s="51">
        <v>0.463153221714866</v>
      </c>
      <c r="G382" s="50">
        <v>635</v>
      </c>
      <c r="H382" s="51">
        <v>8.6950568259619304E-2</v>
      </c>
      <c r="I382" s="51">
        <v>4.0271435819381002E-2</v>
      </c>
      <c r="J382" s="52" t="s">
        <v>1058</v>
      </c>
      <c r="K382" s="109" t="s">
        <v>1054</v>
      </c>
    </row>
    <row r="383" spans="1:11" x14ac:dyDescent="0.35">
      <c r="A383" s="61">
        <v>45388</v>
      </c>
      <c r="B383" s="49" t="s">
        <v>313</v>
      </c>
      <c r="C383" s="49" t="s">
        <v>10</v>
      </c>
      <c r="D383" s="50">
        <v>60066</v>
      </c>
      <c r="E383" s="50">
        <v>26302</v>
      </c>
      <c r="F383" s="51">
        <v>0.43788499317417501</v>
      </c>
      <c r="G383" s="50">
        <v>1982</v>
      </c>
      <c r="H383" s="51">
        <v>7.5355486274807995E-2</v>
      </c>
      <c r="I383" s="51">
        <v>3.2997036593080897E-2</v>
      </c>
      <c r="J383" s="52" t="s">
        <v>1055</v>
      </c>
      <c r="K383" s="109" t="s">
        <v>1056</v>
      </c>
    </row>
    <row r="384" spans="1:11" x14ac:dyDescent="0.35">
      <c r="A384" s="61">
        <v>45388</v>
      </c>
      <c r="B384" s="49" t="s">
        <v>313</v>
      </c>
      <c r="C384" s="49" t="s">
        <v>11</v>
      </c>
      <c r="D384" s="50">
        <v>5721</v>
      </c>
      <c r="E384" s="50">
        <v>2317</v>
      </c>
      <c r="F384" s="51">
        <v>0.40499912602691801</v>
      </c>
      <c r="G384" s="50">
        <v>262</v>
      </c>
      <c r="H384" s="51">
        <v>0.113077255071213</v>
      </c>
      <c r="I384" s="51">
        <v>4.5796189477364101E-2</v>
      </c>
      <c r="J384" s="52" t="s">
        <v>1055</v>
      </c>
      <c r="K384" s="109" t="s">
        <v>1056</v>
      </c>
    </row>
    <row r="385" spans="1:11" x14ac:dyDescent="0.35">
      <c r="A385" s="61">
        <v>45390</v>
      </c>
      <c r="B385" s="49" t="s">
        <v>314</v>
      </c>
      <c r="C385" s="49" t="s">
        <v>10</v>
      </c>
      <c r="D385" s="50">
        <v>584417</v>
      </c>
      <c r="E385" s="50">
        <v>224913</v>
      </c>
      <c r="F385" s="51">
        <v>0.38485020114062402</v>
      </c>
      <c r="G385" s="50">
        <v>1806</v>
      </c>
      <c r="H385" s="51">
        <v>8.0297715116511691E-3</v>
      </c>
      <c r="I385" s="51">
        <v>3.0902591813722099E-3</v>
      </c>
      <c r="J385" s="52" t="s">
        <v>1055</v>
      </c>
      <c r="K385" s="109" t="s">
        <v>1056</v>
      </c>
    </row>
    <row r="386" spans="1:11" x14ac:dyDescent="0.35">
      <c r="A386" s="61">
        <v>45390</v>
      </c>
      <c r="B386" s="49" t="s">
        <v>315</v>
      </c>
      <c r="C386" s="49" t="s">
        <v>316</v>
      </c>
      <c r="D386" s="50">
        <v>1205</v>
      </c>
      <c r="E386" s="50">
        <v>366</v>
      </c>
      <c r="F386" s="51">
        <v>0.30373443983402498</v>
      </c>
      <c r="G386" s="50">
        <v>36</v>
      </c>
      <c r="H386" s="51">
        <v>9.8360655737704902E-2</v>
      </c>
      <c r="I386" s="51">
        <v>2.9875518672199199E-2</v>
      </c>
      <c r="J386" s="52" t="s">
        <v>1061</v>
      </c>
      <c r="K386" s="109" t="s">
        <v>1054</v>
      </c>
    </row>
    <row r="387" spans="1:11" x14ac:dyDescent="0.35">
      <c r="A387" s="61">
        <v>45390</v>
      </c>
      <c r="B387" s="49" t="s">
        <v>317</v>
      </c>
      <c r="C387" s="49" t="s">
        <v>318</v>
      </c>
      <c r="D387" s="50">
        <v>124</v>
      </c>
      <c r="E387" s="50">
        <v>32</v>
      </c>
      <c r="F387" s="51">
        <v>0.25806451612903197</v>
      </c>
      <c r="G387" s="50">
        <v>8</v>
      </c>
      <c r="H387" s="51">
        <v>0.25</v>
      </c>
      <c r="I387" s="51">
        <v>6.4516129032258104E-2</v>
      </c>
      <c r="J387" s="52" t="s">
        <v>1061</v>
      </c>
      <c r="K387" s="109" t="s">
        <v>1054</v>
      </c>
    </row>
    <row r="388" spans="1:11" x14ac:dyDescent="0.35">
      <c r="A388" s="61">
        <v>45391</v>
      </c>
      <c r="B388" s="49" t="s">
        <v>319</v>
      </c>
      <c r="C388" s="49" t="s">
        <v>10</v>
      </c>
      <c r="D388" s="50">
        <v>1361075</v>
      </c>
      <c r="E388" s="50">
        <v>494098</v>
      </c>
      <c r="F388" s="51">
        <v>0.36302040666384999</v>
      </c>
      <c r="G388" s="50">
        <v>7458</v>
      </c>
      <c r="H388" s="51">
        <v>1.5094171601585099E-2</v>
      </c>
      <c r="I388" s="51">
        <v>5.4794923130613701E-3</v>
      </c>
      <c r="J388" s="52" t="s">
        <v>1055</v>
      </c>
      <c r="K388" s="109" t="s">
        <v>1056</v>
      </c>
    </row>
    <row r="389" spans="1:11" x14ac:dyDescent="0.35">
      <c r="A389" s="61">
        <v>45391</v>
      </c>
      <c r="B389" s="49" t="s">
        <v>319</v>
      </c>
      <c r="C389" s="49" t="s">
        <v>11</v>
      </c>
      <c r="D389" s="50">
        <v>96716</v>
      </c>
      <c r="E389" s="50">
        <v>33255</v>
      </c>
      <c r="F389" s="51">
        <v>0.34384176351379298</v>
      </c>
      <c r="G389" s="50">
        <v>725</v>
      </c>
      <c r="H389" s="51">
        <v>2.18012328973087E-2</v>
      </c>
      <c r="I389" s="51">
        <v>7.4961743661855302E-3</v>
      </c>
      <c r="J389" s="52" t="s">
        <v>1055</v>
      </c>
      <c r="K389" s="109" t="s">
        <v>1056</v>
      </c>
    </row>
    <row r="390" spans="1:11" x14ac:dyDescent="0.35">
      <c r="A390" s="61">
        <v>45392</v>
      </c>
      <c r="B390" s="49" t="s">
        <v>320</v>
      </c>
      <c r="C390" s="49" t="s">
        <v>10</v>
      </c>
      <c r="D390" s="50">
        <v>101852</v>
      </c>
      <c r="E390" s="50">
        <v>40993</v>
      </c>
      <c r="F390" s="51">
        <v>0.40247614185288499</v>
      </c>
      <c r="G390" s="50">
        <v>479</v>
      </c>
      <c r="H390" s="51">
        <v>1.16849218159198E-2</v>
      </c>
      <c r="I390" s="51">
        <v>4.7029022503240004E-3</v>
      </c>
      <c r="J390" s="52" t="s">
        <v>1061</v>
      </c>
      <c r="K390" s="109" t="s">
        <v>1054</v>
      </c>
    </row>
    <row r="391" spans="1:11" x14ac:dyDescent="0.35">
      <c r="A391" s="61">
        <v>45392</v>
      </c>
      <c r="B391" s="49" t="s">
        <v>321</v>
      </c>
      <c r="C391" s="49" t="s">
        <v>229</v>
      </c>
      <c r="D391" s="50">
        <v>694</v>
      </c>
      <c r="E391" s="50">
        <v>140</v>
      </c>
      <c r="F391" s="51">
        <v>0.20172910662824201</v>
      </c>
      <c r="G391" s="50">
        <v>14</v>
      </c>
      <c r="H391" s="51">
        <v>0.1</v>
      </c>
      <c r="I391" s="51">
        <v>2.0172910662824201E-2</v>
      </c>
      <c r="J391" s="52" t="s">
        <v>1061</v>
      </c>
      <c r="K391" s="109" t="s">
        <v>1054</v>
      </c>
    </row>
    <row r="392" spans="1:11" x14ac:dyDescent="0.35">
      <c r="A392" s="61">
        <v>45392</v>
      </c>
      <c r="B392" s="49" t="s">
        <v>322</v>
      </c>
      <c r="C392" s="49" t="s">
        <v>10</v>
      </c>
      <c r="D392" s="50">
        <v>458069</v>
      </c>
      <c r="E392" s="50">
        <v>175113</v>
      </c>
      <c r="F392" s="51">
        <v>0.38228520157443502</v>
      </c>
      <c r="G392" s="50">
        <v>2595</v>
      </c>
      <c r="H392" s="51">
        <v>1.4819002586901E-2</v>
      </c>
      <c r="I392" s="51">
        <v>5.6650853910655396E-3</v>
      </c>
      <c r="J392" s="52" t="s">
        <v>1055</v>
      </c>
      <c r="K392" s="109" t="s">
        <v>1056</v>
      </c>
    </row>
    <row r="393" spans="1:11" x14ac:dyDescent="0.35">
      <c r="A393" s="61">
        <v>45392</v>
      </c>
      <c r="B393" s="49" t="s">
        <v>322</v>
      </c>
      <c r="C393" s="49" t="s">
        <v>11</v>
      </c>
      <c r="D393" s="50">
        <v>28328</v>
      </c>
      <c r="E393" s="50">
        <v>11053</v>
      </c>
      <c r="F393" s="51">
        <v>0.39017932787348197</v>
      </c>
      <c r="G393" s="50">
        <v>259</v>
      </c>
      <c r="H393" s="51">
        <v>2.3432552248258399E-2</v>
      </c>
      <c r="I393" s="51">
        <v>9.1428974865857097E-3</v>
      </c>
      <c r="J393" s="52" t="s">
        <v>1055</v>
      </c>
      <c r="K393" s="109" t="s">
        <v>1056</v>
      </c>
    </row>
    <row r="394" spans="1:11" x14ac:dyDescent="0.35">
      <c r="A394" s="61">
        <v>45392</v>
      </c>
      <c r="B394" s="49" t="s">
        <v>323</v>
      </c>
      <c r="C394" s="49" t="s">
        <v>227</v>
      </c>
      <c r="D394" s="50">
        <v>6614</v>
      </c>
      <c r="E394" s="50">
        <v>1652</v>
      </c>
      <c r="F394" s="51">
        <v>0.249773208345933</v>
      </c>
      <c r="G394" s="50">
        <v>242</v>
      </c>
      <c r="H394" s="51">
        <v>0.14648910411622301</v>
      </c>
      <c r="I394" s="51">
        <v>3.65890535228304E-2</v>
      </c>
      <c r="J394" s="52" t="s">
        <v>1061</v>
      </c>
      <c r="K394" s="109" t="s">
        <v>1054</v>
      </c>
    </row>
    <row r="395" spans="1:11" x14ac:dyDescent="0.35">
      <c r="A395" s="61">
        <v>45393</v>
      </c>
      <c r="B395" s="49" t="s">
        <v>296</v>
      </c>
      <c r="C395" s="49" t="s">
        <v>253</v>
      </c>
      <c r="D395" s="50">
        <v>883170</v>
      </c>
      <c r="E395" s="50">
        <v>305125</v>
      </c>
      <c r="F395" s="60">
        <v>0.34549999999999997</v>
      </c>
      <c r="G395" s="50">
        <v>2418</v>
      </c>
      <c r="H395" s="60">
        <v>7.9000000000000008E-3</v>
      </c>
      <c r="I395" s="60">
        <v>2.7000000000000001E-3</v>
      </c>
      <c r="J395" s="52" t="s">
        <v>1055</v>
      </c>
      <c r="K395" s="109" t="s">
        <v>1056</v>
      </c>
    </row>
    <row r="396" spans="1:11" x14ac:dyDescent="0.35">
      <c r="A396" s="61">
        <v>45393</v>
      </c>
      <c r="B396" s="49" t="s">
        <v>297</v>
      </c>
      <c r="C396" s="49" t="s">
        <v>255</v>
      </c>
      <c r="D396" s="50">
        <v>69411</v>
      </c>
      <c r="E396" s="50">
        <v>22947</v>
      </c>
      <c r="F396" s="60">
        <v>0.3306</v>
      </c>
      <c r="G396" s="49">
        <v>263</v>
      </c>
      <c r="H396" s="60">
        <v>1.15E-2</v>
      </c>
      <c r="I396" s="60">
        <v>3.8E-3</v>
      </c>
      <c r="J396" s="52" t="s">
        <v>1055</v>
      </c>
      <c r="K396" s="109" t="s">
        <v>1056</v>
      </c>
    </row>
    <row r="397" spans="1:11" x14ac:dyDescent="0.35">
      <c r="A397" s="61">
        <v>45393</v>
      </c>
      <c r="B397" s="49" t="s">
        <v>298</v>
      </c>
      <c r="C397" s="49" t="s">
        <v>234</v>
      </c>
      <c r="D397" s="50">
        <v>283622</v>
      </c>
      <c r="E397" s="50">
        <v>90579</v>
      </c>
      <c r="F397" s="60">
        <v>0.31940000000000002</v>
      </c>
      <c r="G397" s="49">
        <v>804</v>
      </c>
      <c r="H397" s="60">
        <v>8.8999999999999999E-3</v>
      </c>
      <c r="I397" s="60">
        <v>2.8E-3</v>
      </c>
      <c r="J397" s="52" t="s">
        <v>1055</v>
      </c>
      <c r="K397" s="109" t="s">
        <v>1056</v>
      </c>
    </row>
    <row r="398" spans="1:11" x14ac:dyDescent="0.35">
      <c r="A398" s="61">
        <v>45393</v>
      </c>
      <c r="B398" s="49" t="s">
        <v>300</v>
      </c>
      <c r="C398" s="49" t="s">
        <v>235</v>
      </c>
      <c r="D398" s="50">
        <v>14036</v>
      </c>
      <c r="E398" s="50">
        <v>4120</v>
      </c>
      <c r="F398" s="60">
        <v>0.29349999999999998</v>
      </c>
      <c r="G398" s="49">
        <v>51</v>
      </c>
      <c r="H398" s="60">
        <v>1.24E-2</v>
      </c>
      <c r="I398" s="60">
        <v>3.5999999999999999E-3</v>
      </c>
      <c r="J398" s="52" t="s">
        <v>1055</v>
      </c>
      <c r="K398" s="109" t="s">
        <v>1056</v>
      </c>
    </row>
    <row r="399" spans="1:11" x14ac:dyDescent="0.35">
      <c r="A399" s="61">
        <v>45393</v>
      </c>
      <c r="B399" s="49" t="s">
        <v>324</v>
      </c>
      <c r="C399" s="49" t="s">
        <v>325</v>
      </c>
      <c r="D399" s="50">
        <v>643106</v>
      </c>
      <c r="E399" s="50">
        <v>234503</v>
      </c>
      <c r="F399" s="60">
        <v>0.36459999999999998</v>
      </c>
      <c r="G399" s="50">
        <v>1839</v>
      </c>
      <c r="H399" s="60">
        <v>7.7999999999999996E-3</v>
      </c>
      <c r="I399" s="60">
        <v>2.8999999999999998E-3</v>
      </c>
      <c r="J399" s="52" t="s">
        <v>1055</v>
      </c>
      <c r="K399" s="109" t="s">
        <v>1056</v>
      </c>
    </row>
    <row r="400" spans="1:11" x14ac:dyDescent="0.35">
      <c r="A400" s="61">
        <v>45393</v>
      </c>
      <c r="B400" s="49" t="s">
        <v>326</v>
      </c>
      <c r="C400" s="49" t="s">
        <v>327</v>
      </c>
      <c r="D400" s="50">
        <v>22258</v>
      </c>
      <c r="E400" s="50">
        <v>7260</v>
      </c>
      <c r="F400" s="60">
        <v>0.32619999999999999</v>
      </c>
      <c r="G400" s="49">
        <v>75</v>
      </c>
      <c r="H400" s="60">
        <v>1.03E-2</v>
      </c>
      <c r="I400" s="60">
        <v>3.3999999999999998E-3</v>
      </c>
      <c r="J400" s="52" t="s">
        <v>1055</v>
      </c>
      <c r="K400" s="109" t="s">
        <v>1056</v>
      </c>
    </row>
    <row r="401" spans="1:11" x14ac:dyDescent="0.35">
      <c r="A401" s="61">
        <v>45393</v>
      </c>
      <c r="B401" s="49" t="s">
        <v>328</v>
      </c>
      <c r="C401" s="49" t="s">
        <v>10</v>
      </c>
      <c r="D401" s="50">
        <v>745191</v>
      </c>
      <c r="E401" s="50">
        <v>240840</v>
      </c>
      <c r="F401" s="51">
        <v>0.323192309085858</v>
      </c>
      <c r="G401" s="50">
        <v>1782</v>
      </c>
      <c r="H401" s="51">
        <v>7.3991031390134498E-3</v>
      </c>
      <c r="I401" s="51">
        <v>2.3913332286621802E-3</v>
      </c>
      <c r="J401" s="52" t="s">
        <v>1055</v>
      </c>
      <c r="K401" s="109" t="s">
        <v>1056</v>
      </c>
    </row>
    <row r="402" spans="1:11" x14ac:dyDescent="0.35">
      <c r="A402" s="61">
        <v>45394</v>
      </c>
      <c r="B402" s="49" t="s">
        <v>329</v>
      </c>
      <c r="C402" s="49" t="s">
        <v>10</v>
      </c>
      <c r="D402" s="50">
        <v>410147</v>
      </c>
      <c r="E402" s="50">
        <v>145828</v>
      </c>
      <c r="F402" s="51">
        <v>0.35555057089287501</v>
      </c>
      <c r="G402" s="50">
        <v>2476</v>
      </c>
      <c r="H402" s="51">
        <v>1.6978906657157702E-2</v>
      </c>
      <c r="I402" s="51">
        <v>6.0368599550892701E-3</v>
      </c>
      <c r="J402" s="52" t="s">
        <v>1057</v>
      </c>
      <c r="K402" s="109" t="s">
        <v>1054</v>
      </c>
    </row>
    <row r="403" spans="1:11" x14ac:dyDescent="0.35">
      <c r="A403" s="61">
        <v>45394</v>
      </c>
      <c r="B403" s="49" t="s">
        <v>329</v>
      </c>
      <c r="C403" s="49" t="s">
        <v>11</v>
      </c>
      <c r="D403" s="50">
        <v>22209</v>
      </c>
      <c r="E403" s="50">
        <v>7706</v>
      </c>
      <c r="F403" s="51">
        <v>0.34697645098833801</v>
      </c>
      <c r="G403" s="50">
        <v>252</v>
      </c>
      <c r="H403" s="51">
        <v>3.2701790812353998E-2</v>
      </c>
      <c r="I403" s="51">
        <v>1.1346751317033599E-2</v>
      </c>
      <c r="J403" s="52" t="s">
        <v>1057</v>
      </c>
      <c r="K403" s="109" t="s">
        <v>1054</v>
      </c>
    </row>
    <row r="404" spans="1:11" x14ac:dyDescent="0.35">
      <c r="A404" s="61">
        <v>45394</v>
      </c>
      <c r="B404" s="49" t="s">
        <v>330</v>
      </c>
      <c r="C404" s="49" t="s">
        <v>10</v>
      </c>
      <c r="D404" s="50">
        <v>4841588</v>
      </c>
      <c r="E404" s="50">
        <v>1612131</v>
      </c>
      <c r="F404" s="51">
        <v>0.332975668313785</v>
      </c>
      <c r="G404" s="50">
        <v>21145</v>
      </c>
      <c r="H404" s="51">
        <v>1.31161797645477E-2</v>
      </c>
      <c r="I404" s="51">
        <v>4.3673687228240003E-3</v>
      </c>
      <c r="J404" s="52" t="s">
        <v>1055</v>
      </c>
      <c r="K404" s="109" t="s">
        <v>1056</v>
      </c>
    </row>
    <row r="405" spans="1:11" x14ac:dyDescent="0.35">
      <c r="A405" s="61">
        <v>45394</v>
      </c>
      <c r="B405" s="49" t="s">
        <v>330</v>
      </c>
      <c r="C405" s="49" t="s">
        <v>11</v>
      </c>
      <c r="D405" s="50">
        <v>309912</v>
      </c>
      <c r="E405" s="50">
        <v>92733</v>
      </c>
      <c r="F405" s="51">
        <v>0.29922365058468198</v>
      </c>
      <c r="G405" s="50">
        <v>1815</v>
      </c>
      <c r="H405" s="51">
        <v>1.9572320533143499E-2</v>
      </c>
      <c r="I405" s="51">
        <v>5.8565012003407397E-3</v>
      </c>
      <c r="J405" s="52" t="s">
        <v>1055</v>
      </c>
      <c r="K405" s="109" t="s">
        <v>1056</v>
      </c>
    </row>
    <row r="406" spans="1:11" x14ac:dyDescent="0.35">
      <c r="A406" s="61">
        <v>45394</v>
      </c>
      <c r="B406" s="49" t="s">
        <v>331</v>
      </c>
      <c r="C406" s="49" t="s">
        <v>10</v>
      </c>
      <c r="D406" s="50">
        <v>3068134</v>
      </c>
      <c r="E406" s="50">
        <v>1095361</v>
      </c>
      <c r="F406" s="51">
        <v>0.35701211224803098</v>
      </c>
      <c r="G406" s="50">
        <v>23344</v>
      </c>
      <c r="H406" s="51">
        <v>2.1311695413658099E-2</v>
      </c>
      <c r="I406" s="51">
        <v>7.6085333952167697E-3</v>
      </c>
      <c r="J406" s="52" t="s">
        <v>1055</v>
      </c>
      <c r="K406" s="109" t="s">
        <v>1056</v>
      </c>
    </row>
    <row r="407" spans="1:11" x14ac:dyDescent="0.35">
      <c r="A407" s="61">
        <v>45394</v>
      </c>
      <c r="B407" s="49" t="s">
        <v>331</v>
      </c>
      <c r="C407" s="49" t="s">
        <v>11</v>
      </c>
      <c r="D407" s="50">
        <v>164079</v>
      </c>
      <c r="E407" s="50">
        <v>57886</v>
      </c>
      <c r="F407" s="51">
        <v>0.35279347143753897</v>
      </c>
      <c r="G407" s="50">
        <v>3944</v>
      </c>
      <c r="H407" s="51">
        <v>6.8133918391320894E-2</v>
      </c>
      <c r="I407" s="51">
        <v>2.4037201591916101E-2</v>
      </c>
      <c r="J407" s="52" t="s">
        <v>1055</v>
      </c>
      <c r="K407" s="109" t="s">
        <v>1056</v>
      </c>
    </row>
    <row r="408" spans="1:11" x14ac:dyDescent="0.35">
      <c r="A408" s="61">
        <v>45397</v>
      </c>
      <c r="B408" s="49" t="s">
        <v>332</v>
      </c>
      <c r="C408" s="49" t="s">
        <v>10</v>
      </c>
      <c r="D408" s="50">
        <v>69096</v>
      </c>
      <c r="E408" s="50">
        <v>31572</v>
      </c>
      <c r="F408" s="51">
        <v>0.456929489406044</v>
      </c>
      <c r="G408" s="50">
        <v>1026</v>
      </c>
      <c r="H408" s="51">
        <v>3.2497149372862001E-2</v>
      </c>
      <c r="I408" s="51">
        <v>1.48489058700938E-2</v>
      </c>
      <c r="J408" s="52" t="s">
        <v>1058</v>
      </c>
      <c r="K408" s="109" t="s">
        <v>1056</v>
      </c>
    </row>
    <row r="409" spans="1:11" x14ac:dyDescent="0.35">
      <c r="A409" s="61">
        <v>45397</v>
      </c>
      <c r="B409" s="49" t="s">
        <v>332</v>
      </c>
      <c r="C409" s="49" t="s">
        <v>11</v>
      </c>
      <c r="D409" s="50">
        <v>353</v>
      </c>
      <c r="E409" s="50">
        <v>189</v>
      </c>
      <c r="F409" s="51">
        <v>0.53541076487252104</v>
      </c>
      <c r="G409" s="50">
        <v>19</v>
      </c>
      <c r="H409" s="51">
        <v>0.100529100529101</v>
      </c>
      <c r="I409" s="51">
        <v>5.3824362606232301E-2</v>
      </c>
      <c r="J409" s="52" t="s">
        <v>1058</v>
      </c>
      <c r="K409" s="109" t="s">
        <v>1056</v>
      </c>
    </row>
    <row r="410" spans="1:11" x14ac:dyDescent="0.35">
      <c r="A410" s="61">
        <v>45398</v>
      </c>
      <c r="B410" s="49" t="s">
        <v>333</v>
      </c>
      <c r="C410" s="49" t="s">
        <v>10</v>
      </c>
      <c r="D410" s="50">
        <v>1350706</v>
      </c>
      <c r="E410" s="50">
        <v>485271</v>
      </c>
      <c r="F410" s="51">
        <v>0.35927211399075698</v>
      </c>
      <c r="G410" s="50">
        <v>6485</v>
      </c>
      <c r="H410" s="51">
        <v>1.33636668995262E-2</v>
      </c>
      <c r="I410" s="51">
        <v>4.8011928576611003E-3</v>
      </c>
      <c r="J410" s="52" t="s">
        <v>1055</v>
      </c>
      <c r="K410" s="109" t="s">
        <v>1056</v>
      </c>
    </row>
    <row r="411" spans="1:11" x14ac:dyDescent="0.35">
      <c r="A411" s="61">
        <v>45398</v>
      </c>
      <c r="B411" s="49" t="s">
        <v>333</v>
      </c>
      <c r="C411" s="49" t="s">
        <v>11</v>
      </c>
      <c r="D411" s="50">
        <v>96009</v>
      </c>
      <c r="E411" s="50">
        <v>33619</v>
      </c>
      <c r="F411" s="51">
        <v>0.350165088689602</v>
      </c>
      <c r="G411" s="50">
        <v>706</v>
      </c>
      <c r="H411" s="51">
        <v>2.1000029745084602E-2</v>
      </c>
      <c r="I411" s="51">
        <v>7.3534772781718404E-3</v>
      </c>
      <c r="J411" s="52" t="s">
        <v>1055</v>
      </c>
      <c r="K411" s="109" t="s">
        <v>1056</v>
      </c>
    </row>
    <row r="412" spans="1:11" x14ac:dyDescent="0.35">
      <c r="A412" s="61">
        <v>45399</v>
      </c>
      <c r="B412" s="49" t="s">
        <v>334</v>
      </c>
      <c r="C412" s="49" t="s">
        <v>10</v>
      </c>
      <c r="D412" s="50">
        <v>372755</v>
      </c>
      <c r="E412" s="50">
        <v>128348</v>
      </c>
      <c r="F412" s="51">
        <v>0.344322678434897</v>
      </c>
      <c r="G412" s="50">
        <v>1153</v>
      </c>
      <c r="H412" s="51">
        <v>8.9833889113971402E-3</v>
      </c>
      <c r="I412" s="51">
        <v>3.0931845313946198E-3</v>
      </c>
      <c r="J412" s="52" t="s">
        <v>1055</v>
      </c>
      <c r="K412" s="109" t="s">
        <v>1056</v>
      </c>
    </row>
    <row r="413" spans="1:11" x14ac:dyDescent="0.35">
      <c r="A413" s="61">
        <v>45399</v>
      </c>
      <c r="B413" s="49" t="s">
        <v>334</v>
      </c>
      <c r="C413" s="49" t="s">
        <v>11</v>
      </c>
      <c r="D413" s="50">
        <v>20454</v>
      </c>
      <c r="E413" s="50">
        <v>6435</v>
      </c>
      <c r="F413" s="51">
        <v>0.314608389557055</v>
      </c>
      <c r="G413" s="50">
        <v>71</v>
      </c>
      <c r="H413" s="51">
        <v>1.1033411033411E-2</v>
      </c>
      <c r="I413" s="51">
        <v>3.47120367654249E-3</v>
      </c>
      <c r="J413" s="52" t="s">
        <v>1055</v>
      </c>
      <c r="K413" s="109" t="s">
        <v>1056</v>
      </c>
    </row>
    <row r="414" spans="1:11" x14ac:dyDescent="0.35">
      <c r="A414" s="61">
        <v>45400</v>
      </c>
      <c r="B414" s="49" t="s">
        <v>335</v>
      </c>
      <c r="C414" s="49" t="s">
        <v>253</v>
      </c>
      <c r="D414" s="50">
        <v>281060</v>
      </c>
      <c r="E414" s="50">
        <v>91217</v>
      </c>
      <c r="F414" s="60">
        <v>0.32450000000000001</v>
      </c>
      <c r="G414" s="49">
        <v>945</v>
      </c>
      <c r="H414" s="60">
        <v>1.04E-2</v>
      </c>
      <c r="I414" s="60">
        <v>3.3999999999999998E-3</v>
      </c>
      <c r="J414" s="52" t="s">
        <v>1055</v>
      </c>
      <c r="K414" s="109" t="s">
        <v>1056</v>
      </c>
    </row>
    <row r="415" spans="1:11" x14ac:dyDescent="0.35">
      <c r="A415" s="61">
        <v>45400</v>
      </c>
      <c r="B415" s="49" t="s">
        <v>336</v>
      </c>
      <c r="C415" s="49" t="s">
        <v>255</v>
      </c>
      <c r="D415" s="50">
        <v>13912</v>
      </c>
      <c r="E415" s="50">
        <v>4205</v>
      </c>
      <c r="F415" s="60">
        <v>0.30230000000000001</v>
      </c>
      <c r="G415" s="49">
        <v>64</v>
      </c>
      <c r="H415" s="60">
        <v>1.52E-2</v>
      </c>
      <c r="I415" s="60">
        <v>4.5999999999999999E-3</v>
      </c>
      <c r="J415" s="52" t="s">
        <v>1055</v>
      </c>
      <c r="K415" s="109" t="s">
        <v>1056</v>
      </c>
    </row>
    <row r="416" spans="1:11" x14ac:dyDescent="0.35">
      <c r="A416" s="61">
        <v>45400</v>
      </c>
      <c r="B416" s="49" t="s">
        <v>337</v>
      </c>
      <c r="C416" s="49" t="s">
        <v>234</v>
      </c>
      <c r="D416" s="50">
        <v>560179</v>
      </c>
      <c r="E416" s="50">
        <v>194522</v>
      </c>
      <c r="F416" s="60">
        <v>0.34720000000000001</v>
      </c>
      <c r="G416" s="50">
        <v>1138</v>
      </c>
      <c r="H416" s="60">
        <v>5.8999999999999999E-3</v>
      </c>
      <c r="I416" s="60">
        <v>2E-3</v>
      </c>
      <c r="J416" s="52" t="s">
        <v>1055</v>
      </c>
      <c r="K416" s="109" t="s">
        <v>1056</v>
      </c>
    </row>
    <row r="417" spans="1:11" x14ac:dyDescent="0.35">
      <c r="A417" s="61">
        <v>45400</v>
      </c>
      <c r="B417" s="49" t="s">
        <v>338</v>
      </c>
      <c r="C417" s="49" t="s">
        <v>235</v>
      </c>
      <c r="D417" s="50">
        <v>19311</v>
      </c>
      <c r="E417" s="50">
        <v>5978</v>
      </c>
      <c r="F417" s="60">
        <v>0.30959999999999999</v>
      </c>
      <c r="G417" s="49">
        <v>60</v>
      </c>
      <c r="H417" s="60">
        <v>0.01</v>
      </c>
      <c r="I417" s="60">
        <v>3.0999999999999999E-3</v>
      </c>
      <c r="J417" s="52" t="s">
        <v>1055</v>
      </c>
      <c r="K417" s="109" t="s">
        <v>1056</v>
      </c>
    </row>
    <row r="418" spans="1:11" x14ac:dyDescent="0.35">
      <c r="A418" s="61">
        <v>45400</v>
      </c>
      <c r="B418" s="49" t="s">
        <v>339</v>
      </c>
      <c r="C418" s="49" t="s">
        <v>325</v>
      </c>
      <c r="D418" s="50">
        <v>298950</v>
      </c>
      <c r="E418" s="50">
        <v>107740</v>
      </c>
      <c r="F418" s="60">
        <v>0.3604</v>
      </c>
      <c r="G418" s="50">
        <v>1346</v>
      </c>
      <c r="H418" s="60">
        <v>1.2500000000000001E-2</v>
      </c>
      <c r="I418" s="60">
        <v>4.4999999999999997E-3</v>
      </c>
      <c r="J418" s="52" t="s">
        <v>1055</v>
      </c>
      <c r="K418" s="109" t="s">
        <v>1056</v>
      </c>
    </row>
    <row r="419" spans="1:11" x14ac:dyDescent="0.35">
      <c r="A419" s="61">
        <v>45400</v>
      </c>
      <c r="B419" s="49" t="s">
        <v>340</v>
      </c>
      <c r="C419" s="49" t="s">
        <v>327</v>
      </c>
      <c r="D419" s="50">
        <v>15477</v>
      </c>
      <c r="E419" s="50">
        <v>5713</v>
      </c>
      <c r="F419" s="60">
        <v>0.36909999999999998</v>
      </c>
      <c r="G419" s="49">
        <v>116</v>
      </c>
      <c r="H419" s="60">
        <v>2.0299999999999999E-2</v>
      </c>
      <c r="I419" s="60">
        <v>7.4999999999999997E-3</v>
      </c>
      <c r="J419" s="52" t="s">
        <v>1055</v>
      </c>
      <c r="K419" s="109" t="s">
        <v>1056</v>
      </c>
    </row>
    <row r="420" spans="1:11" x14ac:dyDescent="0.35">
      <c r="A420" s="61">
        <v>45400</v>
      </c>
      <c r="B420" s="49" t="s">
        <v>341</v>
      </c>
      <c r="C420" s="49" t="s">
        <v>10</v>
      </c>
      <c r="D420" s="50">
        <v>89421</v>
      </c>
      <c r="E420" s="50">
        <v>34515</v>
      </c>
      <c r="F420" s="51">
        <v>0.38598315831851598</v>
      </c>
      <c r="G420" s="50">
        <v>616</v>
      </c>
      <c r="H420" s="51">
        <v>1.7847312762567E-2</v>
      </c>
      <c r="I420" s="51">
        <v>6.8887621475939697E-3</v>
      </c>
      <c r="J420" s="52" t="s">
        <v>1055</v>
      </c>
      <c r="K420" s="109" t="s">
        <v>1056</v>
      </c>
    </row>
    <row r="421" spans="1:11" x14ac:dyDescent="0.35">
      <c r="A421" s="61">
        <v>45401</v>
      </c>
      <c r="B421" s="49" t="s">
        <v>342</v>
      </c>
      <c r="C421" s="49" t="s">
        <v>10</v>
      </c>
      <c r="D421" s="50">
        <v>528500</v>
      </c>
      <c r="E421" s="50">
        <v>237176</v>
      </c>
      <c r="F421" s="51">
        <v>0.44877199621570502</v>
      </c>
      <c r="G421" s="50">
        <v>2717</v>
      </c>
      <c r="H421" s="51">
        <v>1.1455627888150599E-2</v>
      </c>
      <c r="I421" s="51">
        <v>5.1409649952696302E-3</v>
      </c>
      <c r="J421" s="52" t="s">
        <v>1057</v>
      </c>
      <c r="K421" s="109" t="s">
        <v>1054</v>
      </c>
    </row>
    <row r="422" spans="1:11" x14ac:dyDescent="0.35">
      <c r="A422" s="61">
        <v>45401</v>
      </c>
      <c r="B422" s="49" t="s">
        <v>342</v>
      </c>
      <c r="C422" s="49" t="s">
        <v>11</v>
      </c>
      <c r="D422" s="50">
        <v>30453</v>
      </c>
      <c r="E422" s="50">
        <v>10109</v>
      </c>
      <c r="F422" s="51">
        <v>0.33195415886776303</v>
      </c>
      <c r="G422" s="50">
        <v>150</v>
      </c>
      <c r="H422" s="51">
        <v>1.48382629340192E-2</v>
      </c>
      <c r="I422" s="51">
        <v>4.9256230913210502E-3</v>
      </c>
      <c r="J422" s="52" t="s">
        <v>1057</v>
      </c>
      <c r="K422" s="109" t="s">
        <v>1054</v>
      </c>
    </row>
    <row r="423" spans="1:11" x14ac:dyDescent="0.35">
      <c r="A423" s="61">
        <v>45401</v>
      </c>
      <c r="B423" s="49" t="s">
        <v>343</v>
      </c>
      <c r="C423" s="49" t="s">
        <v>10</v>
      </c>
      <c r="D423" s="50">
        <v>406090</v>
      </c>
      <c r="E423" s="50">
        <v>146775</v>
      </c>
      <c r="F423" s="51">
        <v>0.361434657341969</v>
      </c>
      <c r="G423" s="50">
        <v>2793</v>
      </c>
      <c r="H423" s="51">
        <v>1.90291262135922E-2</v>
      </c>
      <c r="I423" s="51">
        <v>6.8777857125267797E-3</v>
      </c>
      <c r="J423" s="52" t="s">
        <v>1057</v>
      </c>
      <c r="K423" s="109" t="s">
        <v>1054</v>
      </c>
    </row>
    <row r="424" spans="1:11" x14ac:dyDescent="0.35">
      <c r="A424" s="61">
        <v>45401</v>
      </c>
      <c r="B424" s="49" t="s">
        <v>344</v>
      </c>
      <c r="C424" s="49" t="s">
        <v>10</v>
      </c>
      <c r="D424" s="50">
        <v>4826551</v>
      </c>
      <c r="E424" s="50">
        <v>1607783</v>
      </c>
      <c r="F424" s="51">
        <v>0.33311219543727999</v>
      </c>
      <c r="G424" s="50">
        <v>20379</v>
      </c>
      <c r="H424" s="51">
        <v>1.26752179865069E-2</v>
      </c>
      <c r="I424" s="51">
        <v>4.2222696911314098E-3</v>
      </c>
      <c r="J424" s="52" t="s">
        <v>1055</v>
      </c>
      <c r="K424" s="109" t="s">
        <v>1056</v>
      </c>
    </row>
    <row r="425" spans="1:11" x14ac:dyDescent="0.35">
      <c r="A425" s="61">
        <v>45401</v>
      </c>
      <c r="B425" s="49" t="s">
        <v>344</v>
      </c>
      <c r="C425" s="49" t="s">
        <v>11</v>
      </c>
      <c r="D425" s="50">
        <v>309045</v>
      </c>
      <c r="E425" s="50">
        <v>94268</v>
      </c>
      <c r="F425" s="51">
        <v>0.30503001181057798</v>
      </c>
      <c r="G425" s="50">
        <v>1800</v>
      </c>
      <c r="H425" s="51">
        <v>1.9094496541774499E-2</v>
      </c>
      <c r="I425" s="51">
        <v>5.8243945056545201E-3</v>
      </c>
      <c r="J425" s="52" t="s">
        <v>1055</v>
      </c>
      <c r="K425" s="109" t="s">
        <v>1056</v>
      </c>
    </row>
    <row r="426" spans="1:11" x14ac:dyDescent="0.35">
      <c r="A426" s="61">
        <v>45402</v>
      </c>
      <c r="B426" s="49" t="s">
        <v>345</v>
      </c>
      <c r="C426" s="49" t="s">
        <v>10</v>
      </c>
      <c r="D426" s="50">
        <v>1224567</v>
      </c>
      <c r="E426" s="50">
        <v>379741</v>
      </c>
      <c r="F426" s="51">
        <v>0.31010226471887598</v>
      </c>
      <c r="G426" s="50">
        <v>9700</v>
      </c>
      <c r="H426" s="51">
        <v>2.5543725855253999E-2</v>
      </c>
      <c r="I426" s="51">
        <v>7.9211672370723702E-3</v>
      </c>
      <c r="J426" s="52" t="s">
        <v>1055</v>
      </c>
      <c r="K426" s="109" t="s">
        <v>1056</v>
      </c>
    </row>
    <row r="427" spans="1:11" x14ac:dyDescent="0.35">
      <c r="A427" s="61">
        <v>45402</v>
      </c>
      <c r="B427" s="49" t="s">
        <v>345</v>
      </c>
      <c r="C427" s="49" t="s">
        <v>11</v>
      </c>
      <c r="D427" s="50">
        <v>91878</v>
      </c>
      <c r="E427" s="50">
        <v>24834</v>
      </c>
      <c r="F427" s="51">
        <v>0.27029321491543101</v>
      </c>
      <c r="G427" s="50">
        <v>833</v>
      </c>
      <c r="H427" s="51">
        <v>3.3542723685270198E-2</v>
      </c>
      <c r="I427" s="51">
        <v>9.0663706219116704E-3</v>
      </c>
      <c r="J427" s="52" t="s">
        <v>1055</v>
      </c>
      <c r="K427" s="109" t="s">
        <v>1056</v>
      </c>
    </row>
    <row r="428" spans="1:11" x14ac:dyDescent="0.35">
      <c r="A428" s="61">
        <v>45404</v>
      </c>
      <c r="B428" s="49" t="s">
        <v>346</v>
      </c>
      <c r="C428" s="49" t="s">
        <v>10</v>
      </c>
      <c r="D428" s="50">
        <v>10774</v>
      </c>
      <c r="E428" s="50">
        <v>4682</v>
      </c>
      <c r="F428" s="51">
        <v>0.43456469277891202</v>
      </c>
      <c r="G428" s="50">
        <v>505</v>
      </c>
      <c r="H428" s="51">
        <v>0.107859888936352</v>
      </c>
      <c r="I428" s="51">
        <v>4.6872099498793403E-2</v>
      </c>
      <c r="J428" s="52" t="s">
        <v>1055</v>
      </c>
      <c r="K428" s="109" t="s">
        <v>1056</v>
      </c>
    </row>
    <row r="429" spans="1:11" x14ac:dyDescent="0.35">
      <c r="A429" s="61">
        <v>45405</v>
      </c>
      <c r="B429" s="49" t="s">
        <v>347</v>
      </c>
      <c r="C429" s="49" t="s">
        <v>10</v>
      </c>
      <c r="D429" s="50">
        <v>1343896</v>
      </c>
      <c r="E429" s="50">
        <v>491885</v>
      </c>
      <c r="F429" s="51">
        <v>0.36601418562150601</v>
      </c>
      <c r="G429" s="50">
        <v>7174</v>
      </c>
      <c r="H429" s="51">
        <v>1.4584709840714799E-2</v>
      </c>
      <c r="I429" s="51">
        <v>5.3382106948752003E-3</v>
      </c>
      <c r="J429" s="52" t="s">
        <v>1055</v>
      </c>
      <c r="K429" s="109" t="s">
        <v>1056</v>
      </c>
    </row>
    <row r="430" spans="1:11" x14ac:dyDescent="0.35">
      <c r="A430" s="61">
        <v>45405</v>
      </c>
      <c r="B430" s="49" t="s">
        <v>347</v>
      </c>
      <c r="C430" s="49" t="s">
        <v>11</v>
      </c>
      <c r="D430" s="50">
        <v>95555</v>
      </c>
      <c r="E430" s="50">
        <v>33830</v>
      </c>
      <c r="F430" s="51">
        <v>0.354036942075245</v>
      </c>
      <c r="G430" s="50">
        <v>770</v>
      </c>
      <c r="H430" s="51">
        <v>2.2760863139225498E-2</v>
      </c>
      <c r="I430" s="51">
        <v>8.0581863848045599E-3</v>
      </c>
      <c r="J430" s="52" t="s">
        <v>1055</v>
      </c>
      <c r="K430" s="109" t="s">
        <v>1056</v>
      </c>
    </row>
    <row r="431" spans="1:11" x14ac:dyDescent="0.35">
      <c r="A431" s="61">
        <v>45406</v>
      </c>
      <c r="B431" s="49" t="s">
        <v>348</v>
      </c>
      <c r="C431" s="49" t="s">
        <v>10</v>
      </c>
      <c r="D431" s="50">
        <v>140709</v>
      </c>
      <c r="E431" s="50">
        <v>51252</v>
      </c>
      <c r="F431" s="51">
        <v>0.364241093320257</v>
      </c>
      <c r="G431" s="50">
        <v>1323</v>
      </c>
      <c r="H431" s="51">
        <v>2.5813626785296199E-2</v>
      </c>
      <c r="I431" s="51">
        <v>9.4023836428373392E-3</v>
      </c>
      <c r="J431" s="52" t="s">
        <v>1055</v>
      </c>
      <c r="K431" s="109" t="s">
        <v>1056</v>
      </c>
    </row>
    <row r="432" spans="1:11" x14ac:dyDescent="0.35">
      <c r="A432" s="61">
        <v>45406</v>
      </c>
      <c r="B432" s="49" t="s">
        <v>349</v>
      </c>
      <c r="C432" s="49" t="s">
        <v>10</v>
      </c>
      <c r="D432" s="50">
        <v>158461</v>
      </c>
      <c r="E432" s="50">
        <v>53479</v>
      </c>
      <c r="F432" s="51">
        <v>0.33748998176207401</v>
      </c>
      <c r="G432" s="50">
        <v>665</v>
      </c>
      <c r="H432" s="51">
        <v>1.2434787486677E-2</v>
      </c>
      <c r="I432" s="51">
        <v>4.1966162020938896E-3</v>
      </c>
      <c r="J432" s="52" t="s">
        <v>1055</v>
      </c>
      <c r="K432" s="109" t="s">
        <v>1056</v>
      </c>
    </row>
    <row r="433" spans="1:11" x14ac:dyDescent="0.35">
      <c r="A433" s="61">
        <v>45406</v>
      </c>
      <c r="B433" s="49" t="s">
        <v>349</v>
      </c>
      <c r="C433" s="49" t="s">
        <v>11</v>
      </c>
      <c r="D433" s="50">
        <v>10763</v>
      </c>
      <c r="E433" s="50">
        <v>4568</v>
      </c>
      <c r="F433" s="51">
        <v>0.424416984112236</v>
      </c>
      <c r="G433" s="50">
        <v>113</v>
      </c>
      <c r="H433" s="51">
        <v>2.4737302977232901E-2</v>
      </c>
      <c r="I433" s="51">
        <v>1.04989315246678E-2</v>
      </c>
      <c r="J433" s="52" t="s">
        <v>1055</v>
      </c>
      <c r="K433" s="109" t="s">
        <v>1056</v>
      </c>
    </row>
    <row r="434" spans="1:11" x14ac:dyDescent="0.35">
      <c r="A434" s="61">
        <v>45406</v>
      </c>
      <c r="B434" s="49" t="s">
        <v>350</v>
      </c>
      <c r="C434" s="49" t="s">
        <v>10</v>
      </c>
      <c r="D434" s="50">
        <v>321506</v>
      </c>
      <c r="E434" s="50">
        <v>118132</v>
      </c>
      <c r="F434" s="51">
        <v>0.36743326718630398</v>
      </c>
      <c r="G434" s="50">
        <v>1159</v>
      </c>
      <c r="H434" s="51">
        <v>9.8110588155622507E-3</v>
      </c>
      <c r="I434" s="51">
        <v>3.60490939515903E-3</v>
      </c>
      <c r="J434" s="52" t="s">
        <v>1055</v>
      </c>
      <c r="K434" s="109" t="s">
        <v>1056</v>
      </c>
    </row>
    <row r="435" spans="1:11" x14ac:dyDescent="0.35">
      <c r="A435" s="61">
        <v>45406</v>
      </c>
      <c r="B435" s="49" t="s">
        <v>350</v>
      </c>
      <c r="C435" s="49" t="s">
        <v>11</v>
      </c>
      <c r="D435" s="50">
        <v>20851</v>
      </c>
      <c r="E435" s="50">
        <v>7025</v>
      </c>
      <c r="F435" s="51">
        <v>0.33691429667641798</v>
      </c>
      <c r="G435" s="50">
        <v>79</v>
      </c>
      <c r="H435" s="51">
        <v>1.1245551601423501E-2</v>
      </c>
      <c r="I435" s="51">
        <v>3.78878710853196E-3</v>
      </c>
      <c r="J435" s="52" t="s">
        <v>1055</v>
      </c>
      <c r="K435" s="109" t="s">
        <v>1056</v>
      </c>
    </row>
    <row r="436" spans="1:11" x14ac:dyDescent="0.35">
      <c r="A436" s="61">
        <v>45406</v>
      </c>
      <c r="B436" s="49" t="s">
        <v>351</v>
      </c>
      <c r="C436" s="49" t="s">
        <v>10</v>
      </c>
      <c r="D436" s="50">
        <v>118343</v>
      </c>
      <c r="E436" s="50">
        <v>48120</v>
      </c>
      <c r="F436" s="51">
        <v>0.406614670914207</v>
      </c>
      <c r="G436" s="50">
        <v>377</v>
      </c>
      <c r="H436" s="51">
        <v>7.8345802161263502E-3</v>
      </c>
      <c r="I436" s="51">
        <v>3.1856552563311702E-3</v>
      </c>
      <c r="J436" s="52" t="s">
        <v>1055</v>
      </c>
      <c r="K436" s="109" t="s">
        <v>1056</v>
      </c>
    </row>
    <row r="437" spans="1:11" x14ac:dyDescent="0.35">
      <c r="A437" s="61">
        <v>45407</v>
      </c>
      <c r="B437" s="49" t="s">
        <v>337</v>
      </c>
      <c r="C437" s="49" t="s">
        <v>352</v>
      </c>
      <c r="D437" s="50">
        <v>557411</v>
      </c>
      <c r="E437" s="50">
        <v>192364</v>
      </c>
      <c r="F437" s="60">
        <v>0.34510000000000002</v>
      </c>
      <c r="G437" s="50">
        <v>1288</v>
      </c>
      <c r="H437" s="60">
        <v>6.7000000000000002E-3</v>
      </c>
      <c r="I437" s="60">
        <v>2.3E-3</v>
      </c>
      <c r="J437" s="52" t="s">
        <v>1055</v>
      </c>
      <c r="K437" s="109" t="s">
        <v>1056</v>
      </c>
    </row>
    <row r="438" spans="1:11" x14ac:dyDescent="0.35">
      <c r="A438" s="61">
        <v>45407</v>
      </c>
      <c r="B438" s="49" t="s">
        <v>338</v>
      </c>
      <c r="C438" s="49" t="s">
        <v>353</v>
      </c>
      <c r="D438" s="50">
        <v>19249</v>
      </c>
      <c r="E438" s="50">
        <v>5957</v>
      </c>
      <c r="F438" s="60">
        <v>0.3095</v>
      </c>
      <c r="G438" s="49">
        <v>73</v>
      </c>
      <c r="H438" s="60">
        <v>1.23E-2</v>
      </c>
      <c r="I438" s="60">
        <v>3.8E-3</v>
      </c>
      <c r="J438" s="52" t="s">
        <v>1055</v>
      </c>
      <c r="K438" s="109" t="s">
        <v>1056</v>
      </c>
    </row>
    <row r="439" spans="1:11" x14ac:dyDescent="0.35">
      <c r="A439" s="61">
        <v>45407</v>
      </c>
      <c r="B439" s="49" t="s">
        <v>339</v>
      </c>
      <c r="C439" s="49" t="s">
        <v>234</v>
      </c>
      <c r="D439" s="50">
        <v>256910</v>
      </c>
      <c r="E439" s="50">
        <v>89059</v>
      </c>
      <c r="F439" s="60">
        <v>0.34670000000000001</v>
      </c>
      <c r="G439" s="49">
        <v>954</v>
      </c>
      <c r="H439" s="60">
        <v>1.0699999999999999E-2</v>
      </c>
      <c r="I439" s="60">
        <v>3.7000000000000002E-3</v>
      </c>
      <c r="J439" s="52" t="s">
        <v>1055</v>
      </c>
      <c r="K439" s="109" t="s">
        <v>1056</v>
      </c>
    </row>
    <row r="440" spans="1:11" x14ac:dyDescent="0.35">
      <c r="A440" s="61">
        <v>45407</v>
      </c>
      <c r="B440" s="49" t="s">
        <v>340</v>
      </c>
      <c r="C440" s="49" t="s">
        <v>235</v>
      </c>
      <c r="D440" s="50">
        <v>13894</v>
      </c>
      <c r="E440" s="50">
        <v>4998</v>
      </c>
      <c r="F440" s="60">
        <v>0.35970000000000002</v>
      </c>
      <c r="G440" s="49">
        <v>61</v>
      </c>
      <c r="H440" s="60">
        <v>1.2200000000000001E-2</v>
      </c>
      <c r="I440" s="60">
        <v>4.4000000000000003E-3</v>
      </c>
      <c r="J440" s="52" t="s">
        <v>1055</v>
      </c>
      <c r="K440" s="109" t="s">
        <v>1056</v>
      </c>
    </row>
    <row r="441" spans="1:11" x14ac:dyDescent="0.35">
      <c r="A441" s="61">
        <v>45407</v>
      </c>
      <c r="B441" s="49" t="s">
        <v>354</v>
      </c>
      <c r="C441" s="49" t="s">
        <v>355</v>
      </c>
      <c r="D441" s="50">
        <v>822070</v>
      </c>
      <c r="E441" s="50">
        <v>286334</v>
      </c>
      <c r="F441" s="51">
        <v>0.34830853820234298</v>
      </c>
      <c r="G441" s="50">
        <v>7297</v>
      </c>
      <c r="H441" s="51">
        <v>2.5484224716589701E-2</v>
      </c>
      <c r="I441" s="51">
        <v>8.8763730582553796E-3</v>
      </c>
      <c r="J441" s="52" t="s">
        <v>1059</v>
      </c>
      <c r="K441" s="109" t="s">
        <v>1056</v>
      </c>
    </row>
    <row r="442" spans="1:11" x14ac:dyDescent="0.35">
      <c r="A442" s="61">
        <v>45407</v>
      </c>
      <c r="B442" s="49" t="s">
        <v>354</v>
      </c>
      <c r="C442" s="49" t="s">
        <v>356</v>
      </c>
      <c r="D442" s="50">
        <v>45887</v>
      </c>
      <c r="E442" s="50">
        <v>16199</v>
      </c>
      <c r="F442" s="51">
        <v>0.35301937367882003</v>
      </c>
      <c r="G442" s="50">
        <v>945</v>
      </c>
      <c r="H442" s="51">
        <v>5.8336934378665301E-2</v>
      </c>
      <c r="I442" s="51">
        <v>2.05940680366988E-2</v>
      </c>
      <c r="J442" s="52" t="s">
        <v>1059</v>
      </c>
      <c r="K442" s="109" t="s">
        <v>1056</v>
      </c>
    </row>
    <row r="443" spans="1:11" x14ac:dyDescent="0.35">
      <c r="A443" s="61">
        <v>45408</v>
      </c>
      <c r="B443" s="49" t="s">
        <v>357</v>
      </c>
      <c r="C443" s="49" t="s">
        <v>10</v>
      </c>
      <c r="D443" s="50">
        <v>408405</v>
      </c>
      <c r="E443" s="50">
        <v>149551</v>
      </c>
      <c r="F443" s="51">
        <v>0.366183078072012</v>
      </c>
      <c r="G443" s="50">
        <v>2860</v>
      </c>
      <c r="H443" s="51">
        <v>1.9123910906647199E-2</v>
      </c>
      <c r="I443" s="51">
        <v>7.0028525605709997E-3</v>
      </c>
      <c r="J443" s="52" t="s">
        <v>1057</v>
      </c>
      <c r="K443" s="109" t="s">
        <v>1054</v>
      </c>
    </row>
    <row r="444" spans="1:11" x14ac:dyDescent="0.35">
      <c r="A444" s="61">
        <v>45408</v>
      </c>
      <c r="B444" s="49" t="s">
        <v>357</v>
      </c>
      <c r="C444" s="49" t="s">
        <v>11</v>
      </c>
      <c r="D444" s="50">
        <v>22164</v>
      </c>
      <c r="E444" s="50">
        <v>7870</v>
      </c>
      <c r="F444" s="51">
        <v>0.35508031041328297</v>
      </c>
      <c r="G444" s="50">
        <v>344</v>
      </c>
      <c r="H444" s="51">
        <v>4.3710292249047003E-2</v>
      </c>
      <c r="I444" s="51">
        <v>1.5520664140046899E-2</v>
      </c>
      <c r="J444" s="52" t="s">
        <v>1057</v>
      </c>
      <c r="K444" s="109" t="s">
        <v>1054</v>
      </c>
    </row>
    <row r="445" spans="1:11" x14ac:dyDescent="0.35">
      <c r="A445" s="61">
        <v>45408</v>
      </c>
      <c r="B445" s="49" t="s">
        <v>358</v>
      </c>
      <c r="C445" s="49" t="s">
        <v>10</v>
      </c>
      <c r="D445" s="50">
        <v>4809415</v>
      </c>
      <c r="E445" s="50">
        <v>1580260</v>
      </c>
      <c r="F445" s="51">
        <v>0.32857634452423001</v>
      </c>
      <c r="G445" s="50">
        <v>18174</v>
      </c>
      <c r="H445" s="51">
        <v>1.15006391353322E-2</v>
      </c>
      <c r="I445" s="51">
        <v>3.7788379667797402E-3</v>
      </c>
      <c r="J445" s="52" t="s">
        <v>1055</v>
      </c>
      <c r="K445" s="109" t="s">
        <v>1056</v>
      </c>
    </row>
    <row r="446" spans="1:11" x14ac:dyDescent="0.35">
      <c r="A446" s="61">
        <v>45408</v>
      </c>
      <c r="B446" s="49" t="s">
        <v>358</v>
      </c>
      <c r="C446" s="49" t="s">
        <v>11</v>
      </c>
      <c r="D446" s="50">
        <v>307812</v>
      </c>
      <c r="E446" s="50">
        <v>90677</v>
      </c>
      <c r="F446" s="51">
        <v>0.29458565617974602</v>
      </c>
      <c r="G446" s="50">
        <v>1469</v>
      </c>
      <c r="H446" s="51">
        <v>1.6200359517849101E-2</v>
      </c>
      <c r="I446" s="51">
        <v>4.7723935389133599E-3</v>
      </c>
      <c r="J446" s="52" t="s">
        <v>1055</v>
      </c>
      <c r="K446" s="109" t="s">
        <v>1056</v>
      </c>
    </row>
    <row r="447" spans="1:11" x14ac:dyDescent="0.35">
      <c r="A447" s="61">
        <v>45408</v>
      </c>
      <c r="B447" s="49" t="s">
        <v>359</v>
      </c>
      <c r="C447" s="49" t="s">
        <v>10</v>
      </c>
      <c r="D447" s="50">
        <v>38891</v>
      </c>
      <c r="E447" s="50">
        <v>14807</v>
      </c>
      <c r="F447" s="51">
        <v>0.38073076033015402</v>
      </c>
      <c r="G447" s="50">
        <v>1367</v>
      </c>
      <c r="H447" s="51">
        <v>9.2321199432700701E-2</v>
      </c>
      <c r="I447" s="51">
        <v>3.51495204546039E-2</v>
      </c>
      <c r="J447" s="52" t="s">
        <v>1053</v>
      </c>
      <c r="K447" s="109" t="s">
        <v>1054</v>
      </c>
    </row>
    <row r="448" spans="1:11" x14ac:dyDescent="0.35">
      <c r="A448" s="61">
        <v>45411</v>
      </c>
      <c r="B448" s="49" t="s">
        <v>360</v>
      </c>
      <c r="C448" s="49" t="s">
        <v>10</v>
      </c>
      <c r="D448" s="50">
        <v>223967</v>
      </c>
      <c r="E448" s="50">
        <v>97799</v>
      </c>
      <c r="F448" s="51">
        <v>0.43666700897900101</v>
      </c>
      <c r="G448" s="50">
        <v>2335</v>
      </c>
      <c r="H448" s="51">
        <v>2.38754997494862E-2</v>
      </c>
      <c r="I448" s="51">
        <v>1.0425643063487E-2</v>
      </c>
      <c r="J448" s="52" t="s">
        <v>1055</v>
      </c>
      <c r="K448" s="109" t="s">
        <v>1056</v>
      </c>
    </row>
    <row r="449" spans="1:11" x14ac:dyDescent="0.35">
      <c r="A449" s="61">
        <v>45411</v>
      </c>
      <c r="B449" s="49" t="s">
        <v>360</v>
      </c>
      <c r="C449" s="49" t="s">
        <v>11</v>
      </c>
      <c r="D449" s="50">
        <v>13385</v>
      </c>
      <c r="E449" s="50">
        <v>6206</v>
      </c>
      <c r="F449" s="51">
        <v>0.46365334329473301</v>
      </c>
      <c r="G449" s="50">
        <v>262</v>
      </c>
      <c r="H449" s="51">
        <v>4.2217209152433099E-2</v>
      </c>
      <c r="I449" s="51">
        <v>1.95741501680986E-2</v>
      </c>
      <c r="J449" s="52" t="s">
        <v>1055</v>
      </c>
      <c r="K449" s="109" t="s">
        <v>1056</v>
      </c>
    </row>
    <row r="450" spans="1:11" x14ac:dyDescent="0.35">
      <c r="A450" s="61">
        <v>45412</v>
      </c>
      <c r="B450" s="49" t="s">
        <v>361</v>
      </c>
      <c r="C450" s="49" t="s">
        <v>10</v>
      </c>
      <c r="D450" s="50">
        <v>1348001</v>
      </c>
      <c r="E450" s="50">
        <v>481226</v>
      </c>
      <c r="F450" s="51">
        <v>0.35699231677127802</v>
      </c>
      <c r="G450" s="50">
        <v>6926</v>
      </c>
      <c r="H450" s="51">
        <v>1.43924060628478E-2</v>
      </c>
      <c r="I450" s="51">
        <v>5.1379783842890299E-3</v>
      </c>
      <c r="J450" s="52" t="s">
        <v>1055</v>
      </c>
      <c r="K450" s="109" t="s">
        <v>1056</v>
      </c>
    </row>
    <row r="451" spans="1:11" x14ac:dyDescent="0.35">
      <c r="A451" s="61">
        <v>45412</v>
      </c>
      <c r="B451" s="49" t="s">
        <v>361</v>
      </c>
      <c r="C451" s="49" t="s">
        <v>11</v>
      </c>
      <c r="D451" s="50">
        <v>95449</v>
      </c>
      <c r="E451" s="50">
        <v>32937</v>
      </c>
      <c r="F451" s="51">
        <v>0.34507433288981498</v>
      </c>
      <c r="G451" s="50">
        <v>689</v>
      </c>
      <c r="H451" s="51">
        <v>2.0918723623888E-2</v>
      </c>
      <c r="I451" s="51">
        <v>7.21851459941959E-3</v>
      </c>
      <c r="J451" s="52" t="s">
        <v>1055</v>
      </c>
      <c r="K451" s="109" t="s">
        <v>1056</v>
      </c>
    </row>
    <row r="452" spans="1:11" x14ac:dyDescent="0.35">
      <c r="A452" s="61">
        <v>45413</v>
      </c>
      <c r="B452" s="49" t="s">
        <v>362</v>
      </c>
      <c r="C452" s="49" t="s">
        <v>101</v>
      </c>
      <c r="D452" s="50">
        <v>23962</v>
      </c>
      <c r="E452" s="50">
        <v>7660</v>
      </c>
      <c r="F452" s="51">
        <v>0.31967281529087699</v>
      </c>
      <c r="G452" s="50">
        <v>133</v>
      </c>
      <c r="H452" s="51">
        <v>1.7362924281984299E-2</v>
      </c>
      <c r="I452" s="51">
        <v>5.5504548869042703E-3</v>
      </c>
      <c r="J452" s="52" t="s">
        <v>1060</v>
      </c>
      <c r="K452" s="109" t="s">
        <v>1054</v>
      </c>
    </row>
    <row r="453" spans="1:11" x14ac:dyDescent="0.35">
      <c r="A453" s="61">
        <v>45413</v>
      </c>
      <c r="B453" s="49" t="s">
        <v>362</v>
      </c>
      <c r="C453" s="49" t="s">
        <v>102</v>
      </c>
      <c r="D453" s="50">
        <v>8307</v>
      </c>
      <c r="E453" s="50">
        <v>2888</v>
      </c>
      <c r="F453" s="51">
        <v>0.34765860117972802</v>
      </c>
      <c r="G453" s="50">
        <v>60</v>
      </c>
      <c r="H453" s="51">
        <v>2.0775623268698099E-2</v>
      </c>
      <c r="I453" s="51">
        <v>7.2228241242325696E-3</v>
      </c>
      <c r="J453" s="52" t="s">
        <v>1060</v>
      </c>
      <c r="K453" s="109" t="s">
        <v>1054</v>
      </c>
    </row>
    <row r="454" spans="1:11" x14ac:dyDescent="0.35">
      <c r="A454" s="61">
        <v>45413</v>
      </c>
      <c r="B454" s="49" t="s">
        <v>362</v>
      </c>
      <c r="C454" s="49" t="s">
        <v>103</v>
      </c>
      <c r="D454" s="50">
        <v>37385</v>
      </c>
      <c r="E454" s="50">
        <v>14075</v>
      </c>
      <c r="F454" s="51">
        <v>0.37648789621506001</v>
      </c>
      <c r="G454" s="50">
        <v>267</v>
      </c>
      <c r="H454" s="51">
        <v>1.89698046181172E-2</v>
      </c>
      <c r="I454" s="51">
        <v>7.1419018322856796E-3</v>
      </c>
      <c r="J454" s="52" t="s">
        <v>1060</v>
      </c>
      <c r="K454" s="109" t="s">
        <v>1054</v>
      </c>
    </row>
    <row r="455" spans="1:11" x14ac:dyDescent="0.35">
      <c r="A455" s="61">
        <v>45413</v>
      </c>
      <c r="B455" s="49" t="s">
        <v>362</v>
      </c>
      <c r="C455" s="49" t="s">
        <v>104</v>
      </c>
      <c r="D455" s="50">
        <v>156286</v>
      </c>
      <c r="E455" s="50">
        <v>56766</v>
      </c>
      <c r="F455" s="51">
        <v>0.36321871440820003</v>
      </c>
      <c r="G455" s="50">
        <v>1025</v>
      </c>
      <c r="H455" s="51">
        <v>1.8056583165979599E-2</v>
      </c>
      <c r="I455" s="51">
        <v>6.5584889241518804E-3</v>
      </c>
      <c r="J455" s="52" t="s">
        <v>1060</v>
      </c>
      <c r="K455" s="109" t="s">
        <v>1054</v>
      </c>
    </row>
    <row r="456" spans="1:11" x14ac:dyDescent="0.35">
      <c r="A456" s="61">
        <v>45413</v>
      </c>
      <c r="B456" s="49" t="s">
        <v>362</v>
      </c>
      <c r="C456" s="49" t="s">
        <v>106</v>
      </c>
      <c r="D456" s="50">
        <v>11831</v>
      </c>
      <c r="E456" s="50">
        <v>4089</v>
      </c>
      <c r="F456" s="51">
        <v>0.34561744569351699</v>
      </c>
      <c r="G456" s="50">
        <v>70</v>
      </c>
      <c r="H456" s="51">
        <v>1.7119100024455901E-2</v>
      </c>
      <c r="I456" s="51">
        <v>5.9166596230242601E-3</v>
      </c>
      <c r="J456" s="52" t="s">
        <v>1060</v>
      </c>
      <c r="K456" s="109" t="s">
        <v>1054</v>
      </c>
    </row>
    <row r="457" spans="1:11" x14ac:dyDescent="0.35">
      <c r="A457" s="61">
        <v>45413</v>
      </c>
      <c r="B457" s="49" t="s">
        <v>363</v>
      </c>
      <c r="C457" s="49" t="s">
        <v>10</v>
      </c>
      <c r="D457" s="50">
        <v>41654</v>
      </c>
      <c r="E457" s="50">
        <v>17511</v>
      </c>
      <c r="F457" s="51">
        <v>0.42039179910692898</v>
      </c>
      <c r="G457" s="50">
        <v>330</v>
      </c>
      <c r="H457" s="51">
        <v>1.88452972417338E-2</v>
      </c>
      <c r="I457" s="51">
        <v>7.9224084121572898E-3</v>
      </c>
      <c r="J457" s="52" t="s">
        <v>1055</v>
      </c>
      <c r="K457" s="109" t="s">
        <v>1056</v>
      </c>
    </row>
    <row r="458" spans="1:11" x14ac:dyDescent="0.35">
      <c r="A458" s="61">
        <v>45413</v>
      </c>
      <c r="B458" s="49" t="s">
        <v>364</v>
      </c>
      <c r="C458" s="49" t="s">
        <v>10</v>
      </c>
      <c r="D458" s="50">
        <v>261914</v>
      </c>
      <c r="E458" s="50">
        <v>89808</v>
      </c>
      <c r="F458" s="51">
        <v>0.34289117802026597</v>
      </c>
      <c r="G458" s="50">
        <v>862</v>
      </c>
      <c r="H458" s="51">
        <v>9.5982540530910408E-3</v>
      </c>
      <c r="I458" s="51">
        <v>3.2911566392021798E-3</v>
      </c>
      <c r="J458" s="52" t="s">
        <v>1055</v>
      </c>
      <c r="K458" s="109" t="s">
        <v>1056</v>
      </c>
    </row>
    <row r="459" spans="1:11" x14ac:dyDescent="0.35">
      <c r="A459" s="61">
        <v>45413</v>
      </c>
      <c r="B459" s="49" t="s">
        <v>364</v>
      </c>
      <c r="C459" s="49" t="s">
        <v>11</v>
      </c>
      <c r="D459" s="50">
        <v>17422</v>
      </c>
      <c r="E459" s="50">
        <v>5403</v>
      </c>
      <c r="F459" s="51">
        <v>0.31012512914705498</v>
      </c>
      <c r="G459" s="50">
        <v>81</v>
      </c>
      <c r="H459" s="51">
        <v>1.49916712937257E-2</v>
      </c>
      <c r="I459" s="51">
        <v>4.6492939960968904E-3</v>
      </c>
      <c r="J459" s="52" t="s">
        <v>1055</v>
      </c>
      <c r="K459" s="109" t="s">
        <v>1056</v>
      </c>
    </row>
    <row r="460" spans="1:11" x14ac:dyDescent="0.35">
      <c r="A460" s="61">
        <v>45413</v>
      </c>
      <c r="B460" s="49" t="s">
        <v>365</v>
      </c>
      <c r="C460" s="49" t="s">
        <v>10</v>
      </c>
      <c r="D460" s="50">
        <v>288461</v>
      </c>
      <c r="E460" s="50">
        <v>109525</v>
      </c>
      <c r="F460" s="51">
        <v>0.37968737541643399</v>
      </c>
      <c r="G460" s="50">
        <v>1432</v>
      </c>
      <c r="H460" s="51">
        <v>1.30746404930381E-2</v>
      </c>
      <c r="I460" s="51">
        <v>4.9642759333150804E-3</v>
      </c>
      <c r="J460" s="52" t="s">
        <v>1055</v>
      </c>
      <c r="K460" s="109" t="s">
        <v>1056</v>
      </c>
    </row>
    <row r="461" spans="1:11" x14ac:dyDescent="0.35">
      <c r="A461" s="61">
        <v>45413</v>
      </c>
      <c r="B461" s="49" t="s">
        <v>366</v>
      </c>
      <c r="C461" s="49" t="s">
        <v>10</v>
      </c>
      <c r="D461" s="50">
        <v>87269</v>
      </c>
      <c r="E461" s="50">
        <v>33344</v>
      </c>
      <c r="F461" s="51">
        <v>0.38208298479414199</v>
      </c>
      <c r="G461" s="50">
        <v>3153</v>
      </c>
      <c r="H461" s="51">
        <v>9.4559740882917506E-2</v>
      </c>
      <c r="I461" s="51">
        <v>3.61296680379058E-2</v>
      </c>
      <c r="J461" s="52" t="s">
        <v>1053</v>
      </c>
      <c r="K461" s="109" t="s">
        <v>1054</v>
      </c>
    </row>
    <row r="462" spans="1:11" x14ac:dyDescent="0.35">
      <c r="A462" s="61">
        <v>45413</v>
      </c>
      <c r="B462" s="49" t="s">
        <v>366</v>
      </c>
      <c r="C462" s="49" t="s">
        <v>11</v>
      </c>
      <c r="D462" s="50">
        <v>9640</v>
      </c>
      <c r="E462" s="50">
        <v>3632</v>
      </c>
      <c r="F462" s="51">
        <v>0.37676348547717797</v>
      </c>
      <c r="G462" s="50">
        <v>543</v>
      </c>
      <c r="H462" s="51">
        <v>0.14950440528634401</v>
      </c>
      <c r="I462" s="51">
        <v>5.6327800829875499E-2</v>
      </c>
      <c r="J462" s="52" t="s">
        <v>1053</v>
      </c>
      <c r="K462" s="109" t="s">
        <v>1054</v>
      </c>
    </row>
    <row r="463" spans="1:11" x14ac:dyDescent="0.35">
      <c r="A463" s="61">
        <v>45414</v>
      </c>
      <c r="B463" s="49" t="s">
        <v>367</v>
      </c>
      <c r="C463" s="49" t="s">
        <v>325</v>
      </c>
      <c r="D463" s="50">
        <v>109934</v>
      </c>
      <c r="E463" s="50">
        <v>39841</v>
      </c>
      <c r="F463" s="60">
        <v>0.3624</v>
      </c>
      <c r="G463" s="49">
        <v>307</v>
      </c>
      <c r="H463" s="60">
        <v>7.7000000000000002E-3</v>
      </c>
      <c r="I463" s="60">
        <v>2.8E-3</v>
      </c>
      <c r="J463" s="52" t="s">
        <v>1055</v>
      </c>
      <c r="K463" s="109" t="s">
        <v>1056</v>
      </c>
    </row>
    <row r="464" spans="1:11" x14ac:dyDescent="0.35">
      <c r="A464" s="61">
        <v>45414</v>
      </c>
      <c r="B464" s="49" t="s">
        <v>368</v>
      </c>
      <c r="C464" s="49" t="s">
        <v>327</v>
      </c>
      <c r="D464" s="50">
        <v>6436</v>
      </c>
      <c r="E464" s="50">
        <v>2381</v>
      </c>
      <c r="F464" s="60">
        <v>0.37</v>
      </c>
      <c r="G464" s="49">
        <v>31</v>
      </c>
      <c r="H464" s="60">
        <v>1.2999999999999999E-2</v>
      </c>
      <c r="I464" s="60">
        <v>4.7999999999999996E-3</v>
      </c>
      <c r="J464" s="52" t="s">
        <v>1055</v>
      </c>
      <c r="K464" s="109" t="s">
        <v>1056</v>
      </c>
    </row>
    <row r="465" spans="1:11" x14ac:dyDescent="0.35">
      <c r="A465" s="61">
        <v>45414</v>
      </c>
      <c r="B465" s="49" t="s">
        <v>339</v>
      </c>
      <c r="C465" s="49" t="s">
        <v>253</v>
      </c>
      <c r="D465" s="50">
        <v>254373</v>
      </c>
      <c r="E465" s="50">
        <v>88634</v>
      </c>
      <c r="F465" s="60">
        <v>0.34839999999999999</v>
      </c>
      <c r="G465" s="50">
        <v>1062</v>
      </c>
      <c r="H465" s="60">
        <v>1.2E-2</v>
      </c>
      <c r="I465" s="60">
        <v>4.1999999999999997E-3</v>
      </c>
      <c r="J465" s="52" t="s">
        <v>1055</v>
      </c>
      <c r="K465" s="109" t="s">
        <v>1056</v>
      </c>
    </row>
    <row r="466" spans="1:11" x14ac:dyDescent="0.35">
      <c r="A466" s="61">
        <v>45414</v>
      </c>
      <c r="B466" s="49" t="s">
        <v>340</v>
      </c>
      <c r="C466" s="49" t="s">
        <v>255</v>
      </c>
      <c r="D466" s="50">
        <v>13809</v>
      </c>
      <c r="E466" s="50">
        <v>5105</v>
      </c>
      <c r="F466" s="60">
        <v>0.36969999999999997</v>
      </c>
      <c r="G466" s="49">
        <v>85</v>
      </c>
      <c r="H466" s="60">
        <v>1.67E-2</v>
      </c>
      <c r="I466" s="60">
        <v>6.1999999999999998E-3</v>
      </c>
      <c r="J466" s="52" t="s">
        <v>1055</v>
      </c>
      <c r="K466" s="109" t="s">
        <v>1056</v>
      </c>
    </row>
    <row r="467" spans="1:11" x14ac:dyDescent="0.35">
      <c r="A467" s="61">
        <v>45414</v>
      </c>
      <c r="B467" s="49" t="s">
        <v>369</v>
      </c>
      <c r="C467" s="49" t="s">
        <v>10</v>
      </c>
      <c r="D467" s="50">
        <v>6402430</v>
      </c>
      <c r="E467" s="50">
        <v>2119497</v>
      </c>
      <c r="F467" s="51">
        <v>0.33104571233109897</v>
      </c>
      <c r="G467" s="50">
        <v>17552</v>
      </c>
      <c r="H467" s="51">
        <v>8.2812101173061307E-3</v>
      </c>
      <c r="I467" s="51">
        <v>2.74145910224712E-3</v>
      </c>
      <c r="J467" s="52" t="s">
        <v>1061</v>
      </c>
      <c r="K467" s="109" t="s">
        <v>1054</v>
      </c>
    </row>
    <row r="468" spans="1:11" x14ac:dyDescent="0.35">
      <c r="A468" s="61">
        <v>45414</v>
      </c>
      <c r="B468" s="49" t="s">
        <v>369</v>
      </c>
      <c r="C468" s="49" t="s">
        <v>11</v>
      </c>
      <c r="D468" s="50">
        <v>415848</v>
      </c>
      <c r="E468" s="50">
        <v>127945</v>
      </c>
      <c r="F468" s="51">
        <v>0.30767251495738801</v>
      </c>
      <c r="G468" s="50">
        <v>1864</v>
      </c>
      <c r="H468" s="51">
        <v>1.45687600140685E-2</v>
      </c>
      <c r="I468" s="51">
        <v>4.4824070333390996E-3</v>
      </c>
      <c r="J468" s="52" t="s">
        <v>1061</v>
      </c>
      <c r="K468" s="109" t="s">
        <v>1054</v>
      </c>
    </row>
    <row r="469" spans="1:11" x14ac:dyDescent="0.35">
      <c r="A469" s="61">
        <v>45414</v>
      </c>
      <c r="B469" s="49" t="s">
        <v>370</v>
      </c>
      <c r="C469" s="49" t="s">
        <v>371</v>
      </c>
      <c r="D469" s="50">
        <v>474541</v>
      </c>
      <c r="E469" s="50">
        <v>150689</v>
      </c>
      <c r="F469" s="51">
        <v>0.31754685053557002</v>
      </c>
      <c r="G469" s="50">
        <v>1788</v>
      </c>
      <c r="H469" s="51">
        <v>1.18654978133772E-2</v>
      </c>
      <c r="I469" s="51">
        <v>3.76785146067463E-3</v>
      </c>
      <c r="J469" s="52" t="s">
        <v>1055</v>
      </c>
      <c r="K469" s="109" t="s">
        <v>1056</v>
      </c>
    </row>
    <row r="470" spans="1:11" x14ac:dyDescent="0.35">
      <c r="A470" s="61">
        <v>45414</v>
      </c>
      <c r="B470" s="49" t="s">
        <v>370</v>
      </c>
      <c r="C470" s="49" t="s">
        <v>372</v>
      </c>
      <c r="D470" s="50">
        <v>30482</v>
      </c>
      <c r="E470" s="50">
        <v>8674</v>
      </c>
      <c r="F470" s="51">
        <v>0.28456138048684498</v>
      </c>
      <c r="G470" s="50">
        <v>135</v>
      </c>
      <c r="H470" s="51">
        <v>1.55637537468296E-2</v>
      </c>
      <c r="I470" s="51">
        <v>4.4288432517551298E-3</v>
      </c>
      <c r="J470" s="52" t="s">
        <v>1055</v>
      </c>
      <c r="K470" s="109" t="s">
        <v>1056</v>
      </c>
    </row>
    <row r="471" spans="1:11" x14ac:dyDescent="0.35">
      <c r="A471" s="61">
        <v>45415</v>
      </c>
      <c r="B471" s="49" t="s">
        <v>373</v>
      </c>
      <c r="C471" s="49" t="s">
        <v>10</v>
      </c>
      <c r="D471" s="50">
        <v>404139</v>
      </c>
      <c r="E471" s="50">
        <v>144273</v>
      </c>
      <c r="F471" s="51">
        <v>0.35698856086643499</v>
      </c>
      <c r="G471" s="50">
        <v>2590</v>
      </c>
      <c r="H471" s="51">
        <v>1.7952076965197902E-2</v>
      </c>
      <c r="I471" s="51">
        <v>6.4086861203694803E-3</v>
      </c>
      <c r="J471" s="52" t="s">
        <v>1057</v>
      </c>
      <c r="K471" s="109" t="s">
        <v>1054</v>
      </c>
    </row>
    <row r="472" spans="1:11" x14ac:dyDescent="0.35">
      <c r="A472" s="61">
        <v>45415</v>
      </c>
      <c r="B472" s="49" t="s">
        <v>370</v>
      </c>
      <c r="C472" s="49" t="s">
        <v>10</v>
      </c>
      <c r="D472" s="50">
        <v>4288058</v>
      </c>
      <c r="E472" s="50">
        <v>1188531</v>
      </c>
      <c r="F472" s="51">
        <v>0.27717232369524902</v>
      </c>
      <c r="G472" s="50">
        <v>16378</v>
      </c>
      <c r="H472" s="51">
        <v>1.3780036027667799E-2</v>
      </c>
      <c r="I472" s="51">
        <v>3.8194446063929202E-3</v>
      </c>
      <c r="J472" s="52" t="s">
        <v>1055</v>
      </c>
      <c r="K472" s="109" t="s">
        <v>1056</v>
      </c>
    </row>
    <row r="473" spans="1:11" x14ac:dyDescent="0.35">
      <c r="A473" s="61">
        <v>45415</v>
      </c>
      <c r="B473" s="49" t="s">
        <v>370</v>
      </c>
      <c r="C473" s="49" t="s">
        <v>11</v>
      </c>
      <c r="D473" s="50">
        <v>274631</v>
      </c>
      <c r="E473" s="50">
        <v>70308</v>
      </c>
      <c r="F473" s="51">
        <v>0.25600897203884498</v>
      </c>
      <c r="G473" s="50">
        <v>1268</v>
      </c>
      <c r="H473" s="51">
        <v>1.80349320134266E-2</v>
      </c>
      <c r="I473" s="51">
        <v>4.6171044055478101E-3</v>
      </c>
      <c r="J473" s="52" t="s">
        <v>1055</v>
      </c>
      <c r="K473" s="109" t="s">
        <v>1056</v>
      </c>
    </row>
    <row r="474" spans="1:11" x14ac:dyDescent="0.35">
      <c r="A474" s="61">
        <v>45416</v>
      </c>
      <c r="B474" s="49" t="s">
        <v>374</v>
      </c>
      <c r="C474" s="49" t="s">
        <v>10</v>
      </c>
      <c r="D474" s="50">
        <v>60395</v>
      </c>
      <c r="E474" s="50">
        <v>25446</v>
      </c>
      <c r="F474" s="51">
        <v>0.42132626873085499</v>
      </c>
      <c r="G474" s="50">
        <v>1571</v>
      </c>
      <c r="H474" s="51">
        <v>6.1738583667374003E-2</v>
      </c>
      <c r="I474" s="51">
        <v>2.60120870933024E-2</v>
      </c>
      <c r="J474" s="52" t="s">
        <v>1055</v>
      </c>
      <c r="K474" s="109" t="s">
        <v>1056</v>
      </c>
    </row>
    <row r="475" spans="1:11" x14ac:dyDescent="0.35">
      <c r="A475" s="61">
        <v>45416</v>
      </c>
      <c r="B475" s="49" t="s">
        <v>374</v>
      </c>
      <c r="C475" s="49" t="s">
        <v>11</v>
      </c>
      <c r="D475" s="50">
        <v>6419</v>
      </c>
      <c r="E475" s="50">
        <v>3068</v>
      </c>
      <c r="F475" s="51">
        <v>0.47795606792335299</v>
      </c>
      <c r="G475" s="50">
        <v>247</v>
      </c>
      <c r="H475" s="51">
        <v>8.0508474576271194E-2</v>
      </c>
      <c r="I475" s="51">
        <v>3.8479513942981797E-2</v>
      </c>
      <c r="J475" s="52" t="s">
        <v>1055</v>
      </c>
      <c r="K475" s="109" t="s">
        <v>1056</v>
      </c>
    </row>
    <row r="476" spans="1:11" x14ac:dyDescent="0.35">
      <c r="A476" s="61">
        <v>45417</v>
      </c>
      <c r="B476" s="49" t="s">
        <v>375</v>
      </c>
      <c r="C476" s="49" t="s">
        <v>10</v>
      </c>
      <c r="D476" s="50">
        <v>249996</v>
      </c>
      <c r="E476" s="50">
        <v>87306</v>
      </c>
      <c r="F476" s="51">
        <v>0.34922958767340301</v>
      </c>
      <c r="G476" s="50">
        <v>1301</v>
      </c>
      <c r="H476" s="51">
        <v>1.49016104276911E-2</v>
      </c>
      <c r="I476" s="51">
        <v>5.2040832653322501E-3</v>
      </c>
      <c r="J476" s="52" t="s">
        <v>1060</v>
      </c>
      <c r="K476" s="109" t="s">
        <v>1054</v>
      </c>
    </row>
    <row r="477" spans="1:11" x14ac:dyDescent="0.35">
      <c r="A477" s="61">
        <v>45419</v>
      </c>
      <c r="B477" s="49" t="s">
        <v>376</v>
      </c>
      <c r="C477" s="49" t="s">
        <v>10</v>
      </c>
      <c r="D477" s="50">
        <v>1342182</v>
      </c>
      <c r="E477" s="50">
        <v>469103</v>
      </c>
      <c r="F477" s="51">
        <v>0.34950774187107297</v>
      </c>
      <c r="G477" s="50">
        <v>5726</v>
      </c>
      <c r="H477" s="51">
        <v>1.22062745281953E-2</v>
      </c>
      <c r="I477" s="51">
        <v>4.2661874470079301E-3</v>
      </c>
      <c r="J477" s="52" t="s">
        <v>1055</v>
      </c>
      <c r="K477" s="109" t="s">
        <v>1056</v>
      </c>
    </row>
    <row r="478" spans="1:11" x14ac:dyDescent="0.35">
      <c r="A478" s="61">
        <v>45419</v>
      </c>
      <c r="B478" s="49" t="s">
        <v>376</v>
      </c>
      <c r="C478" s="49" t="s">
        <v>11</v>
      </c>
      <c r="D478" s="50">
        <v>95129</v>
      </c>
      <c r="E478" s="50">
        <v>31570</v>
      </c>
      <c r="F478" s="51">
        <v>0.33186515153107898</v>
      </c>
      <c r="G478" s="50">
        <v>482</v>
      </c>
      <c r="H478" s="51">
        <v>1.5267659170098201E-2</v>
      </c>
      <c r="I478" s="51">
        <v>5.0668040240095004E-3</v>
      </c>
      <c r="J478" s="52" t="s">
        <v>1055</v>
      </c>
      <c r="K478" s="109" t="s">
        <v>1056</v>
      </c>
    </row>
    <row r="479" spans="1:11" x14ac:dyDescent="0.35">
      <c r="A479" s="61">
        <v>45420</v>
      </c>
      <c r="B479" s="49" t="s">
        <v>377</v>
      </c>
      <c r="C479" s="49" t="s">
        <v>10</v>
      </c>
      <c r="D479" s="50">
        <v>6174353</v>
      </c>
      <c r="E479" s="50">
        <v>2013964</v>
      </c>
      <c r="F479" s="51">
        <v>0.326182192692902</v>
      </c>
      <c r="G479" s="50">
        <v>18778</v>
      </c>
      <c r="H479" s="51">
        <v>9.3239005265238102E-3</v>
      </c>
      <c r="I479" s="51">
        <v>3.0412903181920399E-3</v>
      </c>
      <c r="J479" s="52" t="s">
        <v>1055</v>
      </c>
      <c r="K479" s="109" t="s">
        <v>1056</v>
      </c>
    </row>
    <row r="480" spans="1:11" x14ac:dyDescent="0.35">
      <c r="A480" s="61">
        <v>45420</v>
      </c>
      <c r="B480" s="49" t="s">
        <v>377</v>
      </c>
      <c r="C480" s="49" t="s">
        <v>11</v>
      </c>
      <c r="D480" s="50">
        <v>394948</v>
      </c>
      <c r="E480" s="50">
        <v>117886</v>
      </c>
      <c r="F480" s="51">
        <v>0.29848486383017497</v>
      </c>
      <c r="G480" s="50">
        <v>1315</v>
      </c>
      <c r="H480" s="51">
        <v>1.11548445107986E-2</v>
      </c>
      <c r="I480" s="51">
        <v>3.3295522448524898E-3</v>
      </c>
      <c r="J480" s="52" t="s">
        <v>1055</v>
      </c>
      <c r="K480" s="109" t="s">
        <v>1056</v>
      </c>
    </row>
    <row r="481" spans="1:11" x14ac:dyDescent="0.35">
      <c r="A481" s="61">
        <v>45420</v>
      </c>
      <c r="B481" s="49" t="s">
        <v>378</v>
      </c>
      <c r="C481" s="49" t="s">
        <v>74</v>
      </c>
      <c r="D481" s="50">
        <v>7975</v>
      </c>
      <c r="E481" s="50">
        <v>2860</v>
      </c>
      <c r="F481" s="51">
        <v>0.35862068965517202</v>
      </c>
      <c r="G481" s="50">
        <v>45</v>
      </c>
      <c r="H481" s="51">
        <v>1.5734265734265701E-2</v>
      </c>
      <c r="I481" s="51">
        <v>5.6426332288401198E-3</v>
      </c>
      <c r="J481" s="52" t="s">
        <v>1055</v>
      </c>
      <c r="K481" s="109" t="s">
        <v>1056</v>
      </c>
    </row>
    <row r="482" spans="1:11" x14ac:dyDescent="0.35">
      <c r="A482" s="61">
        <v>45420</v>
      </c>
      <c r="B482" s="49" t="s">
        <v>378</v>
      </c>
      <c r="C482" s="49" t="s">
        <v>72</v>
      </c>
      <c r="D482" s="50">
        <v>153529</v>
      </c>
      <c r="E482" s="50">
        <v>54771</v>
      </c>
      <c r="F482" s="51">
        <v>0.35674693380403699</v>
      </c>
      <c r="G482" s="50">
        <v>817</v>
      </c>
      <c r="H482" s="51">
        <v>1.4916652973288799E-2</v>
      </c>
      <c r="I482" s="51">
        <v>5.3214702108396496E-3</v>
      </c>
      <c r="J482" s="52" t="s">
        <v>1055</v>
      </c>
      <c r="K482" s="109" t="s">
        <v>1056</v>
      </c>
    </row>
    <row r="483" spans="1:11" x14ac:dyDescent="0.35">
      <c r="A483" s="61">
        <v>45420</v>
      </c>
      <c r="B483" s="49" t="s">
        <v>378</v>
      </c>
      <c r="C483" s="49" t="s">
        <v>75</v>
      </c>
      <c r="D483" s="50">
        <v>696</v>
      </c>
      <c r="E483" s="50">
        <v>279</v>
      </c>
      <c r="F483" s="51">
        <v>0.40086206896551702</v>
      </c>
      <c r="G483" s="50">
        <v>0</v>
      </c>
      <c r="H483" s="51">
        <v>0</v>
      </c>
      <c r="I483" s="51">
        <v>0</v>
      </c>
      <c r="J483" s="52" t="s">
        <v>1055</v>
      </c>
      <c r="K483" s="109" t="s">
        <v>1056</v>
      </c>
    </row>
    <row r="484" spans="1:11" x14ac:dyDescent="0.35">
      <c r="A484" s="61">
        <v>45420</v>
      </c>
      <c r="B484" s="49" t="s">
        <v>378</v>
      </c>
      <c r="C484" s="49" t="s">
        <v>73</v>
      </c>
      <c r="D484" s="50">
        <v>12795</v>
      </c>
      <c r="E484" s="50">
        <v>4852</v>
      </c>
      <c r="F484" s="51">
        <v>0.37921062915201198</v>
      </c>
      <c r="G484" s="50">
        <v>100</v>
      </c>
      <c r="H484" s="51">
        <v>2.06100577081616E-2</v>
      </c>
      <c r="I484" s="51">
        <v>7.81555295037124E-3</v>
      </c>
      <c r="J484" s="52" t="s">
        <v>1055</v>
      </c>
      <c r="K484" s="109" t="s">
        <v>1056</v>
      </c>
    </row>
    <row r="485" spans="1:11" x14ac:dyDescent="0.35">
      <c r="A485" s="61">
        <v>45421</v>
      </c>
      <c r="B485" s="49" t="s">
        <v>379</v>
      </c>
      <c r="C485" s="49" t="s">
        <v>325</v>
      </c>
      <c r="D485" s="50">
        <v>862852</v>
      </c>
      <c r="E485" s="50">
        <v>279942</v>
      </c>
      <c r="F485" s="60">
        <v>0.32440000000000002</v>
      </c>
      <c r="G485" s="50">
        <v>2538</v>
      </c>
      <c r="H485" s="60">
        <v>9.1000000000000004E-3</v>
      </c>
      <c r="I485" s="60">
        <v>2.8999999999999998E-3</v>
      </c>
      <c r="J485" s="52" t="s">
        <v>1055</v>
      </c>
      <c r="K485" s="109" t="s">
        <v>1056</v>
      </c>
    </row>
    <row r="486" spans="1:11" x14ac:dyDescent="0.35">
      <c r="A486" s="61">
        <v>45421</v>
      </c>
      <c r="B486" s="49" t="s">
        <v>380</v>
      </c>
      <c r="C486" s="49" t="s">
        <v>327</v>
      </c>
      <c r="D486" s="50">
        <v>54835</v>
      </c>
      <c r="E486" s="50">
        <v>16522</v>
      </c>
      <c r="F486" s="60">
        <v>0.30130000000000001</v>
      </c>
      <c r="G486" s="49">
        <v>141</v>
      </c>
      <c r="H486" s="60">
        <v>8.5000000000000006E-3</v>
      </c>
      <c r="I486" s="60">
        <v>2.5999999999999999E-3</v>
      </c>
      <c r="J486" s="52" t="s">
        <v>1055</v>
      </c>
      <c r="K486" s="109" t="s">
        <v>1056</v>
      </c>
    </row>
    <row r="487" spans="1:11" x14ac:dyDescent="0.35">
      <c r="A487" s="61">
        <v>45421</v>
      </c>
      <c r="B487" s="49" t="s">
        <v>367</v>
      </c>
      <c r="C487" s="49" t="s">
        <v>253</v>
      </c>
      <c r="D487" s="50">
        <v>89416</v>
      </c>
      <c r="E487" s="50">
        <v>29879</v>
      </c>
      <c r="F487" s="60">
        <v>0.3342</v>
      </c>
      <c r="G487" s="49">
        <v>203</v>
      </c>
      <c r="H487" s="60">
        <v>6.7999999999999996E-3</v>
      </c>
      <c r="I487" s="60">
        <v>2.3E-3</v>
      </c>
      <c r="J487" s="52" t="s">
        <v>1055</v>
      </c>
      <c r="K487" s="109" t="s">
        <v>1056</v>
      </c>
    </row>
    <row r="488" spans="1:11" x14ac:dyDescent="0.35">
      <c r="A488" s="61">
        <v>45421</v>
      </c>
      <c r="B488" s="49" t="s">
        <v>368</v>
      </c>
      <c r="C488" s="49" t="s">
        <v>255</v>
      </c>
      <c r="D488" s="50">
        <v>5527</v>
      </c>
      <c r="E488" s="50">
        <v>1828</v>
      </c>
      <c r="F488" s="60">
        <v>0.33069999999999999</v>
      </c>
      <c r="G488" s="49">
        <v>18</v>
      </c>
      <c r="H488" s="60">
        <v>9.7999999999999997E-3</v>
      </c>
      <c r="I488" s="60">
        <v>3.3E-3</v>
      </c>
      <c r="J488" s="52" t="s">
        <v>1055</v>
      </c>
      <c r="K488" s="109" t="s">
        <v>1056</v>
      </c>
    </row>
    <row r="489" spans="1:11" x14ac:dyDescent="0.35">
      <c r="A489" s="61">
        <v>45421</v>
      </c>
      <c r="B489" s="49" t="s">
        <v>381</v>
      </c>
      <c r="C489" s="49" t="s">
        <v>74</v>
      </c>
      <c r="D489" s="50">
        <v>11002</v>
      </c>
      <c r="E489" s="50">
        <v>3646</v>
      </c>
      <c r="F489" s="51">
        <v>0.331394291946919</v>
      </c>
      <c r="G489" s="50">
        <v>52</v>
      </c>
      <c r="H489" s="51">
        <v>1.42622051563357E-2</v>
      </c>
      <c r="I489" s="51">
        <v>4.7264133793855703E-3</v>
      </c>
      <c r="J489" s="52" t="s">
        <v>1055</v>
      </c>
      <c r="K489" s="109" t="s">
        <v>1056</v>
      </c>
    </row>
    <row r="490" spans="1:11" x14ac:dyDescent="0.35">
      <c r="A490" s="61">
        <v>45421</v>
      </c>
      <c r="B490" s="49" t="s">
        <v>381</v>
      </c>
      <c r="C490" s="49" t="s">
        <v>72</v>
      </c>
      <c r="D490" s="50">
        <v>207893</v>
      </c>
      <c r="E490" s="50">
        <v>69622</v>
      </c>
      <c r="F490" s="51">
        <v>0.33489343075524403</v>
      </c>
      <c r="G490" s="50">
        <v>853</v>
      </c>
      <c r="H490" s="51">
        <v>1.22518744075149E-2</v>
      </c>
      <c r="I490" s="51">
        <v>4.1030722535150303E-3</v>
      </c>
      <c r="J490" s="52" t="s">
        <v>1055</v>
      </c>
      <c r="K490" s="109" t="s">
        <v>1056</v>
      </c>
    </row>
    <row r="491" spans="1:11" x14ac:dyDescent="0.35">
      <c r="A491" s="61">
        <v>45421</v>
      </c>
      <c r="B491" s="49" t="s">
        <v>381</v>
      </c>
      <c r="C491" s="49" t="s">
        <v>75</v>
      </c>
      <c r="D491" s="50">
        <v>1084</v>
      </c>
      <c r="E491" s="50">
        <v>360</v>
      </c>
      <c r="F491" s="51">
        <v>0.33210332103321</v>
      </c>
      <c r="G491" s="50">
        <v>2</v>
      </c>
      <c r="H491" s="51">
        <v>5.5555555555555601E-3</v>
      </c>
      <c r="I491" s="51">
        <v>1.8450184501845001E-3</v>
      </c>
      <c r="J491" s="52" t="s">
        <v>1055</v>
      </c>
      <c r="K491" s="109" t="s">
        <v>1056</v>
      </c>
    </row>
    <row r="492" spans="1:11" x14ac:dyDescent="0.35">
      <c r="A492" s="61">
        <v>45421</v>
      </c>
      <c r="B492" s="49" t="s">
        <v>381</v>
      </c>
      <c r="C492" s="49" t="s">
        <v>73</v>
      </c>
      <c r="D492" s="50">
        <v>20543</v>
      </c>
      <c r="E492" s="50">
        <v>6943</v>
      </c>
      <c r="F492" s="51">
        <v>0.33797400574404901</v>
      </c>
      <c r="G492" s="50">
        <v>103</v>
      </c>
      <c r="H492" s="51">
        <v>1.4835085697825099E-2</v>
      </c>
      <c r="I492" s="51">
        <v>5.0138733388502199E-3</v>
      </c>
      <c r="J492" s="52" t="s">
        <v>1055</v>
      </c>
      <c r="K492" s="109" t="s">
        <v>1056</v>
      </c>
    </row>
    <row r="493" spans="1:11" x14ac:dyDescent="0.35">
      <c r="A493" s="61">
        <v>45421</v>
      </c>
      <c r="B493" s="49" t="s">
        <v>382</v>
      </c>
      <c r="C493" s="49" t="s">
        <v>383</v>
      </c>
      <c r="D493" s="50">
        <v>2614251</v>
      </c>
      <c r="E493" s="50">
        <v>862606</v>
      </c>
      <c r="F493" s="51">
        <v>0.32996296071035303</v>
      </c>
      <c r="G493" s="50">
        <v>3623</v>
      </c>
      <c r="H493" s="51">
        <v>4.2000635284243299E-3</v>
      </c>
      <c r="I493" s="51">
        <v>1.3858653970104599E-3</v>
      </c>
      <c r="J493" s="52" t="s">
        <v>1058</v>
      </c>
      <c r="K493" s="109" t="s">
        <v>1054</v>
      </c>
    </row>
    <row r="494" spans="1:11" x14ac:dyDescent="0.35">
      <c r="A494" s="61">
        <v>45421</v>
      </c>
      <c r="B494" s="49" t="s">
        <v>384</v>
      </c>
      <c r="C494" s="49" t="s">
        <v>385</v>
      </c>
      <c r="D494" s="50">
        <v>24488</v>
      </c>
      <c r="E494" s="50">
        <v>8930</v>
      </c>
      <c r="F494" s="51">
        <v>0.36466840901666098</v>
      </c>
      <c r="G494" s="50">
        <v>901</v>
      </c>
      <c r="H494" s="51">
        <v>0.10089585666293401</v>
      </c>
      <c r="I494" s="51">
        <v>3.6793531525645198E-2</v>
      </c>
      <c r="J494" s="52" t="s">
        <v>1053</v>
      </c>
      <c r="K494" s="109" t="s">
        <v>1054</v>
      </c>
    </row>
    <row r="495" spans="1:11" x14ac:dyDescent="0.35">
      <c r="A495" s="61">
        <v>45421</v>
      </c>
      <c r="B495" s="49" t="s">
        <v>384</v>
      </c>
      <c r="C495" s="49" t="s">
        <v>386</v>
      </c>
      <c r="D495" s="50">
        <v>7535</v>
      </c>
      <c r="E495" s="50">
        <v>2971</v>
      </c>
      <c r="F495" s="51">
        <v>0.394293297942933</v>
      </c>
      <c r="G495" s="50">
        <v>474</v>
      </c>
      <c r="H495" s="51">
        <v>0.15954224166947201</v>
      </c>
      <c r="I495" s="51">
        <v>6.2906436629064394E-2</v>
      </c>
      <c r="J495" s="52" t="s">
        <v>1053</v>
      </c>
      <c r="K495" s="109" t="s">
        <v>1054</v>
      </c>
    </row>
    <row r="496" spans="1:11" x14ac:dyDescent="0.35">
      <c r="A496" s="61">
        <v>45422</v>
      </c>
      <c r="B496" s="49" t="s">
        <v>387</v>
      </c>
      <c r="C496" s="49" t="s">
        <v>10</v>
      </c>
      <c r="D496" s="50">
        <v>401556</v>
      </c>
      <c r="E496" s="50">
        <v>142411</v>
      </c>
      <c r="F496" s="51">
        <v>0.35464791959278402</v>
      </c>
      <c r="G496" s="50">
        <v>2561</v>
      </c>
      <c r="H496" s="51">
        <v>1.7983161413093099E-2</v>
      </c>
      <c r="I496" s="51">
        <v>6.3776907828547004E-3</v>
      </c>
      <c r="J496" s="52" t="s">
        <v>1057</v>
      </c>
      <c r="K496" s="109" t="s">
        <v>1054</v>
      </c>
    </row>
    <row r="497" spans="1:11" x14ac:dyDescent="0.35">
      <c r="A497" s="61">
        <v>45422</v>
      </c>
      <c r="B497" s="49" t="s">
        <v>387</v>
      </c>
      <c r="C497" s="49" t="s">
        <v>11</v>
      </c>
      <c r="D497" s="50">
        <v>21904</v>
      </c>
      <c r="E497" s="50">
        <v>7246</v>
      </c>
      <c r="F497" s="51">
        <v>0.33080715850986098</v>
      </c>
      <c r="G497" s="50">
        <v>269</v>
      </c>
      <c r="H497" s="51">
        <v>3.7123930444383099E-2</v>
      </c>
      <c r="I497" s="51">
        <v>1.22808619430241E-2</v>
      </c>
      <c r="J497" s="52" t="s">
        <v>1057</v>
      </c>
      <c r="K497" s="109" t="s">
        <v>1054</v>
      </c>
    </row>
    <row r="498" spans="1:11" x14ac:dyDescent="0.35">
      <c r="A498" s="61">
        <v>45422</v>
      </c>
      <c r="B498" s="49" t="s">
        <v>388</v>
      </c>
      <c r="C498" s="49" t="s">
        <v>10</v>
      </c>
      <c r="D498" s="50">
        <v>4731466</v>
      </c>
      <c r="E498" s="50">
        <v>1529811</v>
      </c>
      <c r="F498" s="51">
        <v>0.32332706184510301</v>
      </c>
      <c r="G498" s="50">
        <v>16371</v>
      </c>
      <c r="H498" s="51">
        <v>1.07013219280029E-2</v>
      </c>
      <c r="I498" s="51">
        <v>3.4600269768397399E-3</v>
      </c>
      <c r="J498" s="52" t="s">
        <v>1055</v>
      </c>
      <c r="K498" s="109" t="s">
        <v>1056</v>
      </c>
    </row>
    <row r="499" spans="1:11" x14ac:dyDescent="0.35">
      <c r="A499" s="61">
        <v>45422</v>
      </c>
      <c r="B499" s="49" t="s">
        <v>388</v>
      </c>
      <c r="C499" s="49" t="s">
        <v>11</v>
      </c>
      <c r="D499" s="50">
        <v>303341</v>
      </c>
      <c r="E499" s="50">
        <v>87140</v>
      </c>
      <c r="F499" s="51">
        <v>0.28726746466847503</v>
      </c>
      <c r="G499" s="50">
        <v>1185</v>
      </c>
      <c r="H499" s="51">
        <v>1.3598806518246499E-2</v>
      </c>
      <c r="I499" s="51">
        <v>3.9064946710138104E-3</v>
      </c>
      <c r="J499" s="52" t="s">
        <v>1055</v>
      </c>
      <c r="K499" s="109" t="s">
        <v>1056</v>
      </c>
    </row>
    <row r="500" spans="1:11" x14ac:dyDescent="0.35">
      <c r="A500" s="61">
        <v>45423</v>
      </c>
      <c r="B500" s="49" t="s">
        <v>389</v>
      </c>
      <c r="C500" s="49" t="s">
        <v>383</v>
      </c>
      <c r="D500" s="50">
        <v>2607597</v>
      </c>
      <c r="E500" s="50">
        <v>971909</v>
      </c>
      <c r="F500" s="51">
        <v>0.37272208857427003</v>
      </c>
      <c r="G500" s="50">
        <v>4857</v>
      </c>
      <c r="H500" s="51">
        <v>4.9973814420897402E-3</v>
      </c>
      <c r="I500" s="51">
        <v>1.86263444849799E-3</v>
      </c>
      <c r="J500" s="52" t="s">
        <v>1058</v>
      </c>
      <c r="K500" s="109" t="s">
        <v>1054</v>
      </c>
    </row>
    <row r="501" spans="1:11" x14ac:dyDescent="0.35">
      <c r="A501" s="61">
        <v>45426</v>
      </c>
      <c r="B501" s="49" t="s">
        <v>390</v>
      </c>
      <c r="C501" s="49" t="s">
        <v>10</v>
      </c>
      <c r="D501" s="50">
        <v>1333369</v>
      </c>
      <c r="E501" s="50">
        <v>471038</v>
      </c>
      <c r="F501" s="51">
        <v>0.35326905005291098</v>
      </c>
      <c r="G501" s="50">
        <v>5490</v>
      </c>
      <c r="H501" s="51">
        <v>1.1655110628017299E-2</v>
      </c>
      <c r="I501" s="51">
        <v>4.1173898598212497E-3</v>
      </c>
      <c r="J501" s="52" t="s">
        <v>1055</v>
      </c>
      <c r="K501" s="109" t="s">
        <v>1056</v>
      </c>
    </row>
    <row r="502" spans="1:11" x14ac:dyDescent="0.35">
      <c r="A502" s="61">
        <v>45426</v>
      </c>
      <c r="B502" s="49" t="s">
        <v>390</v>
      </c>
      <c r="C502" s="49" t="s">
        <v>11</v>
      </c>
      <c r="D502" s="50">
        <v>94720</v>
      </c>
      <c r="E502" s="50">
        <v>33002</v>
      </c>
      <c r="F502" s="51">
        <v>0.34841638513513501</v>
      </c>
      <c r="G502" s="50">
        <v>677</v>
      </c>
      <c r="H502" s="51">
        <v>2.0513908247985001E-2</v>
      </c>
      <c r="I502" s="51">
        <v>7.1473817567567601E-3</v>
      </c>
      <c r="J502" s="52" t="s">
        <v>1055</v>
      </c>
      <c r="K502" s="109" t="s">
        <v>1056</v>
      </c>
    </row>
    <row r="503" spans="1:11" x14ac:dyDescent="0.35">
      <c r="A503" s="61">
        <v>45427</v>
      </c>
      <c r="B503" s="49" t="s">
        <v>391</v>
      </c>
      <c r="C503" s="49" t="s">
        <v>392</v>
      </c>
      <c r="D503" s="50">
        <v>778746</v>
      </c>
      <c r="E503" s="50">
        <v>298837</v>
      </c>
      <c r="F503" s="51">
        <v>0.38374129690553799</v>
      </c>
      <c r="G503" s="50">
        <v>3913</v>
      </c>
      <c r="H503" s="51">
        <v>1.3094094774074199E-2</v>
      </c>
      <c r="I503" s="51">
        <v>5.0247449104072403E-3</v>
      </c>
      <c r="J503" s="52" t="s">
        <v>1061</v>
      </c>
      <c r="K503" s="109" t="s">
        <v>1054</v>
      </c>
    </row>
    <row r="504" spans="1:11" x14ac:dyDescent="0.35">
      <c r="A504" s="61">
        <v>45427</v>
      </c>
      <c r="B504" s="49" t="s">
        <v>391</v>
      </c>
      <c r="C504" s="49" t="s">
        <v>393</v>
      </c>
      <c r="D504" s="50">
        <v>4375555</v>
      </c>
      <c r="E504" s="50">
        <v>1403286</v>
      </c>
      <c r="F504" s="51">
        <v>0.32071040130909101</v>
      </c>
      <c r="G504" s="50">
        <v>11278</v>
      </c>
      <c r="H504" s="51">
        <v>8.0368506491192808E-3</v>
      </c>
      <c r="I504" s="51">
        <v>2.5775015969402701E-3</v>
      </c>
      <c r="J504" s="52" t="s">
        <v>1061</v>
      </c>
      <c r="K504" s="109" t="s">
        <v>1054</v>
      </c>
    </row>
    <row r="505" spans="1:11" x14ac:dyDescent="0.35">
      <c r="A505" s="61">
        <v>45427</v>
      </c>
      <c r="B505" s="49" t="s">
        <v>391</v>
      </c>
      <c r="C505" s="49" t="s">
        <v>394</v>
      </c>
      <c r="D505" s="50">
        <v>1127850</v>
      </c>
      <c r="E505" s="50">
        <v>399103</v>
      </c>
      <c r="F505" s="51">
        <v>0.353861772398812</v>
      </c>
      <c r="G505" s="50">
        <v>3895</v>
      </c>
      <c r="H505" s="51">
        <v>9.7593854218083996E-3</v>
      </c>
      <c r="I505" s="51">
        <v>3.4534734228842501E-3</v>
      </c>
      <c r="J505" s="52" t="s">
        <v>1061</v>
      </c>
      <c r="K505" s="109" t="s">
        <v>1054</v>
      </c>
    </row>
    <row r="506" spans="1:11" x14ac:dyDescent="0.35">
      <c r="A506" s="61">
        <v>45427</v>
      </c>
      <c r="B506" s="49" t="s">
        <v>391</v>
      </c>
      <c r="C506" s="49" t="s">
        <v>395</v>
      </c>
      <c r="D506" s="50">
        <v>69844</v>
      </c>
      <c r="E506" s="50">
        <v>27990</v>
      </c>
      <c r="F506" s="51">
        <v>0.40075024339957599</v>
      </c>
      <c r="G506" s="50">
        <v>653</v>
      </c>
      <c r="H506" s="51">
        <v>2.3329760628795999E-2</v>
      </c>
      <c r="I506" s="51">
        <v>9.3494072504438502E-3</v>
      </c>
      <c r="J506" s="52" t="s">
        <v>1061</v>
      </c>
      <c r="K506" s="109" t="s">
        <v>1054</v>
      </c>
    </row>
    <row r="507" spans="1:11" x14ac:dyDescent="0.35">
      <c r="A507" s="61">
        <v>45427</v>
      </c>
      <c r="B507" s="49" t="s">
        <v>391</v>
      </c>
      <c r="C507" s="49" t="s">
        <v>396</v>
      </c>
      <c r="D507" s="50">
        <v>8647</v>
      </c>
      <c r="E507" s="50">
        <v>4075</v>
      </c>
      <c r="F507" s="51">
        <v>0.471261709263328</v>
      </c>
      <c r="G507" s="50">
        <v>135</v>
      </c>
      <c r="H507" s="51">
        <v>3.3128834355828203E-2</v>
      </c>
      <c r="I507" s="51">
        <v>1.56123511044293E-2</v>
      </c>
      <c r="J507" s="52" t="s">
        <v>1061</v>
      </c>
      <c r="K507" s="109" t="s">
        <v>1054</v>
      </c>
    </row>
    <row r="508" spans="1:11" x14ac:dyDescent="0.35">
      <c r="A508" s="61">
        <v>45427</v>
      </c>
      <c r="B508" s="49" t="s">
        <v>397</v>
      </c>
      <c r="C508" s="49" t="s">
        <v>10</v>
      </c>
      <c r="D508" s="50">
        <v>555610</v>
      </c>
      <c r="E508" s="50">
        <v>229718</v>
      </c>
      <c r="F508" s="51">
        <v>0.413451881715592</v>
      </c>
      <c r="G508" s="50">
        <v>3055</v>
      </c>
      <c r="H508" s="51">
        <v>1.32989143210371E-2</v>
      </c>
      <c r="I508" s="51">
        <v>5.4984611508072196E-3</v>
      </c>
      <c r="J508" s="52" t="s">
        <v>1055</v>
      </c>
      <c r="K508" s="109" t="s">
        <v>1056</v>
      </c>
    </row>
    <row r="509" spans="1:11" x14ac:dyDescent="0.35">
      <c r="A509" s="61">
        <v>45427</v>
      </c>
      <c r="B509" s="49" t="s">
        <v>397</v>
      </c>
      <c r="C509" s="49" t="s">
        <v>11</v>
      </c>
      <c r="D509" s="50">
        <v>35073</v>
      </c>
      <c r="E509" s="50">
        <v>13705</v>
      </c>
      <c r="F509" s="51">
        <v>0.39075642231916302</v>
      </c>
      <c r="G509" s="50">
        <v>203</v>
      </c>
      <c r="H509" s="51">
        <v>1.4812112367749E-2</v>
      </c>
      <c r="I509" s="51">
        <v>5.7879280358110203E-3</v>
      </c>
      <c r="J509" s="52" t="s">
        <v>1055</v>
      </c>
      <c r="K509" s="109" t="s">
        <v>1056</v>
      </c>
    </row>
    <row r="510" spans="1:11" x14ac:dyDescent="0.35">
      <c r="A510" s="61">
        <v>45427</v>
      </c>
      <c r="B510" s="49" t="s">
        <v>398</v>
      </c>
      <c r="C510" s="49" t="s">
        <v>10</v>
      </c>
      <c r="D510" s="50">
        <v>474395</v>
      </c>
      <c r="E510" s="50">
        <v>162153</v>
      </c>
      <c r="F510" s="51">
        <v>0.34181009496305798</v>
      </c>
      <c r="G510" s="50">
        <v>1123</v>
      </c>
      <c r="H510" s="51">
        <v>6.9255579606914497E-3</v>
      </c>
      <c r="I510" s="51">
        <v>2.3672256242161099E-3</v>
      </c>
      <c r="J510" s="52" t="s">
        <v>1061</v>
      </c>
      <c r="K510" s="109" t="s">
        <v>1054</v>
      </c>
    </row>
    <row r="511" spans="1:11" x14ac:dyDescent="0.35">
      <c r="A511" s="61">
        <v>45428</v>
      </c>
      <c r="B511" s="49" t="s">
        <v>379</v>
      </c>
      <c r="C511" s="49" t="s">
        <v>234</v>
      </c>
      <c r="D511" s="50">
        <v>746135</v>
      </c>
      <c r="E511" s="50">
        <v>250371</v>
      </c>
      <c r="F511" s="60">
        <v>0.33560000000000001</v>
      </c>
      <c r="G511" s="50">
        <v>2047</v>
      </c>
      <c r="H511" s="60">
        <v>8.2000000000000007E-3</v>
      </c>
      <c r="I511" s="60">
        <v>2.7000000000000001E-3</v>
      </c>
      <c r="J511" s="52" t="s">
        <v>1055</v>
      </c>
      <c r="K511" s="109" t="s">
        <v>1056</v>
      </c>
    </row>
    <row r="512" spans="1:11" x14ac:dyDescent="0.35">
      <c r="A512" s="61">
        <v>45428</v>
      </c>
      <c r="B512" s="49" t="s">
        <v>380</v>
      </c>
      <c r="C512" s="49" t="s">
        <v>235</v>
      </c>
      <c r="D512" s="50">
        <v>48865</v>
      </c>
      <c r="E512" s="50">
        <v>14967</v>
      </c>
      <c r="F512" s="60">
        <v>0.30630000000000002</v>
      </c>
      <c r="G512" s="49">
        <v>135</v>
      </c>
      <c r="H512" s="60">
        <v>8.9999999999999993E-3</v>
      </c>
      <c r="I512" s="60">
        <v>2.8E-3</v>
      </c>
      <c r="J512" s="52" t="s">
        <v>1055</v>
      </c>
      <c r="K512" s="109" t="s">
        <v>1056</v>
      </c>
    </row>
    <row r="513" spans="1:11" x14ac:dyDescent="0.35">
      <c r="A513" s="61">
        <v>45428</v>
      </c>
      <c r="B513" s="49" t="s">
        <v>399</v>
      </c>
      <c r="C513" s="49" t="s">
        <v>400</v>
      </c>
      <c r="D513" s="50">
        <v>1312455</v>
      </c>
      <c r="E513" s="50">
        <v>452177</v>
      </c>
      <c r="F513" s="60">
        <v>0.34449999999999997</v>
      </c>
      <c r="G513" s="50">
        <v>3504</v>
      </c>
      <c r="H513" s="60">
        <v>7.7000000000000002E-3</v>
      </c>
      <c r="I513" s="60">
        <v>2.7000000000000001E-3</v>
      </c>
      <c r="J513" s="52" t="s">
        <v>1055</v>
      </c>
      <c r="K513" s="109" t="s">
        <v>1056</v>
      </c>
    </row>
    <row r="514" spans="1:11" x14ac:dyDescent="0.35">
      <c r="A514" s="61">
        <v>45428</v>
      </c>
      <c r="B514" s="49" t="s">
        <v>401</v>
      </c>
      <c r="C514" s="49" t="s">
        <v>402</v>
      </c>
      <c r="D514" s="50">
        <v>118756</v>
      </c>
      <c r="E514" s="50">
        <v>38772</v>
      </c>
      <c r="F514" s="60">
        <v>0.32650000000000001</v>
      </c>
      <c r="G514" s="49">
        <v>419</v>
      </c>
      <c r="H514" s="60">
        <v>1.0800000000000001E-2</v>
      </c>
      <c r="I514" s="60">
        <v>3.5000000000000001E-3</v>
      </c>
      <c r="J514" s="52" t="s">
        <v>1055</v>
      </c>
      <c r="K514" s="109" t="s">
        <v>1056</v>
      </c>
    </row>
    <row r="515" spans="1:11" x14ac:dyDescent="0.35">
      <c r="A515" s="61">
        <v>45428</v>
      </c>
      <c r="B515" s="49" t="s">
        <v>367</v>
      </c>
      <c r="C515" s="49" t="s">
        <v>403</v>
      </c>
      <c r="D515" s="50">
        <v>88520</v>
      </c>
      <c r="E515" s="50">
        <v>31109</v>
      </c>
      <c r="F515" s="60">
        <v>0.35139999999999999</v>
      </c>
      <c r="G515" s="49">
        <v>285</v>
      </c>
      <c r="H515" s="60">
        <v>9.1999999999999998E-3</v>
      </c>
      <c r="I515" s="60">
        <v>3.2000000000000002E-3</v>
      </c>
      <c r="J515" s="52" t="s">
        <v>1055</v>
      </c>
      <c r="K515" s="109" t="s">
        <v>1056</v>
      </c>
    </row>
    <row r="516" spans="1:11" x14ac:dyDescent="0.35">
      <c r="A516" s="61">
        <v>45428</v>
      </c>
      <c r="B516" s="49" t="s">
        <v>368</v>
      </c>
      <c r="C516" s="49" t="s">
        <v>404</v>
      </c>
      <c r="D516" s="50">
        <v>5462</v>
      </c>
      <c r="E516" s="50">
        <v>1896</v>
      </c>
      <c r="F516" s="60">
        <v>0.34710000000000002</v>
      </c>
      <c r="G516" s="49">
        <v>15</v>
      </c>
      <c r="H516" s="60">
        <v>7.9000000000000008E-3</v>
      </c>
      <c r="I516" s="60">
        <v>2.7000000000000001E-3</v>
      </c>
      <c r="J516" s="52" t="s">
        <v>1055</v>
      </c>
      <c r="K516" s="109" t="s">
        <v>1056</v>
      </c>
    </row>
    <row r="517" spans="1:11" x14ac:dyDescent="0.35">
      <c r="A517" s="61">
        <v>45428</v>
      </c>
      <c r="B517" s="49" t="s">
        <v>405</v>
      </c>
      <c r="C517" s="49" t="s">
        <v>84</v>
      </c>
      <c r="D517" s="50">
        <v>9129</v>
      </c>
      <c r="E517" s="50">
        <v>2757</v>
      </c>
      <c r="F517" s="51">
        <v>0.30200460072297097</v>
      </c>
      <c r="G517" s="50">
        <v>26</v>
      </c>
      <c r="H517" s="51">
        <v>9.4305404425099708E-3</v>
      </c>
      <c r="I517" s="51">
        <v>2.8480666009420498E-3</v>
      </c>
      <c r="J517" s="52" t="s">
        <v>1055</v>
      </c>
      <c r="K517" s="109" t="s">
        <v>1056</v>
      </c>
    </row>
    <row r="518" spans="1:11" x14ac:dyDescent="0.35">
      <c r="A518" s="61">
        <v>45428</v>
      </c>
      <c r="B518" s="49" t="s">
        <v>405</v>
      </c>
      <c r="C518" s="49" t="s">
        <v>72</v>
      </c>
      <c r="D518" s="50">
        <v>170817</v>
      </c>
      <c r="E518" s="50">
        <v>52712</v>
      </c>
      <c r="F518" s="51">
        <v>0.30858755276114203</v>
      </c>
      <c r="G518" s="50">
        <v>380</v>
      </c>
      <c r="H518" s="51">
        <v>7.2089846714220697E-3</v>
      </c>
      <c r="I518" s="51">
        <v>2.2246029376467198E-3</v>
      </c>
      <c r="J518" s="52" t="s">
        <v>1055</v>
      </c>
      <c r="K518" s="109" t="s">
        <v>1056</v>
      </c>
    </row>
    <row r="519" spans="1:11" x14ac:dyDescent="0.35">
      <c r="A519" s="61">
        <v>45428</v>
      </c>
      <c r="B519" s="49" t="s">
        <v>405</v>
      </c>
      <c r="C519" s="49" t="s">
        <v>85</v>
      </c>
      <c r="D519" s="50">
        <v>403</v>
      </c>
      <c r="E519" s="50">
        <v>99</v>
      </c>
      <c r="F519" s="51">
        <v>0.245657568238213</v>
      </c>
      <c r="G519" s="50">
        <v>0</v>
      </c>
      <c r="H519" s="51">
        <v>0</v>
      </c>
      <c r="I519" s="51">
        <v>0</v>
      </c>
      <c r="J519" s="52" t="s">
        <v>1055</v>
      </c>
      <c r="K519" s="109" t="s">
        <v>1056</v>
      </c>
    </row>
    <row r="520" spans="1:11" x14ac:dyDescent="0.35">
      <c r="A520" s="61">
        <v>45428</v>
      </c>
      <c r="B520" s="49" t="s">
        <v>405</v>
      </c>
      <c r="C520" s="49" t="s">
        <v>73</v>
      </c>
      <c r="D520" s="50">
        <v>7184</v>
      </c>
      <c r="E520" s="50">
        <v>1922</v>
      </c>
      <c r="F520" s="51">
        <v>0.267538975501114</v>
      </c>
      <c r="G520" s="50">
        <v>23</v>
      </c>
      <c r="H520" s="51">
        <v>1.19667013527575E-2</v>
      </c>
      <c r="I520" s="51">
        <v>3.2015590200445399E-3</v>
      </c>
      <c r="J520" s="52" t="s">
        <v>1055</v>
      </c>
      <c r="K520" s="109" t="s">
        <v>1056</v>
      </c>
    </row>
    <row r="521" spans="1:11" x14ac:dyDescent="0.35">
      <c r="A521" s="61">
        <v>45428</v>
      </c>
      <c r="B521" s="49" t="s">
        <v>406</v>
      </c>
      <c r="C521" s="49" t="s">
        <v>84</v>
      </c>
      <c r="D521" s="50">
        <v>17509</v>
      </c>
      <c r="E521" s="50">
        <v>5916</v>
      </c>
      <c r="F521" s="51">
        <v>0.33788337426466403</v>
      </c>
      <c r="G521" s="50">
        <v>103</v>
      </c>
      <c r="H521" s="51">
        <v>1.7410412440838401E-2</v>
      </c>
      <c r="I521" s="51">
        <v>5.8826889028499602E-3</v>
      </c>
      <c r="J521" s="52" t="s">
        <v>1055</v>
      </c>
      <c r="K521" s="109" t="s">
        <v>1056</v>
      </c>
    </row>
    <row r="522" spans="1:11" x14ac:dyDescent="0.35">
      <c r="A522" s="61">
        <v>45428</v>
      </c>
      <c r="B522" s="49" t="s">
        <v>406</v>
      </c>
      <c r="C522" s="49" t="s">
        <v>72</v>
      </c>
      <c r="D522" s="50">
        <v>331027</v>
      </c>
      <c r="E522" s="50">
        <v>111184</v>
      </c>
      <c r="F522" s="51">
        <v>0.33587592552873302</v>
      </c>
      <c r="G522" s="50">
        <v>1592</v>
      </c>
      <c r="H522" s="51">
        <v>1.43186069938121E-2</v>
      </c>
      <c r="I522" s="51">
        <v>4.8092753763288197E-3</v>
      </c>
      <c r="J522" s="52" t="s">
        <v>1055</v>
      </c>
      <c r="K522" s="109" t="s">
        <v>1056</v>
      </c>
    </row>
    <row r="523" spans="1:11" x14ac:dyDescent="0.35">
      <c r="A523" s="61">
        <v>45428</v>
      </c>
      <c r="B523" s="49" t="s">
        <v>406</v>
      </c>
      <c r="C523" s="49" t="s">
        <v>85</v>
      </c>
      <c r="D523" s="50">
        <v>1142</v>
      </c>
      <c r="E523" s="50">
        <v>374</v>
      </c>
      <c r="F523" s="51">
        <v>0.32749562171628699</v>
      </c>
      <c r="G523" s="50">
        <v>5</v>
      </c>
      <c r="H523" s="51">
        <v>1.33689839572193E-2</v>
      </c>
      <c r="I523" s="51">
        <v>4.3782837127845902E-3</v>
      </c>
      <c r="J523" s="52" t="s">
        <v>1055</v>
      </c>
      <c r="K523" s="109" t="s">
        <v>1056</v>
      </c>
    </row>
    <row r="524" spans="1:11" x14ac:dyDescent="0.35">
      <c r="A524" s="61">
        <v>45428</v>
      </c>
      <c r="B524" s="49" t="s">
        <v>406</v>
      </c>
      <c r="C524" s="49" t="s">
        <v>73</v>
      </c>
      <c r="D524" s="50">
        <v>22366</v>
      </c>
      <c r="E524" s="50">
        <v>7333</v>
      </c>
      <c r="F524" s="51">
        <v>0.32786372172046901</v>
      </c>
      <c r="G524" s="50">
        <v>122</v>
      </c>
      <c r="H524" s="51">
        <v>1.6637119869085001E-2</v>
      </c>
      <c r="I524" s="51">
        <v>5.4547080389877496E-3</v>
      </c>
      <c r="J524" s="52" t="s">
        <v>1055</v>
      </c>
      <c r="K524" s="109" t="s">
        <v>1056</v>
      </c>
    </row>
    <row r="525" spans="1:11" x14ac:dyDescent="0.35">
      <c r="A525" s="61">
        <v>45429</v>
      </c>
      <c r="B525" s="49" t="s">
        <v>407</v>
      </c>
      <c r="C525" s="49" t="s">
        <v>10</v>
      </c>
      <c r="D525" s="50">
        <v>666203</v>
      </c>
      <c r="E525" s="50">
        <v>246394</v>
      </c>
      <c r="F525" s="51">
        <v>0.36984822944357798</v>
      </c>
      <c r="G525" s="50">
        <v>2033</v>
      </c>
      <c r="H525" s="51">
        <v>8.2510126058264396E-3</v>
      </c>
      <c r="I525" s="51">
        <v>3.0516224033815499E-3</v>
      </c>
      <c r="J525" s="52" t="s">
        <v>1057</v>
      </c>
      <c r="K525" s="109" t="s">
        <v>1054</v>
      </c>
    </row>
    <row r="526" spans="1:11" x14ac:dyDescent="0.35">
      <c r="A526" s="61">
        <v>45429</v>
      </c>
      <c r="B526" s="49" t="s">
        <v>407</v>
      </c>
      <c r="C526" s="49" t="s">
        <v>11</v>
      </c>
      <c r="D526" s="50">
        <v>42563</v>
      </c>
      <c r="E526" s="50">
        <v>14451</v>
      </c>
      <c r="F526" s="51">
        <v>0.339520240584545</v>
      </c>
      <c r="G526" s="50">
        <v>144</v>
      </c>
      <c r="H526" s="51">
        <v>9.9647083246834096E-3</v>
      </c>
      <c r="I526" s="51">
        <v>3.3832201677513299E-3</v>
      </c>
      <c r="J526" s="52" t="s">
        <v>1057</v>
      </c>
      <c r="K526" s="109" t="s">
        <v>1054</v>
      </c>
    </row>
    <row r="527" spans="1:11" x14ac:dyDescent="0.35">
      <c r="A527" s="61">
        <v>45429</v>
      </c>
      <c r="B527" s="49" t="s">
        <v>408</v>
      </c>
      <c r="C527" s="49" t="s">
        <v>10</v>
      </c>
      <c r="D527" s="50">
        <v>666214</v>
      </c>
      <c r="E527" s="50">
        <v>324989</v>
      </c>
      <c r="F527" s="51">
        <v>0.487814726199089</v>
      </c>
      <c r="G527" s="50">
        <v>3171</v>
      </c>
      <c r="H527" s="51">
        <v>9.7572533224201397E-3</v>
      </c>
      <c r="I527" s="51">
        <v>4.7597318579315397E-3</v>
      </c>
      <c r="J527" s="52" t="s">
        <v>1057</v>
      </c>
      <c r="K527" s="109" t="s">
        <v>1054</v>
      </c>
    </row>
    <row r="528" spans="1:11" x14ac:dyDescent="0.35">
      <c r="A528" s="61">
        <v>45429</v>
      </c>
      <c r="B528" s="49" t="s">
        <v>408</v>
      </c>
      <c r="C528" s="49" t="s">
        <v>11</v>
      </c>
      <c r="D528" s="50">
        <v>42562</v>
      </c>
      <c r="E528" s="50">
        <v>16874</v>
      </c>
      <c r="F528" s="51">
        <v>0.396456933414783</v>
      </c>
      <c r="G528" s="50">
        <v>170</v>
      </c>
      <c r="H528" s="51">
        <v>1.00746710916202E-2</v>
      </c>
      <c r="I528" s="51">
        <v>3.9941732061463302E-3</v>
      </c>
      <c r="J528" s="52" t="s">
        <v>1057</v>
      </c>
      <c r="K528" s="109" t="s">
        <v>1054</v>
      </c>
    </row>
    <row r="529" spans="1:11" x14ac:dyDescent="0.35">
      <c r="A529" s="61">
        <v>45429</v>
      </c>
      <c r="B529" s="49" t="s">
        <v>409</v>
      </c>
      <c r="C529" s="49" t="s">
        <v>10</v>
      </c>
      <c r="D529" s="50">
        <v>399194</v>
      </c>
      <c r="E529" s="50">
        <v>139343</v>
      </c>
      <c r="F529" s="51">
        <v>0.349060857628121</v>
      </c>
      <c r="G529" s="50">
        <v>2436</v>
      </c>
      <c r="H529" s="51">
        <v>1.7482040719663E-2</v>
      </c>
      <c r="I529" s="51">
        <v>6.1022961266952898E-3</v>
      </c>
      <c r="J529" s="52" t="s">
        <v>1057</v>
      </c>
      <c r="K529" s="109" t="s">
        <v>1054</v>
      </c>
    </row>
    <row r="530" spans="1:11" x14ac:dyDescent="0.35">
      <c r="A530" s="61">
        <v>45429</v>
      </c>
      <c r="B530" s="49" t="s">
        <v>410</v>
      </c>
      <c r="C530" s="49" t="s">
        <v>10</v>
      </c>
      <c r="D530" s="50">
        <v>4710656</v>
      </c>
      <c r="E530" s="50">
        <v>1554151</v>
      </c>
      <c r="F530" s="51">
        <v>0.32992241420303198</v>
      </c>
      <c r="G530" s="50">
        <v>20569</v>
      </c>
      <c r="H530" s="51">
        <v>1.32348787215657E-2</v>
      </c>
      <c r="I530" s="51">
        <v>4.36648313950329E-3</v>
      </c>
      <c r="J530" s="52" t="s">
        <v>1055</v>
      </c>
      <c r="K530" s="109" t="s">
        <v>1056</v>
      </c>
    </row>
    <row r="531" spans="1:11" x14ac:dyDescent="0.35">
      <c r="A531" s="61">
        <v>45429</v>
      </c>
      <c r="B531" s="49" t="s">
        <v>410</v>
      </c>
      <c r="C531" s="49" t="s">
        <v>11</v>
      </c>
      <c r="D531" s="50">
        <v>302585</v>
      </c>
      <c r="E531" s="50">
        <v>87164</v>
      </c>
      <c r="F531" s="51">
        <v>0.288064510798619</v>
      </c>
      <c r="G531" s="50">
        <v>1271</v>
      </c>
      <c r="H531" s="51">
        <v>1.4581708044605599E-2</v>
      </c>
      <c r="I531" s="51">
        <v>4.2004725944775802E-3</v>
      </c>
      <c r="J531" s="52" t="s">
        <v>1055</v>
      </c>
      <c r="K531" s="109" t="s">
        <v>1056</v>
      </c>
    </row>
    <row r="532" spans="1:11" x14ac:dyDescent="0.35">
      <c r="A532" s="61">
        <v>45429</v>
      </c>
      <c r="B532" s="49" t="s">
        <v>411</v>
      </c>
      <c r="C532" s="49" t="s">
        <v>10</v>
      </c>
      <c r="D532" s="50">
        <v>148327</v>
      </c>
      <c r="E532" s="50">
        <v>56643</v>
      </c>
      <c r="F532" s="51">
        <v>0.38187922630404397</v>
      </c>
      <c r="G532" s="50">
        <v>1012</v>
      </c>
      <c r="H532" s="51">
        <v>1.7866285330932302E-2</v>
      </c>
      <c r="I532" s="51">
        <v>6.8227632191037403E-3</v>
      </c>
      <c r="J532" s="52" t="s">
        <v>1059</v>
      </c>
      <c r="K532" s="109" t="s">
        <v>1056</v>
      </c>
    </row>
    <row r="533" spans="1:11" x14ac:dyDescent="0.35">
      <c r="A533" s="61">
        <v>45429</v>
      </c>
      <c r="B533" s="49" t="s">
        <v>411</v>
      </c>
      <c r="C533" s="49" t="s">
        <v>11</v>
      </c>
      <c r="D533" s="50">
        <v>6814</v>
      </c>
      <c r="E533" s="50">
        <v>2556</v>
      </c>
      <c r="F533" s="51">
        <v>0.37511006750807202</v>
      </c>
      <c r="G533" s="50">
        <v>69</v>
      </c>
      <c r="H533" s="51">
        <v>2.6995305164319201E-2</v>
      </c>
      <c r="I533" s="51">
        <v>1.01262107425888E-2</v>
      </c>
      <c r="J533" s="52" t="s">
        <v>1059</v>
      </c>
      <c r="K533" s="109" t="s">
        <v>1056</v>
      </c>
    </row>
    <row r="534" spans="1:11" x14ac:dyDescent="0.35">
      <c r="A534" s="61">
        <v>45429</v>
      </c>
      <c r="B534" s="49" t="s">
        <v>411</v>
      </c>
      <c r="C534" s="49" t="s">
        <v>412</v>
      </c>
      <c r="D534" s="50">
        <v>146085</v>
      </c>
      <c r="E534" s="50">
        <v>55751</v>
      </c>
      <c r="F534" s="51">
        <v>0.38163398021699702</v>
      </c>
      <c r="G534" s="50">
        <v>946</v>
      </c>
      <c r="H534" s="51">
        <v>1.6968305501246599E-2</v>
      </c>
      <c r="I534" s="51">
        <v>6.4756819659787098E-3</v>
      </c>
      <c r="J534" s="52" t="s">
        <v>1059</v>
      </c>
      <c r="K534" s="109" t="s">
        <v>1056</v>
      </c>
    </row>
    <row r="535" spans="1:11" x14ac:dyDescent="0.35">
      <c r="A535" s="61">
        <v>45429</v>
      </c>
      <c r="B535" s="49" t="s">
        <v>411</v>
      </c>
      <c r="C535" s="49" t="s">
        <v>413</v>
      </c>
      <c r="D535" s="50">
        <v>6741</v>
      </c>
      <c r="E535" s="50">
        <v>2428</v>
      </c>
      <c r="F535" s="51">
        <v>0.36018394896899603</v>
      </c>
      <c r="G535" s="50">
        <v>33</v>
      </c>
      <c r="H535" s="51">
        <v>1.35914332784185E-2</v>
      </c>
      <c r="I535" s="51">
        <v>4.89541611036938E-3</v>
      </c>
      <c r="J535" s="52" t="s">
        <v>1059</v>
      </c>
      <c r="K535" s="109" t="s">
        <v>1056</v>
      </c>
    </row>
    <row r="536" spans="1:11" x14ac:dyDescent="0.35">
      <c r="A536" s="61">
        <v>45429</v>
      </c>
      <c r="B536" s="49" t="s">
        <v>414</v>
      </c>
      <c r="C536" s="49" t="s">
        <v>415</v>
      </c>
      <c r="D536" s="50">
        <v>190</v>
      </c>
      <c r="E536" s="50">
        <v>120</v>
      </c>
      <c r="F536" s="51">
        <v>0.63157894736842102</v>
      </c>
      <c r="G536" s="50">
        <v>34</v>
      </c>
      <c r="H536" s="51">
        <v>0.28333333333333299</v>
      </c>
      <c r="I536" s="51">
        <v>0.17894736842105299</v>
      </c>
      <c r="J536" s="52" t="s">
        <v>1053</v>
      </c>
      <c r="K536" s="109" t="s">
        <v>1054</v>
      </c>
    </row>
    <row r="537" spans="1:11" x14ac:dyDescent="0.35">
      <c r="A537" s="61">
        <v>45430</v>
      </c>
      <c r="B537" s="49" t="s">
        <v>416</v>
      </c>
      <c r="C537" s="49" t="s">
        <v>10</v>
      </c>
      <c r="D537" s="50">
        <v>1208780</v>
      </c>
      <c r="E537" s="50">
        <v>363709</v>
      </c>
      <c r="F537" s="51">
        <v>0.30088932642830002</v>
      </c>
      <c r="G537" s="50">
        <v>7055</v>
      </c>
      <c r="H537" s="51">
        <v>1.9397375374268999E-2</v>
      </c>
      <c r="I537" s="51">
        <v>5.8364632108406801E-3</v>
      </c>
      <c r="J537" s="52" t="s">
        <v>1055</v>
      </c>
      <c r="K537" s="109" t="s">
        <v>1056</v>
      </c>
    </row>
    <row r="538" spans="1:11" x14ac:dyDescent="0.35">
      <c r="A538" s="61">
        <v>45430</v>
      </c>
      <c r="B538" s="49" t="s">
        <v>416</v>
      </c>
      <c r="C538" s="49" t="s">
        <v>11</v>
      </c>
      <c r="D538" s="50">
        <v>91002</v>
      </c>
      <c r="E538" s="50">
        <v>23307</v>
      </c>
      <c r="F538" s="51">
        <v>0.256115250214281</v>
      </c>
      <c r="G538" s="50">
        <v>583</v>
      </c>
      <c r="H538" s="51">
        <v>2.5013944308576799E-2</v>
      </c>
      <c r="I538" s="51">
        <v>6.4064526054372403E-3</v>
      </c>
      <c r="J538" s="52" t="s">
        <v>1055</v>
      </c>
      <c r="K538" s="109" t="s">
        <v>1056</v>
      </c>
    </row>
    <row r="539" spans="1:11" x14ac:dyDescent="0.35">
      <c r="A539" s="61">
        <v>45431</v>
      </c>
      <c r="B539" s="49" t="s">
        <v>417</v>
      </c>
      <c r="C539" s="49" t="s">
        <v>72</v>
      </c>
      <c r="D539" s="50">
        <v>350131</v>
      </c>
      <c r="E539" s="50">
        <v>119201</v>
      </c>
      <c r="F539" s="51">
        <v>0.34044686131762097</v>
      </c>
      <c r="G539" s="50">
        <v>1431</v>
      </c>
      <c r="H539" s="51">
        <v>1.20049328445231E-2</v>
      </c>
      <c r="I539" s="51">
        <v>4.08704170724672E-3</v>
      </c>
      <c r="J539" s="52" t="s">
        <v>1055</v>
      </c>
      <c r="K539" s="109" t="s">
        <v>1056</v>
      </c>
    </row>
    <row r="540" spans="1:11" x14ac:dyDescent="0.35">
      <c r="A540" s="61">
        <v>45431</v>
      </c>
      <c r="B540" s="49" t="s">
        <v>417</v>
      </c>
      <c r="C540" s="49" t="s">
        <v>73</v>
      </c>
      <c r="D540" s="50">
        <v>23522</v>
      </c>
      <c r="E540" s="50">
        <v>7485</v>
      </c>
      <c r="F540" s="51">
        <v>0.31821273701215902</v>
      </c>
      <c r="G540" s="50">
        <v>113</v>
      </c>
      <c r="H540" s="51">
        <v>1.5096860387441499E-2</v>
      </c>
      <c r="I540" s="51">
        <v>4.8040132641782203E-3</v>
      </c>
      <c r="J540" s="52" t="s">
        <v>1055</v>
      </c>
      <c r="K540" s="109" t="s">
        <v>1056</v>
      </c>
    </row>
    <row r="541" spans="1:11" x14ac:dyDescent="0.35">
      <c r="A541" s="61">
        <v>45433</v>
      </c>
      <c r="B541" s="49" t="s">
        <v>418</v>
      </c>
      <c r="C541" s="49" t="s">
        <v>10</v>
      </c>
      <c r="D541" s="50">
        <v>1327956</v>
      </c>
      <c r="E541" s="50">
        <v>479757</v>
      </c>
      <c r="F541" s="51">
        <v>0.36127477115205597</v>
      </c>
      <c r="G541" s="50">
        <v>6862</v>
      </c>
      <c r="H541" s="51">
        <v>1.43030742646798E-2</v>
      </c>
      <c r="I541" s="51">
        <v>5.16733988174307E-3</v>
      </c>
      <c r="J541" s="52" t="s">
        <v>1055</v>
      </c>
      <c r="K541" s="109" t="s">
        <v>1056</v>
      </c>
    </row>
    <row r="542" spans="1:11" x14ac:dyDescent="0.35">
      <c r="A542" s="61">
        <v>45433</v>
      </c>
      <c r="B542" s="49" t="s">
        <v>418</v>
      </c>
      <c r="C542" s="49" t="s">
        <v>11</v>
      </c>
      <c r="D542" s="50">
        <v>94349</v>
      </c>
      <c r="E542" s="50">
        <v>31989</v>
      </c>
      <c r="F542" s="51">
        <v>0.33904969845997301</v>
      </c>
      <c r="G542" s="50">
        <v>560</v>
      </c>
      <c r="H542" s="51">
        <v>1.7506017693582201E-2</v>
      </c>
      <c r="I542" s="51">
        <v>5.93541002024399E-3</v>
      </c>
      <c r="J542" s="52" t="s">
        <v>1055</v>
      </c>
      <c r="K542" s="109" t="s">
        <v>1056</v>
      </c>
    </row>
    <row r="543" spans="1:11" x14ac:dyDescent="0.35">
      <c r="A543" s="61">
        <v>45434</v>
      </c>
      <c r="B543" s="49" t="s">
        <v>419</v>
      </c>
      <c r="C543" s="49" t="s">
        <v>10</v>
      </c>
      <c r="D543" s="50">
        <v>12</v>
      </c>
      <c r="E543" s="50">
        <v>7</v>
      </c>
      <c r="F543" s="51">
        <v>0.58333333333333304</v>
      </c>
      <c r="G543" s="50">
        <v>0</v>
      </c>
      <c r="H543" s="51">
        <v>0</v>
      </c>
      <c r="I543" s="51">
        <v>0</v>
      </c>
      <c r="J543" s="52" t="s">
        <v>1061</v>
      </c>
      <c r="K543" s="109" t="s">
        <v>1054</v>
      </c>
    </row>
    <row r="544" spans="1:11" x14ac:dyDescent="0.35">
      <c r="A544" s="61">
        <v>45434</v>
      </c>
      <c r="B544" s="49" t="s">
        <v>420</v>
      </c>
      <c r="C544" s="49" t="s">
        <v>10</v>
      </c>
      <c r="D544" s="50">
        <v>265287</v>
      </c>
      <c r="E544" s="50">
        <v>102263</v>
      </c>
      <c r="F544" s="51">
        <v>0.38548063041159197</v>
      </c>
      <c r="G544" s="50">
        <v>2002</v>
      </c>
      <c r="H544" s="51">
        <v>1.9576973098774701E-2</v>
      </c>
      <c r="I544" s="51">
        <v>7.5465439316664603E-3</v>
      </c>
      <c r="J544" s="52" t="s">
        <v>1055</v>
      </c>
      <c r="K544" s="109" t="s">
        <v>1056</v>
      </c>
    </row>
    <row r="545" spans="1:11" x14ac:dyDescent="0.35">
      <c r="A545" s="61">
        <v>45434</v>
      </c>
      <c r="B545" s="49" t="s">
        <v>420</v>
      </c>
      <c r="C545" s="49" t="s">
        <v>11</v>
      </c>
      <c r="D545" s="50">
        <v>4039</v>
      </c>
      <c r="E545" s="50">
        <v>1439</v>
      </c>
      <c r="F545" s="51">
        <v>0.35627630601634103</v>
      </c>
      <c r="G545" s="50">
        <v>24</v>
      </c>
      <c r="H545" s="51">
        <v>1.6678248783877699E-2</v>
      </c>
      <c r="I545" s="51">
        <v>5.9420648675414696E-3</v>
      </c>
      <c r="J545" s="52" t="s">
        <v>1055</v>
      </c>
      <c r="K545" s="109" t="s">
        <v>1056</v>
      </c>
    </row>
    <row r="546" spans="1:11" x14ac:dyDescent="0.35">
      <c r="A546" s="61">
        <v>45434</v>
      </c>
      <c r="B546" s="49" t="s">
        <v>421</v>
      </c>
      <c r="C546" s="49" t="s">
        <v>10</v>
      </c>
      <c r="D546" s="50">
        <v>698189</v>
      </c>
      <c r="E546" s="50">
        <v>268041</v>
      </c>
      <c r="F546" s="51">
        <v>0.38390894156166899</v>
      </c>
      <c r="G546" s="50">
        <v>3305</v>
      </c>
      <c r="H546" s="51">
        <v>1.2330203215179801E-2</v>
      </c>
      <c r="I546" s="51">
        <v>4.7336752655799501E-3</v>
      </c>
      <c r="J546" s="52" t="s">
        <v>1055</v>
      </c>
      <c r="K546" s="109" t="s">
        <v>1056</v>
      </c>
    </row>
    <row r="547" spans="1:11" x14ac:dyDescent="0.35">
      <c r="A547" s="61">
        <v>45434</v>
      </c>
      <c r="B547" s="49" t="s">
        <v>421</v>
      </c>
      <c r="C547" s="49" t="s">
        <v>11</v>
      </c>
      <c r="D547" s="50">
        <v>34089</v>
      </c>
      <c r="E547" s="50">
        <v>12091</v>
      </c>
      <c r="F547" s="51">
        <v>0.354689195928305</v>
      </c>
      <c r="G547" s="50">
        <v>161</v>
      </c>
      <c r="H547" s="51">
        <v>1.33156893557191E-2</v>
      </c>
      <c r="I547" s="51">
        <v>4.7229311508111098E-3</v>
      </c>
      <c r="J547" s="52" t="s">
        <v>1055</v>
      </c>
      <c r="K547" s="109" t="s">
        <v>1056</v>
      </c>
    </row>
    <row r="548" spans="1:11" x14ac:dyDescent="0.35">
      <c r="A548" s="61">
        <v>45435</v>
      </c>
      <c r="B548" s="49" t="s">
        <v>422</v>
      </c>
      <c r="C548" s="49" t="s">
        <v>423</v>
      </c>
      <c r="D548" s="50">
        <v>332091</v>
      </c>
      <c r="E548" s="50">
        <v>109940</v>
      </c>
      <c r="F548" s="60">
        <v>0.33110000000000001</v>
      </c>
      <c r="G548" s="49">
        <v>970</v>
      </c>
      <c r="H548" s="60">
        <v>8.8000000000000005E-3</v>
      </c>
      <c r="I548" s="60">
        <v>2.8999999999999998E-3</v>
      </c>
      <c r="J548" s="52" t="s">
        <v>1055</v>
      </c>
      <c r="K548" s="109" t="s">
        <v>1056</v>
      </c>
    </row>
    <row r="549" spans="1:11" x14ac:dyDescent="0.35">
      <c r="A549" s="61">
        <v>45435</v>
      </c>
      <c r="B549" s="49" t="s">
        <v>424</v>
      </c>
      <c r="C549" s="49" t="s">
        <v>425</v>
      </c>
      <c r="D549" s="50">
        <v>21348</v>
      </c>
      <c r="E549" s="50">
        <v>6206</v>
      </c>
      <c r="F549" s="60">
        <v>0.29070000000000001</v>
      </c>
      <c r="G549" s="49">
        <v>59</v>
      </c>
      <c r="H549" s="60">
        <v>9.4999999999999998E-3</v>
      </c>
      <c r="I549" s="60">
        <v>2.8E-3</v>
      </c>
      <c r="J549" s="52" t="s">
        <v>1055</v>
      </c>
      <c r="K549" s="109" t="s">
        <v>1056</v>
      </c>
    </row>
    <row r="550" spans="1:11" x14ac:dyDescent="0.35">
      <c r="A550" s="61">
        <v>45435</v>
      </c>
      <c r="B550" s="49" t="s">
        <v>379</v>
      </c>
      <c r="C550" s="49" t="s">
        <v>253</v>
      </c>
      <c r="D550" s="50">
        <v>738823</v>
      </c>
      <c r="E550" s="50">
        <v>251732</v>
      </c>
      <c r="F550" s="60">
        <v>0.3407</v>
      </c>
      <c r="G550" s="50">
        <v>2299</v>
      </c>
      <c r="H550" s="60">
        <v>9.1000000000000004E-3</v>
      </c>
      <c r="I550" s="60">
        <v>3.0999999999999999E-3</v>
      </c>
      <c r="J550" s="52" t="s">
        <v>1055</v>
      </c>
      <c r="K550" s="109" t="s">
        <v>1056</v>
      </c>
    </row>
    <row r="551" spans="1:11" x14ac:dyDescent="0.35">
      <c r="A551" s="61">
        <v>45435</v>
      </c>
      <c r="B551" s="49" t="s">
        <v>380</v>
      </c>
      <c r="C551" s="49" t="s">
        <v>255</v>
      </c>
      <c r="D551" s="50">
        <v>48488</v>
      </c>
      <c r="E551" s="50">
        <v>15119</v>
      </c>
      <c r="F551" s="60">
        <v>0.31180000000000002</v>
      </c>
      <c r="G551" s="49">
        <v>141</v>
      </c>
      <c r="H551" s="60">
        <v>9.2999999999999992E-3</v>
      </c>
      <c r="I551" s="60">
        <v>2.8999999999999998E-3</v>
      </c>
      <c r="J551" s="52" t="s">
        <v>1055</v>
      </c>
      <c r="K551" s="109" t="s">
        <v>1056</v>
      </c>
    </row>
    <row r="552" spans="1:11" x14ac:dyDescent="0.35">
      <c r="A552" s="61">
        <v>45435</v>
      </c>
      <c r="B552" s="49" t="s">
        <v>399</v>
      </c>
      <c r="C552" s="49" t="s">
        <v>234</v>
      </c>
      <c r="D552" s="50">
        <v>1159119</v>
      </c>
      <c r="E552" s="50">
        <v>390205</v>
      </c>
      <c r="F552" s="60">
        <v>0.33660000000000001</v>
      </c>
      <c r="G552" s="50">
        <v>3076</v>
      </c>
      <c r="H552" s="60">
        <v>7.9000000000000008E-3</v>
      </c>
      <c r="I552" s="60">
        <v>2.7000000000000001E-3</v>
      </c>
      <c r="J552" s="52" t="s">
        <v>1055</v>
      </c>
      <c r="K552" s="109" t="s">
        <v>1056</v>
      </c>
    </row>
    <row r="553" spans="1:11" x14ac:dyDescent="0.35">
      <c r="A553" s="61">
        <v>45435</v>
      </c>
      <c r="B553" s="49" t="s">
        <v>401</v>
      </c>
      <c r="C553" s="49" t="s">
        <v>235</v>
      </c>
      <c r="D553" s="50">
        <v>110272</v>
      </c>
      <c r="E553" s="50">
        <v>35123</v>
      </c>
      <c r="F553" s="60">
        <v>0.31850000000000001</v>
      </c>
      <c r="G553" s="49">
        <v>324</v>
      </c>
      <c r="H553" s="60">
        <v>9.1999999999999998E-3</v>
      </c>
      <c r="I553" s="60">
        <v>2.8999999999999998E-3</v>
      </c>
      <c r="J553" s="52" t="s">
        <v>1055</v>
      </c>
      <c r="K553" s="109" t="s">
        <v>1056</v>
      </c>
    </row>
    <row r="554" spans="1:11" x14ac:dyDescent="0.35">
      <c r="A554" s="61">
        <v>45436</v>
      </c>
      <c r="B554" s="49" t="s">
        <v>426</v>
      </c>
      <c r="C554" s="49" t="s">
        <v>10</v>
      </c>
      <c r="D554" s="50">
        <v>412129</v>
      </c>
      <c r="E554" s="50">
        <v>146031</v>
      </c>
      <c r="F554" s="51">
        <v>0.35433323061468602</v>
      </c>
      <c r="G554" s="50">
        <v>3379</v>
      </c>
      <c r="H554" s="51">
        <v>2.3138922557539202E-2</v>
      </c>
      <c r="I554" s="51">
        <v>8.1988891827558807E-3</v>
      </c>
      <c r="J554" s="52" t="s">
        <v>1057</v>
      </c>
      <c r="K554" s="109" t="s">
        <v>1054</v>
      </c>
    </row>
    <row r="555" spans="1:11" x14ac:dyDescent="0.35">
      <c r="A555" s="61">
        <v>45436</v>
      </c>
      <c r="B555" s="49" t="s">
        <v>426</v>
      </c>
      <c r="C555" s="49" t="s">
        <v>11</v>
      </c>
      <c r="D555" s="50">
        <v>22302</v>
      </c>
      <c r="E555" s="50">
        <v>7331</v>
      </c>
      <c r="F555" s="51">
        <v>0.32871491346067599</v>
      </c>
      <c r="G555" s="50">
        <v>223</v>
      </c>
      <c r="H555" s="51">
        <v>3.0418769608511802E-2</v>
      </c>
      <c r="I555" s="51">
        <v>9.9991032194421993E-3</v>
      </c>
      <c r="J555" s="52" t="s">
        <v>1057</v>
      </c>
      <c r="K555" s="109" t="s">
        <v>1054</v>
      </c>
    </row>
    <row r="556" spans="1:11" x14ac:dyDescent="0.35">
      <c r="A556" s="61">
        <v>45436</v>
      </c>
      <c r="B556" s="49" t="s">
        <v>427</v>
      </c>
      <c r="C556" s="49" t="s">
        <v>428</v>
      </c>
      <c r="D556" s="50">
        <v>418719</v>
      </c>
      <c r="E556" s="50">
        <v>137699</v>
      </c>
      <c r="F556" s="51">
        <v>0.328857778128052</v>
      </c>
      <c r="G556" s="50">
        <v>1678</v>
      </c>
      <c r="H556" s="51">
        <v>1.2185999898328999E-2</v>
      </c>
      <c r="I556" s="51">
        <v>4.0074608508331401E-3</v>
      </c>
      <c r="J556" s="52" t="s">
        <v>1055</v>
      </c>
      <c r="K556" s="109" t="s">
        <v>1056</v>
      </c>
    </row>
    <row r="557" spans="1:11" x14ac:dyDescent="0.35">
      <c r="A557" s="61">
        <v>45436</v>
      </c>
      <c r="B557" s="49" t="s">
        <v>427</v>
      </c>
      <c r="C557" s="49" t="s">
        <v>429</v>
      </c>
      <c r="D557" s="50">
        <v>419543</v>
      </c>
      <c r="E557" s="50">
        <v>138429</v>
      </c>
      <c r="F557" s="51">
        <v>0.32995187620816002</v>
      </c>
      <c r="G557" s="50">
        <v>2016</v>
      </c>
      <c r="H557" s="51">
        <v>1.4563422404264999E-2</v>
      </c>
      <c r="I557" s="51">
        <v>4.8052285462991898E-3</v>
      </c>
      <c r="J557" s="52" t="s">
        <v>1055</v>
      </c>
      <c r="K557" s="109" t="s">
        <v>1056</v>
      </c>
    </row>
    <row r="558" spans="1:11" x14ac:dyDescent="0.35">
      <c r="A558" s="61">
        <v>45436</v>
      </c>
      <c r="B558" s="49" t="s">
        <v>427</v>
      </c>
      <c r="C558" s="49" t="s">
        <v>430</v>
      </c>
      <c r="D558" s="50">
        <v>4061708</v>
      </c>
      <c r="E558" s="50">
        <v>1313974</v>
      </c>
      <c r="F558" s="51">
        <v>0.32350282196553798</v>
      </c>
      <c r="G558" s="50">
        <v>15802</v>
      </c>
      <c r="H558" s="51">
        <v>1.20261131498797E-2</v>
      </c>
      <c r="I558" s="51">
        <v>3.8904815412629402E-3</v>
      </c>
      <c r="J558" s="52" t="s">
        <v>1055</v>
      </c>
      <c r="K558" s="109" t="s">
        <v>1056</v>
      </c>
    </row>
    <row r="559" spans="1:11" x14ac:dyDescent="0.35">
      <c r="A559" s="61">
        <v>45436</v>
      </c>
      <c r="B559" s="49" t="s">
        <v>427</v>
      </c>
      <c r="C559" s="49" t="s">
        <v>431</v>
      </c>
      <c r="D559" s="50">
        <v>31094</v>
      </c>
      <c r="E559" s="50">
        <v>8987</v>
      </c>
      <c r="F559" s="51">
        <v>0.28902682189489898</v>
      </c>
      <c r="G559" s="50">
        <v>198</v>
      </c>
      <c r="H559" s="51">
        <v>2.203182374541E-2</v>
      </c>
      <c r="I559" s="51">
        <v>6.36778799768444E-3</v>
      </c>
      <c r="J559" s="52" t="s">
        <v>1055</v>
      </c>
      <c r="K559" s="109" t="s">
        <v>1056</v>
      </c>
    </row>
    <row r="560" spans="1:11" x14ac:dyDescent="0.35">
      <c r="A560" s="61">
        <v>45436</v>
      </c>
      <c r="B560" s="49" t="s">
        <v>427</v>
      </c>
      <c r="C560" s="49" t="s">
        <v>432</v>
      </c>
      <c r="D560" s="50">
        <v>30660</v>
      </c>
      <c r="E560" s="50">
        <v>8704</v>
      </c>
      <c r="F560" s="51">
        <v>0.28388780169602101</v>
      </c>
      <c r="G560" s="50">
        <v>217</v>
      </c>
      <c r="H560" s="51">
        <v>2.49310661764706E-2</v>
      </c>
      <c r="I560" s="51">
        <v>7.0776255707762602E-3</v>
      </c>
      <c r="J560" s="52" t="s">
        <v>1055</v>
      </c>
      <c r="K560" s="109" t="s">
        <v>1056</v>
      </c>
    </row>
    <row r="561" spans="1:11" x14ac:dyDescent="0.35">
      <c r="A561" s="61">
        <v>45436</v>
      </c>
      <c r="B561" s="49" t="s">
        <v>427</v>
      </c>
      <c r="C561" s="49" t="s">
        <v>433</v>
      </c>
      <c r="D561" s="50">
        <v>249928</v>
      </c>
      <c r="E561" s="50">
        <v>73807</v>
      </c>
      <c r="F561" s="51">
        <v>0.295313050158446</v>
      </c>
      <c r="G561" s="50">
        <v>1170</v>
      </c>
      <c r="H561" s="51">
        <v>1.5852154944652901E-2</v>
      </c>
      <c r="I561" s="51">
        <v>4.6813482282897501E-3</v>
      </c>
      <c r="J561" s="52" t="s">
        <v>1055</v>
      </c>
      <c r="K561" s="109" t="s">
        <v>1056</v>
      </c>
    </row>
    <row r="562" spans="1:11" x14ac:dyDescent="0.35">
      <c r="A562" s="61">
        <v>45440</v>
      </c>
      <c r="B562" s="49" t="s">
        <v>434</v>
      </c>
      <c r="C562" s="49" t="s">
        <v>10</v>
      </c>
      <c r="D562" s="50">
        <v>1373553</v>
      </c>
      <c r="E562" s="50">
        <v>482182</v>
      </c>
      <c r="F562" s="51">
        <v>0.35104724753977501</v>
      </c>
      <c r="G562" s="50">
        <v>8515</v>
      </c>
      <c r="H562" s="51">
        <v>1.7659307066626301E-2</v>
      </c>
      <c r="I562" s="51">
        <v>6.1992511391988497E-3</v>
      </c>
      <c r="J562" s="52" t="s">
        <v>1055</v>
      </c>
      <c r="K562" s="109" t="s">
        <v>1056</v>
      </c>
    </row>
    <row r="563" spans="1:11" x14ac:dyDescent="0.35">
      <c r="A563" s="61">
        <v>45440</v>
      </c>
      <c r="B563" s="49" t="s">
        <v>434</v>
      </c>
      <c r="C563" s="49" t="s">
        <v>11</v>
      </c>
      <c r="D563" s="50">
        <v>96829</v>
      </c>
      <c r="E563" s="50">
        <v>31389</v>
      </c>
      <c r="F563" s="51">
        <v>0.32416941205630501</v>
      </c>
      <c r="G563" s="50">
        <v>544</v>
      </c>
      <c r="H563" s="51">
        <v>1.7330912102966001E-2</v>
      </c>
      <c r="I563" s="51">
        <v>5.6181515868179996E-3</v>
      </c>
      <c r="J563" s="52" t="s">
        <v>1055</v>
      </c>
      <c r="K563" s="109" t="s">
        <v>1056</v>
      </c>
    </row>
    <row r="564" spans="1:11" x14ac:dyDescent="0.35">
      <c r="A564" s="61">
        <v>45441</v>
      </c>
      <c r="B564" s="49" t="s">
        <v>435</v>
      </c>
      <c r="C564" s="49" t="s">
        <v>10</v>
      </c>
      <c r="D564" s="50">
        <v>125469</v>
      </c>
      <c r="E564" s="50">
        <v>46308</v>
      </c>
      <c r="F564" s="51">
        <v>0.36907921478612199</v>
      </c>
      <c r="G564" s="50">
        <v>843</v>
      </c>
      <c r="H564" s="51">
        <v>1.8204197978750999E-2</v>
      </c>
      <c r="I564" s="51">
        <v>6.7187910958085304E-3</v>
      </c>
      <c r="J564" s="52" t="s">
        <v>1055</v>
      </c>
      <c r="K564" s="109" t="s">
        <v>1056</v>
      </c>
    </row>
    <row r="565" spans="1:11" x14ac:dyDescent="0.35">
      <c r="A565" s="61">
        <v>45441</v>
      </c>
      <c r="B565" s="49" t="s">
        <v>435</v>
      </c>
      <c r="C565" s="49" t="s">
        <v>11</v>
      </c>
      <c r="D565" s="50">
        <v>3316</v>
      </c>
      <c r="E565" s="50">
        <v>1171</v>
      </c>
      <c r="F565" s="51">
        <v>0.35313630880579</v>
      </c>
      <c r="G565" s="50">
        <v>20</v>
      </c>
      <c r="H565" s="51">
        <v>1.7079419299743801E-2</v>
      </c>
      <c r="I565" s="51">
        <v>6.0313630880579E-3</v>
      </c>
      <c r="J565" s="52" t="s">
        <v>1055</v>
      </c>
      <c r="K565" s="109" t="s">
        <v>1056</v>
      </c>
    </row>
    <row r="566" spans="1:11" x14ac:dyDescent="0.35">
      <c r="A566" s="61">
        <v>45441</v>
      </c>
      <c r="B566" s="49" t="s">
        <v>436</v>
      </c>
      <c r="C566" s="49" t="s">
        <v>437</v>
      </c>
      <c r="D566" s="50">
        <v>9559</v>
      </c>
      <c r="E566" s="50">
        <v>5350</v>
      </c>
      <c r="F566" s="51">
        <v>0.55968197510199802</v>
      </c>
      <c r="G566" s="50">
        <v>606</v>
      </c>
      <c r="H566" s="51">
        <v>0.113271028037383</v>
      </c>
      <c r="I566" s="51">
        <v>6.3395752693796395E-2</v>
      </c>
      <c r="J566" s="52" t="s">
        <v>1058</v>
      </c>
      <c r="K566" s="109" t="s">
        <v>1054</v>
      </c>
    </row>
    <row r="567" spans="1:11" x14ac:dyDescent="0.35">
      <c r="A567" s="61">
        <v>45441</v>
      </c>
      <c r="B567" s="49" t="s">
        <v>436</v>
      </c>
      <c r="C567" s="49" t="s">
        <v>438</v>
      </c>
      <c r="D567" s="50">
        <v>3197</v>
      </c>
      <c r="E567" s="50">
        <v>1769</v>
      </c>
      <c r="F567" s="51">
        <v>0.55333124804504197</v>
      </c>
      <c r="G567" s="50">
        <v>220</v>
      </c>
      <c r="H567" s="51">
        <v>0.124364047484454</v>
      </c>
      <c r="I567" s="51">
        <v>6.8814513606506103E-2</v>
      </c>
      <c r="J567" s="52" t="s">
        <v>1058</v>
      </c>
      <c r="K567" s="109" t="s">
        <v>1054</v>
      </c>
    </row>
    <row r="568" spans="1:11" x14ac:dyDescent="0.35">
      <c r="A568" s="61">
        <v>45441</v>
      </c>
      <c r="B568" s="49" t="s">
        <v>436</v>
      </c>
      <c r="C568" s="49" t="s">
        <v>439</v>
      </c>
      <c r="D568" s="50">
        <v>23380</v>
      </c>
      <c r="E568" s="50">
        <v>13349</v>
      </c>
      <c r="F568" s="51">
        <v>0.57095808383233504</v>
      </c>
      <c r="G568" s="50">
        <v>20</v>
      </c>
      <c r="H568" s="51">
        <v>1.4982395685070001E-3</v>
      </c>
      <c r="I568" s="51">
        <v>8.5543199315654401E-4</v>
      </c>
      <c r="J568" s="52" t="s">
        <v>1058</v>
      </c>
      <c r="K568" s="109" t="s">
        <v>1054</v>
      </c>
    </row>
    <row r="569" spans="1:11" x14ac:dyDescent="0.35">
      <c r="A569" s="61">
        <v>45441</v>
      </c>
      <c r="B569" s="49" t="s">
        <v>436</v>
      </c>
      <c r="C569" s="49" t="s">
        <v>440</v>
      </c>
      <c r="D569" s="50">
        <v>3024</v>
      </c>
      <c r="E569" s="50">
        <v>1736</v>
      </c>
      <c r="F569" s="51">
        <v>0.57407407407407396</v>
      </c>
      <c r="G569" s="50">
        <v>220</v>
      </c>
      <c r="H569" s="51">
        <v>0.12672811059907799</v>
      </c>
      <c r="I569" s="51">
        <v>7.2751322751322706E-2</v>
      </c>
      <c r="J569" s="52" t="s">
        <v>1058</v>
      </c>
      <c r="K569" s="109" t="s">
        <v>1054</v>
      </c>
    </row>
    <row r="570" spans="1:11" x14ac:dyDescent="0.35">
      <c r="A570" s="61">
        <v>45441</v>
      </c>
      <c r="B570" s="49" t="s">
        <v>436</v>
      </c>
      <c r="C570" s="49" t="s">
        <v>441</v>
      </c>
      <c r="D570" s="50">
        <v>1072</v>
      </c>
      <c r="E570" s="50">
        <v>609</v>
      </c>
      <c r="F570" s="51">
        <v>0.56809701492537301</v>
      </c>
      <c r="G570" s="50">
        <v>87</v>
      </c>
      <c r="H570" s="51">
        <v>0.14285714285714299</v>
      </c>
      <c r="I570" s="51">
        <v>8.1156716417910404E-2</v>
      </c>
      <c r="J570" s="52" t="s">
        <v>1058</v>
      </c>
      <c r="K570" s="109" t="s">
        <v>1054</v>
      </c>
    </row>
    <row r="571" spans="1:11" x14ac:dyDescent="0.35">
      <c r="A571" s="61">
        <v>45441</v>
      </c>
      <c r="B571" s="49" t="s">
        <v>436</v>
      </c>
      <c r="C571" s="49" t="s">
        <v>442</v>
      </c>
      <c r="D571" s="50">
        <v>5042</v>
      </c>
      <c r="E571" s="50">
        <v>2990</v>
      </c>
      <c r="F571" s="51">
        <v>0.59301864339547805</v>
      </c>
      <c r="G571" s="50">
        <v>400</v>
      </c>
      <c r="H571" s="51">
        <v>0.13377926421404701</v>
      </c>
      <c r="I571" s="51">
        <v>7.9333597778659296E-2</v>
      </c>
      <c r="J571" s="52" t="s">
        <v>1058</v>
      </c>
      <c r="K571" s="109" t="s">
        <v>1054</v>
      </c>
    </row>
    <row r="572" spans="1:11" x14ac:dyDescent="0.35">
      <c r="A572" s="61">
        <v>45441</v>
      </c>
      <c r="B572" s="49" t="s">
        <v>436</v>
      </c>
      <c r="C572" s="49" t="s">
        <v>443</v>
      </c>
      <c r="D572" s="50">
        <v>12319</v>
      </c>
      <c r="E572" s="50">
        <v>6976</v>
      </c>
      <c r="F572" s="51">
        <v>0.56627973049760505</v>
      </c>
      <c r="G572" s="50">
        <v>726</v>
      </c>
      <c r="H572" s="51">
        <v>0.10407110091743101</v>
      </c>
      <c r="I572" s="51">
        <v>5.8933354980111999E-2</v>
      </c>
      <c r="J572" s="52" t="s">
        <v>1058</v>
      </c>
      <c r="K572" s="109" t="s">
        <v>1054</v>
      </c>
    </row>
    <row r="573" spans="1:11" x14ac:dyDescent="0.35">
      <c r="A573" s="61">
        <v>45441</v>
      </c>
      <c r="B573" s="49" t="s">
        <v>436</v>
      </c>
      <c r="C573" s="49" t="s">
        <v>444</v>
      </c>
      <c r="D573" s="50">
        <v>1060</v>
      </c>
      <c r="E573" s="50">
        <v>579</v>
      </c>
      <c r="F573" s="51">
        <v>0.54622641509434</v>
      </c>
      <c r="G573" s="50">
        <v>59</v>
      </c>
      <c r="H573" s="51">
        <v>0.101899827288428</v>
      </c>
      <c r="I573" s="51">
        <v>5.5660377358490602E-2</v>
      </c>
      <c r="J573" s="52" t="s">
        <v>1058</v>
      </c>
      <c r="K573" s="109" t="s">
        <v>1054</v>
      </c>
    </row>
    <row r="574" spans="1:11" x14ac:dyDescent="0.35">
      <c r="A574" s="61">
        <v>45441</v>
      </c>
      <c r="B574" s="49" t="s">
        <v>436</v>
      </c>
      <c r="C574" s="49" t="s">
        <v>445</v>
      </c>
      <c r="D574" s="50">
        <v>2255</v>
      </c>
      <c r="E574" s="50">
        <v>1272</v>
      </c>
      <c r="F574" s="51">
        <v>0.56407982261640799</v>
      </c>
      <c r="G574" s="50">
        <v>176</v>
      </c>
      <c r="H574" s="51">
        <v>0.138364779874214</v>
      </c>
      <c r="I574" s="51">
        <v>7.8048780487804906E-2</v>
      </c>
      <c r="J574" s="52" t="s">
        <v>1058</v>
      </c>
      <c r="K574" s="109" t="s">
        <v>1054</v>
      </c>
    </row>
    <row r="575" spans="1:11" x14ac:dyDescent="0.35">
      <c r="A575" s="61">
        <v>45442</v>
      </c>
      <c r="B575" s="49" t="s">
        <v>446</v>
      </c>
      <c r="C575" s="49" t="s">
        <v>447</v>
      </c>
      <c r="D575" s="50">
        <v>398273</v>
      </c>
      <c r="E575" s="50">
        <v>134565</v>
      </c>
      <c r="F575" s="60">
        <v>0.33789999999999998</v>
      </c>
      <c r="G575" s="50">
        <v>1076</v>
      </c>
      <c r="H575" s="60">
        <v>8.0000000000000002E-3</v>
      </c>
      <c r="I575" s="60">
        <v>2.7000000000000001E-3</v>
      </c>
      <c r="J575" s="52" t="s">
        <v>1055</v>
      </c>
      <c r="K575" s="109" t="s">
        <v>1056</v>
      </c>
    </row>
    <row r="576" spans="1:11" x14ac:dyDescent="0.35">
      <c r="A576" s="61">
        <v>45442</v>
      </c>
      <c r="B576" s="49" t="s">
        <v>448</v>
      </c>
      <c r="C576" s="49" t="s">
        <v>449</v>
      </c>
      <c r="D576" s="50">
        <v>32945</v>
      </c>
      <c r="E576" s="50">
        <v>11672</v>
      </c>
      <c r="F576" s="60">
        <v>0.3543</v>
      </c>
      <c r="G576" s="49">
        <v>94</v>
      </c>
      <c r="H576" s="60">
        <v>8.0999999999999996E-3</v>
      </c>
      <c r="I576" s="60">
        <v>2.8999999999999998E-3</v>
      </c>
      <c r="J576" s="52" t="s">
        <v>1055</v>
      </c>
      <c r="K576" s="109" t="s">
        <v>1056</v>
      </c>
    </row>
    <row r="577" spans="1:11" x14ac:dyDescent="0.35">
      <c r="A577" s="61">
        <v>45442</v>
      </c>
      <c r="B577" s="49" t="s">
        <v>422</v>
      </c>
      <c r="C577" s="49" t="s">
        <v>234</v>
      </c>
      <c r="D577" s="50">
        <v>281349</v>
      </c>
      <c r="E577" s="50">
        <v>89404</v>
      </c>
      <c r="F577" s="60">
        <v>0.31780000000000003</v>
      </c>
      <c r="G577" s="49">
        <v>767</v>
      </c>
      <c r="H577" s="60">
        <v>8.6E-3</v>
      </c>
      <c r="I577" s="60">
        <v>2.7000000000000001E-3</v>
      </c>
      <c r="J577" s="52" t="s">
        <v>1055</v>
      </c>
      <c r="K577" s="109" t="s">
        <v>1056</v>
      </c>
    </row>
    <row r="578" spans="1:11" x14ac:dyDescent="0.35">
      <c r="A578" s="61">
        <v>45442</v>
      </c>
      <c r="B578" s="49" t="s">
        <v>424</v>
      </c>
      <c r="C578" s="49" t="s">
        <v>235</v>
      </c>
      <c r="D578" s="50">
        <v>18806</v>
      </c>
      <c r="E578" s="50">
        <v>5250</v>
      </c>
      <c r="F578" s="60">
        <v>0.2792</v>
      </c>
      <c r="G578" s="49">
        <v>46</v>
      </c>
      <c r="H578" s="60">
        <v>8.8000000000000005E-3</v>
      </c>
      <c r="I578" s="60">
        <v>2.3999999999999998E-3</v>
      </c>
      <c r="J578" s="52" t="s">
        <v>1055</v>
      </c>
      <c r="K578" s="109" t="s">
        <v>1056</v>
      </c>
    </row>
    <row r="579" spans="1:11" x14ac:dyDescent="0.35">
      <c r="A579" s="61">
        <v>45442</v>
      </c>
      <c r="B579" s="49" t="s">
        <v>450</v>
      </c>
      <c r="C579" s="49" t="s">
        <v>451</v>
      </c>
      <c r="D579" s="50">
        <v>523151</v>
      </c>
      <c r="E579" s="50">
        <v>176116</v>
      </c>
      <c r="F579" s="60">
        <v>0.33660000000000001</v>
      </c>
      <c r="G579" s="50">
        <v>1764</v>
      </c>
      <c r="H579" s="60">
        <v>0.01</v>
      </c>
      <c r="I579" s="60">
        <v>3.3999999999999998E-3</v>
      </c>
      <c r="J579" s="52" t="s">
        <v>1055</v>
      </c>
      <c r="K579" s="109" t="s">
        <v>1056</v>
      </c>
    </row>
    <row r="580" spans="1:11" x14ac:dyDescent="0.35">
      <c r="A580" s="61">
        <v>45442</v>
      </c>
      <c r="B580" s="49" t="s">
        <v>452</v>
      </c>
      <c r="C580" s="49" t="s">
        <v>453</v>
      </c>
      <c r="D580" s="50">
        <v>37816</v>
      </c>
      <c r="E580" s="50">
        <v>11248</v>
      </c>
      <c r="F580" s="60">
        <v>0.2974</v>
      </c>
      <c r="G580" s="49">
        <v>149</v>
      </c>
      <c r="H580" s="60">
        <v>1.32E-2</v>
      </c>
      <c r="I580" s="60">
        <v>3.8999999999999998E-3</v>
      </c>
      <c r="J580" s="52" t="s">
        <v>1055</v>
      </c>
      <c r="K580" s="109" t="s">
        <v>1056</v>
      </c>
    </row>
    <row r="581" spans="1:11" x14ac:dyDescent="0.35">
      <c r="A581" s="61">
        <v>45442</v>
      </c>
      <c r="B581" s="49" t="s">
        <v>454</v>
      </c>
      <c r="C581" s="49" t="s">
        <v>455</v>
      </c>
      <c r="D581" s="50">
        <v>1151819</v>
      </c>
      <c r="E581" s="50">
        <v>385759</v>
      </c>
      <c r="F581" s="60">
        <v>0.33489999999999998</v>
      </c>
      <c r="G581" s="50">
        <v>3285</v>
      </c>
      <c r="H581" s="60">
        <v>8.5000000000000006E-3</v>
      </c>
      <c r="I581" s="60">
        <v>2.8999999999999998E-3</v>
      </c>
      <c r="J581" s="52" t="s">
        <v>1055</v>
      </c>
      <c r="K581" s="109" t="s">
        <v>1056</v>
      </c>
    </row>
    <row r="582" spans="1:11" x14ac:dyDescent="0.35">
      <c r="A582" s="61">
        <v>45442</v>
      </c>
      <c r="B582" s="49" t="s">
        <v>401</v>
      </c>
      <c r="C582" s="49" t="s">
        <v>456</v>
      </c>
      <c r="D582" s="50">
        <v>109760</v>
      </c>
      <c r="E582" s="50">
        <v>34718</v>
      </c>
      <c r="F582" s="60">
        <v>0.31630000000000003</v>
      </c>
      <c r="G582" s="49">
        <v>349</v>
      </c>
      <c r="H582" s="60">
        <v>1.01E-2</v>
      </c>
      <c r="I582" s="60">
        <v>3.2000000000000002E-3</v>
      </c>
      <c r="J582" s="52" t="s">
        <v>1055</v>
      </c>
      <c r="K582" s="109" t="s">
        <v>1056</v>
      </c>
    </row>
    <row r="583" spans="1:11" x14ac:dyDescent="0.35">
      <c r="A583" s="61">
        <v>45442</v>
      </c>
      <c r="B583" s="49" t="s">
        <v>457</v>
      </c>
      <c r="C583" s="49" t="s">
        <v>74</v>
      </c>
      <c r="D583" s="50">
        <v>115318</v>
      </c>
      <c r="E583" s="50">
        <v>28590</v>
      </c>
      <c r="F583" s="51">
        <v>0.24792313428953</v>
      </c>
      <c r="G583" s="50">
        <v>213</v>
      </c>
      <c r="H583" s="51">
        <v>7.4501573976915002E-3</v>
      </c>
      <c r="I583" s="51">
        <v>1.847066372986E-3</v>
      </c>
      <c r="J583" s="52" t="s">
        <v>1055</v>
      </c>
      <c r="K583" s="109" t="s">
        <v>1056</v>
      </c>
    </row>
    <row r="584" spans="1:11" x14ac:dyDescent="0.35">
      <c r="A584" s="61">
        <v>45442</v>
      </c>
      <c r="B584" s="49" t="s">
        <v>457</v>
      </c>
      <c r="C584" s="49" t="s">
        <v>458</v>
      </c>
      <c r="D584" s="50">
        <v>498446</v>
      </c>
      <c r="E584" s="50">
        <v>164503</v>
      </c>
      <c r="F584" s="51">
        <v>0.330031738643705</v>
      </c>
      <c r="G584" s="50">
        <v>1542</v>
      </c>
      <c r="H584" s="51">
        <v>9.3736892336309992E-3</v>
      </c>
      <c r="I584" s="51">
        <v>3.0936149552810099E-3</v>
      </c>
      <c r="J584" s="52" t="s">
        <v>1055</v>
      </c>
      <c r="K584" s="109" t="s">
        <v>1056</v>
      </c>
    </row>
    <row r="585" spans="1:11" x14ac:dyDescent="0.35">
      <c r="A585" s="61">
        <v>45442</v>
      </c>
      <c r="B585" s="49" t="s">
        <v>457</v>
      </c>
      <c r="C585" s="49" t="s">
        <v>75</v>
      </c>
      <c r="D585" s="50">
        <v>6411</v>
      </c>
      <c r="E585" s="50">
        <v>1551</v>
      </c>
      <c r="F585" s="51">
        <v>0.24192793635938201</v>
      </c>
      <c r="G585" s="50">
        <v>10</v>
      </c>
      <c r="H585" s="51">
        <v>6.4474532559638904E-3</v>
      </c>
      <c r="I585" s="51">
        <v>1.5598190609889301E-3</v>
      </c>
      <c r="J585" s="52" t="s">
        <v>1055</v>
      </c>
      <c r="K585" s="109" t="s">
        <v>1056</v>
      </c>
    </row>
    <row r="586" spans="1:11" x14ac:dyDescent="0.35">
      <c r="A586" s="61">
        <v>45442</v>
      </c>
      <c r="B586" s="49" t="s">
        <v>457</v>
      </c>
      <c r="C586" s="49" t="s">
        <v>459</v>
      </c>
      <c r="D586" s="50">
        <v>24658</v>
      </c>
      <c r="E586" s="50">
        <v>7307</v>
      </c>
      <c r="F586" s="51">
        <v>0.29633384702733401</v>
      </c>
      <c r="G586" s="50">
        <v>94</v>
      </c>
      <c r="H586" s="51">
        <v>1.2864376625154E-2</v>
      </c>
      <c r="I586" s="51">
        <v>3.81215021494038E-3</v>
      </c>
      <c r="J586" s="52" t="s">
        <v>1055</v>
      </c>
      <c r="K586" s="109" t="s">
        <v>1056</v>
      </c>
    </row>
    <row r="587" spans="1:11" x14ac:dyDescent="0.35">
      <c r="A587" s="61">
        <v>45442</v>
      </c>
      <c r="B587" s="49" t="s">
        <v>460</v>
      </c>
      <c r="C587" s="49" t="s">
        <v>10</v>
      </c>
      <c r="D587" s="50">
        <v>287277</v>
      </c>
      <c r="E587" s="50">
        <v>99081</v>
      </c>
      <c r="F587" s="51">
        <v>0.34489708539145097</v>
      </c>
      <c r="G587" s="50">
        <v>957</v>
      </c>
      <c r="H587" s="51">
        <v>9.6587640415417703E-3</v>
      </c>
      <c r="I587" s="51">
        <v>3.3312795664115101E-3</v>
      </c>
      <c r="J587" s="52" t="s">
        <v>1055</v>
      </c>
      <c r="K587" s="109" t="s">
        <v>1056</v>
      </c>
    </row>
    <row r="588" spans="1:11" ht="15" customHeight="1" x14ac:dyDescent="0.35">
      <c r="A588" s="61">
        <v>45443</v>
      </c>
      <c r="B588" s="49" t="s">
        <v>461</v>
      </c>
      <c r="C588" s="49" t="s">
        <v>10</v>
      </c>
      <c r="D588" s="50">
        <v>588039</v>
      </c>
      <c r="E588" s="50">
        <v>223232</v>
      </c>
      <c r="F588" s="51">
        <v>0.37962107955424701</v>
      </c>
      <c r="G588" s="50">
        <v>5096</v>
      </c>
      <c r="H588" s="51">
        <v>2.2828268348623899E-2</v>
      </c>
      <c r="I588" s="51">
        <v>8.6660918748586394E-3</v>
      </c>
      <c r="J588" s="52" t="s">
        <v>1055</v>
      </c>
      <c r="K588" s="109" t="s">
        <v>1056</v>
      </c>
    </row>
    <row r="589" spans="1:11" x14ac:dyDescent="0.35">
      <c r="A589" s="61">
        <v>45443</v>
      </c>
      <c r="B589" s="49" t="s">
        <v>461</v>
      </c>
      <c r="C589" s="49" t="s">
        <v>11</v>
      </c>
      <c r="D589" s="50">
        <v>1603</v>
      </c>
      <c r="E589" s="50">
        <v>655</v>
      </c>
      <c r="F589" s="51">
        <v>0.40860885839051803</v>
      </c>
      <c r="G589" s="50">
        <v>5</v>
      </c>
      <c r="H589" s="51">
        <v>7.63358778625954E-3</v>
      </c>
      <c r="I589" s="51">
        <v>3.1191515907673102E-3</v>
      </c>
      <c r="J589" s="52" t="s">
        <v>1055</v>
      </c>
      <c r="K589" s="109" t="s">
        <v>1056</v>
      </c>
    </row>
    <row r="590" spans="1:11" x14ac:dyDescent="0.35">
      <c r="A590" s="61">
        <v>45443</v>
      </c>
      <c r="B590" s="49" t="s">
        <v>462</v>
      </c>
      <c r="C590" s="49" t="s">
        <v>10</v>
      </c>
      <c r="D590" s="50">
        <v>400562</v>
      </c>
      <c r="E590" s="50">
        <v>142139</v>
      </c>
      <c r="F590" s="51">
        <v>0.35484893724317301</v>
      </c>
      <c r="G590" s="50">
        <v>2684</v>
      </c>
      <c r="H590" s="51">
        <v>1.8882924461266801E-2</v>
      </c>
      <c r="I590" s="51">
        <v>6.7005856771236404E-3</v>
      </c>
      <c r="J590" s="52" t="s">
        <v>1057</v>
      </c>
      <c r="K590" s="109" t="s">
        <v>1054</v>
      </c>
    </row>
    <row r="591" spans="1:11" x14ac:dyDescent="0.35">
      <c r="A591" s="61">
        <v>45443</v>
      </c>
      <c r="B591" s="49" t="s">
        <v>463</v>
      </c>
      <c r="C591" s="49" t="s">
        <v>464</v>
      </c>
      <c r="D591" s="50">
        <v>2325987</v>
      </c>
      <c r="E591" s="50">
        <v>766562</v>
      </c>
      <c r="F591" s="51">
        <v>0.32956418071124199</v>
      </c>
      <c r="G591" s="50">
        <v>8860</v>
      </c>
      <c r="H591" s="51">
        <v>1.1558099670998599E-2</v>
      </c>
      <c r="I591" s="51">
        <v>3.80913564865152E-3</v>
      </c>
      <c r="J591" s="52" t="s">
        <v>1055</v>
      </c>
      <c r="K591" s="109" t="s">
        <v>1056</v>
      </c>
    </row>
    <row r="592" spans="1:11" x14ac:dyDescent="0.35">
      <c r="A592" s="61">
        <v>45443</v>
      </c>
      <c r="B592" s="49" t="s">
        <v>463</v>
      </c>
      <c r="C592" s="49" t="s">
        <v>465</v>
      </c>
      <c r="D592" s="50">
        <v>2328032</v>
      </c>
      <c r="E592" s="50">
        <v>768193</v>
      </c>
      <c r="F592" s="51">
        <v>0.32997527525394799</v>
      </c>
      <c r="G592" s="50">
        <v>8262</v>
      </c>
      <c r="H592" s="51">
        <v>1.07551097185213E-2</v>
      </c>
      <c r="I592" s="51">
        <v>3.5489202897554702E-3</v>
      </c>
      <c r="J592" s="52" t="s">
        <v>1055</v>
      </c>
      <c r="K592" s="109" t="s">
        <v>1056</v>
      </c>
    </row>
    <row r="593" spans="1:11" x14ac:dyDescent="0.35">
      <c r="A593" s="61">
        <v>45443</v>
      </c>
      <c r="B593" s="49" t="s">
        <v>463</v>
      </c>
      <c r="C593" s="49" t="s">
        <v>466</v>
      </c>
      <c r="D593" s="50">
        <v>147877</v>
      </c>
      <c r="E593" s="50">
        <v>42482</v>
      </c>
      <c r="F593" s="51">
        <v>0.287279292925878</v>
      </c>
      <c r="G593" s="50">
        <v>558</v>
      </c>
      <c r="H593" s="51">
        <v>1.31349748128619E-2</v>
      </c>
      <c r="I593" s="51">
        <v>3.77340627683818E-3</v>
      </c>
      <c r="J593" s="52" t="s">
        <v>1055</v>
      </c>
      <c r="K593" s="109" t="s">
        <v>1056</v>
      </c>
    </row>
    <row r="594" spans="1:11" x14ac:dyDescent="0.35">
      <c r="A594" s="61">
        <v>45443</v>
      </c>
      <c r="B594" s="49" t="s">
        <v>463</v>
      </c>
      <c r="C594" s="49" t="s">
        <v>467</v>
      </c>
      <c r="D594" s="50">
        <v>147469</v>
      </c>
      <c r="E594" s="50">
        <v>42487</v>
      </c>
      <c r="F594" s="51">
        <v>0.28810800914090401</v>
      </c>
      <c r="G594" s="50">
        <v>547</v>
      </c>
      <c r="H594" s="51">
        <v>1.28745263256996E-2</v>
      </c>
      <c r="I594" s="51">
        <v>3.7092541483294801E-3</v>
      </c>
      <c r="J594" s="52" t="s">
        <v>1055</v>
      </c>
      <c r="K594" s="109" t="s">
        <v>1056</v>
      </c>
    </row>
    <row r="595" spans="1:11" x14ac:dyDescent="0.35">
      <c r="A595" s="61">
        <v>45444</v>
      </c>
      <c r="B595" s="49" t="s">
        <v>468</v>
      </c>
      <c r="C595" s="49" t="s">
        <v>10</v>
      </c>
      <c r="D595" s="50">
        <v>60061</v>
      </c>
      <c r="E595" s="50">
        <v>25528</v>
      </c>
      <c r="F595" s="51">
        <v>0.42503454820932102</v>
      </c>
      <c r="G595" s="50">
        <v>1850</v>
      </c>
      <c r="H595" s="51">
        <v>7.2469445314948297E-2</v>
      </c>
      <c r="I595" s="51">
        <v>3.0802017948419101E-2</v>
      </c>
      <c r="J595" s="52" t="s">
        <v>1055</v>
      </c>
      <c r="K595" s="109" t="s">
        <v>1056</v>
      </c>
    </row>
    <row r="596" spans="1:11" x14ac:dyDescent="0.35">
      <c r="A596" s="61">
        <v>45444</v>
      </c>
      <c r="B596" s="49" t="s">
        <v>468</v>
      </c>
      <c r="C596" s="49" t="s">
        <v>11</v>
      </c>
      <c r="D596" s="50">
        <v>6573</v>
      </c>
      <c r="E596" s="50">
        <v>3093</v>
      </c>
      <c r="F596" s="51">
        <v>0.47056138749429499</v>
      </c>
      <c r="G596" s="50">
        <v>298</v>
      </c>
      <c r="H596" s="51">
        <v>9.6346589072098296E-2</v>
      </c>
      <c r="I596" s="51">
        <v>4.5336984634109199E-2</v>
      </c>
      <c r="J596" s="52" t="s">
        <v>1055</v>
      </c>
      <c r="K596" s="109" t="s">
        <v>1056</v>
      </c>
    </row>
    <row r="597" spans="1:11" x14ac:dyDescent="0.35">
      <c r="A597" s="61">
        <v>45444</v>
      </c>
      <c r="B597" s="49" t="s">
        <v>469</v>
      </c>
      <c r="C597" s="49" t="s">
        <v>10</v>
      </c>
      <c r="D597" s="50">
        <v>49108</v>
      </c>
      <c r="E597" s="50">
        <v>16720</v>
      </c>
      <c r="F597" s="51">
        <v>0.34047405718009299</v>
      </c>
      <c r="G597" s="50">
        <v>210</v>
      </c>
      <c r="H597" s="51">
        <v>1.25598086124402E-2</v>
      </c>
      <c r="I597" s="51">
        <v>4.2762889956829801E-3</v>
      </c>
      <c r="J597" s="52" t="s">
        <v>1059</v>
      </c>
      <c r="K597" s="109" t="s">
        <v>1056</v>
      </c>
    </row>
    <row r="598" spans="1:11" x14ac:dyDescent="0.35">
      <c r="A598" s="61">
        <v>45444</v>
      </c>
      <c r="B598" s="49" t="s">
        <v>470</v>
      </c>
      <c r="C598" s="49" t="s">
        <v>10</v>
      </c>
      <c r="D598" s="50">
        <v>87279</v>
      </c>
      <c r="E598" s="50">
        <v>35947</v>
      </c>
      <c r="F598" s="51">
        <v>0.41186310567261297</v>
      </c>
      <c r="G598" s="50">
        <v>3726</v>
      </c>
      <c r="H598" s="51">
        <v>0.10365259966061099</v>
      </c>
      <c r="I598" s="51">
        <v>4.2690681607259501E-2</v>
      </c>
      <c r="J598" s="52" t="s">
        <v>1053</v>
      </c>
      <c r="K598" s="109" t="s">
        <v>1054</v>
      </c>
    </row>
    <row r="599" spans="1:11" x14ac:dyDescent="0.35">
      <c r="A599" s="61">
        <v>45444</v>
      </c>
      <c r="B599" s="49" t="s">
        <v>470</v>
      </c>
      <c r="C599" s="49" t="s">
        <v>11</v>
      </c>
      <c r="D599" s="50">
        <v>9599</v>
      </c>
      <c r="E599" s="50">
        <v>3465</v>
      </c>
      <c r="F599" s="51">
        <v>0.36097510157308099</v>
      </c>
      <c r="G599" s="50">
        <v>478</v>
      </c>
      <c r="H599" s="51">
        <v>0.13795093795093799</v>
      </c>
      <c r="I599" s="51">
        <v>4.9796853838941599E-2</v>
      </c>
      <c r="J599" s="52" t="s">
        <v>1053</v>
      </c>
      <c r="K599" s="109" t="s">
        <v>1054</v>
      </c>
    </row>
    <row r="600" spans="1:11" x14ac:dyDescent="0.35">
      <c r="A600" s="61">
        <v>45446</v>
      </c>
      <c r="B600" s="49" t="s">
        <v>471</v>
      </c>
      <c r="C600" s="49" t="s">
        <v>472</v>
      </c>
      <c r="D600" s="50">
        <v>29234</v>
      </c>
      <c r="E600" s="50">
        <v>10739</v>
      </c>
      <c r="F600" s="51">
        <v>0.36734624067866201</v>
      </c>
      <c r="G600" s="50">
        <v>310</v>
      </c>
      <c r="H600" s="51">
        <v>2.8866747369401199E-2</v>
      </c>
      <c r="I600" s="51">
        <v>1.06040911267702E-2</v>
      </c>
      <c r="J600" s="52" t="s">
        <v>1058</v>
      </c>
      <c r="K600" s="109" t="s">
        <v>1054</v>
      </c>
    </row>
    <row r="601" spans="1:11" x14ac:dyDescent="0.35">
      <c r="A601" s="61">
        <v>45446</v>
      </c>
      <c r="B601" s="49" t="s">
        <v>471</v>
      </c>
      <c r="C601" s="49" t="s">
        <v>473</v>
      </c>
      <c r="D601" s="50">
        <v>49686</v>
      </c>
      <c r="E601" s="50">
        <v>18398</v>
      </c>
      <c r="F601" s="51">
        <v>0.370285392263414</v>
      </c>
      <c r="G601" s="50">
        <v>469</v>
      </c>
      <c r="H601" s="51">
        <v>2.5491901293618901E-2</v>
      </c>
      <c r="I601" s="51">
        <v>9.4392786700478997E-3</v>
      </c>
      <c r="J601" s="52" t="s">
        <v>1058</v>
      </c>
      <c r="K601" s="109" t="s">
        <v>1054</v>
      </c>
    </row>
    <row r="602" spans="1:11" x14ac:dyDescent="0.35">
      <c r="A602" s="61">
        <v>45447</v>
      </c>
      <c r="B602" s="49" t="s">
        <v>474</v>
      </c>
      <c r="C602" s="49" t="s">
        <v>101</v>
      </c>
      <c r="D602" s="50">
        <v>26022</v>
      </c>
      <c r="E602" s="50">
        <v>7917</v>
      </c>
      <c r="F602" s="51">
        <v>0.30424256398432098</v>
      </c>
      <c r="G602" s="50">
        <v>136</v>
      </c>
      <c r="H602" s="51">
        <v>1.7178224074775799E-2</v>
      </c>
      <c r="I602" s="51">
        <v>5.2263469372069802E-3</v>
      </c>
      <c r="J602" s="52" t="s">
        <v>1060</v>
      </c>
      <c r="K602" s="109" t="s">
        <v>1054</v>
      </c>
    </row>
    <row r="603" spans="1:11" x14ac:dyDescent="0.35">
      <c r="A603" s="61">
        <v>45447</v>
      </c>
      <c r="B603" s="49" t="s">
        <v>474</v>
      </c>
      <c r="C603" s="49" t="s">
        <v>102</v>
      </c>
      <c r="D603" s="50">
        <v>9059</v>
      </c>
      <c r="E603" s="50">
        <v>3072</v>
      </c>
      <c r="F603" s="51">
        <v>0.339110277072525</v>
      </c>
      <c r="G603" s="50">
        <v>72</v>
      </c>
      <c r="H603" s="51">
        <v>2.34375E-2</v>
      </c>
      <c r="I603" s="51">
        <v>7.9478971188872895E-3</v>
      </c>
      <c r="J603" s="52" t="s">
        <v>1060</v>
      </c>
      <c r="K603" s="109" t="s">
        <v>1054</v>
      </c>
    </row>
    <row r="604" spans="1:11" x14ac:dyDescent="0.35">
      <c r="A604" s="61">
        <v>45447</v>
      </c>
      <c r="B604" s="49" t="s">
        <v>474</v>
      </c>
      <c r="C604" s="49" t="s">
        <v>103</v>
      </c>
      <c r="D604" s="50">
        <v>39319</v>
      </c>
      <c r="E604" s="50">
        <v>14856</v>
      </c>
      <c r="F604" s="51">
        <v>0.37783260001525998</v>
      </c>
      <c r="G604" s="50">
        <v>425</v>
      </c>
      <c r="H604" s="51">
        <v>2.86079698438341E-2</v>
      </c>
      <c r="I604" s="51">
        <v>1.0809023627254E-2</v>
      </c>
      <c r="J604" s="52" t="s">
        <v>1060</v>
      </c>
      <c r="K604" s="109" t="s">
        <v>1054</v>
      </c>
    </row>
    <row r="605" spans="1:11" x14ac:dyDescent="0.35">
      <c r="A605" s="61">
        <v>45447</v>
      </c>
      <c r="B605" s="49" t="s">
        <v>474</v>
      </c>
      <c r="C605" s="49" t="s">
        <v>104</v>
      </c>
      <c r="D605" s="50">
        <v>166679</v>
      </c>
      <c r="E605" s="50">
        <v>59131</v>
      </c>
      <c r="F605" s="51">
        <v>0.35475974777866398</v>
      </c>
      <c r="G605" s="50">
        <v>1507</v>
      </c>
      <c r="H605" s="51">
        <v>2.5485785797635802E-2</v>
      </c>
      <c r="I605" s="51">
        <v>9.04133094151033E-3</v>
      </c>
      <c r="J605" s="52" t="s">
        <v>1060</v>
      </c>
      <c r="K605" s="109" t="s">
        <v>1054</v>
      </c>
    </row>
    <row r="606" spans="1:11" x14ac:dyDescent="0.35">
      <c r="A606" s="61">
        <v>45447</v>
      </c>
      <c r="B606" s="49" t="s">
        <v>474</v>
      </c>
      <c r="C606" s="49" t="s">
        <v>475</v>
      </c>
      <c r="D606" s="50">
        <v>12281</v>
      </c>
      <c r="E606" s="50">
        <v>4118</v>
      </c>
      <c r="F606" s="51">
        <v>0.33531471378552202</v>
      </c>
      <c r="G606" s="50">
        <v>89</v>
      </c>
      <c r="H606" s="51">
        <v>2.1612433220009698E-2</v>
      </c>
      <c r="I606" s="51">
        <v>7.2469668593762703E-3</v>
      </c>
      <c r="J606" s="52" t="s">
        <v>1060</v>
      </c>
      <c r="K606" s="109" t="s">
        <v>1054</v>
      </c>
    </row>
    <row r="607" spans="1:11" x14ac:dyDescent="0.35">
      <c r="A607" s="61">
        <v>45447</v>
      </c>
      <c r="B607" s="49" t="s">
        <v>476</v>
      </c>
      <c r="C607" s="49" t="s">
        <v>10</v>
      </c>
      <c r="D607" s="50">
        <v>1378819</v>
      </c>
      <c r="E607" s="50">
        <v>480471</v>
      </c>
      <c r="F607" s="51">
        <v>0.34846560716091102</v>
      </c>
      <c r="G607" s="50">
        <v>5676</v>
      </c>
      <c r="H607" s="51">
        <v>1.18134080933084E-2</v>
      </c>
      <c r="I607" s="51">
        <v>4.1165664238743396E-3</v>
      </c>
      <c r="J607" s="52" t="s">
        <v>1055</v>
      </c>
      <c r="K607" s="109" t="s">
        <v>1056</v>
      </c>
    </row>
    <row r="608" spans="1:11" x14ac:dyDescent="0.35">
      <c r="A608" s="61">
        <v>45447</v>
      </c>
      <c r="B608" s="49" t="s">
        <v>476</v>
      </c>
      <c r="C608" s="49" t="s">
        <v>11</v>
      </c>
      <c r="D608" s="50">
        <v>96871</v>
      </c>
      <c r="E608" s="50">
        <v>33137</v>
      </c>
      <c r="F608" s="51">
        <v>0.34207347916301101</v>
      </c>
      <c r="G608" s="50">
        <v>628</v>
      </c>
      <c r="H608" s="51">
        <v>1.8951625071672199E-2</v>
      </c>
      <c r="I608" s="51">
        <v>6.4828483240598296E-3</v>
      </c>
      <c r="J608" s="52" t="s">
        <v>1055</v>
      </c>
      <c r="K608" s="109" t="s">
        <v>1056</v>
      </c>
    </row>
    <row r="609" spans="1:11" x14ac:dyDescent="0.35">
      <c r="A609" s="61">
        <v>45448</v>
      </c>
      <c r="B609" s="49" t="s">
        <v>477</v>
      </c>
      <c r="C609" s="49" t="s">
        <v>10</v>
      </c>
      <c r="D609" s="50">
        <v>6559822</v>
      </c>
      <c r="E609" s="50">
        <v>2068799</v>
      </c>
      <c r="F609" s="51">
        <v>0.31537425863079799</v>
      </c>
      <c r="G609" s="50">
        <v>17627</v>
      </c>
      <c r="H609" s="51">
        <v>8.5204024170545296E-3</v>
      </c>
      <c r="I609" s="51">
        <v>2.6871155955146301E-3</v>
      </c>
      <c r="J609" s="52" t="s">
        <v>1061</v>
      </c>
      <c r="K609" s="109" t="s">
        <v>1054</v>
      </c>
    </row>
    <row r="610" spans="1:11" x14ac:dyDescent="0.35">
      <c r="A610" s="61">
        <v>45448</v>
      </c>
      <c r="B610" s="49" t="s">
        <v>477</v>
      </c>
      <c r="C610" s="49" t="s">
        <v>11</v>
      </c>
      <c r="D610" s="50">
        <v>423268</v>
      </c>
      <c r="E610" s="50">
        <v>127753</v>
      </c>
      <c r="F610" s="51">
        <v>0.301825321073174</v>
      </c>
      <c r="G610" s="50">
        <v>1945</v>
      </c>
      <c r="H610" s="51">
        <v>1.52246913966795E-2</v>
      </c>
      <c r="I610" s="51">
        <v>4.5951973690427804E-3</v>
      </c>
      <c r="J610" s="52" t="s">
        <v>1061</v>
      </c>
      <c r="K610" s="109" t="s">
        <v>1054</v>
      </c>
    </row>
    <row r="611" spans="1:11" x14ac:dyDescent="0.35">
      <c r="A611" s="61">
        <v>45448</v>
      </c>
      <c r="B611" s="49" t="s">
        <v>478</v>
      </c>
      <c r="C611" s="49" t="s">
        <v>10</v>
      </c>
      <c r="D611" s="50">
        <v>578340</v>
      </c>
      <c r="E611" s="50">
        <v>195556</v>
      </c>
      <c r="F611" s="51">
        <v>0.33813327800255899</v>
      </c>
      <c r="G611" s="50">
        <v>1622</v>
      </c>
      <c r="H611" s="51">
        <v>8.2942993311378808E-3</v>
      </c>
      <c r="I611" s="51">
        <v>2.8045786215720901E-3</v>
      </c>
      <c r="J611" s="52" t="s">
        <v>1055</v>
      </c>
      <c r="K611" s="109" t="s">
        <v>1056</v>
      </c>
    </row>
    <row r="612" spans="1:11" x14ac:dyDescent="0.35">
      <c r="A612" s="61">
        <v>45448</v>
      </c>
      <c r="B612" s="49" t="s">
        <v>478</v>
      </c>
      <c r="C612" s="49" t="s">
        <v>11</v>
      </c>
      <c r="D612" s="50">
        <v>28448</v>
      </c>
      <c r="E612" s="50">
        <v>8774</v>
      </c>
      <c r="F612" s="51">
        <v>0.30842238470191202</v>
      </c>
      <c r="G612" s="50">
        <v>79</v>
      </c>
      <c r="H612" s="51">
        <v>9.0038750854798295E-3</v>
      </c>
      <c r="I612" s="51">
        <v>2.7769966254218201E-3</v>
      </c>
      <c r="J612" s="52" t="s">
        <v>1055</v>
      </c>
      <c r="K612" s="109" t="s">
        <v>1056</v>
      </c>
    </row>
    <row r="613" spans="1:11" x14ac:dyDescent="0.35">
      <c r="A613" s="61">
        <v>45449</v>
      </c>
      <c r="B613" s="49" t="s">
        <v>446</v>
      </c>
      <c r="C613" s="49" t="s">
        <v>234</v>
      </c>
      <c r="D613" s="50">
        <v>332929</v>
      </c>
      <c r="E613" s="50">
        <v>108279</v>
      </c>
      <c r="F613" s="60">
        <v>0.32519999999999999</v>
      </c>
      <c r="G613" s="49">
        <v>938</v>
      </c>
      <c r="H613" s="60">
        <v>8.6999999999999994E-3</v>
      </c>
      <c r="I613" s="60">
        <v>2.8E-3</v>
      </c>
      <c r="J613" s="52" t="s">
        <v>1055</v>
      </c>
      <c r="K613" s="109" t="s">
        <v>1056</v>
      </c>
    </row>
    <row r="614" spans="1:11" x14ac:dyDescent="0.35">
      <c r="A614" s="61">
        <v>45449</v>
      </c>
      <c r="B614" s="49" t="s">
        <v>448</v>
      </c>
      <c r="C614" s="49" t="s">
        <v>235</v>
      </c>
      <c r="D614" s="50">
        <v>29278</v>
      </c>
      <c r="E614" s="50">
        <v>10263</v>
      </c>
      <c r="F614" s="60">
        <v>0.35049999999999998</v>
      </c>
      <c r="G614" s="49">
        <v>104</v>
      </c>
      <c r="H614" s="60">
        <v>1.01E-2</v>
      </c>
      <c r="I614" s="60">
        <v>3.5999999999999999E-3</v>
      </c>
      <c r="J614" s="52" t="s">
        <v>1055</v>
      </c>
      <c r="K614" s="109" t="s">
        <v>1056</v>
      </c>
    </row>
    <row r="615" spans="1:11" x14ac:dyDescent="0.35">
      <c r="A615" s="61">
        <v>45449</v>
      </c>
      <c r="B615" s="49" t="s">
        <v>422</v>
      </c>
      <c r="C615" s="49" t="s">
        <v>253</v>
      </c>
      <c r="D615" s="50">
        <v>279647</v>
      </c>
      <c r="E615" s="50">
        <v>89854</v>
      </c>
      <c r="F615" s="60">
        <v>0.32129999999999997</v>
      </c>
      <c r="G615" s="49">
        <v>840</v>
      </c>
      <c r="H615" s="60">
        <v>9.2999999999999992E-3</v>
      </c>
      <c r="I615" s="60">
        <v>3.0000000000000001E-3</v>
      </c>
      <c r="J615" s="52" t="s">
        <v>1055</v>
      </c>
      <c r="K615" s="109" t="s">
        <v>1056</v>
      </c>
    </row>
    <row r="616" spans="1:11" x14ac:dyDescent="0.35">
      <c r="A616" s="61">
        <v>45449</v>
      </c>
      <c r="B616" s="49" t="s">
        <v>424</v>
      </c>
      <c r="C616" s="49" t="s">
        <v>255</v>
      </c>
      <c r="D616" s="50">
        <v>18730</v>
      </c>
      <c r="E616" s="50">
        <v>5325</v>
      </c>
      <c r="F616" s="60">
        <v>0.2843</v>
      </c>
      <c r="G616" s="49">
        <v>78</v>
      </c>
      <c r="H616" s="60">
        <v>1.46E-2</v>
      </c>
      <c r="I616" s="60">
        <v>4.1999999999999997E-3</v>
      </c>
      <c r="J616" s="52" t="s">
        <v>1055</v>
      </c>
      <c r="K616" s="109" t="s">
        <v>1056</v>
      </c>
    </row>
    <row r="617" spans="1:11" x14ac:dyDescent="0.35">
      <c r="A617" s="61">
        <v>45449</v>
      </c>
      <c r="B617" s="49" t="s">
        <v>450</v>
      </c>
      <c r="C617" s="49" t="s">
        <v>234</v>
      </c>
      <c r="D617" s="50">
        <v>446113</v>
      </c>
      <c r="E617" s="50">
        <v>144806</v>
      </c>
      <c r="F617" s="60">
        <v>0.3246</v>
      </c>
      <c r="G617" s="50">
        <v>1210</v>
      </c>
      <c r="H617" s="60">
        <v>8.3999999999999995E-3</v>
      </c>
      <c r="I617" s="60">
        <v>2.7000000000000001E-3</v>
      </c>
      <c r="J617" s="52" t="s">
        <v>1055</v>
      </c>
      <c r="K617" s="109" t="s">
        <v>1056</v>
      </c>
    </row>
    <row r="618" spans="1:11" x14ac:dyDescent="0.35">
      <c r="A618" s="61">
        <v>45449</v>
      </c>
      <c r="B618" s="49" t="s">
        <v>452</v>
      </c>
      <c r="C618" s="49" t="s">
        <v>235</v>
      </c>
      <c r="D618" s="50">
        <v>33748</v>
      </c>
      <c r="E618" s="50">
        <v>9811</v>
      </c>
      <c r="F618" s="60">
        <v>0.29070000000000001</v>
      </c>
      <c r="G618" s="49">
        <v>157</v>
      </c>
      <c r="H618" s="60">
        <v>1.6E-2</v>
      </c>
      <c r="I618" s="60">
        <v>4.7000000000000002E-3</v>
      </c>
      <c r="J618" s="52" t="s">
        <v>1055</v>
      </c>
      <c r="K618" s="109" t="s">
        <v>1056</v>
      </c>
    </row>
    <row r="619" spans="1:11" x14ac:dyDescent="0.35">
      <c r="A619" s="61">
        <v>45449</v>
      </c>
      <c r="B619" s="49" t="s">
        <v>479</v>
      </c>
      <c r="C619" s="49" t="s">
        <v>10</v>
      </c>
      <c r="D619" s="50">
        <v>705392</v>
      </c>
      <c r="E619" s="50">
        <v>242704</v>
      </c>
      <c r="F619" s="51">
        <v>0.34406968040465402</v>
      </c>
      <c r="G619" s="50">
        <v>1957</v>
      </c>
      <c r="H619" s="51">
        <v>8.0633199288021595E-3</v>
      </c>
      <c r="I619" s="51">
        <v>2.7743439109034402E-3</v>
      </c>
      <c r="J619" s="52" t="s">
        <v>1055</v>
      </c>
      <c r="K619" s="109" t="s">
        <v>1056</v>
      </c>
    </row>
    <row r="620" spans="1:11" x14ac:dyDescent="0.35">
      <c r="A620" s="61">
        <v>45449</v>
      </c>
      <c r="B620" s="49" t="s">
        <v>480</v>
      </c>
      <c r="C620" s="49" t="s">
        <v>10</v>
      </c>
      <c r="D620" s="50">
        <v>1031322</v>
      </c>
      <c r="E620" s="50">
        <v>395223</v>
      </c>
      <c r="F620" s="51">
        <v>0.38321978974558901</v>
      </c>
      <c r="G620" s="50">
        <v>5455</v>
      </c>
      <c r="H620" s="51">
        <v>1.3802334378313E-2</v>
      </c>
      <c r="I620" s="51">
        <v>5.2893276784554202E-3</v>
      </c>
      <c r="J620" s="52" t="s">
        <v>1055</v>
      </c>
      <c r="K620" s="109" t="s">
        <v>1056</v>
      </c>
    </row>
    <row r="621" spans="1:11" x14ac:dyDescent="0.35">
      <c r="A621" s="61">
        <v>45449</v>
      </c>
      <c r="B621" s="49" t="s">
        <v>480</v>
      </c>
      <c r="C621" s="49" t="s">
        <v>11</v>
      </c>
      <c r="D621" s="50">
        <v>73998</v>
      </c>
      <c r="E621" s="50">
        <v>21075</v>
      </c>
      <c r="F621" s="51">
        <v>0.28480499472958698</v>
      </c>
      <c r="G621" s="50">
        <v>316</v>
      </c>
      <c r="H621" s="51">
        <v>1.4994068801898E-2</v>
      </c>
      <c r="I621" s="51">
        <v>4.2703856860996196E-3</v>
      </c>
      <c r="J621" s="52" t="s">
        <v>1055</v>
      </c>
      <c r="K621" s="109" t="s">
        <v>1056</v>
      </c>
    </row>
    <row r="622" spans="1:11" x14ac:dyDescent="0.35">
      <c r="A622" s="61">
        <v>45450</v>
      </c>
      <c r="B622" s="49" t="s">
        <v>481</v>
      </c>
      <c r="C622" s="49" t="s">
        <v>10</v>
      </c>
      <c r="D622" s="50">
        <v>406828</v>
      </c>
      <c r="E622" s="50">
        <v>145737</v>
      </c>
      <c r="F622" s="51">
        <v>0.35822755562547298</v>
      </c>
      <c r="G622" s="50">
        <v>2723</v>
      </c>
      <c r="H622" s="51">
        <v>1.8684342342713201E-2</v>
      </c>
      <c r="I622" s="51">
        <v>6.6932462858996901E-3</v>
      </c>
      <c r="J622" s="52" t="s">
        <v>1057</v>
      </c>
      <c r="K622" s="109" t="s">
        <v>1054</v>
      </c>
    </row>
    <row r="623" spans="1:11" x14ac:dyDescent="0.35">
      <c r="A623" s="61">
        <v>45450</v>
      </c>
      <c r="B623" s="49" t="s">
        <v>481</v>
      </c>
      <c r="C623" s="49" t="s">
        <v>11</v>
      </c>
      <c r="D623" s="50">
        <v>22009</v>
      </c>
      <c r="E623" s="50">
        <v>7453</v>
      </c>
      <c r="F623" s="51">
        <v>0.33863419510200399</v>
      </c>
      <c r="G623" s="50">
        <v>228</v>
      </c>
      <c r="H623" s="51">
        <v>3.0591708037032098E-2</v>
      </c>
      <c r="I623" s="51">
        <v>1.0359398427915899E-2</v>
      </c>
      <c r="J623" s="52" t="s">
        <v>1057</v>
      </c>
      <c r="K623" s="109" t="s">
        <v>1054</v>
      </c>
    </row>
    <row r="624" spans="1:11" x14ac:dyDescent="0.35">
      <c r="A624" s="61">
        <v>45450</v>
      </c>
      <c r="B624" s="49" t="s">
        <v>482</v>
      </c>
      <c r="C624" s="49" t="s">
        <v>464</v>
      </c>
      <c r="D624" s="50">
        <v>2434462</v>
      </c>
      <c r="E624" s="50">
        <v>795219</v>
      </c>
      <c r="F624" s="51">
        <v>0.326650816484299</v>
      </c>
      <c r="G624" s="50">
        <v>9731</v>
      </c>
      <c r="H624" s="51">
        <v>1.2236880658032599E-2</v>
      </c>
      <c r="I624" s="51">
        <v>3.9971870581672697E-3</v>
      </c>
      <c r="J624" s="52" t="s">
        <v>1055</v>
      </c>
      <c r="K624" s="109" t="s">
        <v>1056</v>
      </c>
    </row>
    <row r="625" spans="1:11" x14ac:dyDescent="0.35">
      <c r="A625" s="61">
        <v>45450</v>
      </c>
      <c r="B625" s="49" t="s">
        <v>482</v>
      </c>
      <c r="C625" s="49" t="s">
        <v>465</v>
      </c>
      <c r="D625" s="50">
        <v>2435207</v>
      </c>
      <c r="E625" s="50">
        <v>795083</v>
      </c>
      <c r="F625" s="51">
        <v>0.32649503717753797</v>
      </c>
      <c r="G625" s="50">
        <v>8827</v>
      </c>
      <c r="H625" s="51">
        <v>1.1101985578864101E-2</v>
      </c>
      <c r="I625" s="51">
        <v>3.6247431943157199E-3</v>
      </c>
      <c r="J625" s="52" t="s">
        <v>1055</v>
      </c>
      <c r="K625" s="109" t="s">
        <v>1056</v>
      </c>
    </row>
    <row r="626" spans="1:11" x14ac:dyDescent="0.35">
      <c r="A626" s="61">
        <v>45450</v>
      </c>
      <c r="B626" s="49" t="s">
        <v>482</v>
      </c>
      <c r="C626" s="49" t="s">
        <v>466</v>
      </c>
      <c r="D626" s="50">
        <v>155508</v>
      </c>
      <c r="E626" s="50">
        <v>44821</v>
      </c>
      <c r="F626" s="51">
        <v>0.288223113923399</v>
      </c>
      <c r="G626" s="50">
        <v>791</v>
      </c>
      <c r="H626" s="51">
        <v>1.7647977510541899E-2</v>
      </c>
      <c r="I626" s="51">
        <v>5.08655503253852E-3</v>
      </c>
      <c r="J626" s="52" t="s">
        <v>1055</v>
      </c>
      <c r="K626" s="109" t="s">
        <v>1056</v>
      </c>
    </row>
    <row r="627" spans="1:11" x14ac:dyDescent="0.35">
      <c r="A627" s="61">
        <v>45450</v>
      </c>
      <c r="B627" s="49" t="s">
        <v>482</v>
      </c>
      <c r="C627" s="49" t="s">
        <v>467</v>
      </c>
      <c r="D627" s="50">
        <v>154918</v>
      </c>
      <c r="E627" s="50">
        <v>45260</v>
      </c>
      <c r="F627" s="51">
        <v>0.29215455918615002</v>
      </c>
      <c r="G627" s="50">
        <v>697</v>
      </c>
      <c r="H627" s="51">
        <v>1.53999116217411E-2</v>
      </c>
      <c r="I627" s="51">
        <v>4.4991543913554298E-3</v>
      </c>
      <c r="J627" s="52" t="s">
        <v>1055</v>
      </c>
      <c r="K627" s="109" t="s">
        <v>1056</v>
      </c>
    </row>
    <row r="628" spans="1:11" x14ac:dyDescent="0.35">
      <c r="A628" s="61">
        <v>45450</v>
      </c>
      <c r="B628" s="49" t="s">
        <v>483</v>
      </c>
      <c r="C628" s="49" t="s">
        <v>10</v>
      </c>
      <c r="D628" s="50">
        <v>1240</v>
      </c>
      <c r="E628" s="50">
        <v>545</v>
      </c>
      <c r="F628" s="51">
        <v>0.43951612903225801</v>
      </c>
      <c r="G628" s="50">
        <v>25</v>
      </c>
      <c r="H628" s="51">
        <v>4.5871559633027498E-2</v>
      </c>
      <c r="I628" s="51">
        <v>2.0161290322580599E-2</v>
      </c>
      <c r="J628" s="52" t="s">
        <v>1055</v>
      </c>
      <c r="K628" s="109" t="s">
        <v>1056</v>
      </c>
    </row>
    <row r="629" spans="1:11" x14ac:dyDescent="0.35">
      <c r="A629" s="61">
        <v>45450</v>
      </c>
      <c r="B629" s="49" t="s">
        <v>483</v>
      </c>
      <c r="C629" s="49" t="s">
        <v>11</v>
      </c>
      <c r="D629" s="50">
        <v>559</v>
      </c>
      <c r="E629" s="50">
        <v>204</v>
      </c>
      <c r="F629" s="51">
        <v>0.36493738819320198</v>
      </c>
      <c r="G629" s="50">
        <v>12</v>
      </c>
      <c r="H629" s="51">
        <v>5.8823529411764698E-2</v>
      </c>
      <c r="I629" s="51">
        <v>2.1466905187835401E-2</v>
      </c>
      <c r="J629" s="52" t="s">
        <v>1055</v>
      </c>
      <c r="K629" s="109" t="s">
        <v>1056</v>
      </c>
    </row>
    <row r="630" spans="1:11" x14ac:dyDescent="0.35">
      <c r="A630" s="61">
        <v>45454</v>
      </c>
      <c r="B630" s="49" t="s">
        <v>484</v>
      </c>
      <c r="C630" s="49" t="s">
        <v>10</v>
      </c>
      <c r="D630" s="50">
        <v>1370312</v>
      </c>
      <c r="E630" s="50">
        <v>478550</v>
      </c>
      <c r="F630" s="51">
        <v>0.349227037346239</v>
      </c>
      <c r="G630" s="50">
        <v>6864</v>
      </c>
      <c r="H630" s="51">
        <v>1.43433288057674E-2</v>
      </c>
      <c r="I630" s="51">
        <v>5.0090782245211301E-3</v>
      </c>
      <c r="J630" s="52" t="s">
        <v>1055</v>
      </c>
      <c r="K630" s="109" t="s">
        <v>1056</v>
      </c>
    </row>
    <row r="631" spans="1:11" x14ac:dyDescent="0.35">
      <c r="A631" s="61">
        <v>45454</v>
      </c>
      <c r="B631" s="49" t="s">
        <v>484</v>
      </c>
      <c r="C631" s="49" t="s">
        <v>11</v>
      </c>
      <c r="D631" s="50">
        <v>96055</v>
      </c>
      <c r="E631" s="50">
        <v>32342</v>
      </c>
      <c r="F631" s="51">
        <v>0.33670293061266998</v>
      </c>
      <c r="G631" s="50">
        <v>625</v>
      </c>
      <c r="H631" s="51">
        <v>1.9324717086141901E-2</v>
      </c>
      <c r="I631" s="51">
        <v>6.5066888761646999E-3</v>
      </c>
      <c r="J631" s="52" t="s">
        <v>1055</v>
      </c>
      <c r="K631" s="109" t="s">
        <v>1056</v>
      </c>
    </row>
    <row r="632" spans="1:11" x14ac:dyDescent="0.35">
      <c r="A632" s="61">
        <v>45454</v>
      </c>
      <c r="B632" s="49" t="s">
        <v>485</v>
      </c>
      <c r="C632" s="49" t="s">
        <v>10</v>
      </c>
      <c r="D632" s="50">
        <v>67736</v>
      </c>
      <c r="E632" s="50">
        <v>23417</v>
      </c>
      <c r="F632" s="51">
        <v>0.345709814574229</v>
      </c>
      <c r="G632" s="50">
        <v>268</v>
      </c>
      <c r="H632" s="51">
        <v>1.1444676944100399E-2</v>
      </c>
      <c r="I632" s="51">
        <v>3.9565371442069203E-3</v>
      </c>
      <c r="J632" s="52" t="s">
        <v>1061</v>
      </c>
      <c r="K632" s="109" t="s">
        <v>1054</v>
      </c>
    </row>
    <row r="633" spans="1:11" x14ac:dyDescent="0.35">
      <c r="A633" s="61">
        <v>45455</v>
      </c>
      <c r="B633" s="49" t="s">
        <v>486</v>
      </c>
      <c r="C633" s="49" t="s">
        <v>10</v>
      </c>
      <c r="D633" s="50">
        <v>52306</v>
      </c>
      <c r="E633" s="50">
        <v>24212</v>
      </c>
      <c r="F633" s="51">
        <v>0.46289144648797498</v>
      </c>
      <c r="G633" s="50">
        <v>272</v>
      </c>
      <c r="H633" s="51">
        <v>1.1234098793986499E-2</v>
      </c>
      <c r="I633" s="51">
        <v>5.2001682407371999E-3</v>
      </c>
      <c r="J633" s="52" t="s">
        <v>1061</v>
      </c>
      <c r="K633" s="109" t="s">
        <v>1054</v>
      </c>
    </row>
    <row r="634" spans="1:11" x14ac:dyDescent="0.35">
      <c r="A634" s="61">
        <v>45455</v>
      </c>
      <c r="B634" s="49" t="s">
        <v>487</v>
      </c>
      <c r="C634" s="49" t="s">
        <v>10</v>
      </c>
      <c r="D634" s="50">
        <v>269506</v>
      </c>
      <c r="E634" s="50">
        <v>87782</v>
      </c>
      <c r="F634" s="51">
        <v>0.32571445533680099</v>
      </c>
      <c r="G634" s="50">
        <v>877</v>
      </c>
      <c r="H634" s="51">
        <v>9.9906586771775496E-3</v>
      </c>
      <c r="I634" s="51">
        <v>3.2541019494927801E-3</v>
      </c>
      <c r="J634" s="52" t="s">
        <v>1061</v>
      </c>
      <c r="K634" s="109" t="s">
        <v>1054</v>
      </c>
    </row>
    <row r="635" spans="1:11" x14ac:dyDescent="0.35">
      <c r="A635" s="61">
        <v>45455</v>
      </c>
      <c r="B635" s="49" t="s">
        <v>488</v>
      </c>
      <c r="C635" s="49" t="s">
        <v>489</v>
      </c>
      <c r="D635" s="50">
        <v>2691432</v>
      </c>
      <c r="E635" s="50">
        <v>933784</v>
      </c>
      <c r="F635" s="51">
        <v>0.346946904101608</v>
      </c>
      <c r="G635" s="50">
        <v>5487</v>
      </c>
      <c r="H635" s="51">
        <v>5.8760912587921803E-3</v>
      </c>
      <c r="I635" s="51">
        <v>2.0386916704564699E-3</v>
      </c>
      <c r="J635" s="52" t="s">
        <v>1058</v>
      </c>
      <c r="K635" s="109" t="s">
        <v>1054</v>
      </c>
    </row>
    <row r="636" spans="1:11" x14ac:dyDescent="0.35">
      <c r="A636" s="61">
        <v>45456</v>
      </c>
      <c r="B636" s="49" t="s">
        <v>469</v>
      </c>
      <c r="C636" s="49" t="s">
        <v>14</v>
      </c>
      <c r="D636" s="50">
        <v>48794</v>
      </c>
      <c r="E636" s="50">
        <v>15121</v>
      </c>
      <c r="F636" s="51">
        <v>0.30989465917940701</v>
      </c>
      <c r="G636" s="50">
        <v>189</v>
      </c>
      <c r="H636" s="51">
        <v>1.24991733350969E-2</v>
      </c>
      <c r="I636" s="51">
        <v>3.87342706070418E-3</v>
      </c>
      <c r="J636" s="52" t="s">
        <v>1055</v>
      </c>
      <c r="K636" s="109" t="s">
        <v>1056</v>
      </c>
    </row>
    <row r="637" spans="1:11" x14ac:dyDescent="0.35">
      <c r="A637" s="61">
        <v>45456</v>
      </c>
      <c r="B637" s="49" t="s">
        <v>446</v>
      </c>
      <c r="C637" s="49" t="s">
        <v>253</v>
      </c>
      <c r="D637" s="50">
        <v>329327</v>
      </c>
      <c r="E637" s="50">
        <v>104426</v>
      </c>
      <c r="F637" s="60">
        <v>0.31709999999999999</v>
      </c>
      <c r="G637" s="49">
        <v>994</v>
      </c>
      <c r="H637" s="60">
        <v>9.4999999999999998E-3</v>
      </c>
      <c r="I637" s="60">
        <v>3.0000000000000001E-3</v>
      </c>
      <c r="J637" s="52" t="s">
        <v>1055</v>
      </c>
      <c r="K637" s="109" t="s">
        <v>1056</v>
      </c>
    </row>
    <row r="638" spans="1:11" x14ac:dyDescent="0.35">
      <c r="A638" s="61">
        <v>45456</v>
      </c>
      <c r="B638" s="49" t="s">
        <v>448</v>
      </c>
      <c r="C638" s="49" t="s">
        <v>255</v>
      </c>
      <c r="D638" s="50">
        <v>29024</v>
      </c>
      <c r="E638" s="50">
        <v>10081</v>
      </c>
      <c r="F638" s="60">
        <v>0.3473</v>
      </c>
      <c r="G638" s="49">
        <v>84</v>
      </c>
      <c r="H638" s="60">
        <v>8.3000000000000001E-3</v>
      </c>
      <c r="I638" s="60">
        <v>2.8999999999999998E-3</v>
      </c>
      <c r="J638" s="52" t="s">
        <v>1055</v>
      </c>
      <c r="K638" s="109" t="s">
        <v>1056</v>
      </c>
    </row>
    <row r="639" spans="1:11" x14ac:dyDescent="0.35">
      <c r="A639" s="61">
        <v>45456</v>
      </c>
      <c r="B639" s="49" t="s">
        <v>450</v>
      </c>
      <c r="C639" s="49" t="s">
        <v>253</v>
      </c>
      <c r="D639" s="50">
        <v>441072</v>
      </c>
      <c r="E639" s="50">
        <v>140434</v>
      </c>
      <c r="F639" s="60">
        <v>0.31840000000000002</v>
      </c>
      <c r="G639" s="50">
        <v>1215</v>
      </c>
      <c r="H639" s="60">
        <v>8.6999999999999994E-3</v>
      </c>
      <c r="I639" s="60">
        <v>2.8E-3</v>
      </c>
      <c r="J639" s="52" t="s">
        <v>1055</v>
      </c>
      <c r="K639" s="109" t="s">
        <v>1056</v>
      </c>
    </row>
    <row r="640" spans="1:11" x14ac:dyDescent="0.35">
      <c r="A640" s="61">
        <v>45456</v>
      </c>
      <c r="B640" s="49" t="s">
        <v>452</v>
      </c>
      <c r="C640" s="49" t="s">
        <v>255</v>
      </c>
      <c r="D640" s="50">
        <v>33128</v>
      </c>
      <c r="E640" s="50">
        <v>9489</v>
      </c>
      <c r="F640" s="60">
        <v>0.28639999999999999</v>
      </c>
      <c r="G640" s="49">
        <v>119</v>
      </c>
      <c r="H640" s="60">
        <v>1.2500000000000001E-2</v>
      </c>
      <c r="I640" s="60">
        <v>3.5999999999999999E-3</v>
      </c>
      <c r="J640" s="52" t="s">
        <v>1055</v>
      </c>
      <c r="K640" s="109" t="s">
        <v>1056</v>
      </c>
    </row>
    <row r="641" spans="1:11" x14ac:dyDescent="0.35">
      <c r="A641" s="61">
        <v>45456</v>
      </c>
      <c r="B641" s="49" t="s">
        <v>490</v>
      </c>
      <c r="C641" s="49" t="s">
        <v>400</v>
      </c>
      <c r="D641" s="50">
        <v>975875</v>
      </c>
      <c r="E641" s="50">
        <v>315518</v>
      </c>
      <c r="F641" s="60">
        <v>0.32329999999999998</v>
      </c>
      <c r="G641" s="50">
        <v>2059</v>
      </c>
      <c r="H641" s="60">
        <v>6.4999999999999997E-3</v>
      </c>
      <c r="I641" s="60">
        <v>2.0999999999999999E-3</v>
      </c>
      <c r="J641" s="52" t="s">
        <v>1055</v>
      </c>
      <c r="K641" s="109" t="s">
        <v>1056</v>
      </c>
    </row>
    <row r="642" spans="1:11" x14ac:dyDescent="0.35">
      <c r="A642" s="61">
        <v>45456</v>
      </c>
      <c r="B642" s="49" t="s">
        <v>491</v>
      </c>
      <c r="C642" s="49" t="s">
        <v>402</v>
      </c>
      <c r="D642" s="50">
        <v>50488</v>
      </c>
      <c r="E642" s="50">
        <v>15359</v>
      </c>
      <c r="F642" s="60">
        <v>0.30420000000000003</v>
      </c>
      <c r="G642" s="49">
        <v>136</v>
      </c>
      <c r="H642" s="60">
        <v>8.8999999999999999E-3</v>
      </c>
      <c r="I642" s="60">
        <v>2.7000000000000001E-3</v>
      </c>
      <c r="J642" s="52" t="s">
        <v>1055</v>
      </c>
      <c r="K642" s="109" t="s">
        <v>1056</v>
      </c>
    </row>
    <row r="643" spans="1:11" x14ac:dyDescent="0.35">
      <c r="A643" s="61">
        <v>45457</v>
      </c>
      <c r="B643" s="49" t="s">
        <v>492</v>
      </c>
      <c r="C643" s="49" t="s">
        <v>10</v>
      </c>
      <c r="D643" s="50">
        <v>406334</v>
      </c>
      <c r="E643" s="50">
        <v>135350</v>
      </c>
      <c r="F643" s="51">
        <v>0.33310035586488002</v>
      </c>
      <c r="G643" s="50">
        <v>2579</v>
      </c>
      <c r="H643" s="51">
        <v>1.90543036571851E-2</v>
      </c>
      <c r="I643" s="51">
        <v>6.3469953289658296E-3</v>
      </c>
      <c r="J643" s="52" t="s">
        <v>1057</v>
      </c>
      <c r="K643" s="109" t="s">
        <v>1054</v>
      </c>
    </row>
    <row r="644" spans="1:11" x14ac:dyDescent="0.35">
      <c r="A644" s="61">
        <v>45457</v>
      </c>
      <c r="B644" s="49" t="s">
        <v>493</v>
      </c>
      <c r="C644" s="49" t="s">
        <v>464</v>
      </c>
      <c r="D644" s="50">
        <v>2421659</v>
      </c>
      <c r="E644" s="50">
        <v>761631</v>
      </c>
      <c r="F644" s="51">
        <v>0.31450794682488298</v>
      </c>
      <c r="G644" s="50">
        <v>9219</v>
      </c>
      <c r="H644" s="51">
        <v>1.2104286721522599E-2</v>
      </c>
      <c r="I644" s="51">
        <v>3.8068943645657798E-3</v>
      </c>
      <c r="J644" s="52" t="s">
        <v>1055</v>
      </c>
      <c r="K644" s="109" t="s">
        <v>1056</v>
      </c>
    </row>
    <row r="645" spans="1:11" x14ac:dyDescent="0.35">
      <c r="A645" s="61">
        <v>45457</v>
      </c>
      <c r="B645" s="49" t="s">
        <v>493</v>
      </c>
      <c r="C645" s="49" t="s">
        <v>465</v>
      </c>
      <c r="D645" s="50">
        <v>2420304</v>
      </c>
      <c r="E645" s="50">
        <v>764659</v>
      </c>
      <c r="F645" s="51">
        <v>0.31593510567267602</v>
      </c>
      <c r="G645" s="50">
        <v>8778</v>
      </c>
      <c r="H645" s="51">
        <v>1.14796268663548E-2</v>
      </c>
      <c r="I645" s="51">
        <v>3.6268171271046901E-3</v>
      </c>
      <c r="J645" s="52" t="s">
        <v>1055</v>
      </c>
      <c r="K645" s="109" t="s">
        <v>1056</v>
      </c>
    </row>
    <row r="646" spans="1:11" x14ac:dyDescent="0.35">
      <c r="A646" s="61">
        <v>45457</v>
      </c>
      <c r="B646" s="49" t="s">
        <v>493</v>
      </c>
      <c r="C646" s="49" t="s">
        <v>466</v>
      </c>
      <c r="D646" s="50">
        <v>154304</v>
      </c>
      <c r="E646" s="50">
        <v>41128</v>
      </c>
      <c r="F646" s="51">
        <v>0.26653878058896702</v>
      </c>
      <c r="G646" s="50">
        <v>689</v>
      </c>
      <c r="H646" s="51">
        <v>1.6752577319587601E-2</v>
      </c>
      <c r="I646" s="51">
        <v>4.46521153048528E-3</v>
      </c>
      <c r="J646" s="52" t="s">
        <v>1055</v>
      </c>
      <c r="K646" s="109" t="s">
        <v>1056</v>
      </c>
    </row>
    <row r="647" spans="1:11" x14ac:dyDescent="0.35">
      <c r="A647" s="61">
        <v>45457</v>
      </c>
      <c r="B647" s="49" t="s">
        <v>493</v>
      </c>
      <c r="C647" s="49" t="s">
        <v>467</v>
      </c>
      <c r="D647" s="50">
        <v>155205</v>
      </c>
      <c r="E647" s="50">
        <v>41362</v>
      </c>
      <c r="F647" s="51">
        <v>0.26649914629039001</v>
      </c>
      <c r="G647" s="50">
        <v>637</v>
      </c>
      <c r="H647" s="51">
        <v>1.54006092548716E-2</v>
      </c>
      <c r="I647" s="51">
        <v>4.1042492187751698E-3</v>
      </c>
      <c r="J647" s="52" t="s">
        <v>1055</v>
      </c>
      <c r="K647" s="109" t="s">
        <v>1056</v>
      </c>
    </row>
    <row r="648" spans="1:11" x14ac:dyDescent="0.35">
      <c r="A648" s="61">
        <v>45457</v>
      </c>
      <c r="B648" s="49" t="s">
        <v>494</v>
      </c>
      <c r="C648" s="49" t="s">
        <v>84</v>
      </c>
      <c r="D648" s="50">
        <v>43812</v>
      </c>
      <c r="E648" s="50">
        <v>15491</v>
      </c>
      <c r="F648" s="51">
        <v>0.353578928147539</v>
      </c>
      <c r="G648" s="50">
        <v>256</v>
      </c>
      <c r="H648" s="51">
        <v>1.6525724614292199E-2</v>
      </c>
      <c r="I648" s="51">
        <v>5.8431479959828404E-3</v>
      </c>
      <c r="J648" s="52" t="s">
        <v>1055</v>
      </c>
      <c r="K648" s="109" t="s">
        <v>1056</v>
      </c>
    </row>
    <row r="649" spans="1:11" x14ac:dyDescent="0.35">
      <c r="A649" s="61">
        <v>45457</v>
      </c>
      <c r="B649" s="49" t="s">
        <v>494</v>
      </c>
      <c r="C649" s="49" t="s">
        <v>72</v>
      </c>
      <c r="D649" s="50">
        <v>837294</v>
      </c>
      <c r="E649" s="50">
        <v>299870</v>
      </c>
      <c r="F649" s="51">
        <v>0.35814182354107399</v>
      </c>
      <c r="G649" s="50">
        <v>3250</v>
      </c>
      <c r="H649" s="51">
        <v>1.08380298129189E-2</v>
      </c>
      <c r="I649" s="51">
        <v>3.8815517607913102E-3</v>
      </c>
      <c r="J649" s="52" t="s">
        <v>1055</v>
      </c>
      <c r="K649" s="109" t="s">
        <v>1056</v>
      </c>
    </row>
    <row r="650" spans="1:11" x14ac:dyDescent="0.35">
      <c r="A650" s="61">
        <v>45457</v>
      </c>
      <c r="B650" s="49" t="s">
        <v>494</v>
      </c>
      <c r="C650" s="49" t="s">
        <v>85</v>
      </c>
      <c r="D650" s="50">
        <v>2930</v>
      </c>
      <c r="E650" s="50">
        <v>1024</v>
      </c>
      <c r="F650" s="51">
        <v>0.34948805460750898</v>
      </c>
      <c r="G650" s="50">
        <v>17</v>
      </c>
      <c r="H650" s="51">
        <v>1.66015625E-2</v>
      </c>
      <c r="I650" s="51">
        <v>5.8020477815699696E-3</v>
      </c>
      <c r="J650" s="52" t="s">
        <v>1055</v>
      </c>
      <c r="K650" s="109" t="s">
        <v>1056</v>
      </c>
    </row>
    <row r="651" spans="1:11" x14ac:dyDescent="0.35">
      <c r="A651" s="61">
        <v>45457</v>
      </c>
      <c r="B651" s="49" t="s">
        <v>494</v>
      </c>
      <c r="C651" s="49" t="s">
        <v>73</v>
      </c>
      <c r="D651" s="50">
        <v>57390</v>
      </c>
      <c r="E651" s="50">
        <v>20622</v>
      </c>
      <c r="F651" s="51">
        <v>0.35933089388395201</v>
      </c>
      <c r="G651" s="50">
        <v>378</v>
      </c>
      <c r="H651" s="51">
        <v>1.83299389002037E-2</v>
      </c>
      <c r="I651" s="51">
        <v>6.5865133298484103E-3</v>
      </c>
      <c r="J651" s="52" t="s">
        <v>1055</v>
      </c>
      <c r="K651" s="109" t="s">
        <v>1056</v>
      </c>
    </row>
    <row r="652" spans="1:11" x14ac:dyDescent="0.35">
      <c r="A652" s="61">
        <v>45458</v>
      </c>
      <c r="B652" s="49" t="s">
        <v>495</v>
      </c>
      <c r="C652" s="49" t="s">
        <v>10</v>
      </c>
      <c r="D652" s="50">
        <v>1236392</v>
      </c>
      <c r="E652" s="50">
        <v>345038</v>
      </c>
      <c r="F652" s="51">
        <v>0.27906845078260001</v>
      </c>
      <c r="G652" s="50">
        <v>6056</v>
      </c>
      <c r="H652" s="51">
        <v>1.7551689958787101E-2</v>
      </c>
      <c r="I652" s="51">
        <v>4.8981229254152396E-3</v>
      </c>
      <c r="J652" s="52" t="s">
        <v>1055</v>
      </c>
      <c r="K652" s="109" t="s">
        <v>1056</v>
      </c>
    </row>
    <row r="653" spans="1:11" x14ac:dyDescent="0.35">
      <c r="A653" s="61">
        <v>45458</v>
      </c>
      <c r="B653" s="49" t="s">
        <v>495</v>
      </c>
      <c r="C653" s="49" t="s">
        <v>11</v>
      </c>
      <c r="D653" s="50">
        <v>92217</v>
      </c>
      <c r="E653" s="50">
        <v>23556</v>
      </c>
      <c r="F653" s="51">
        <v>0.25544097075376598</v>
      </c>
      <c r="G653" s="50">
        <v>589</v>
      </c>
      <c r="H653" s="51">
        <v>2.5004245202920699E-2</v>
      </c>
      <c r="I653" s="51">
        <v>6.38710866759925E-3</v>
      </c>
      <c r="J653" s="52" t="s">
        <v>1055</v>
      </c>
      <c r="K653" s="109" t="s">
        <v>1056</v>
      </c>
    </row>
    <row r="654" spans="1:11" x14ac:dyDescent="0.35">
      <c r="A654" s="61">
        <v>45458</v>
      </c>
      <c r="B654" s="49" t="s">
        <v>488</v>
      </c>
      <c r="C654" s="49" t="s">
        <v>496</v>
      </c>
      <c r="D654" s="50">
        <v>2682993</v>
      </c>
      <c r="E654" s="50">
        <v>959754</v>
      </c>
      <c r="F654" s="51">
        <v>0.35771766829059898</v>
      </c>
      <c r="G654" s="50">
        <v>6642</v>
      </c>
      <c r="H654" s="51">
        <v>6.9205233841171804E-3</v>
      </c>
      <c r="I654" s="51">
        <v>2.4755934883169701E-3</v>
      </c>
      <c r="J654" s="52" t="s">
        <v>1058</v>
      </c>
      <c r="K654" s="109" t="s">
        <v>1054</v>
      </c>
    </row>
    <row r="655" spans="1:11" x14ac:dyDescent="0.35">
      <c r="A655" s="61">
        <v>45460</v>
      </c>
      <c r="B655" s="49" t="s">
        <v>497</v>
      </c>
      <c r="C655" s="49" t="s">
        <v>10</v>
      </c>
      <c r="D655" s="50">
        <v>222212</v>
      </c>
      <c r="E655" s="50">
        <v>71386</v>
      </c>
      <c r="F655" s="51">
        <v>0.32125177758176898</v>
      </c>
      <c r="G655" s="50">
        <v>1397</v>
      </c>
      <c r="H655" s="51">
        <v>1.9569663519457599E-2</v>
      </c>
      <c r="I655" s="51">
        <v>6.28678919230285E-3</v>
      </c>
      <c r="J655" s="52" t="s">
        <v>1060</v>
      </c>
      <c r="K655" s="109" t="s">
        <v>1054</v>
      </c>
    </row>
    <row r="656" spans="1:11" x14ac:dyDescent="0.35">
      <c r="A656" s="61">
        <v>45461</v>
      </c>
      <c r="B656" s="49" t="s">
        <v>498</v>
      </c>
      <c r="C656" s="49" t="s">
        <v>10</v>
      </c>
      <c r="D656" s="50">
        <v>1855577</v>
      </c>
      <c r="E656" s="50">
        <v>588349</v>
      </c>
      <c r="F656" s="51">
        <v>0.31707064702785198</v>
      </c>
      <c r="G656" s="50">
        <v>5688</v>
      </c>
      <c r="H656" s="51">
        <v>9.6677312275537108E-3</v>
      </c>
      <c r="I656" s="51">
        <v>3.0653537956118202E-3</v>
      </c>
      <c r="J656" s="52" t="s">
        <v>1061</v>
      </c>
      <c r="K656" s="109" t="s">
        <v>1054</v>
      </c>
    </row>
    <row r="657" spans="1:11" x14ac:dyDescent="0.35">
      <c r="A657" s="61">
        <v>45461</v>
      </c>
      <c r="B657" s="49" t="s">
        <v>498</v>
      </c>
      <c r="C657" s="49" t="s">
        <v>11</v>
      </c>
      <c r="D657" s="50">
        <v>142613</v>
      </c>
      <c r="E657" s="50">
        <v>40123</v>
      </c>
      <c r="F657" s="51">
        <v>0.281341813158688</v>
      </c>
      <c r="G657" s="50">
        <v>611</v>
      </c>
      <c r="H657" s="51">
        <v>1.52281733668968E-2</v>
      </c>
      <c r="I657" s="51">
        <v>4.2843219061375901E-3</v>
      </c>
      <c r="J657" s="52" t="s">
        <v>1061</v>
      </c>
      <c r="K657" s="109" t="s">
        <v>1054</v>
      </c>
    </row>
    <row r="658" spans="1:11" x14ac:dyDescent="0.35">
      <c r="A658" s="61">
        <v>45461</v>
      </c>
      <c r="B658" s="49" t="s">
        <v>499</v>
      </c>
      <c r="C658" s="49" t="s">
        <v>10</v>
      </c>
      <c r="D658" s="50">
        <v>1359997</v>
      </c>
      <c r="E658" s="50">
        <v>470887</v>
      </c>
      <c r="F658" s="51">
        <v>0.34624120494383398</v>
      </c>
      <c r="G658" s="50">
        <v>6504</v>
      </c>
      <c r="H658" s="51">
        <v>1.3812230959869399E-2</v>
      </c>
      <c r="I658" s="51">
        <v>4.7823634905077E-3</v>
      </c>
      <c r="J658" s="52" t="s">
        <v>1055</v>
      </c>
      <c r="K658" s="109" t="s">
        <v>1056</v>
      </c>
    </row>
    <row r="659" spans="1:11" x14ac:dyDescent="0.35">
      <c r="A659" s="61">
        <v>45461</v>
      </c>
      <c r="B659" s="49" t="s">
        <v>499</v>
      </c>
      <c r="C659" s="49" t="s">
        <v>11</v>
      </c>
      <c r="D659" s="50">
        <v>95497</v>
      </c>
      <c r="E659" s="50">
        <v>32157</v>
      </c>
      <c r="F659" s="51">
        <v>0.336733091091867</v>
      </c>
      <c r="G659" s="50">
        <v>770</v>
      </c>
      <c r="H659" s="51">
        <v>2.39450197468669E-2</v>
      </c>
      <c r="I659" s="51">
        <v>8.0630805156182896E-3</v>
      </c>
      <c r="J659" s="52" t="s">
        <v>1055</v>
      </c>
      <c r="K659" s="109" t="s">
        <v>1056</v>
      </c>
    </row>
    <row r="660" spans="1:11" x14ac:dyDescent="0.35">
      <c r="A660" s="61">
        <v>45462</v>
      </c>
      <c r="B660" s="49" t="s">
        <v>500</v>
      </c>
      <c r="C660" s="49" t="s">
        <v>10</v>
      </c>
      <c r="D660" s="50">
        <v>366597</v>
      </c>
      <c r="E660" s="50">
        <v>138083</v>
      </c>
      <c r="F660" s="51">
        <v>0.37666156569748299</v>
      </c>
      <c r="G660" s="50">
        <v>1752</v>
      </c>
      <c r="H660" s="51">
        <v>1.2688020972893101E-2</v>
      </c>
      <c r="I660" s="51">
        <v>4.7790898452524204E-3</v>
      </c>
      <c r="J660" s="52" t="s">
        <v>1055</v>
      </c>
      <c r="K660" s="109" t="s">
        <v>1056</v>
      </c>
    </row>
    <row r="661" spans="1:11" x14ac:dyDescent="0.35">
      <c r="A661" s="61">
        <v>45462</v>
      </c>
      <c r="B661" s="49" t="s">
        <v>500</v>
      </c>
      <c r="C661" s="49" t="s">
        <v>11</v>
      </c>
      <c r="D661" s="50">
        <v>18065</v>
      </c>
      <c r="E661" s="50">
        <v>6705</v>
      </c>
      <c r="F661" s="51">
        <v>0.37115970107943502</v>
      </c>
      <c r="G661" s="50">
        <v>97</v>
      </c>
      <c r="H661" s="51">
        <v>1.4466815809097699E-2</v>
      </c>
      <c r="I661" s="51">
        <v>5.3694990312759504E-3</v>
      </c>
      <c r="J661" s="52" t="s">
        <v>1055</v>
      </c>
      <c r="K661" s="109" t="s">
        <v>1056</v>
      </c>
    </row>
    <row r="662" spans="1:11" x14ac:dyDescent="0.35">
      <c r="A662" s="61">
        <v>45462</v>
      </c>
      <c r="B662" s="49" t="s">
        <v>501</v>
      </c>
      <c r="C662" s="49" t="s">
        <v>10</v>
      </c>
      <c r="D662" s="50">
        <v>19170</v>
      </c>
      <c r="E662" s="50">
        <v>8073</v>
      </c>
      <c r="F662" s="51">
        <v>0.42112676056338</v>
      </c>
      <c r="G662" s="50">
        <v>153</v>
      </c>
      <c r="H662" s="51">
        <v>1.89520624303233E-2</v>
      </c>
      <c r="I662" s="51">
        <v>7.9812206572770009E-3</v>
      </c>
      <c r="J662" s="52" t="s">
        <v>1055</v>
      </c>
      <c r="K662" s="109" t="s">
        <v>1056</v>
      </c>
    </row>
    <row r="663" spans="1:11" x14ac:dyDescent="0.35">
      <c r="A663" s="61">
        <v>45462</v>
      </c>
      <c r="B663" s="49" t="s">
        <v>502</v>
      </c>
      <c r="C663" s="49" t="s">
        <v>503</v>
      </c>
      <c r="D663" s="50">
        <v>88593</v>
      </c>
      <c r="E663" s="50">
        <v>31762</v>
      </c>
      <c r="F663" s="51">
        <v>0.35851590983486298</v>
      </c>
      <c r="G663" s="50">
        <v>495</v>
      </c>
      <c r="H663" s="51">
        <v>1.55846609155595E-2</v>
      </c>
      <c r="I663" s="51">
        <v>5.5873488876096297E-3</v>
      </c>
      <c r="J663" s="52" t="s">
        <v>1059</v>
      </c>
      <c r="K663" s="109" t="s">
        <v>1056</v>
      </c>
    </row>
    <row r="664" spans="1:11" x14ac:dyDescent="0.35">
      <c r="A664" s="61">
        <v>45462</v>
      </c>
      <c r="B664" s="49" t="s">
        <v>502</v>
      </c>
      <c r="C664" s="49" t="s">
        <v>504</v>
      </c>
      <c r="D664" s="50">
        <v>4366</v>
      </c>
      <c r="E664" s="50">
        <v>1445</v>
      </c>
      <c r="F664" s="51">
        <v>0.33096655978011902</v>
      </c>
      <c r="G664" s="50">
        <v>25</v>
      </c>
      <c r="H664" s="51">
        <v>1.73010380622837E-2</v>
      </c>
      <c r="I664" s="51">
        <v>5.72606504809895E-3</v>
      </c>
      <c r="J664" s="52" t="s">
        <v>1059</v>
      </c>
      <c r="K664" s="109" t="s">
        <v>1056</v>
      </c>
    </row>
    <row r="665" spans="1:11" x14ac:dyDescent="0.35">
      <c r="A665" s="61">
        <v>45463</v>
      </c>
      <c r="B665" s="49" t="s">
        <v>505</v>
      </c>
      <c r="C665" s="49" t="s">
        <v>423</v>
      </c>
      <c r="D665" s="50">
        <v>1032470</v>
      </c>
      <c r="E665" s="50">
        <v>335333</v>
      </c>
      <c r="F665" s="60">
        <v>0.32479999999999998</v>
      </c>
      <c r="G665" s="50">
        <v>3349</v>
      </c>
      <c r="H665" s="60">
        <v>0.01</v>
      </c>
      <c r="I665" s="60">
        <v>3.2000000000000002E-3</v>
      </c>
      <c r="J665" s="52" t="s">
        <v>1055</v>
      </c>
      <c r="K665" s="109" t="s">
        <v>1056</v>
      </c>
    </row>
    <row r="666" spans="1:11" x14ac:dyDescent="0.35">
      <c r="A666" s="61">
        <v>45463</v>
      </c>
      <c r="B666" s="49" t="s">
        <v>506</v>
      </c>
      <c r="C666" s="49" t="s">
        <v>425</v>
      </c>
      <c r="D666" s="50">
        <v>75618</v>
      </c>
      <c r="E666" s="50">
        <v>21385</v>
      </c>
      <c r="F666" s="60">
        <v>0.2828</v>
      </c>
      <c r="G666" s="49">
        <v>329</v>
      </c>
      <c r="H666" s="60">
        <v>1.54E-2</v>
      </c>
      <c r="I666" s="60">
        <v>4.4000000000000003E-3</v>
      </c>
      <c r="J666" s="52" t="s">
        <v>1055</v>
      </c>
      <c r="K666" s="109" t="s">
        <v>1056</v>
      </c>
    </row>
    <row r="667" spans="1:11" x14ac:dyDescent="0.35">
      <c r="A667" s="61">
        <v>45463</v>
      </c>
      <c r="B667" s="49" t="s">
        <v>490</v>
      </c>
      <c r="C667" s="49" t="s">
        <v>234</v>
      </c>
      <c r="D667" s="50">
        <v>853597</v>
      </c>
      <c r="E667" s="50">
        <v>273263</v>
      </c>
      <c r="F667" s="60">
        <v>0.3201</v>
      </c>
      <c r="G667" s="50">
        <v>1737</v>
      </c>
      <c r="H667" s="60">
        <v>6.4000000000000003E-3</v>
      </c>
      <c r="I667" s="60">
        <v>2E-3</v>
      </c>
      <c r="J667" s="52" t="s">
        <v>1055</v>
      </c>
      <c r="K667" s="109" t="s">
        <v>1056</v>
      </c>
    </row>
    <row r="668" spans="1:11" x14ac:dyDescent="0.35">
      <c r="A668" s="61">
        <v>45463</v>
      </c>
      <c r="B668" s="49" t="s">
        <v>491</v>
      </c>
      <c r="C668" s="49" t="s">
        <v>235</v>
      </c>
      <c r="D668" s="50">
        <v>44882</v>
      </c>
      <c r="E668" s="50">
        <v>13099</v>
      </c>
      <c r="F668" s="60">
        <v>0.29189999999999999</v>
      </c>
      <c r="G668" s="49">
        <v>99</v>
      </c>
      <c r="H668" s="60">
        <v>7.6E-3</v>
      </c>
      <c r="I668" s="60">
        <v>2.2000000000000001E-3</v>
      </c>
      <c r="J668" s="52" t="s">
        <v>1055</v>
      </c>
      <c r="K668" s="109" t="s">
        <v>1056</v>
      </c>
    </row>
    <row r="669" spans="1:11" x14ac:dyDescent="0.35">
      <c r="A669" s="61">
        <v>45463</v>
      </c>
      <c r="B669" s="49" t="s">
        <v>507</v>
      </c>
      <c r="C669" s="49" t="s">
        <v>84</v>
      </c>
      <c r="D669" s="50">
        <v>7526</v>
      </c>
      <c r="E669" s="50">
        <v>2869</v>
      </c>
      <c r="F669" s="51">
        <v>0.38121179909646602</v>
      </c>
      <c r="G669" s="50">
        <v>79</v>
      </c>
      <c r="H669" s="51">
        <v>2.75357267340537E-2</v>
      </c>
      <c r="I669" s="51">
        <v>1.04969439277172E-2</v>
      </c>
      <c r="J669" s="52" t="s">
        <v>1055</v>
      </c>
      <c r="K669" s="109" t="s">
        <v>1056</v>
      </c>
    </row>
    <row r="670" spans="1:11" x14ac:dyDescent="0.35">
      <c r="A670" s="61">
        <v>45463</v>
      </c>
      <c r="B670" s="49" t="s">
        <v>507</v>
      </c>
      <c r="C670" s="49" t="s">
        <v>72</v>
      </c>
      <c r="D670" s="50">
        <v>140023</v>
      </c>
      <c r="E670" s="50">
        <v>55015</v>
      </c>
      <c r="F670" s="51">
        <v>0.392899737900202</v>
      </c>
      <c r="G670" s="50">
        <v>1409</v>
      </c>
      <c r="H670" s="51">
        <v>2.5611196946287398E-2</v>
      </c>
      <c r="I670" s="51">
        <v>1.00626325675068E-2</v>
      </c>
      <c r="J670" s="52" t="s">
        <v>1055</v>
      </c>
      <c r="K670" s="109" t="s">
        <v>1056</v>
      </c>
    </row>
    <row r="671" spans="1:11" x14ac:dyDescent="0.35">
      <c r="A671" s="61">
        <v>45463</v>
      </c>
      <c r="B671" s="49" t="s">
        <v>507</v>
      </c>
      <c r="C671" s="49" t="s">
        <v>85</v>
      </c>
      <c r="D671" s="50">
        <v>348</v>
      </c>
      <c r="E671" s="50">
        <v>157</v>
      </c>
      <c r="F671" s="51">
        <v>0.45114942528735602</v>
      </c>
      <c r="G671" s="50">
        <v>3</v>
      </c>
      <c r="H671" s="51">
        <v>1.9108280254777101E-2</v>
      </c>
      <c r="I671" s="51">
        <v>8.6206896551724102E-3</v>
      </c>
      <c r="J671" s="52" t="s">
        <v>1055</v>
      </c>
      <c r="K671" s="109" t="s">
        <v>1056</v>
      </c>
    </row>
    <row r="672" spans="1:11" x14ac:dyDescent="0.35">
      <c r="A672" s="61">
        <v>45463</v>
      </c>
      <c r="B672" s="49" t="s">
        <v>507</v>
      </c>
      <c r="C672" s="49" t="s">
        <v>73</v>
      </c>
      <c r="D672" s="50">
        <v>6601</v>
      </c>
      <c r="E672" s="50">
        <v>2785</v>
      </c>
      <c r="F672" s="51">
        <v>0.42190577185275002</v>
      </c>
      <c r="G672" s="50">
        <v>49</v>
      </c>
      <c r="H672" s="51">
        <v>1.7594254937163399E-2</v>
      </c>
      <c r="I672" s="51">
        <v>7.4231177094379597E-3</v>
      </c>
      <c r="J672" s="52" t="s">
        <v>1055</v>
      </c>
      <c r="K672" s="109" t="s">
        <v>1056</v>
      </c>
    </row>
    <row r="673" spans="1:11" x14ac:dyDescent="0.35">
      <c r="A673" s="61">
        <v>45463</v>
      </c>
      <c r="B673" s="49" t="s">
        <v>508</v>
      </c>
      <c r="C673" s="49" t="s">
        <v>10</v>
      </c>
      <c r="D673" s="50">
        <v>8735</v>
      </c>
      <c r="E673" s="50">
        <v>2777</v>
      </c>
      <c r="F673" s="51">
        <v>0.31791642816256399</v>
      </c>
      <c r="G673" s="50">
        <v>323</v>
      </c>
      <c r="H673" s="51">
        <v>0.11631256751890499</v>
      </c>
      <c r="I673" s="51">
        <v>3.69776760160275E-2</v>
      </c>
      <c r="J673" s="52" t="s">
        <v>1061</v>
      </c>
      <c r="K673" s="109" t="s">
        <v>1054</v>
      </c>
    </row>
    <row r="674" spans="1:11" x14ac:dyDescent="0.35">
      <c r="A674" s="61">
        <v>45463</v>
      </c>
      <c r="B674" s="49" t="s">
        <v>509</v>
      </c>
      <c r="C674" s="49" t="s">
        <v>10</v>
      </c>
      <c r="D674" s="50">
        <v>335940</v>
      </c>
      <c r="E674" s="50">
        <v>124738</v>
      </c>
      <c r="F674" s="51">
        <v>0.37131035303923299</v>
      </c>
      <c r="G674" s="50">
        <v>1759</v>
      </c>
      <c r="H674" s="51">
        <v>1.41015568631852E-2</v>
      </c>
      <c r="I674" s="51">
        <v>5.2360540572721301E-3</v>
      </c>
      <c r="J674" s="52" t="s">
        <v>1055</v>
      </c>
      <c r="K674" s="109" t="s">
        <v>1056</v>
      </c>
    </row>
    <row r="675" spans="1:11" x14ac:dyDescent="0.35">
      <c r="A675" s="61">
        <v>45463</v>
      </c>
      <c r="B675" s="49" t="s">
        <v>509</v>
      </c>
      <c r="C675" s="49" t="s">
        <v>11</v>
      </c>
      <c r="D675" s="50">
        <v>24967</v>
      </c>
      <c r="E675" s="50">
        <v>9081</v>
      </c>
      <c r="F675" s="51">
        <v>0.36372011054592102</v>
      </c>
      <c r="G675" s="50">
        <v>153</v>
      </c>
      <c r="H675" s="51">
        <v>1.68483647175421E-2</v>
      </c>
      <c r="I675" s="51">
        <v>6.1280890775824099E-3</v>
      </c>
      <c r="J675" s="52" t="s">
        <v>1055</v>
      </c>
      <c r="K675" s="109" t="s">
        <v>1056</v>
      </c>
    </row>
    <row r="676" spans="1:11" x14ac:dyDescent="0.35">
      <c r="A676" s="61">
        <v>45464</v>
      </c>
      <c r="B676" s="49" t="s">
        <v>510</v>
      </c>
      <c r="C676" s="49" t="s">
        <v>10</v>
      </c>
      <c r="D676" s="50">
        <v>403219</v>
      </c>
      <c r="E676" s="50">
        <v>143773</v>
      </c>
      <c r="F676" s="51">
        <v>0.35656305878443201</v>
      </c>
      <c r="G676" s="50">
        <v>2851</v>
      </c>
      <c r="H676" s="51">
        <v>1.9829870698948999E-2</v>
      </c>
      <c r="I676" s="51">
        <v>7.0705993517170603E-3</v>
      </c>
      <c r="J676" s="52" t="s">
        <v>1057</v>
      </c>
      <c r="K676" s="109" t="s">
        <v>1054</v>
      </c>
    </row>
    <row r="677" spans="1:11" x14ac:dyDescent="0.35">
      <c r="A677" s="61">
        <v>45464</v>
      </c>
      <c r="B677" s="49" t="s">
        <v>510</v>
      </c>
      <c r="C677" s="49" t="s">
        <v>11</v>
      </c>
      <c r="D677" s="50">
        <v>21940</v>
      </c>
      <c r="E677" s="50">
        <v>7483</v>
      </c>
      <c r="F677" s="51">
        <v>0.341066545123063</v>
      </c>
      <c r="G677" s="50">
        <v>278</v>
      </c>
      <c r="H677" s="51">
        <v>3.7150875317386103E-2</v>
      </c>
      <c r="I677" s="51">
        <v>1.26709206927985E-2</v>
      </c>
      <c r="J677" s="52" t="s">
        <v>1057</v>
      </c>
      <c r="K677" s="109" t="s">
        <v>1054</v>
      </c>
    </row>
    <row r="678" spans="1:11" x14ac:dyDescent="0.35">
      <c r="A678" s="61">
        <v>45464</v>
      </c>
      <c r="B678" s="49" t="s">
        <v>511</v>
      </c>
      <c r="C678" s="49" t="s">
        <v>10</v>
      </c>
      <c r="D678" s="50">
        <v>4828903</v>
      </c>
      <c r="E678" s="50">
        <v>1575490</v>
      </c>
      <c r="F678" s="51">
        <v>0.32626250724025702</v>
      </c>
      <c r="G678" s="50">
        <v>20235</v>
      </c>
      <c r="H678" s="51">
        <v>1.2843623253717899E-2</v>
      </c>
      <c r="I678" s="51">
        <v>4.19039272480727E-3</v>
      </c>
      <c r="J678" s="52" t="s">
        <v>1055</v>
      </c>
      <c r="K678" s="109" t="s">
        <v>1056</v>
      </c>
    </row>
    <row r="679" spans="1:11" x14ac:dyDescent="0.35">
      <c r="A679" s="61">
        <v>45464</v>
      </c>
      <c r="B679" s="49" t="s">
        <v>511</v>
      </c>
      <c r="C679" s="49" t="s">
        <v>11</v>
      </c>
      <c r="D679" s="50">
        <v>308989</v>
      </c>
      <c r="E679" s="50">
        <v>90099</v>
      </c>
      <c r="F679" s="51">
        <v>0.291592904601782</v>
      </c>
      <c r="G679" s="50">
        <v>2448</v>
      </c>
      <c r="H679" s="51">
        <v>2.7170112875836601E-2</v>
      </c>
      <c r="I679" s="51">
        <v>7.9226121318234592E-3</v>
      </c>
      <c r="J679" s="52" t="s">
        <v>1055</v>
      </c>
      <c r="K679" s="109" t="s">
        <v>1056</v>
      </c>
    </row>
    <row r="680" spans="1:11" x14ac:dyDescent="0.35">
      <c r="A680" s="61">
        <v>45464</v>
      </c>
      <c r="B680" s="49" t="s">
        <v>512</v>
      </c>
      <c r="C680" s="49" t="s">
        <v>10</v>
      </c>
      <c r="D680" s="50">
        <v>775363</v>
      </c>
      <c r="E680" s="50">
        <v>296051</v>
      </c>
      <c r="F680" s="51">
        <v>0.38182244961392298</v>
      </c>
      <c r="G680" s="50">
        <v>2885</v>
      </c>
      <c r="H680" s="51">
        <v>9.7449425943502994E-3</v>
      </c>
      <c r="I680" s="51">
        <v>3.7208378527218899E-3</v>
      </c>
      <c r="J680" s="52" t="s">
        <v>1055</v>
      </c>
      <c r="K680" s="109" t="s">
        <v>1056</v>
      </c>
    </row>
    <row r="681" spans="1:11" x14ac:dyDescent="0.35">
      <c r="A681" s="61">
        <v>45464</v>
      </c>
      <c r="B681" s="49" t="s">
        <v>512</v>
      </c>
      <c r="C681" s="49" t="s">
        <v>11</v>
      </c>
      <c r="D681" s="50">
        <v>22486</v>
      </c>
      <c r="E681" s="50">
        <v>9219</v>
      </c>
      <c r="F681" s="51">
        <v>0.40998843724984402</v>
      </c>
      <c r="G681" s="50">
        <v>94</v>
      </c>
      <c r="H681" s="51">
        <v>1.01963336587482E-2</v>
      </c>
      <c r="I681" s="51">
        <v>4.1803789024281801E-3</v>
      </c>
      <c r="J681" s="52" t="s">
        <v>1055</v>
      </c>
      <c r="K681" s="109" t="s">
        <v>1056</v>
      </c>
    </row>
    <row r="682" spans="1:11" x14ac:dyDescent="0.35">
      <c r="A682" s="61">
        <v>45467</v>
      </c>
      <c r="B682" s="49" t="s">
        <v>513</v>
      </c>
      <c r="C682" s="49" t="s">
        <v>10</v>
      </c>
      <c r="D682" s="50">
        <v>588094</v>
      </c>
      <c r="E682" s="50">
        <v>221502</v>
      </c>
      <c r="F682" s="51">
        <v>0.37664386985754</v>
      </c>
      <c r="G682" s="50">
        <v>4154</v>
      </c>
      <c r="H682" s="51">
        <v>1.87537810042347E-2</v>
      </c>
      <c r="I682" s="51">
        <v>7.0634966518957898E-3</v>
      </c>
      <c r="J682" s="52" t="s">
        <v>1055</v>
      </c>
      <c r="K682" s="109" t="s">
        <v>1056</v>
      </c>
    </row>
    <row r="683" spans="1:11" x14ac:dyDescent="0.35">
      <c r="A683" s="61">
        <v>45467</v>
      </c>
      <c r="B683" s="49" t="s">
        <v>513</v>
      </c>
      <c r="C683" s="49" t="s">
        <v>11</v>
      </c>
      <c r="D683" s="50">
        <v>1484</v>
      </c>
      <c r="E683" s="50">
        <v>616</v>
      </c>
      <c r="F683" s="51">
        <v>0.41509433962264197</v>
      </c>
      <c r="G683" s="50">
        <v>5</v>
      </c>
      <c r="H683" s="51">
        <v>8.1168831168831196E-3</v>
      </c>
      <c r="I683" s="51">
        <v>3.36927223719677E-3</v>
      </c>
      <c r="J683" s="52" t="s">
        <v>1055</v>
      </c>
      <c r="K683" s="109" t="s">
        <v>1056</v>
      </c>
    </row>
    <row r="684" spans="1:11" x14ac:dyDescent="0.35">
      <c r="A684" s="61">
        <v>45467</v>
      </c>
      <c r="B684" s="49" t="s">
        <v>469</v>
      </c>
      <c r="C684" s="49" t="s">
        <v>514</v>
      </c>
      <c r="D684" s="50">
        <v>48562</v>
      </c>
      <c r="E684" s="50">
        <v>16125</v>
      </c>
      <c r="F684" s="51">
        <v>0.33204975083398502</v>
      </c>
      <c r="G684" s="50">
        <v>201</v>
      </c>
      <c r="H684" s="51">
        <v>1.24651162790698E-2</v>
      </c>
      <c r="I684" s="51">
        <v>4.1390387545817697E-3</v>
      </c>
      <c r="J684" s="52" t="s">
        <v>1055</v>
      </c>
      <c r="K684" s="109" t="s">
        <v>1056</v>
      </c>
    </row>
    <row r="685" spans="1:11" x14ac:dyDescent="0.35">
      <c r="A685" s="61">
        <v>45468</v>
      </c>
      <c r="B685" s="49" t="s">
        <v>515</v>
      </c>
      <c r="C685" s="49" t="s">
        <v>10</v>
      </c>
      <c r="D685" s="50">
        <v>1356676</v>
      </c>
      <c r="E685" s="50">
        <v>480281</v>
      </c>
      <c r="F685" s="51">
        <v>0.35401304364490899</v>
      </c>
      <c r="G685" s="50">
        <v>8476</v>
      </c>
      <c r="H685" s="51">
        <v>1.7648001898888401E-2</v>
      </c>
      <c r="I685" s="51">
        <v>6.2476228664765897E-3</v>
      </c>
      <c r="J685" s="52" t="s">
        <v>1055</v>
      </c>
      <c r="K685" s="109" t="s">
        <v>1056</v>
      </c>
    </row>
    <row r="686" spans="1:11" x14ac:dyDescent="0.35">
      <c r="A686" s="61">
        <v>45468</v>
      </c>
      <c r="B686" s="49" t="s">
        <v>515</v>
      </c>
      <c r="C686" s="49" t="s">
        <v>11</v>
      </c>
      <c r="D686" s="50">
        <v>95013</v>
      </c>
      <c r="E686" s="50">
        <v>32819</v>
      </c>
      <c r="F686" s="51">
        <v>0.34541589045709498</v>
      </c>
      <c r="G686" s="50">
        <v>1033</v>
      </c>
      <c r="H686" s="51">
        <v>3.14756695816448E-2</v>
      </c>
      <c r="I686" s="51">
        <v>1.08721964362771E-2</v>
      </c>
      <c r="J686" s="52" t="s">
        <v>1055</v>
      </c>
      <c r="K686" s="109" t="s">
        <v>1056</v>
      </c>
    </row>
    <row r="687" spans="1:11" x14ac:dyDescent="0.35">
      <c r="A687" s="61">
        <v>45469</v>
      </c>
      <c r="B687" s="49" t="s">
        <v>516</v>
      </c>
      <c r="C687" s="49" t="s">
        <v>10</v>
      </c>
      <c r="D687" s="50">
        <v>312094</v>
      </c>
      <c r="E687" s="50">
        <v>114756</v>
      </c>
      <c r="F687" s="51">
        <v>0.36769691182784697</v>
      </c>
      <c r="G687" s="50">
        <v>1379</v>
      </c>
      <c r="H687" s="51">
        <v>1.20168008644428E-2</v>
      </c>
      <c r="I687" s="51">
        <v>4.4185405679058199E-3</v>
      </c>
      <c r="J687" s="52" t="s">
        <v>1055</v>
      </c>
      <c r="K687" s="109" t="s">
        <v>1056</v>
      </c>
    </row>
    <row r="688" spans="1:11" x14ac:dyDescent="0.35">
      <c r="A688" s="61">
        <v>45469</v>
      </c>
      <c r="B688" s="49" t="s">
        <v>516</v>
      </c>
      <c r="C688" s="49" t="s">
        <v>11</v>
      </c>
      <c r="D688" s="50">
        <v>82</v>
      </c>
      <c r="E688" s="50">
        <v>28</v>
      </c>
      <c r="F688" s="51">
        <v>0.34146341463414598</v>
      </c>
      <c r="G688" s="50">
        <v>2</v>
      </c>
      <c r="H688" s="51">
        <v>7.1428571428571397E-2</v>
      </c>
      <c r="I688" s="51">
        <v>2.4390243902439001E-2</v>
      </c>
      <c r="J688" s="52" t="s">
        <v>1055</v>
      </c>
      <c r="K688" s="109" t="s">
        <v>1056</v>
      </c>
    </row>
    <row r="689" spans="1:11" x14ac:dyDescent="0.35">
      <c r="A689" s="61">
        <v>45469</v>
      </c>
      <c r="B689" s="49" t="s">
        <v>517</v>
      </c>
      <c r="C689" s="49" t="s">
        <v>392</v>
      </c>
      <c r="D689" s="50">
        <v>795303</v>
      </c>
      <c r="E689" s="50">
        <v>302761</v>
      </c>
      <c r="F689" s="51">
        <v>0.38068635476038698</v>
      </c>
      <c r="G689" s="50">
        <v>4882</v>
      </c>
      <c r="H689" s="51">
        <v>1.6124930225491399E-2</v>
      </c>
      <c r="I689" s="51">
        <v>6.1385409083078999E-3</v>
      </c>
      <c r="J689" s="52" t="s">
        <v>1061</v>
      </c>
      <c r="K689" s="109" t="s">
        <v>1054</v>
      </c>
    </row>
    <row r="690" spans="1:11" x14ac:dyDescent="0.35">
      <c r="A690" s="61">
        <v>45469</v>
      </c>
      <c r="B690" s="49" t="s">
        <v>517</v>
      </c>
      <c r="C690" s="49" t="s">
        <v>393</v>
      </c>
      <c r="D690" s="50">
        <v>4433750</v>
      </c>
      <c r="E690" s="50">
        <v>1432808</v>
      </c>
      <c r="F690" s="51">
        <v>0.323159402311813</v>
      </c>
      <c r="G690" s="50">
        <v>15918</v>
      </c>
      <c r="H690" s="51">
        <v>1.11096532124332E-2</v>
      </c>
      <c r="I690" s="51">
        <v>3.59018889202143E-3</v>
      </c>
      <c r="J690" s="52" t="s">
        <v>1061</v>
      </c>
      <c r="K690" s="109" t="s">
        <v>1054</v>
      </c>
    </row>
    <row r="691" spans="1:11" x14ac:dyDescent="0.35">
      <c r="A691" s="61">
        <v>45469</v>
      </c>
      <c r="B691" s="49" t="s">
        <v>517</v>
      </c>
      <c r="C691" s="49" t="s">
        <v>394</v>
      </c>
      <c r="D691" s="50">
        <v>1146781</v>
      </c>
      <c r="E691" s="50">
        <v>402737</v>
      </c>
      <c r="F691" s="51">
        <v>0.35118911108572598</v>
      </c>
      <c r="G691" s="50">
        <v>5265</v>
      </c>
      <c r="H691" s="51">
        <v>1.3073047671309099E-2</v>
      </c>
      <c r="I691" s="51">
        <v>4.5911119908683502E-3</v>
      </c>
      <c r="J691" s="52" t="s">
        <v>1061</v>
      </c>
      <c r="K691" s="109" t="s">
        <v>1054</v>
      </c>
    </row>
    <row r="692" spans="1:11" x14ac:dyDescent="0.35">
      <c r="A692" s="61">
        <v>45469</v>
      </c>
      <c r="B692" s="49" t="s">
        <v>517</v>
      </c>
      <c r="C692" s="49" t="s">
        <v>395</v>
      </c>
      <c r="D692" s="50">
        <v>71789</v>
      </c>
      <c r="E692" s="50">
        <v>27843</v>
      </c>
      <c r="F692" s="51">
        <v>0.387844934460711</v>
      </c>
      <c r="G692" s="50">
        <v>507</v>
      </c>
      <c r="H692" s="51">
        <v>1.8209244693459799E-2</v>
      </c>
      <c r="I692" s="51">
        <v>7.0623633147139497E-3</v>
      </c>
      <c r="J692" s="52" t="s">
        <v>1061</v>
      </c>
      <c r="K692" s="109" t="s">
        <v>1054</v>
      </c>
    </row>
    <row r="693" spans="1:11" x14ac:dyDescent="0.35">
      <c r="A693" s="61">
        <v>45469</v>
      </c>
      <c r="B693" s="49" t="s">
        <v>517</v>
      </c>
      <c r="C693" s="49" t="s">
        <v>396</v>
      </c>
      <c r="D693" s="50">
        <v>8789</v>
      </c>
      <c r="E693" s="50">
        <v>4172</v>
      </c>
      <c r="F693" s="51">
        <v>0.47468426442143602</v>
      </c>
      <c r="G693" s="50">
        <v>111</v>
      </c>
      <c r="H693" s="51">
        <v>2.66059443911793E-2</v>
      </c>
      <c r="I693" s="51">
        <v>1.26294231425646E-2</v>
      </c>
      <c r="J693" s="52" t="s">
        <v>1061</v>
      </c>
      <c r="K693" s="109" t="s">
        <v>1054</v>
      </c>
    </row>
    <row r="694" spans="1:11" x14ac:dyDescent="0.35">
      <c r="A694" s="61">
        <v>45469</v>
      </c>
      <c r="B694" s="49" t="s">
        <v>518</v>
      </c>
      <c r="C694" s="49" t="s">
        <v>10</v>
      </c>
      <c r="D694" s="50">
        <v>141358</v>
      </c>
      <c r="E694" s="50">
        <v>46486</v>
      </c>
      <c r="F694" s="51">
        <v>0.32885298320576101</v>
      </c>
      <c r="G694" s="50">
        <v>404</v>
      </c>
      <c r="H694" s="51">
        <v>8.6907886245321201E-3</v>
      </c>
      <c r="I694" s="51">
        <v>2.8579917655880802E-3</v>
      </c>
      <c r="J694" s="52" t="s">
        <v>1055</v>
      </c>
      <c r="K694" s="109" t="s">
        <v>1056</v>
      </c>
    </row>
    <row r="695" spans="1:11" x14ac:dyDescent="0.35">
      <c r="A695" s="61">
        <v>45469</v>
      </c>
      <c r="B695" s="49" t="s">
        <v>519</v>
      </c>
      <c r="C695" s="49" t="s">
        <v>10</v>
      </c>
      <c r="D695" s="50">
        <v>639343</v>
      </c>
      <c r="E695" s="50">
        <v>227038</v>
      </c>
      <c r="F695" s="51">
        <v>0.35511141906613503</v>
      </c>
      <c r="G695" s="50">
        <v>2058</v>
      </c>
      <c r="H695" s="51">
        <v>9.0645618795091604E-3</v>
      </c>
      <c r="I695" s="51">
        <v>3.2189294322452901E-3</v>
      </c>
      <c r="J695" s="52" t="s">
        <v>1055</v>
      </c>
      <c r="K695" s="109" t="s">
        <v>1056</v>
      </c>
    </row>
    <row r="696" spans="1:11" x14ac:dyDescent="0.35">
      <c r="A696" s="61">
        <v>45469</v>
      </c>
      <c r="B696" s="49" t="s">
        <v>519</v>
      </c>
      <c r="C696" s="49" t="s">
        <v>11</v>
      </c>
      <c r="D696" s="50">
        <v>41922</v>
      </c>
      <c r="E696" s="50">
        <v>13862</v>
      </c>
      <c r="F696" s="51">
        <v>0.33066170507132298</v>
      </c>
      <c r="G696" s="50">
        <v>190</v>
      </c>
      <c r="H696" s="51">
        <v>1.3706535853412199E-2</v>
      </c>
      <c r="I696" s="51">
        <v>4.5322265159105004E-3</v>
      </c>
      <c r="J696" s="52" t="s">
        <v>1055</v>
      </c>
      <c r="K696" s="109" t="s">
        <v>1056</v>
      </c>
    </row>
    <row r="697" spans="1:11" x14ac:dyDescent="0.35">
      <c r="A697" s="61">
        <v>45469</v>
      </c>
      <c r="B697" s="49" t="s">
        <v>520</v>
      </c>
      <c r="C697" s="49" t="s">
        <v>14</v>
      </c>
      <c r="D697" s="50">
        <v>84221</v>
      </c>
      <c r="E697" s="50">
        <v>30114</v>
      </c>
      <c r="F697" s="51">
        <v>0.35755927856472902</v>
      </c>
      <c r="G697" s="50">
        <v>400</v>
      </c>
      <c r="H697" s="51">
        <v>1.3282858471142999E-2</v>
      </c>
      <c r="I697" s="51">
        <v>4.7494092922192796E-3</v>
      </c>
      <c r="J697" s="52" t="s">
        <v>1059</v>
      </c>
      <c r="K697" s="109" t="s">
        <v>1056</v>
      </c>
    </row>
    <row r="698" spans="1:11" x14ac:dyDescent="0.35">
      <c r="A698" s="61">
        <v>45469</v>
      </c>
      <c r="B698" s="49" t="s">
        <v>520</v>
      </c>
      <c r="C698" s="49" t="s">
        <v>274</v>
      </c>
      <c r="D698" s="50">
        <v>4160</v>
      </c>
      <c r="E698" s="50">
        <v>1453</v>
      </c>
      <c r="F698" s="51">
        <v>0.34927884615384602</v>
      </c>
      <c r="G698" s="50">
        <v>23</v>
      </c>
      <c r="H698" s="51">
        <v>1.58293186510668E-2</v>
      </c>
      <c r="I698" s="51">
        <v>5.5288461538461498E-3</v>
      </c>
      <c r="J698" s="52" t="s">
        <v>1059</v>
      </c>
      <c r="K698" s="109" t="s">
        <v>1056</v>
      </c>
    </row>
    <row r="699" spans="1:11" x14ac:dyDescent="0.35">
      <c r="A699" s="61">
        <v>45470</v>
      </c>
      <c r="B699" s="49" t="s">
        <v>505</v>
      </c>
      <c r="C699" s="49" t="s">
        <v>234</v>
      </c>
      <c r="D699" s="50">
        <v>938029</v>
      </c>
      <c r="E699" s="50">
        <v>298505</v>
      </c>
      <c r="F699" s="60">
        <v>0.31819999999999998</v>
      </c>
      <c r="G699" s="50">
        <v>2993</v>
      </c>
      <c r="H699" s="60">
        <v>0.01</v>
      </c>
      <c r="I699" s="60">
        <v>3.2000000000000002E-3</v>
      </c>
      <c r="J699" s="52" t="s">
        <v>1055</v>
      </c>
      <c r="K699" s="109" t="s">
        <v>1056</v>
      </c>
    </row>
    <row r="700" spans="1:11" x14ac:dyDescent="0.35">
      <c r="A700" s="61">
        <v>45470</v>
      </c>
      <c r="B700" s="49" t="s">
        <v>506</v>
      </c>
      <c r="C700" s="49" t="s">
        <v>235</v>
      </c>
      <c r="D700" s="50">
        <v>69289</v>
      </c>
      <c r="E700" s="50">
        <v>19295</v>
      </c>
      <c r="F700" s="60">
        <v>0.27850000000000003</v>
      </c>
      <c r="G700" s="49">
        <v>308</v>
      </c>
      <c r="H700" s="60">
        <v>1.6E-2</v>
      </c>
      <c r="I700" s="60">
        <v>4.4000000000000003E-3</v>
      </c>
      <c r="J700" s="52" t="s">
        <v>1055</v>
      </c>
      <c r="K700" s="109" t="s">
        <v>1056</v>
      </c>
    </row>
    <row r="701" spans="1:11" x14ac:dyDescent="0.35">
      <c r="A701" s="61">
        <v>45470</v>
      </c>
      <c r="B701" s="49" t="s">
        <v>490</v>
      </c>
      <c r="C701" s="49" t="s">
        <v>253</v>
      </c>
      <c r="D701" s="50">
        <v>845980</v>
      </c>
      <c r="E701" s="50">
        <v>277392</v>
      </c>
      <c r="F701" s="60">
        <v>0.32790000000000002</v>
      </c>
      <c r="G701" s="50">
        <v>2097</v>
      </c>
      <c r="H701" s="60">
        <v>7.6E-3</v>
      </c>
      <c r="I701" s="60">
        <v>2.5000000000000001E-3</v>
      </c>
      <c r="J701" s="52" t="s">
        <v>1055</v>
      </c>
      <c r="K701" s="109" t="s">
        <v>1056</v>
      </c>
    </row>
    <row r="702" spans="1:11" x14ac:dyDescent="0.35">
      <c r="A702" s="61">
        <v>45470</v>
      </c>
      <c r="B702" s="49" t="s">
        <v>491</v>
      </c>
      <c r="C702" s="49" t="s">
        <v>255</v>
      </c>
      <c r="D702" s="50">
        <v>44271</v>
      </c>
      <c r="E702" s="50">
        <v>13527</v>
      </c>
      <c r="F702" s="60">
        <v>0.30549999999999999</v>
      </c>
      <c r="G702" s="49">
        <v>163</v>
      </c>
      <c r="H702" s="60">
        <v>1.2E-2</v>
      </c>
      <c r="I702" s="60">
        <v>3.7000000000000002E-3</v>
      </c>
      <c r="J702" s="52" t="s">
        <v>1055</v>
      </c>
      <c r="K702" s="109" t="s">
        <v>1056</v>
      </c>
    </row>
    <row r="703" spans="1:11" x14ac:dyDescent="0.35">
      <c r="A703" s="61">
        <v>45470</v>
      </c>
      <c r="B703" s="49" t="s">
        <v>521</v>
      </c>
      <c r="C703" s="49" t="s">
        <v>458</v>
      </c>
      <c r="D703" s="50">
        <v>349078</v>
      </c>
      <c r="E703" s="50">
        <v>105465</v>
      </c>
      <c r="F703" s="51">
        <v>0.30212445356052198</v>
      </c>
      <c r="G703" s="50">
        <v>1016</v>
      </c>
      <c r="H703" s="51">
        <v>9.6335277106148996E-3</v>
      </c>
      <c r="I703" s="51">
        <v>2.9105242954296701E-3</v>
      </c>
      <c r="J703" s="52" t="s">
        <v>1055</v>
      </c>
      <c r="K703" s="109" t="s">
        <v>1056</v>
      </c>
    </row>
    <row r="704" spans="1:11" x14ac:dyDescent="0.35">
      <c r="A704" s="61">
        <v>45470</v>
      </c>
      <c r="B704" s="49" t="s">
        <v>521</v>
      </c>
      <c r="C704" s="49" t="s">
        <v>74</v>
      </c>
      <c r="D704" s="50">
        <v>18412</v>
      </c>
      <c r="E704" s="50">
        <v>5495</v>
      </c>
      <c r="F704" s="51">
        <v>0.29844666521833602</v>
      </c>
      <c r="G704" s="50">
        <v>63</v>
      </c>
      <c r="H704" s="51">
        <v>1.14649681528662E-2</v>
      </c>
      <c r="I704" s="51">
        <v>3.4216815120573498E-3</v>
      </c>
      <c r="J704" s="52" t="s">
        <v>1055</v>
      </c>
      <c r="K704" s="109" t="s">
        <v>1056</v>
      </c>
    </row>
    <row r="705" spans="1:11" x14ac:dyDescent="0.35">
      <c r="A705" s="61">
        <v>45470</v>
      </c>
      <c r="B705" s="49" t="s">
        <v>521</v>
      </c>
      <c r="C705" s="49" t="s">
        <v>459</v>
      </c>
      <c r="D705" s="50">
        <v>18448</v>
      </c>
      <c r="E705" s="50">
        <v>5118</v>
      </c>
      <c r="F705" s="51">
        <v>0.27742844752818702</v>
      </c>
      <c r="G705" s="50">
        <v>75</v>
      </c>
      <c r="H705" s="51">
        <v>1.4654161781946101E-2</v>
      </c>
      <c r="I705" s="51">
        <v>4.0654813529921903E-3</v>
      </c>
      <c r="J705" s="52" t="s">
        <v>1055</v>
      </c>
      <c r="K705" s="109" t="s">
        <v>1056</v>
      </c>
    </row>
    <row r="706" spans="1:11" x14ac:dyDescent="0.35">
      <c r="A706" s="61">
        <v>45470</v>
      </c>
      <c r="B706" s="49" t="s">
        <v>521</v>
      </c>
      <c r="C706" s="49" t="s">
        <v>75</v>
      </c>
      <c r="D706" s="50">
        <v>962</v>
      </c>
      <c r="E706" s="50">
        <v>274</v>
      </c>
      <c r="F706" s="51">
        <v>0.28482328482328501</v>
      </c>
      <c r="G706" s="50">
        <v>4</v>
      </c>
      <c r="H706" s="51">
        <v>1.4598540145985399E-2</v>
      </c>
      <c r="I706" s="51">
        <v>4.15800415800416E-3</v>
      </c>
      <c r="J706" s="52" t="s">
        <v>1055</v>
      </c>
      <c r="K706" s="109" t="s">
        <v>1056</v>
      </c>
    </row>
    <row r="707" spans="1:11" x14ac:dyDescent="0.35">
      <c r="A707" s="61">
        <v>45471</v>
      </c>
      <c r="B707" s="49" t="s">
        <v>522</v>
      </c>
      <c r="C707" s="49" t="s">
        <v>10</v>
      </c>
      <c r="D707" s="50">
        <v>397826</v>
      </c>
      <c r="E707" s="50">
        <v>137524</v>
      </c>
      <c r="F707" s="51">
        <v>0.34568881872979601</v>
      </c>
      <c r="G707" s="50">
        <v>2700</v>
      </c>
      <c r="H707" s="51">
        <v>1.9632936796486401E-2</v>
      </c>
      <c r="I707" s="51">
        <v>6.7868867293741503E-3</v>
      </c>
      <c r="J707" s="52" t="s">
        <v>1057</v>
      </c>
      <c r="K707" s="109" t="s">
        <v>1054</v>
      </c>
    </row>
    <row r="708" spans="1:11" x14ac:dyDescent="0.35">
      <c r="A708" s="61">
        <v>45472</v>
      </c>
      <c r="B708" s="49" t="s">
        <v>523</v>
      </c>
      <c r="C708" s="49" t="s">
        <v>524</v>
      </c>
      <c r="D708" s="50">
        <v>237285</v>
      </c>
      <c r="E708" s="50">
        <v>77939</v>
      </c>
      <c r="F708" s="51">
        <v>0.328461554670544</v>
      </c>
      <c r="G708" s="50">
        <v>1056</v>
      </c>
      <c r="H708" s="51">
        <v>1.35490575963253E-2</v>
      </c>
      <c r="I708" s="51">
        <v>4.4503445224097597E-3</v>
      </c>
      <c r="J708" s="52" t="s">
        <v>1055</v>
      </c>
      <c r="K708" s="109" t="s">
        <v>1056</v>
      </c>
    </row>
    <row r="709" spans="1:11" x14ac:dyDescent="0.35">
      <c r="A709" s="61">
        <v>45472</v>
      </c>
      <c r="B709" s="49" t="s">
        <v>523</v>
      </c>
      <c r="C709" s="49" t="s">
        <v>525</v>
      </c>
      <c r="D709" s="50">
        <v>15185</v>
      </c>
      <c r="E709" s="50">
        <v>4504</v>
      </c>
      <c r="F709" s="51">
        <v>0.29660849522555199</v>
      </c>
      <c r="G709" s="50">
        <v>78</v>
      </c>
      <c r="H709" s="51">
        <v>1.7317939609236201E-2</v>
      </c>
      <c r="I709" s="51">
        <v>5.1366480079025403E-3</v>
      </c>
      <c r="J709" s="52" t="s">
        <v>1055</v>
      </c>
      <c r="K709" s="109" t="s">
        <v>1056</v>
      </c>
    </row>
    <row r="710" spans="1:11" x14ac:dyDescent="0.35">
      <c r="A710" s="61">
        <v>45472</v>
      </c>
      <c r="B710" s="49" t="s">
        <v>523</v>
      </c>
      <c r="C710" s="49" t="s">
        <v>526</v>
      </c>
      <c r="D710" s="50">
        <v>4315254</v>
      </c>
      <c r="E710" s="50">
        <v>1407419</v>
      </c>
      <c r="F710" s="51">
        <v>0.32614974692103899</v>
      </c>
      <c r="G710" s="50">
        <v>23106</v>
      </c>
      <c r="H710" s="51">
        <v>1.6417285826040399E-2</v>
      </c>
      <c r="I710" s="51">
        <v>5.3544936172934404E-3</v>
      </c>
      <c r="J710" s="52" t="s">
        <v>1055</v>
      </c>
      <c r="K710" s="109" t="s">
        <v>1056</v>
      </c>
    </row>
    <row r="711" spans="1:11" x14ac:dyDescent="0.35">
      <c r="A711" s="61">
        <v>45472</v>
      </c>
      <c r="B711" s="49" t="s">
        <v>523</v>
      </c>
      <c r="C711" s="49" t="s">
        <v>527</v>
      </c>
      <c r="D711" s="50">
        <v>277584</v>
      </c>
      <c r="E711" s="50">
        <v>81095</v>
      </c>
      <c r="F711" s="51">
        <v>0.29214580091071501</v>
      </c>
      <c r="G711" s="50">
        <v>1883</v>
      </c>
      <c r="H711" s="51">
        <v>2.3219680621493301E-2</v>
      </c>
      <c r="I711" s="51">
        <v>6.7835321920571802E-3</v>
      </c>
      <c r="J711" s="52" t="s">
        <v>1055</v>
      </c>
      <c r="K711" s="109" t="s">
        <v>1056</v>
      </c>
    </row>
    <row r="712" spans="1:11" x14ac:dyDescent="0.35">
      <c r="A712" s="61">
        <v>45472</v>
      </c>
      <c r="B712" s="49" t="s">
        <v>523</v>
      </c>
      <c r="C712" s="49" t="s">
        <v>528</v>
      </c>
      <c r="D712" s="50">
        <v>162416</v>
      </c>
      <c r="E712" s="50">
        <v>54998</v>
      </c>
      <c r="F712" s="51">
        <v>0.33862427347059398</v>
      </c>
      <c r="G712" s="50">
        <v>1519</v>
      </c>
      <c r="H712" s="51">
        <v>2.7619186152223699E-2</v>
      </c>
      <c r="I712" s="51">
        <v>9.3525268446458497E-3</v>
      </c>
      <c r="J712" s="52" t="s">
        <v>1055</v>
      </c>
      <c r="K712" s="109" t="s">
        <v>1056</v>
      </c>
    </row>
    <row r="713" spans="1:11" x14ac:dyDescent="0.35">
      <c r="A713" s="61">
        <v>45472</v>
      </c>
      <c r="B713" s="49" t="s">
        <v>523</v>
      </c>
      <c r="C713" s="49" t="s">
        <v>529</v>
      </c>
      <c r="D713" s="50">
        <v>10553</v>
      </c>
      <c r="E713" s="50">
        <v>3263</v>
      </c>
      <c r="F713" s="51">
        <v>0.309201175021321</v>
      </c>
      <c r="G713" s="50">
        <v>113</v>
      </c>
      <c r="H713" s="51">
        <v>3.4630707937480798E-2</v>
      </c>
      <c r="I713" s="51">
        <v>1.0707855586089301E-2</v>
      </c>
      <c r="J713" s="52" t="s">
        <v>1055</v>
      </c>
      <c r="K713" s="109" t="s">
        <v>1056</v>
      </c>
    </row>
    <row r="714" spans="1:11" x14ac:dyDescent="0.35">
      <c r="A714" s="61">
        <v>45474</v>
      </c>
      <c r="B714" s="49" t="s">
        <v>530</v>
      </c>
      <c r="C714" s="49" t="s">
        <v>10</v>
      </c>
      <c r="D714" s="50">
        <v>310510</v>
      </c>
      <c r="E714" s="50">
        <v>125285</v>
      </c>
      <c r="F714" s="51">
        <v>0.403481369360085</v>
      </c>
      <c r="G714" s="50">
        <v>1429</v>
      </c>
      <c r="H714" s="51">
        <v>1.14059943329209E-2</v>
      </c>
      <c r="I714" s="51">
        <v>4.6021062123603098E-3</v>
      </c>
      <c r="J714" s="52" t="s">
        <v>1057</v>
      </c>
      <c r="K714" s="109" t="s">
        <v>1054</v>
      </c>
    </row>
    <row r="715" spans="1:11" x14ac:dyDescent="0.35">
      <c r="A715" s="61">
        <v>45474</v>
      </c>
      <c r="B715" s="49" t="s">
        <v>531</v>
      </c>
      <c r="C715" s="49" t="s">
        <v>10</v>
      </c>
      <c r="D715" s="50">
        <v>261087</v>
      </c>
      <c r="E715" s="50">
        <v>90092</v>
      </c>
      <c r="F715" s="51">
        <v>0.34506505494337097</v>
      </c>
      <c r="G715" s="50">
        <v>1746</v>
      </c>
      <c r="H715" s="51">
        <v>1.9380189139990199E-2</v>
      </c>
      <c r="I715" s="51">
        <v>6.6874260304036603E-3</v>
      </c>
      <c r="J715" s="52" t="s">
        <v>1060</v>
      </c>
      <c r="K715" s="109" t="s">
        <v>1054</v>
      </c>
    </row>
    <row r="716" spans="1:11" x14ac:dyDescent="0.35">
      <c r="A716" s="61">
        <v>45474</v>
      </c>
      <c r="B716" s="49" t="s">
        <v>532</v>
      </c>
      <c r="C716" s="49" t="s">
        <v>10</v>
      </c>
      <c r="D716" s="50">
        <v>86991</v>
      </c>
      <c r="E716" s="50">
        <v>33577</v>
      </c>
      <c r="F716" s="51">
        <v>0.38598245795542102</v>
      </c>
      <c r="G716" s="50">
        <v>3620</v>
      </c>
      <c r="H716" s="51">
        <v>0.10781189504720499</v>
      </c>
      <c r="I716" s="51">
        <v>4.1613500247151998E-2</v>
      </c>
      <c r="J716" s="52" t="s">
        <v>1053</v>
      </c>
      <c r="K716" s="109" t="s">
        <v>1054</v>
      </c>
    </row>
    <row r="717" spans="1:11" x14ac:dyDescent="0.35">
      <c r="A717" s="61">
        <v>45474</v>
      </c>
      <c r="B717" s="49" t="s">
        <v>532</v>
      </c>
      <c r="C717" s="49" t="s">
        <v>11</v>
      </c>
      <c r="D717" s="50">
        <v>9637</v>
      </c>
      <c r="E717" s="50">
        <v>3450</v>
      </c>
      <c r="F717" s="51">
        <v>0.35799522673030998</v>
      </c>
      <c r="G717" s="50">
        <v>539</v>
      </c>
      <c r="H717" s="51">
        <v>0.156231884057971</v>
      </c>
      <c r="I717" s="51">
        <v>5.5930268755836898E-2</v>
      </c>
      <c r="J717" s="52" t="s">
        <v>1053</v>
      </c>
      <c r="K717" s="109" t="s">
        <v>1054</v>
      </c>
    </row>
    <row r="718" spans="1:11" x14ac:dyDescent="0.35">
      <c r="A718" s="61">
        <v>45475</v>
      </c>
      <c r="B718" s="49" t="s">
        <v>533</v>
      </c>
      <c r="C718" s="49" t="s">
        <v>10</v>
      </c>
      <c r="D718" s="50">
        <v>1346964</v>
      </c>
      <c r="E718" s="50">
        <v>490974</v>
      </c>
      <c r="F718" s="51">
        <v>0.36450417383092598</v>
      </c>
      <c r="G718" s="50">
        <v>12018</v>
      </c>
      <c r="H718" s="51">
        <v>2.4477874592137301E-2</v>
      </c>
      <c r="I718" s="51">
        <v>8.9222874553440204E-3</v>
      </c>
      <c r="J718" s="52" t="s">
        <v>1055</v>
      </c>
      <c r="K718" s="109" t="s">
        <v>1056</v>
      </c>
    </row>
    <row r="719" spans="1:11" x14ac:dyDescent="0.35">
      <c r="A719" s="61">
        <v>45475</v>
      </c>
      <c r="B719" s="49" t="s">
        <v>533</v>
      </c>
      <c r="C719" s="49" t="s">
        <v>11</v>
      </c>
      <c r="D719" s="50">
        <v>94432</v>
      </c>
      <c r="E719" s="50">
        <v>34248</v>
      </c>
      <c r="F719" s="51">
        <v>0.36267366994239197</v>
      </c>
      <c r="G719" s="50">
        <v>1135</v>
      </c>
      <c r="H719" s="51">
        <v>3.3140621350151798E-2</v>
      </c>
      <c r="I719" s="51">
        <v>1.2019230769230799E-2</v>
      </c>
      <c r="J719" s="52" t="s">
        <v>1055</v>
      </c>
      <c r="K719" s="109" t="s">
        <v>1056</v>
      </c>
    </row>
    <row r="720" spans="1:11" x14ac:dyDescent="0.35">
      <c r="A720" s="61">
        <v>45476</v>
      </c>
      <c r="B720" s="49" t="s">
        <v>534</v>
      </c>
      <c r="C720" s="49" t="s">
        <v>10</v>
      </c>
      <c r="D720" s="50">
        <v>435319</v>
      </c>
      <c r="E720" s="50">
        <v>146317</v>
      </c>
      <c r="F720" s="51">
        <v>0.33611443562077498</v>
      </c>
      <c r="G720" s="50">
        <v>1236</v>
      </c>
      <c r="H720" s="51">
        <v>8.4474121257270204E-3</v>
      </c>
      <c r="I720" s="51">
        <v>2.83929715909482E-3</v>
      </c>
      <c r="J720" s="52" t="s">
        <v>1055</v>
      </c>
      <c r="K720" s="109" t="s">
        <v>1056</v>
      </c>
    </row>
    <row r="721" spans="1:11" x14ac:dyDescent="0.35">
      <c r="A721" s="61">
        <v>45476</v>
      </c>
      <c r="B721" s="49" t="s">
        <v>534</v>
      </c>
      <c r="C721" s="49" t="s">
        <v>11</v>
      </c>
      <c r="D721" s="50">
        <v>17884</v>
      </c>
      <c r="E721" s="50">
        <v>5619</v>
      </c>
      <c r="F721" s="51">
        <v>0.31419145605010101</v>
      </c>
      <c r="G721" s="50">
        <v>65</v>
      </c>
      <c r="H721" s="51">
        <v>1.1567894643174899E-2</v>
      </c>
      <c r="I721" s="51">
        <v>3.63453366137329E-3</v>
      </c>
      <c r="J721" s="52" t="s">
        <v>1055</v>
      </c>
      <c r="K721" s="109" t="s">
        <v>1056</v>
      </c>
    </row>
    <row r="722" spans="1:11" x14ac:dyDescent="0.35">
      <c r="A722" s="61">
        <v>45476</v>
      </c>
      <c r="B722" s="49" t="s">
        <v>535</v>
      </c>
      <c r="C722" s="49" t="s">
        <v>536</v>
      </c>
      <c r="D722" s="50">
        <v>325</v>
      </c>
      <c r="E722" s="50">
        <v>183</v>
      </c>
      <c r="F722" s="51">
        <v>0.56307692307692303</v>
      </c>
      <c r="G722" s="50">
        <v>24</v>
      </c>
      <c r="H722" s="51">
        <v>0.13114754098360701</v>
      </c>
      <c r="I722" s="51">
        <v>7.3846153846153895E-2</v>
      </c>
      <c r="J722" s="52" t="s">
        <v>1058</v>
      </c>
      <c r="K722" s="109" t="s">
        <v>1054</v>
      </c>
    </row>
    <row r="723" spans="1:11" x14ac:dyDescent="0.35">
      <c r="A723" s="61">
        <v>45476</v>
      </c>
      <c r="B723" s="49" t="s">
        <v>535</v>
      </c>
      <c r="C723" s="49" t="s">
        <v>537</v>
      </c>
      <c r="D723" s="50">
        <v>1633</v>
      </c>
      <c r="E723" s="50">
        <v>828</v>
      </c>
      <c r="F723" s="51">
        <v>0.50704225352112697</v>
      </c>
      <c r="G723" s="50">
        <v>72</v>
      </c>
      <c r="H723" s="51">
        <v>8.6956521739130405E-2</v>
      </c>
      <c r="I723" s="51">
        <v>4.4090630740967501E-2</v>
      </c>
      <c r="J723" s="52" t="s">
        <v>1058</v>
      </c>
      <c r="K723" s="109" t="s">
        <v>1054</v>
      </c>
    </row>
    <row r="724" spans="1:11" x14ac:dyDescent="0.35">
      <c r="A724" s="61">
        <v>45476</v>
      </c>
      <c r="B724" s="49" t="s">
        <v>538</v>
      </c>
      <c r="C724" s="49" t="s">
        <v>10</v>
      </c>
      <c r="D724" s="50">
        <v>440324</v>
      </c>
      <c r="E724" s="50">
        <v>162458</v>
      </c>
      <c r="F724" s="51">
        <v>0.36895104513948801</v>
      </c>
      <c r="G724" s="50">
        <v>1256</v>
      </c>
      <c r="H724" s="51">
        <v>7.7312289945709002E-3</v>
      </c>
      <c r="I724" s="51">
        <v>2.85244501775965E-3</v>
      </c>
      <c r="J724" s="52" t="s">
        <v>1055</v>
      </c>
      <c r="K724" s="109" t="s">
        <v>1056</v>
      </c>
    </row>
    <row r="725" spans="1:11" x14ac:dyDescent="0.35">
      <c r="A725" s="61">
        <v>45476</v>
      </c>
      <c r="B725" s="49" t="s">
        <v>539</v>
      </c>
      <c r="C725" s="49" t="s">
        <v>540</v>
      </c>
      <c r="D725" s="50">
        <v>218989</v>
      </c>
      <c r="E725" s="50">
        <v>76736</v>
      </c>
      <c r="F725" s="51">
        <v>0.35041029458100598</v>
      </c>
      <c r="G725" s="50">
        <v>941</v>
      </c>
      <c r="H725" s="51">
        <v>1.22628231859883E-2</v>
      </c>
      <c r="I725" s="51">
        <v>4.2970194849969601E-3</v>
      </c>
      <c r="J725" s="52" t="s">
        <v>1055</v>
      </c>
      <c r="K725" s="109" t="s">
        <v>1056</v>
      </c>
    </row>
    <row r="726" spans="1:11" x14ac:dyDescent="0.35">
      <c r="A726" s="61">
        <v>45476</v>
      </c>
      <c r="B726" s="49" t="s">
        <v>539</v>
      </c>
      <c r="C726" s="49" t="s">
        <v>541</v>
      </c>
      <c r="D726" s="50">
        <v>152290</v>
      </c>
      <c r="E726" s="50">
        <v>50938</v>
      </c>
      <c r="F726" s="51">
        <v>0.33448026790990898</v>
      </c>
      <c r="G726" s="50">
        <v>706</v>
      </c>
      <c r="H726" s="51">
        <v>1.38599866504378E-2</v>
      </c>
      <c r="I726" s="51">
        <v>4.6358920480661899E-3</v>
      </c>
      <c r="J726" s="52" t="s">
        <v>1055</v>
      </c>
      <c r="K726" s="109" t="s">
        <v>1056</v>
      </c>
    </row>
    <row r="727" spans="1:11" x14ac:dyDescent="0.35">
      <c r="A727" s="61">
        <v>45477</v>
      </c>
      <c r="B727" s="49" t="s">
        <v>542</v>
      </c>
      <c r="C727" s="49" t="s">
        <v>543</v>
      </c>
      <c r="D727" s="50">
        <v>589830</v>
      </c>
      <c r="E727" s="50">
        <v>188377</v>
      </c>
      <c r="F727" s="60">
        <v>0.31940000000000002</v>
      </c>
      <c r="G727" s="50">
        <v>1243</v>
      </c>
      <c r="H727" s="60">
        <v>6.6E-3</v>
      </c>
      <c r="I727" s="60">
        <v>2.0999999999999999E-3</v>
      </c>
      <c r="J727" s="52" t="s">
        <v>1055</v>
      </c>
      <c r="K727" s="109" t="s">
        <v>1056</v>
      </c>
    </row>
    <row r="728" spans="1:11" x14ac:dyDescent="0.35">
      <c r="A728" s="61">
        <v>45477</v>
      </c>
      <c r="B728" s="49" t="s">
        <v>544</v>
      </c>
      <c r="C728" s="49" t="s">
        <v>545</v>
      </c>
      <c r="D728" s="50">
        <v>29586</v>
      </c>
      <c r="E728" s="50">
        <v>8590</v>
      </c>
      <c r="F728" s="60">
        <v>0.2903</v>
      </c>
      <c r="G728" s="49">
        <v>74</v>
      </c>
      <c r="H728" s="60">
        <v>8.6E-3</v>
      </c>
      <c r="I728" s="60">
        <v>2.5000000000000001E-3</v>
      </c>
      <c r="J728" s="52" t="s">
        <v>1055</v>
      </c>
      <c r="K728" s="109" t="s">
        <v>1056</v>
      </c>
    </row>
    <row r="729" spans="1:11" x14ac:dyDescent="0.35">
      <c r="A729" s="61">
        <v>45477</v>
      </c>
      <c r="B729" s="49" t="s">
        <v>505</v>
      </c>
      <c r="C729" s="49" t="s">
        <v>234</v>
      </c>
      <c r="D729" s="50">
        <v>909979</v>
      </c>
      <c r="E729" s="50">
        <v>293162</v>
      </c>
      <c r="F729" s="60">
        <v>0.32219999999999999</v>
      </c>
      <c r="G729" s="50">
        <v>3088</v>
      </c>
      <c r="H729" s="60">
        <v>1.0500000000000001E-2</v>
      </c>
      <c r="I729" s="60">
        <v>3.3999999999999998E-3</v>
      </c>
      <c r="J729" s="52" t="s">
        <v>1055</v>
      </c>
      <c r="K729" s="109" t="s">
        <v>1056</v>
      </c>
    </row>
    <row r="730" spans="1:11" x14ac:dyDescent="0.35">
      <c r="A730" s="61">
        <v>45477</v>
      </c>
      <c r="B730" s="49" t="s">
        <v>506</v>
      </c>
      <c r="C730" s="49" t="s">
        <v>235</v>
      </c>
      <c r="D730" s="50">
        <v>67529</v>
      </c>
      <c r="E730" s="50">
        <v>19175</v>
      </c>
      <c r="F730" s="60">
        <v>0.28399999999999997</v>
      </c>
      <c r="G730" s="49">
        <v>270</v>
      </c>
      <c r="H730" s="60">
        <v>1.41E-2</v>
      </c>
      <c r="I730" s="60">
        <v>4.0000000000000001E-3</v>
      </c>
      <c r="J730" s="52" t="s">
        <v>1055</v>
      </c>
      <c r="K730" s="109" t="s">
        <v>1056</v>
      </c>
    </row>
    <row r="731" spans="1:11" x14ac:dyDescent="0.35">
      <c r="A731" s="61">
        <v>45478</v>
      </c>
      <c r="B731" s="49" t="s">
        <v>546</v>
      </c>
      <c r="C731" s="49" t="s">
        <v>10</v>
      </c>
      <c r="D731" s="50">
        <v>395997</v>
      </c>
      <c r="E731" s="50">
        <v>139317</v>
      </c>
      <c r="F731" s="51">
        <v>0.35181327131266099</v>
      </c>
      <c r="G731" s="50">
        <v>3262</v>
      </c>
      <c r="H731" s="51">
        <v>2.3414227983663199E-2</v>
      </c>
      <c r="I731" s="51">
        <v>8.2374361421929995E-3</v>
      </c>
      <c r="J731" s="52" t="s">
        <v>1057</v>
      </c>
      <c r="K731" s="109" t="s">
        <v>1054</v>
      </c>
    </row>
    <row r="732" spans="1:11" x14ac:dyDescent="0.35">
      <c r="A732" s="61">
        <v>45478</v>
      </c>
      <c r="B732" s="49" t="s">
        <v>546</v>
      </c>
      <c r="C732" s="49" t="s">
        <v>11</v>
      </c>
      <c r="D732" s="50">
        <v>21770</v>
      </c>
      <c r="E732" s="50">
        <v>7451</v>
      </c>
      <c r="F732" s="51">
        <v>0.34225999081304498</v>
      </c>
      <c r="G732" s="50">
        <v>342</v>
      </c>
      <c r="H732" s="51">
        <v>4.5899879210844201E-2</v>
      </c>
      <c r="I732" s="51">
        <v>1.5709692237023402E-2</v>
      </c>
      <c r="J732" s="52" t="s">
        <v>1057</v>
      </c>
      <c r="K732" s="109" t="s">
        <v>1054</v>
      </c>
    </row>
    <row r="733" spans="1:11" x14ac:dyDescent="0.35">
      <c r="A733" s="61">
        <v>45478</v>
      </c>
      <c r="B733" s="49" t="s">
        <v>547</v>
      </c>
      <c r="C733" s="49" t="s">
        <v>524</v>
      </c>
      <c r="D733" s="50">
        <v>237116</v>
      </c>
      <c r="E733" s="50">
        <v>78516</v>
      </c>
      <c r="F733" s="51">
        <v>0.33112906762934602</v>
      </c>
      <c r="G733" s="50">
        <v>965</v>
      </c>
      <c r="H733" s="51">
        <v>1.22904885628407E-2</v>
      </c>
      <c r="I733" s="51">
        <v>4.06973801852258E-3</v>
      </c>
      <c r="J733" s="52" t="s">
        <v>1055</v>
      </c>
      <c r="K733" s="109" t="s">
        <v>1056</v>
      </c>
    </row>
    <row r="734" spans="1:11" x14ac:dyDescent="0.35">
      <c r="A734" s="61">
        <v>45478</v>
      </c>
      <c r="B734" s="49" t="s">
        <v>547</v>
      </c>
      <c r="C734" s="49" t="s">
        <v>525</v>
      </c>
      <c r="D734" s="50">
        <v>15320</v>
      </c>
      <c r="E734" s="50">
        <v>4590</v>
      </c>
      <c r="F734" s="51">
        <v>0.299608355091384</v>
      </c>
      <c r="G734" s="50">
        <v>70</v>
      </c>
      <c r="H734" s="51">
        <v>1.52505446623094E-2</v>
      </c>
      <c r="I734" s="51">
        <v>4.56919060052219E-3</v>
      </c>
      <c r="J734" s="52" t="s">
        <v>1055</v>
      </c>
      <c r="K734" s="109" t="s">
        <v>1056</v>
      </c>
    </row>
    <row r="735" spans="1:11" x14ac:dyDescent="0.35">
      <c r="A735" s="61">
        <v>45478</v>
      </c>
      <c r="B735" s="49" t="s">
        <v>547</v>
      </c>
      <c r="C735" s="49" t="s">
        <v>526</v>
      </c>
      <c r="D735" s="50">
        <v>4307497</v>
      </c>
      <c r="E735" s="50">
        <v>1395295</v>
      </c>
      <c r="F735" s="51">
        <v>0.32392245426984601</v>
      </c>
      <c r="G735" s="50">
        <v>22578</v>
      </c>
      <c r="H735" s="51">
        <v>1.6181524337147299E-2</v>
      </c>
      <c r="I735" s="51">
        <v>5.2415590771160104E-3</v>
      </c>
      <c r="J735" s="52" t="s">
        <v>1055</v>
      </c>
      <c r="K735" s="109" t="s">
        <v>1056</v>
      </c>
    </row>
    <row r="736" spans="1:11" x14ac:dyDescent="0.35">
      <c r="A736" s="61">
        <v>45478</v>
      </c>
      <c r="B736" s="49" t="s">
        <v>547</v>
      </c>
      <c r="C736" s="49" t="s">
        <v>527</v>
      </c>
      <c r="D736" s="50">
        <v>277918</v>
      </c>
      <c r="E736" s="50">
        <v>81060</v>
      </c>
      <c r="F736" s="51">
        <v>0.29166876560712202</v>
      </c>
      <c r="G736" s="50">
        <v>1953</v>
      </c>
      <c r="H736" s="51">
        <v>2.4093264248704699E-2</v>
      </c>
      <c r="I736" s="51">
        <v>7.0272526428658798E-3</v>
      </c>
      <c r="J736" s="52" t="s">
        <v>1055</v>
      </c>
      <c r="K736" s="109" t="s">
        <v>1056</v>
      </c>
    </row>
    <row r="737" spans="1:11" x14ac:dyDescent="0.35">
      <c r="A737" s="61">
        <v>45479</v>
      </c>
      <c r="B737" s="49" t="s">
        <v>548</v>
      </c>
      <c r="C737" s="49" t="s">
        <v>10</v>
      </c>
      <c r="D737" s="50">
        <v>61054</v>
      </c>
      <c r="E737" s="50">
        <v>25161</v>
      </c>
      <c r="F737" s="51">
        <v>0.41211059062469302</v>
      </c>
      <c r="G737" s="50">
        <v>1558</v>
      </c>
      <c r="H737" s="51">
        <v>6.1921227296212397E-2</v>
      </c>
      <c r="I737" s="51">
        <v>2.5518393553247899E-2</v>
      </c>
      <c r="J737" s="52" t="s">
        <v>1055</v>
      </c>
      <c r="K737" s="109" t="s">
        <v>1056</v>
      </c>
    </row>
    <row r="738" spans="1:11" x14ac:dyDescent="0.35">
      <c r="A738" s="61">
        <v>45479</v>
      </c>
      <c r="B738" s="49" t="s">
        <v>548</v>
      </c>
      <c r="C738" s="49" t="s">
        <v>11</v>
      </c>
      <c r="D738" s="50">
        <v>6660</v>
      </c>
      <c r="E738" s="50">
        <v>3060</v>
      </c>
      <c r="F738" s="51">
        <v>0.45945945945945899</v>
      </c>
      <c r="G738" s="50">
        <v>225</v>
      </c>
      <c r="H738" s="51">
        <v>7.3529411764705899E-2</v>
      </c>
      <c r="I738" s="51">
        <v>3.37837837837838E-2</v>
      </c>
      <c r="J738" s="52" t="s">
        <v>1055</v>
      </c>
      <c r="K738" s="109" t="s">
        <v>1056</v>
      </c>
    </row>
    <row r="739" spans="1:11" x14ac:dyDescent="0.35">
      <c r="A739" s="61">
        <v>45481</v>
      </c>
      <c r="B739" s="49" t="s">
        <v>549</v>
      </c>
      <c r="C739" s="49" t="s">
        <v>10</v>
      </c>
      <c r="D739" s="50">
        <v>6396904</v>
      </c>
      <c r="E739" s="50">
        <v>2382553</v>
      </c>
      <c r="F739" s="51">
        <v>0.37245408091164101</v>
      </c>
      <c r="G739" s="50">
        <v>15614</v>
      </c>
      <c r="H739" s="51">
        <v>6.5534743613258504E-3</v>
      </c>
      <c r="I739" s="51">
        <v>2.44086827002562E-3</v>
      </c>
      <c r="J739" s="52" t="s">
        <v>1059</v>
      </c>
      <c r="K739" s="109" t="s">
        <v>1054</v>
      </c>
    </row>
    <row r="740" spans="1:11" x14ac:dyDescent="0.35">
      <c r="A740" s="61">
        <v>45481</v>
      </c>
      <c r="B740" s="49" t="s">
        <v>549</v>
      </c>
      <c r="C740" s="49" t="s">
        <v>11</v>
      </c>
      <c r="D740" s="50">
        <v>416624</v>
      </c>
      <c r="E740" s="50">
        <v>129723</v>
      </c>
      <c r="F740" s="51">
        <v>0.3113670839894</v>
      </c>
      <c r="G740" s="50">
        <v>1312</v>
      </c>
      <c r="H740" s="51">
        <v>1.0113857989716601E-2</v>
      </c>
      <c r="I740" s="51">
        <v>3.1491224701409399E-3</v>
      </c>
      <c r="J740" s="52" t="s">
        <v>1059</v>
      </c>
      <c r="K740" s="109" t="s">
        <v>1054</v>
      </c>
    </row>
    <row r="741" spans="1:11" x14ac:dyDescent="0.35">
      <c r="A741" s="61">
        <v>45481</v>
      </c>
      <c r="B741" s="49" t="s">
        <v>550</v>
      </c>
      <c r="C741" s="49" t="s">
        <v>10</v>
      </c>
      <c r="D741" s="50">
        <v>14525</v>
      </c>
      <c r="E741" s="50">
        <v>5649</v>
      </c>
      <c r="F741" s="51">
        <v>0.38891566265060201</v>
      </c>
      <c r="G741" s="50">
        <v>393</v>
      </c>
      <c r="H741" s="51">
        <v>6.9569835369091906E-2</v>
      </c>
      <c r="I741" s="51">
        <v>2.7056798623063701E-2</v>
      </c>
      <c r="J741" s="52" t="s">
        <v>1055</v>
      </c>
      <c r="K741" s="109" t="s">
        <v>1056</v>
      </c>
    </row>
    <row r="742" spans="1:11" x14ac:dyDescent="0.35">
      <c r="A742" s="61">
        <v>45481</v>
      </c>
      <c r="B742" s="49" t="s">
        <v>551</v>
      </c>
      <c r="C742" s="49" t="s">
        <v>552</v>
      </c>
      <c r="D742" s="50">
        <v>10221</v>
      </c>
      <c r="E742" s="50">
        <v>4118</v>
      </c>
      <c r="F742" s="51">
        <v>0.402895998434595</v>
      </c>
      <c r="G742" s="50">
        <v>245</v>
      </c>
      <c r="H742" s="51">
        <v>5.9494900437105397E-2</v>
      </c>
      <c r="I742" s="51">
        <v>2.3970257313374401E-2</v>
      </c>
      <c r="J742" s="52" t="s">
        <v>1055</v>
      </c>
      <c r="K742" s="109" t="s">
        <v>1056</v>
      </c>
    </row>
    <row r="743" spans="1:11" x14ac:dyDescent="0.35">
      <c r="A743" s="61">
        <v>45482</v>
      </c>
      <c r="B743" s="49" t="s">
        <v>553</v>
      </c>
      <c r="C743" s="49" t="s">
        <v>10</v>
      </c>
      <c r="D743" s="50">
        <v>1337359</v>
      </c>
      <c r="E743" s="50">
        <v>465308</v>
      </c>
      <c r="F743" s="51">
        <v>0.347930510805251</v>
      </c>
      <c r="G743" s="50">
        <v>9252</v>
      </c>
      <c r="H743" s="51">
        <v>1.9883603978440099E-2</v>
      </c>
      <c r="I743" s="51">
        <v>6.9181124888679901E-3</v>
      </c>
      <c r="J743" s="52" t="s">
        <v>1055</v>
      </c>
      <c r="K743" s="109" t="s">
        <v>1056</v>
      </c>
    </row>
    <row r="744" spans="1:11" x14ac:dyDescent="0.35">
      <c r="A744" s="61">
        <v>45482</v>
      </c>
      <c r="B744" s="49" t="s">
        <v>553</v>
      </c>
      <c r="C744" s="49" t="s">
        <v>11</v>
      </c>
      <c r="D744" s="50">
        <v>92921</v>
      </c>
      <c r="E744" s="50">
        <v>32051</v>
      </c>
      <c r="F744" s="51">
        <v>0.34492741145704398</v>
      </c>
      <c r="G744" s="50">
        <v>1121</v>
      </c>
      <c r="H744" s="51">
        <v>3.49755077844685E-2</v>
      </c>
      <c r="I744" s="51">
        <v>1.2064011364492399E-2</v>
      </c>
      <c r="J744" s="52" t="s">
        <v>1055</v>
      </c>
      <c r="K744" s="109" t="s">
        <v>1056</v>
      </c>
    </row>
    <row r="745" spans="1:11" x14ac:dyDescent="0.35">
      <c r="A745" s="61">
        <v>45483</v>
      </c>
      <c r="B745" s="49" t="s">
        <v>554</v>
      </c>
      <c r="C745" s="49" t="s">
        <v>10</v>
      </c>
      <c r="D745" s="50">
        <v>83932</v>
      </c>
      <c r="E745" s="50">
        <v>40500</v>
      </c>
      <c r="F745" s="51">
        <v>0.48253347948339098</v>
      </c>
      <c r="G745" s="50">
        <v>494</v>
      </c>
      <c r="H745" s="51">
        <v>1.21975308641975E-2</v>
      </c>
      <c r="I745" s="51">
        <v>5.8857170090072901E-3</v>
      </c>
      <c r="J745" s="52" t="s">
        <v>1061</v>
      </c>
      <c r="K745" s="109" t="s">
        <v>1054</v>
      </c>
    </row>
    <row r="746" spans="1:11" x14ac:dyDescent="0.35">
      <c r="A746" s="61">
        <v>45483</v>
      </c>
      <c r="B746" s="49" t="s">
        <v>555</v>
      </c>
      <c r="C746" s="49" t="s">
        <v>10</v>
      </c>
      <c r="D746" s="50">
        <v>227195</v>
      </c>
      <c r="E746" s="50">
        <v>96926</v>
      </c>
      <c r="F746" s="51">
        <v>0.42662030414401703</v>
      </c>
      <c r="G746" s="50">
        <v>2607</v>
      </c>
      <c r="H746" s="51">
        <v>2.68968078740482E-2</v>
      </c>
      <c r="I746" s="51">
        <v>1.14747243557297E-2</v>
      </c>
      <c r="J746" s="52" t="s">
        <v>1055</v>
      </c>
      <c r="K746" s="109" t="s">
        <v>1056</v>
      </c>
    </row>
    <row r="747" spans="1:11" x14ac:dyDescent="0.35">
      <c r="A747" s="61">
        <v>45483</v>
      </c>
      <c r="B747" s="49" t="s">
        <v>555</v>
      </c>
      <c r="C747" s="49" t="s">
        <v>11</v>
      </c>
      <c r="D747" s="50">
        <v>13409</v>
      </c>
      <c r="E747" s="50">
        <v>6167</v>
      </c>
      <c r="F747" s="51">
        <v>0.459914982474457</v>
      </c>
      <c r="G747" s="50">
        <v>497</v>
      </c>
      <c r="H747" s="51">
        <v>8.0590238365493796E-2</v>
      </c>
      <c r="I747" s="51">
        <v>3.7064658065478401E-2</v>
      </c>
      <c r="J747" s="52" t="s">
        <v>1055</v>
      </c>
      <c r="K747" s="109" t="s">
        <v>1056</v>
      </c>
    </row>
    <row r="748" spans="1:11" x14ac:dyDescent="0.35">
      <c r="A748" s="61">
        <v>45483</v>
      </c>
      <c r="B748" s="49" t="s">
        <v>556</v>
      </c>
      <c r="C748" s="49" t="s">
        <v>10</v>
      </c>
      <c r="D748" s="50">
        <v>3066267</v>
      </c>
      <c r="E748" s="50">
        <v>1137364</v>
      </c>
      <c r="F748" s="51">
        <v>0.37092790680002802</v>
      </c>
      <c r="G748" s="50">
        <v>33472</v>
      </c>
      <c r="H748" s="51">
        <v>2.9429452664230599E-2</v>
      </c>
      <c r="I748" s="51">
        <v>1.09162052750136E-2</v>
      </c>
      <c r="J748" s="52" t="s">
        <v>1059</v>
      </c>
      <c r="K748" s="109" t="s">
        <v>1056</v>
      </c>
    </row>
    <row r="749" spans="1:11" x14ac:dyDescent="0.35">
      <c r="A749" s="61">
        <v>45483</v>
      </c>
      <c r="B749" s="49" t="s">
        <v>556</v>
      </c>
      <c r="C749" s="49" t="s">
        <v>11</v>
      </c>
      <c r="D749" s="50">
        <v>163382</v>
      </c>
      <c r="E749" s="50">
        <v>61207</v>
      </c>
      <c r="F749" s="51">
        <v>0.374625111701411</v>
      </c>
      <c r="G749" s="50">
        <v>4079</v>
      </c>
      <c r="H749" s="51">
        <v>6.6642704265851893E-2</v>
      </c>
      <c r="I749" s="51">
        <v>2.4966030529678902E-2</v>
      </c>
      <c r="J749" s="52" t="s">
        <v>1059</v>
      </c>
      <c r="K749" s="109" t="s">
        <v>1056</v>
      </c>
    </row>
    <row r="750" spans="1:11" x14ac:dyDescent="0.35">
      <c r="A750" s="61">
        <v>45484</v>
      </c>
      <c r="B750" s="49" t="s">
        <v>542</v>
      </c>
      <c r="C750" s="49" t="s">
        <v>234</v>
      </c>
      <c r="D750" s="50">
        <v>439924</v>
      </c>
      <c r="E750" s="50">
        <v>136107</v>
      </c>
      <c r="F750" s="60">
        <v>0.30940000000000001</v>
      </c>
      <c r="G750" s="49">
        <v>913</v>
      </c>
      <c r="H750" s="60">
        <v>6.7000000000000002E-3</v>
      </c>
      <c r="I750" s="60">
        <v>2.0999999999999999E-3</v>
      </c>
      <c r="J750" s="52" t="s">
        <v>1055</v>
      </c>
      <c r="K750" s="109" t="s">
        <v>1056</v>
      </c>
    </row>
    <row r="751" spans="1:11" x14ac:dyDescent="0.35">
      <c r="A751" s="61">
        <v>45484</v>
      </c>
      <c r="B751" s="49" t="s">
        <v>544</v>
      </c>
      <c r="C751" s="49" t="s">
        <v>235</v>
      </c>
      <c r="D751" s="50">
        <v>21594</v>
      </c>
      <c r="E751" s="50">
        <v>6151</v>
      </c>
      <c r="F751" s="60">
        <v>0.2848</v>
      </c>
      <c r="G751" s="49">
        <v>74</v>
      </c>
      <c r="H751" s="60">
        <v>1.2E-2</v>
      </c>
      <c r="I751" s="60">
        <v>3.3999999999999998E-3</v>
      </c>
      <c r="J751" s="52" t="s">
        <v>1055</v>
      </c>
      <c r="K751" s="109" t="s">
        <v>1056</v>
      </c>
    </row>
    <row r="752" spans="1:11" x14ac:dyDescent="0.35">
      <c r="A752" s="61">
        <v>45484</v>
      </c>
      <c r="B752" s="49" t="s">
        <v>557</v>
      </c>
      <c r="C752" s="49" t="s">
        <v>400</v>
      </c>
      <c r="D752" s="50">
        <v>1056207</v>
      </c>
      <c r="E752" s="50">
        <v>353643</v>
      </c>
      <c r="F752" s="60">
        <v>0.33479999999999999</v>
      </c>
      <c r="G752" s="50">
        <v>4238</v>
      </c>
      <c r="H752" s="60">
        <v>1.2E-2</v>
      </c>
      <c r="I752" s="60">
        <v>4.0000000000000001E-3</v>
      </c>
      <c r="J752" s="52" t="s">
        <v>1055</v>
      </c>
      <c r="K752" s="109" t="s">
        <v>1056</v>
      </c>
    </row>
    <row r="753" spans="1:11" x14ac:dyDescent="0.35">
      <c r="A753" s="61">
        <v>45484</v>
      </c>
      <c r="B753" s="49" t="s">
        <v>558</v>
      </c>
      <c r="C753" s="49" t="s">
        <v>402</v>
      </c>
      <c r="D753" s="50">
        <v>61146</v>
      </c>
      <c r="E753" s="50">
        <v>18669</v>
      </c>
      <c r="F753" s="60">
        <v>0.30530000000000002</v>
      </c>
      <c r="G753" s="49">
        <v>271</v>
      </c>
      <c r="H753" s="60">
        <v>1.4500000000000001E-2</v>
      </c>
      <c r="I753" s="60">
        <v>4.4000000000000003E-3</v>
      </c>
      <c r="J753" s="52" t="s">
        <v>1055</v>
      </c>
      <c r="K753" s="109" t="s">
        <v>1056</v>
      </c>
    </row>
    <row r="754" spans="1:11" x14ac:dyDescent="0.35">
      <c r="A754" s="61">
        <v>45484</v>
      </c>
      <c r="B754" s="49" t="s">
        <v>559</v>
      </c>
      <c r="C754" s="49" t="s">
        <v>10</v>
      </c>
      <c r="D754" s="50">
        <v>755353</v>
      </c>
      <c r="E754" s="50">
        <v>198929</v>
      </c>
      <c r="F754" s="51">
        <v>0.26335898579869299</v>
      </c>
      <c r="G754" s="50">
        <v>1755</v>
      </c>
      <c r="H754" s="51">
        <v>8.8222431118640306E-3</v>
      </c>
      <c r="I754" s="51">
        <v>2.3234169984100101E-3</v>
      </c>
      <c r="J754" s="52" t="s">
        <v>1055</v>
      </c>
      <c r="K754" s="109" t="s">
        <v>1056</v>
      </c>
    </row>
    <row r="755" spans="1:11" x14ac:dyDescent="0.35">
      <c r="A755" s="61">
        <v>45485</v>
      </c>
      <c r="B755" s="49" t="s">
        <v>560</v>
      </c>
      <c r="C755" s="49" t="s">
        <v>10</v>
      </c>
      <c r="D755" s="50">
        <v>391532</v>
      </c>
      <c r="E755" s="50">
        <v>134965</v>
      </c>
      <c r="F755" s="51">
        <v>0.34471001093141801</v>
      </c>
      <c r="G755" s="50">
        <v>2714</v>
      </c>
      <c r="H755" s="51">
        <v>2.01089171266625E-2</v>
      </c>
      <c r="I755" s="51">
        <v>6.9317450425508001E-3</v>
      </c>
      <c r="J755" s="52" t="s">
        <v>1057</v>
      </c>
      <c r="K755" s="109" t="s">
        <v>1054</v>
      </c>
    </row>
    <row r="756" spans="1:11" x14ac:dyDescent="0.35">
      <c r="A756" s="61">
        <v>45485</v>
      </c>
      <c r="B756" s="49" t="s">
        <v>561</v>
      </c>
      <c r="C756" s="49" t="s">
        <v>84</v>
      </c>
      <c r="D756" s="50">
        <v>7391</v>
      </c>
      <c r="E756" s="50">
        <v>2341</v>
      </c>
      <c r="F756" s="51">
        <v>0.31673657150588602</v>
      </c>
      <c r="G756" s="50">
        <v>26</v>
      </c>
      <c r="H756" s="51">
        <v>1.11063648013669E-2</v>
      </c>
      <c r="I756" s="51">
        <v>3.5177919090786098E-3</v>
      </c>
      <c r="J756" s="52" t="s">
        <v>1055</v>
      </c>
      <c r="K756" s="109" t="s">
        <v>1056</v>
      </c>
    </row>
    <row r="757" spans="1:11" x14ac:dyDescent="0.35">
      <c r="A757" s="61">
        <v>45485</v>
      </c>
      <c r="B757" s="49" t="s">
        <v>561</v>
      </c>
      <c r="C757" s="49" t="s">
        <v>72</v>
      </c>
      <c r="D757" s="50">
        <v>139292</v>
      </c>
      <c r="E757" s="50">
        <v>44334</v>
      </c>
      <c r="F757" s="51">
        <v>0.31828102116417301</v>
      </c>
      <c r="G757" s="50">
        <v>730</v>
      </c>
      <c r="H757" s="51">
        <v>1.6465917805747299E-2</v>
      </c>
      <c r="I757" s="51">
        <v>5.2407891336185798E-3</v>
      </c>
      <c r="J757" s="52" t="s">
        <v>1055</v>
      </c>
      <c r="K757" s="109" t="s">
        <v>1056</v>
      </c>
    </row>
    <row r="758" spans="1:11" x14ac:dyDescent="0.35">
      <c r="A758" s="61">
        <v>45485</v>
      </c>
      <c r="B758" s="49" t="s">
        <v>561</v>
      </c>
      <c r="C758" s="49" t="s">
        <v>85</v>
      </c>
      <c r="D758" s="50">
        <v>350</v>
      </c>
      <c r="E758" s="50">
        <v>103</v>
      </c>
      <c r="F758" s="51">
        <v>0.29428571428571398</v>
      </c>
      <c r="G758" s="50">
        <v>3</v>
      </c>
      <c r="H758" s="51">
        <v>2.9126213592233E-2</v>
      </c>
      <c r="I758" s="51">
        <v>8.5714285714285701E-3</v>
      </c>
      <c r="J758" s="52" t="s">
        <v>1055</v>
      </c>
      <c r="K758" s="109" t="s">
        <v>1056</v>
      </c>
    </row>
    <row r="759" spans="1:11" x14ac:dyDescent="0.35">
      <c r="A759" s="61">
        <v>45485</v>
      </c>
      <c r="B759" s="49" t="s">
        <v>561</v>
      </c>
      <c r="C759" s="49" t="s">
        <v>73</v>
      </c>
      <c r="D759" s="50">
        <v>6463</v>
      </c>
      <c r="E759" s="50">
        <v>2009</v>
      </c>
      <c r="F759" s="51">
        <v>0.31084635618133999</v>
      </c>
      <c r="G759" s="50">
        <v>57</v>
      </c>
      <c r="H759" s="51">
        <v>2.8372324539571898E-2</v>
      </c>
      <c r="I759" s="51">
        <v>8.8194336995203494E-3</v>
      </c>
      <c r="J759" s="52" t="s">
        <v>1055</v>
      </c>
      <c r="K759" s="109" t="s">
        <v>1056</v>
      </c>
    </row>
    <row r="760" spans="1:11" x14ac:dyDescent="0.35">
      <c r="A760" s="61">
        <v>45485</v>
      </c>
      <c r="B760" s="49" t="s">
        <v>562</v>
      </c>
      <c r="C760" s="49" t="s">
        <v>524</v>
      </c>
      <c r="D760" s="50">
        <v>241119</v>
      </c>
      <c r="E760" s="50">
        <v>79544</v>
      </c>
      <c r="F760" s="51">
        <v>0.32989519697742598</v>
      </c>
      <c r="G760" s="50">
        <v>1114</v>
      </c>
      <c r="H760" s="51">
        <v>1.4004827516845999E-2</v>
      </c>
      <c r="I760" s="51">
        <v>4.6201253323048001E-3</v>
      </c>
      <c r="J760" s="52" t="s">
        <v>1055</v>
      </c>
      <c r="K760" s="109" t="s">
        <v>1056</v>
      </c>
    </row>
    <row r="761" spans="1:11" x14ac:dyDescent="0.35">
      <c r="A761" s="61">
        <v>45485</v>
      </c>
      <c r="B761" s="49" t="s">
        <v>562</v>
      </c>
      <c r="C761" s="49" t="s">
        <v>525</v>
      </c>
      <c r="D761" s="50">
        <v>15480</v>
      </c>
      <c r="E761" s="50">
        <v>4634</v>
      </c>
      <c r="F761" s="51">
        <v>0.29935400516795901</v>
      </c>
      <c r="G761" s="50">
        <v>97</v>
      </c>
      <c r="H761" s="51">
        <v>2.0932239965472599E-2</v>
      </c>
      <c r="I761" s="51">
        <v>6.2661498708010297E-3</v>
      </c>
      <c r="J761" s="52" t="s">
        <v>1055</v>
      </c>
      <c r="K761" s="109" t="s">
        <v>1056</v>
      </c>
    </row>
    <row r="762" spans="1:11" x14ac:dyDescent="0.35">
      <c r="A762" s="61">
        <v>45485</v>
      </c>
      <c r="B762" s="49" t="s">
        <v>562</v>
      </c>
      <c r="C762" s="49" t="s">
        <v>526</v>
      </c>
      <c r="D762" s="50">
        <v>4368470</v>
      </c>
      <c r="E762" s="50">
        <v>1442818</v>
      </c>
      <c r="F762" s="51">
        <v>0.330279937827203</v>
      </c>
      <c r="G762" s="50">
        <v>26705</v>
      </c>
      <c r="H762" s="51">
        <v>1.8508917964705201E-2</v>
      </c>
      <c r="I762" s="51">
        <v>6.1131242746316197E-3</v>
      </c>
      <c r="J762" s="52" t="s">
        <v>1055</v>
      </c>
      <c r="K762" s="109" t="s">
        <v>1056</v>
      </c>
    </row>
    <row r="763" spans="1:11" x14ac:dyDescent="0.35">
      <c r="A763" s="61">
        <v>45485</v>
      </c>
      <c r="B763" s="49" t="s">
        <v>562</v>
      </c>
      <c r="C763" s="49" t="s">
        <v>527</v>
      </c>
      <c r="D763" s="50">
        <v>280126</v>
      </c>
      <c r="E763" s="50">
        <v>83171</v>
      </c>
      <c r="F763" s="51">
        <v>0.29690567815911401</v>
      </c>
      <c r="G763" s="50">
        <v>2631</v>
      </c>
      <c r="H763" s="51">
        <v>3.1633622296233101E-2</v>
      </c>
      <c r="I763" s="51">
        <v>9.3922020804923494E-3</v>
      </c>
      <c r="J763" s="52" t="s">
        <v>1055</v>
      </c>
      <c r="K763" s="109" t="s">
        <v>1056</v>
      </c>
    </row>
    <row r="764" spans="1:11" x14ac:dyDescent="0.35">
      <c r="A764" s="61">
        <v>45485</v>
      </c>
      <c r="B764" s="49" t="s">
        <v>562</v>
      </c>
      <c r="C764" s="49" t="s">
        <v>528</v>
      </c>
      <c r="D764" s="50">
        <v>240889</v>
      </c>
      <c r="E764" s="50">
        <v>82360</v>
      </c>
      <c r="F764" s="51">
        <v>0.34190021130064102</v>
      </c>
      <c r="G764" s="50">
        <v>942</v>
      </c>
      <c r="H764" s="51">
        <v>1.14375910636231E-2</v>
      </c>
      <c r="I764" s="51">
        <v>3.9105148014230602E-3</v>
      </c>
      <c r="J764" s="52" t="s">
        <v>1055</v>
      </c>
      <c r="K764" s="109" t="s">
        <v>1056</v>
      </c>
    </row>
    <row r="765" spans="1:11" x14ac:dyDescent="0.35">
      <c r="A765" s="61">
        <v>45485</v>
      </c>
      <c r="B765" s="49" t="s">
        <v>562</v>
      </c>
      <c r="C765" s="49" t="s">
        <v>529</v>
      </c>
      <c r="D765" s="50">
        <v>15764</v>
      </c>
      <c r="E765" s="50">
        <v>5065</v>
      </c>
      <c r="F765" s="51">
        <v>0.32130170007612302</v>
      </c>
      <c r="G765" s="50">
        <v>92</v>
      </c>
      <c r="H765" s="51">
        <v>1.8163869693978301E-2</v>
      </c>
      <c r="I765" s="51">
        <v>5.8360822126363896E-3</v>
      </c>
      <c r="J765" s="52" t="s">
        <v>1055</v>
      </c>
      <c r="K765" s="109" t="s">
        <v>1056</v>
      </c>
    </row>
    <row r="766" spans="1:11" x14ac:dyDescent="0.35">
      <c r="A766" s="61">
        <v>45489</v>
      </c>
      <c r="B766" s="49" t="s">
        <v>563</v>
      </c>
      <c r="C766" s="49" t="s">
        <v>10</v>
      </c>
      <c r="D766" s="50">
        <v>1321894</v>
      </c>
      <c r="E766" s="50">
        <v>464696</v>
      </c>
      <c r="F766" s="51">
        <v>0.35153802044642002</v>
      </c>
      <c r="G766" s="50">
        <v>10948</v>
      </c>
      <c r="H766" s="51">
        <v>2.3559488353676401E-2</v>
      </c>
      <c r="I766" s="51">
        <v>8.2820558985818808E-3</v>
      </c>
      <c r="J766" s="52" t="s">
        <v>1055</v>
      </c>
      <c r="K766" s="109" t="s">
        <v>1056</v>
      </c>
    </row>
    <row r="767" spans="1:11" x14ac:dyDescent="0.35">
      <c r="A767" s="61">
        <v>45489</v>
      </c>
      <c r="B767" s="49" t="s">
        <v>563</v>
      </c>
      <c r="C767" s="49" t="s">
        <v>11</v>
      </c>
      <c r="D767" s="50">
        <v>91147</v>
      </c>
      <c r="E767" s="50">
        <v>31985</v>
      </c>
      <c r="F767" s="51">
        <v>0.35091665112400799</v>
      </c>
      <c r="G767" s="50">
        <v>1364</v>
      </c>
      <c r="H767" s="51">
        <v>4.2644989838986999E-2</v>
      </c>
      <c r="I767" s="51">
        <v>1.49648370215147E-2</v>
      </c>
      <c r="J767" s="52" t="s">
        <v>1055</v>
      </c>
      <c r="K767" s="109" t="s">
        <v>1056</v>
      </c>
    </row>
    <row r="768" spans="1:11" x14ac:dyDescent="0.35">
      <c r="A768" s="61">
        <v>45489</v>
      </c>
      <c r="B768" s="49" t="s">
        <v>564</v>
      </c>
      <c r="C768" s="49" t="s">
        <v>437</v>
      </c>
      <c r="D768" s="50">
        <v>8127</v>
      </c>
      <c r="E768" s="50">
        <v>4525</v>
      </c>
      <c r="F768" s="51">
        <v>0.55678602190230098</v>
      </c>
      <c r="G768" s="50">
        <v>375</v>
      </c>
      <c r="H768" s="51">
        <v>8.2872928176795604E-2</v>
      </c>
      <c r="I768" s="51">
        <v>4.6142488002953098E-2</v>
      </c>
      <c r="J768" s="52" t="s">
        <v>1058</v>
      </c>
      <c r="K768" s="109" t="s">
        <v>1054</v>
      </c>
    </row>
    <row r="769" spans="1:11" x14ac:dyDescent="0.35">
      <c r="A769" s="61">
        <v>45489</v>
      </c>
      <c r="B769" s="49" t="s">
        <v>564</v>
      </c>
      <c r="C769" s="49" t="s">
        <v>438</v>
      </c>
      <c r="D769" s="50">
        <v>4294</v>
      </c>
      <c r="E769" s="50">
        <v>2392</v>
      </c>
      <c r="F769" s="51">
        <v>0.55705635770842998</v>
      </c>
      <c r="G769" s="50">
        <v>220</v>
      </c>
      <c r="H769" s="51">
        <v>9.1973244147157199E-2</v>
      </c>
      <c r="I769" s="51">
        <v>5.12342803912436E-2</v>
      </c>
      <c r="J769" s="52" t="s">
        <v>1058</v>
      </c>
      <c r="K769" s="109" t="s">
        <v>1054</v>
      </c>
    </row>
    <row r="770" spans="1:11" x14ac:dyDescent="0.35">
      <c r="A770" s="61">
        <v>45489</v>
      </c>
      <c r="B770" s="49" t="s">
        <v>564</v>
      </c>
      <c r="C770" s="49" t="s">
        <v>439</v>
      </c>
      <c r="D770" s="50">
        <v>21567</v>
      </c>
      <c r="E770" s="50">
        <v>12991</v>
      </c>
      <c r="F770" s="51">
        <v>0.60235545045671601</v>
      </c>
      <c r="G770" s="50">
        <v>1179</v>
      </c>
      <c r="H770" s="51">
        <v>9.0755138172581004E-2</v>
      </c>
      <c r="I770" s="51">
        <v>5.4666852135206598E-2</v>
      </c>
      <c r="J770" s="52" t="s">
        <v>1058</v>
      </c>
      <c r="K770" s="109" t="s">
        <v>1054</v>
      </c>
    </row>
    <row r="771" spans="1:11" x14ac:dyDescent="0.35">
      <c r="A771" s="61">
        <v>45489</v>
      </c>
      <c r="B771" s="49" t="s">
        <v>564</v>
      </c>
      <c r="C771" s="49" t="s">
        <v>565</v>
      </c>
      <c r="D771" s="50">
        <v>13067</v>
      </c>
      <c r="E771" s="50">
        <v>7613</v>
      </c>
      <c r="F771" s="51">
        <v>0.58261268845182501</v>
      </c>
      <c r="G771" s="50">
        <v>617</v>
      </c>
      <c r="H771" s="51">
        <v>8.1045579929068703E-2</v>
      </c>
      <c r="I771" s="51">
        <v>4.7218183209611998E-2</v>
      </c>
      <c r="J771" s="52" t="s">
        <v>1058</v>
      </c>
      <c r="K771" s="109" t="s">
        <v>1054</v>
      </c>
    </row>
    <row r="772" spans="1:11" x14ac:dyDescent="0.35">
      <c r="A772" s="61">
        <v>45490</v>
      </c>
      <c r="B772" s="49" t="s">
        <v>566</v>
      </c>
      <c r="C772" s="49" t="s">
        <v>10</v>
      </c>
      <c r="D772" s="50">
        <v>65907</v>
      </c>
      <c r="E772" s="50">
        <v>32012</v>
      </c>
      <c r="F772" s="51">
        <v>0.48571471922557502</v>
      </c>
      <c r="G772" s="50">
        <v>1807</v>
      </c>
      <c r="H772" s="51">
        <v>5.6447582156691198E-2</v>
      </c>
      <c r="I772" s="51">
        <v>2.7417421518199901E-2</v>
      </c>
      <c r="J772" s="52" t="s">
        <v>1058</v>
      </c>
      <c r="K772" s="109" t="s">
        <v>1054</v>
      </c>
    </row>
    <row r="773" spans="1:11" x14ac:dyDescent="0.35">
      <c r="A773" s="61">
        <v>45490</v>
      </c>
      <c r="B773" s="49" t="s">
        <v>566</v>
      </c>
      <c r="C773" s="49" t="s">
        <v>11</v>
      </c>
      <c r="D773" s="50">
        <v>2014</v>
      </c>
      <c r="E773" s="50">
        <v>1008</v>
      </c>
      <c r="F773" s="51">
        <v>0.50049652432969205</v>
      </c>
      <c r="G773" s="50">
        <v>131</v>
      </c>
      <c r="H773" s="51">
        <v>0.129960317460317</v>
      </c>
      <c r="I773" s="51">
        <v>6.5044687189672296E-2</v>
      </c>
      <c r="J773" s="52" t="s">
        <v>1058</v>
      </c>
      <c r="K773" s="109" t="s">
        <v>1054</v>
      </c>
    </row>
    <row r="774" spans="1:11" x14ac:dyDescent="0.35">
      <c r="A774" s="61">
        <v>45490</v>
      </c>
      <c r="B774" s="49" t="s">
        <v>539</v>
      </c>
      <c r="C774" s="49" t="s">
        <v>567</v>
      </c>
      <c r="D774" s="50">
        <v>217630</v>
      </c>
      <c r="E774" s="50">
        <v>73664</v>
      </c>
      <c r="F774" s="51">
        <v>0.33848274594495198</v>
      </c>
      <c r="G774" s="50">
        <v>791</v>
      </c>
      <c r="H774" s="51">
        <v>1.0737945264987E-2</v>
      </c>
      <c r="I774" s="51">
        <v>3.6346091990993902E-3</v>
      </c>
      <c r="J774" s="52" t="s">
        <v>1055</v>
      </c>
      <c r="K774" s="109" t="s">
        <v>1056</v>
      </c>
    </row>
    <row r="775" spans="1:11" x14ac:dyDescent="0.35">
      <c r="A775" s="61">
        <v>45490</v>
      </c>
      <c r="B775" s="49" t="s">
        <v>539</v>
      </c>
      <c r="C775" s="49" t="s">
        <v>568</v>
      </c>
      <c r="D775" s="50">
        <v>151536</v>
      </c>
      <c r="E775" s="50">
        <v>48654</v>
      </c>
      <c r="F775" s="51">
        <v>0.32107222046246398</v>
      </c>
      <c r="G775" s="50">
        <v>576</v>
      </c>
      <c r="H775" s="51">
        <v>1.18386977432482E-2</v>
      </c>
      <c r="I775" s="51">
        <v>3.80107697180868E-3</v>
      </c>
      <c r="J775" s="52" t="s">
        <v>1055</v>
      </c>
      <c r="K775" s="109" t="s">
        <v>1056</v>
      </c>
    </row>
    <row r="776" spans="1:11" x14ac:dyDescent="0.35">
      <c r="A776" s="61">
        <v>45491</v>
      </c>
      <c r="B776" s="49" t="s">
        <v>569</v>
      </c>
      <c r="C776" s="49" t="s">
        <v>415</v>
      </c>
      <c r="D776" s="50">
        <v>193</v>
      </c>
      <c r="E776" s="50">
        <v>81</v>
      </c>
      <c r="F776" s="51">
        <v>0.419689119170984</v>
      </c>
      <c r="G776" s="50">
        <v>12</v>
      </c>
      <c r="H776" s="51">
        <v>0.148148148148148</v>
      </c>
      <c r="I776" s="51">
        <v>6.21761658031088E-2</v>
      </c>
      <c r="J776" s="52" t="s">
        <v>1053</v>
      </c>
      <c r="K776" s="109" t="s">
        <v>1054</v>
      </c>
    </row>
    <row r="777" spans="1:11" x14ac:dyDescent="0.35">
      <c r="A777" s="61">
        <v>45491</v>
      </c>
      <c r="B777" s="49" t="s">
        <v>542</v>
      </c>
      <c r="C777" s="49" t="s">
        <v>253</v>
      </c>
      <c r="D777" s="50">
        <v>434815</v>
      </c>
      <c r="E777" s="50">
        <v>137690</v>
      </c>
      <c r="F777" s="60">
        <v>0.31669999999999998</v>
      </c>
      <c r="G777" s="50">
        <v>1014</v>
      </c>
      <c r="H777" s="60">
        <v>7.4000000000000003E-3</v>
      </c>
      <c r="I777" s="60">
        <v>2.3E-3</v>
      </c>
      <c r="J777" s="52" t="s">
        <v>1055</v>
      </c>
      <c r="K777" s="109" t="s">
        <v>1056</v>
      </c>
    </row>
    <row r="778" spans="1:11" x14ac:dyDescent="0.35">
      <c r="A778" s="61">
        <v>45491</v>
      </c>
      <c r="B778" s="49" t="s">
        <v>544</v>
      </c>
      <c r="C778" s="49" t="s">
        <v>255</v>
      </c>
      <c r="D778" s="50">
        <v>21300</v>
      </c>
      <c r="E778" s="50">
        <v>6339</v>
      </c>
      <c r="F778" s="60">
        <v>0.29759999999999998</v>
      </c>
      <c r="G778" s="49">
        <v>68</v>
      </c>
      <c r="H778" s="60">
        <v>1.0699999999999999E-2</v>
      </c>
      <c r="I778" s="60">
        <v>3.2000000000000002E-3</v>
      </c>
      <c r="J778" s="52" t="s">
        <v>1055</v>
      </c>
      <c r="K778" s="109" t="s">
        <v>1056</v>
      </c>
    </row>
    <row r="779" spans="1:11" x14ac:dyDescent="0.35">
      <c r="A779" s="61">
        <v>45491</v>
      </c>
      <c r="B779" s="49" t="s">
        <v>557</v>
      </c>
      <c r="C779" s="49" t="s">
        <v>234</v>
      </c>
      <c r="D779" s="50">
        <v>720100</v>
      </c>
      <c r="E779" s="50">
        <v>246564</v>
      </c>
      <c r="F779" s="60">
        <v>0.34239999999999998</v>
      </c>
      <c r="G779" s="50">
        <v>2287</v>
      </c>
      <c r="H779" s="60">
        <v>9.2999999999999992E-3</v>
      </c>
      <c r="I779" s="60">
        <v>3.2000000000000002E-3</v>
      </c>
      <c r="J779" s="52" t="s">
        <v>1055</v>
      </c>
      <c r="K779" s="109" t="s">
        <v>1056</v>
      </c>
    </row>
    <row r="780" spans="1:11" x14ac:dyDescent="0.35">
      <c r="A780" s="61">
        <v>45491</v>
      </c>
      <c r="B780" s="49" t="s">
        <v>558</v>
      </c>
      <c r="C780" s="49" t="s">
        <v>235</v>
      </c>
      <c r="D780" s="50">
        <v>55695</v>
      </c>
      <c r="E780" s="50">
        <v>16788</v>
      </c>
      <c r="F780" s="60">
        <v>0.3014</v>
      </c>
      <c r="G780" s="49">
        <v>203</v>
      </c>
      <c r="H780" s="60">
        <v>1.21E-2</v>
      </c>
      <c r="I780" s="60">
        <v>3.5999999999999999E-3</v>
      </c>
      <c r="J780" s="52" t="s">
        <v>1055</v>
      </c>
      <c r="K780" s="109" t="s">
        <v>1056</v>
      </c>
    </row>
    <row r="781" spans="1:11" x14ac:dyDescent="0.35">
      <c r="A781" s="61">
        <v>45491</v>
      </c>
      <c r="B781" s="49" t="s">
        <v>570</v>
      </c>
      <c r="C781" s="49" t="s">
        <v>327</v>
      </c>
      <c r="D781" s="50">
        <v>63028</v>
      </c>
      <c r="E781" s="50">
        <v>23623</v>
      </c>
      <c r="F781" s="60">
        <v>0.37480000000000002</v>
      </c>
      <c r="G781" s="49">
        <v>582</v>
      </c>
      <c r="H781" s="60">
        <v>2.46E-2</v>
      </c>
      <c r="I781" s="60">
        <v>9.1999999999999998E-3</v>
      </c>
      <c r="J781" s="52" t="s">
        <v>1055</v>
      </c>
      <c r="K781" s="109" t="s">
        <v>1056</v>
      </c>
    </row>
    <row r="782" spans="1:11" x14ac:dyDescent="0.35">
      <c r="A782" s="61">
        <v>45491</v>
      </c>
      <c r="B782" s="49" t="s">
        <v>571</v>
      </c>
      <c r="C782" s="49" t="s">
        <v>10</v>
      </c>
      <c r="D782" s="50">
        <v>221830</v>
      </c>
      <c r="E782" s="50">
        <v>91417</v>
      </c>
      <c r="F782" s="51">
        <v>0.41210386331875798</v>
      </c>
      <c r="G782" s="50">
        <v>2603</v>
      </c>
      <c r="H782" s="51">
        <v>2.8473916230022898E-2</v>
      </c>
      <c r="I782" s="51">
        <v>1.1734210882207099E-2</v>
      </c>
      <c r="J782" s="52" t="s">
        <v>1055</v>
      </c>
      <c r="K782" s="109" t="s">
        <v>1056</v>
      </c>
    </row>
    <row r="783" spans="1:11" x14ac:dyDescent="0.35">
      <c r="A783" s="61">
        <v>45491</v>
      </c>
      <c r="B783" s="49" t="s">
        <v>571</v>
      </c>
      <c r="C783" s="49" t="s">
        <v>11</v>
      </c>
      <c r="D783" s="50">
        <v>13118</v>
      </c>
      <c r="E783" s="50">
        <v>5921</v>
      </c>
      <c r="F783" s="51">
        <v>0.45136453727702402</v>
      </c>
      <c r="G783" s="50">
        <v>315</v>
      </c>
      <c r="H783" s="51">
        <v>5.3200472893092397E-2</v>
      </c>
      <c r="I783" s="51">
        <v>2.4012806830309499E-2</v>
      </c>
      <c r="J783" s="52" t="s">
        <v>1055</v>
      </c>
      <c r="K783" s="109" t="s">
        <v>1056</v>
      </c>
    </row>
    <row r="784" spans="1:11" x14ac:dyDescent="0.35">
      <c r="A784" s="61">
        <v>45491</v>
      </c>
      <c r="B784" s="49" t="s">
        <v>572</v>
      </c>
      <c r="C784" s="49" t="s">
        <v>325</v>
      </c>
      <c r="D784" s="50">
        <v>242008</v>
      </c>
      <c r="E784" s="50">
        <v>94483</v>
      </c>
      <c r="F784" s="51">
        <v>0.39041271362930202</v>
      </c>
      <c r="G784" s="50">
        <v>1377</v>
      </c>
      <c r="H784" s="51">
        <v>1.45740503582655E-2</v>
      </c>
      <c r="I784" s="51">
        <v>5.6898945489405302E-3</v>
      </c>
      <c r="J784" s="52" t="s">
        <v>1055</v>
      </c>
      <c r="K784" s="109" t="s">
        <v>1056</v>
      </c>
    </row>
    <row r="785" spans="1:11" x14ac:dyDescent="0.35">
      <c r="A785" s="61">
        <v>45491</v>
      </c>
      <c r="B785" s="49" t="s">
        <v>572</v>
      </c>
      <c r="C785" s="49" t="s">
        <v>327</v>
      </c>
      <c r="D785" s="50">
        <v>9977</v>
      </c>
      <c r="E785" s="50">
        <v>3615</v>
      </c>
      <c r="F785" s="51">
        <v>0.36233336674351002</v>
      </c>
      <c r="G785" s="50">
        <v>67</v>
      </c>
      <c r="H785" s="51">
        <v>1.8533886583679101E-2</v>
      </c>
      <c r="I785" s="51">
        <v>6.7154455247068296E-3</v>
      </c>
      <c r="J785" s="52" t="s">
        <v>1055</v>
      </c>
      <c r="K785" s="109" t="s">
        <v>1056</v>
      </c>
    </row>
    <row r="786" spans="1:11" x14ac:dyDescent="0.35">
      <c r="A786" s="61">
        <v>45491</v>
      </c>
      <c r="B786" s="49" t="s">
        <v>573</v>
      </c>
      <c r="C786" s="49" t="s">
        <v>52</v>
      </c>
      <c r="D786" s="50">
        <v>143032</v>
      </c>
      <c r="E786" s="50">
        <v>45352</v>
      </c>
      <c r="F786" s="51">
        <v>0.31707589909950201</v>
      </c>
      <c r="G786" s="50">
        <v>419</v>
      </c>
      <c r="H786" s="51">
        <v>9.23884282942318E-3</v>
      </c>
      <c r="I786" s="51">
        <v>2.9294143967783402E-3</v>
      </c>
      <c r="J786" s="52" t="s">
        <v>1055</v>
      </c>
      <c r="K786" s="109" t="s">
        <v>1056</v>
      </c>
    </row>
    <row r="787" spans="1:11" x14ac:dyDescent="0.35">
      <c r="A787" s="61">
        <v>45491</v>
      </c>
      <c r="B787" s="49" t="s">
        <v>573</v>
      </c>
      <c r="C787" s="49" t="s">
        <v>574</v>
      </c>
      <c r="D787" s="50">
        <v>35304</v>
      </c>
      <c r="E787" s="50">
        <v>10236</v>
      </c>
      <c r="F787" s="51">
        <v>0.28993881713120301</v>
      </c>
      <c r="G787" s="50">
        <v>64</v>
      </c>
      <c r="H787" s="51">
        <v>6.2524423602969897E-3</v>
      </c>
      <c r="I787" s="51">
        <v>1.81282574212554E-3</v>
      </c>
      <c r="J787" s="52" t="s">
        <v>1055</v>
      </c>
      <c r="K787" s="109" t="s">
        <v>1056</v>
      </c>
    </row>
    <row r="788" spans="1:11" x14ac:dyDescent="0.35">
      <c r="A788" s="61">
        <v>45491</v>
      </c>
      <c r="B788" s="49" t="s">
        <v>573</v>
      </c>
      <c r="C788" s="49" t="s">
        <v>575</v>
      </c>
      <c r="D788" s="50">
        <v>11817</v>
      </c>
      <c r="E788" s="50">
        <v>4389</v>
      </c>
      <c r="F788" s="51">
        <v>0.371414064483371</v>
      </c>
      <c r="G788" s="50">
        <v>47</v>
      </c>
      <c r="H788" s="51">
        <v>1.07085896559581E-2</v>
      </c>
      <c r="I788" s="51">
        <v>3.9773208090039796E-3</v>
      </c>
      <c r="J788" s="52" t="s">
        <v>1055</v>
      </c>
      <c r="K788" s="109" t="s">
        <v>1056</v>
      </c>
    </row>
    <row r="789" spans="1:11" x14ac:dyDescent="0.35">
      <c r="A789" s="61">
        <v>45492</v>
      </c>
      <c r="B789" s="49" t="s">
        <v>576</v>
      </c>
      <c r="C789" s="49" t="s">
        <v>10</v>
      </c>
      <c r="D789" s="50">
        <v>388404</v>
      </c>
      <c r="E789" s="50">
        <v>135031</v>
      </c>
      <c r="F789" s="51">
        <v>0.34765604885634499</v>
      </c>
      <c r="G789" s="50">
        <v>3274</v>
      </c>
      <c r="H789" s="51">
        <v>2.4246284186594198E-2</v>
      </c>
      <c r="I789" s="51">
        <v>8.4293673597594307E-3</v>
      </c>
      <c r="J789" s="52" t="s">
        <v>1057</v>
      </c>
      <c r="K789" s="109" t="s">
        <v>1054</v>
      </c>
    </row>
    <row r="790" spans="1:11" x14ac:dyDescent="0.35">
      <c r="A790" s="61">
        <v>45492</v>
      </c>
      <c r="B790" s="49" t="s">
        <v>576</v>
      </c>
      <c r="C790" s="49" t="s">
        <v>11</v>
      </c>
      <c r="D790" s="50">
        <v>21407</v>
      </c>
      <c r="E790" s="50">
        <v>6796</v>
      </c>
      <c r="F790" s="51">
        <v>0.31746624935768702</v>
      </c>
      <c r="G790" s="50">
        <v>252</v>
      </c>
      <c r="H790" s="51">
        <v>3.7080635668039999E-2</v>
      </c>
      <c r="I790" s="51">
        <v>1.17718503293315E-2</v>
      </c>
      <c r="J790" s="52" t="s">
        <v>1057</v>
      </c>
      <c r="K790" s="109" t="s">
        <v>1054</v>
      </c>
    </row>
    <row r="791" spans="1:11" x14ac:dyDescent="0.35">
      <c r="A791" s="61">
        <v>45492</v>
      </c>
      <c r="B791" s="49" t="s">
        <v>577</v>
      </c>
      <c r="C791" s="49" t="s">
        <v>524</v>
      </c>
      <c r="D791" s="50">
        <v>240520</v>
      </c>
      <c r="E791" s="50">
        <v>78251</v>
      </c>
      <c r="F791" s="51">
        <v>0.32534092798935599</v>
      </c>
      <c r="G791" s="50">
        <v>1023</v>
      </c>
      <c r="H791" s="51">
        <v>1.30733153569922E-2</v>
      </c>
      <c r="I791" s="51">
        <v>4.25328455014136E-3</v>
      </c>
      <c r="J791" s="52" t="s">
        <v>1055</v>
      </c>
      <c r="K791" s="109" t="s">
        <v>1056</v>
      </c>
    </row>
    <row r="792" spans="1:11" x14ac:dyDescent="0.35">
      <c r="A792" s="61">
        <v>45492</v>
      </c>
      <c r="B792" s="49" t="s">
        <v>577</v>
      </c>
      <c r="C792" s="49" t="s">
        <v>525</v>
      </c>
      <c r="D792" s="50">
        <v>15481</v>
      </c>
      <c r="E792" s="50">
        <v>4372</v>
      </c>
      <c r="F792" s="51">
        <v>0.28241069698339899</v>
      </c>
      <c r="G792" s="50">
        <v>79</v>
      </c>
      <c r="H792" s="51">
        <v>1.80695333943275E-2</v>
      </c>
      <c r="I792" s="51">
        <v>5.1030295200568399E-3</v>
      </c>
      <c r="J792" s="52" t="s">
        <v>1055</v>
      </c>
      <c r="K792" s="109" t="s">
        <v>1056</v>
      </c>
    </row>
    <row r="793" spans="1:11" x14ac:dyDescent="0.35">
      <c r="A793" s="61">
        <v>45492</v>
      </c>
      <c r="B793" s="49" t="s">
        <v>577</v>
      </c>
      <c r="C793" s="49" t="s">
        <v>526</v>
      </c>
      <c r="D793" s="50">
        <v>4347864</v>
      </c>
      <c r="E793" s="50">
        <v>1389730</v>
      </c>
      <c r="F793" s="51">
        <v>0.319635112781817</v>
      </c>
      <c r="G793" s="50">
        <v>19957</v>
      </c>
      <c r="H793" s="51">
        <v>1.43603433760515E-2</v>
      </c>
      <c r="I793" s="51">
        <v>4.5900699745898199E-3</v>
      </c>
      <c r="J793" s="52" t="s">
        <v>1055</v>
      </c>
      <c r="K793" s="109" t="s">
        <v>1056</v>
      </c>
    </row>
    <row r="794" spans="1:11" x14ac:dyDescent="0.35">
      <c r="A794" s="61">
        <v>45492</v>
      </c>
      <c r="B794" s="49" t="s">
        <v>577</v>
      </c>
      <c r="C794" s="49" t="s">
        <v>527</v>
      </c>
      <c r="D794" s="50">
        <v>279508</v>
      </c>
      <c r="E794" s="50">
        <v>78197</v>
      </c>
      <c r="F794" s="51">
        <v>0.27976658986504899</v>
      </c>
      <c r="G794" s="50">
        <v>1580</v>
      </c>
      <c r="H794" s="51">
        <v>2.02053787229689E-2</v>
      </c>
      <c r="I794" s="51">
        <v>5.6527899022568197E-3</v>
      </c>
      <c r="J794" s="52" t="s">
        <v>1055</v>
      </c>
      <c r="K794" s="109" t="s">
        <v>1056</v>
      </c>
    </row>
    <row r="795" spans="1:11" x14ac:dyDescent="0.35">
      <c r="A795" s="61">
        <v>45492</v>
      </c>
      <c r="B795" s="49" t="s">
        <v>577</v>
      </c>
      <c r="C795" s="49" t="s">
        <v>528</v>
      </c>
      <c r="D795" s="50">
        <v>239887</v>
      </c>
      <c r="E795" s="50">
        <v>81577</v>
      </c>
      <c r="F795" s="51">
        <v>0.34006428026529201</v>
      </c>
      <c r="G795" s="50">
        <v>919</v>
      </c>
      <c r="H795" s="51">
        <v>1.12654302070437E-2</v>
      </c>
      <c r="I795" s="51">
        <v>3.8309704152371701E-3</v>
      </c>
      <c r="J795" s="52" t="s">
        <v>1055</v>
      </c>
      <c r="K795" s="109" t="s">
        <v>1056</v>
      </c>
    </row>
    <row r="796" spans="1:11" x14ac:dyDescent="0.35">
      <c r="A796" s="61">
        <v>45492</v>
      </c>
      <c r="B796" s="49" t="s">
        <v>577</v>
      </c>
      <c r="C796" s="49" t="s">
        <v>529</v>
      </c>
      <c r="D796" s="50">
        <v>15532</v>
      </c>
      <c r="E796" s="50">
        <v>4837</v>
      </c>
      <c r="F796" s="51">
        <v>0.31142158125161001</v>
      </c>
      <c r="G796" s="50">
        <v>58</v>
      </c>
      <c r="H796" s="51">
        <v>1.19909034525532E-2</v>
      </c>
      <c r="I796" s="51">
        <v>3.7342261138295098E-3</v>
      </c>
      <c r="J796" s="52" t="s">
        <v>1055</v>
      </c>
      <c r="K796" s="109" t="s">
        <v>1056</v>
      </c>
    </row>
    <row r="797" spans="1:11" x14ac:dyDescent="0.35">
      <c r="A797" s="61">
        <v>45492</v>
      </c>
      <c r="B797" s="49" t="s">
        <v>578</v>
      </c>
      <c r="C797" s="49" t="s">
        <v>11</v>
      </c>
      <c r="D797" s="50">
        <v>12711</v>
      </c>
      <c r="E797" s="50">
        <v>4959</v>
      </c>
      <c r="F797" s="51">
        <v>0.39013452914798202</v>
      </c>
      <c r="G797" s="50">
        <v>210</v>
      </c>
      <c r="H797" s="51">
        <v>4.2347247428917101E-2</v>
      </c>
      <c r="I797" s="51">
        <v>1.6521123436393701E-2</v>
      </c>
      <c r="J797" s="52" t="s">
        <v>1055</v>
      </c>
      <c r="K797" s="109" t="s">
        <v>1056</v>
      </c>
    </row>
    <row r="798" spans="1:11" x14ac:dyDescent="0.35">
      <c r="A798" s="61">
        <v>45492</v>
      </c>
      <c r="B798" s="49" t="s">
        <v>578</v>
      </c>
      <c r="C798" s="49" t="s">
        <v>10</v>
      </c>
      <c r="D798" s="50">
        <v>357710</v>
      </c>
      <c r="E798" s="50">
        <v>140714</v>
      </c>
      <c r="F798" s="51">
        <v>0.39337452126023897</v>
      </c>
      <c r="G798" s="50">
        <v>2732</v>
      </c>
      <c r="H798" s="51">
        <v>1.9415267848259601E-2</v>
      </c>
      <c r="I798" s="51">
        <v>7.6374716949484198E-3</v>
      </c>
      <c r="J798" s="52" t="s">
        <v>1055</v>
      </c>
      <c r="K798" s="109" t="s">
        <v>1056</v>
      </c>
    </row>
    <row r="799" spans="1:11" x14ac:dyDescent="0.35">
      <c r="A799" s="61">
        <v>45492</v>
      </c>
      <c r="B799" s="49" t="s">
        <v>539</v>
      </c>
      <c r="C799" s="49" t="s">
        <v>579</v>
      </c>
      <c r="D799" s="50">
        <v>216815</v>
      </c>
      <c r="E799" s="50">
        <v>70281</v>
      </c>
      <c r="F799" s="51">
        <v>0.324151926757835</v>
      </c>
      <c r="G799" s="50">
        <v>789</v>
      </c>
      <c r="H799" s="51">
        <v>1.1226362743842601E-2</v>
      </c>
      <c r="I799" s="51">
        <v>3.63904711389895E-3</v>
      </c>
      <c r="J799" s="52" t="s">
        <v>1055</v>
      </c>
      <c r="K799" s="109" t="s">
        <v>1056</v>
      </c>
    </row>
    <row r="800" spans="1:11" x14ac:dyDescent="0.35">
      <c r="A800" s="61">
        <v>45492</v>
      </c>
      <c r="B800" s="49" t="s">
        <v>539</v>
      </c>
      <c r="C800" s="49" t="s">
        <v>580</v>
      </c>
      <c r="D800" s="50">
        <v>151110</v>
      </c>
      <c r="E800" s="50">
        <v>47035</v>
      </c>
      <c r="F800" s="51">
        <v>0.31126331811263303</v>
      </c>
      <c r="G800" s="50">
        <v>609</v>
      </c>
      <c r="H800" s="51">
        <v>1.29478048261933E-2</v>
      </c>
      <c r="I800" s="51">
        <v>4.03017669247568E-3</v>
      </c>
      <c r="J800" s="52" t="s">
        <v>1055</v>
      </c>
      <c r="K800" s="109" t="s">
        <v>1056</v>
      </c>
    </row>
    <row r="801" spans="1:11" x14ac:dyDescent="0.35">
      <c r="A801" s="61">
        <v>45493</v>
      </c>
      <c r="B801" s="49" t="s">
        <v>581</v>
      </c>
      <c r="C801" s="49" t="s">
        <v>10</v>
      </c>
      <c r="D801" s="50">
        <v>1220732</v>
      </c>
      <c r="E801" s="50">
        <v>350254</v>
      </c>
      <c r="F801" s="51">
        <v>0.28692128984904097</v>
      </c>
      <c r="G801" s="50">
        <v>6911</v>
      </c>
      <c r="H801" s="51">
        <v>1.9731394930536099E-2</v>
      </c>
      <c r="I801" s="51">
        <v>5.6613572839902598E-3</v>
      </c>
      <c r="J801" s="52" t="s">
        <v>1055</v>
      </c>
      <c r="K801" s="109" t="s">
        <v>1056</v>
      </c>
    </row>
    <row r="802" spans="1:11" x14ac:dyDescent="0.35">
      <c r="A802" s="61">
        <v>45493</v>
      </c>
      <c r="B802" s="49" t="s">
        <v>581</v>
      </c>
      <c r="C802" s="49" t="s">
        <v>11</v>
      </c>
      <c r="D802" s="50">
        <v>91736</v>
      </c>
      <c r="E802" s="50">
        <v>23099</v>
      </c>
      <c r="F802" s="51">
        <v>0.25179863957443099</v>
      </c>
      <c r="G802" s="50">
        <v>732</v>
      </c>
      <c r="H802" s="51">
        <v>3.1689683536083799E-2</v>
      </c>
      <c r="I802" s="51">
        <v>7.9794192029301499E-3</v>
      </c>
      <c r="J802" s="52" t="s">
        <v>1055</v>
      </c>
      <c r="K802" s="109" t="s">
        <v>1056</v>
      </c>
    </row>
    <row r="803" spans="1:11" x14ac:dyDescent="0.35">
      <c r="A803" s="61">
        <v>45495</v>
      </c>
      <c r="B803" s="49" t="s">
        <v>582</v>
      </c>
      <c r="C803" s="49" t="s">
        <v>583</v>
      </c>
      <c r="D803" s="50">
        <v>574</v>
      </c>
      <c r="E803" s="50">
        <v>227</v>
      </c>
      <c r="F803" s="51">
        <v>0.39547038327526102</v>
      </c>
      <c r="G803" s="50">
        <v>46</v>
      </c>
      <c r="H803" s="51">
        <v>0.20264317180616701</v>
      </c>
      <c r="I803" s="51">
        <v>8.0139372822299604E-2</v>
      </c>
      <c r="J803" s="52" t="s">
        <v>1053</v>
      </c>
      <c r="K803" s="109" t="s">
        <v>1054</v>
      </c>
    </row>
    <row r="804" spans="1:11" x14ac:dyDescent="0.35">
      <c r="A804" s="61">
        <v>45496</v>
      </c>
      <c r="B804" s="49" t="s">
        <v>584</v>
      </c>
      <c r="C804" s="49" t="s">
        <v>10</v>
      </c>
      <c r="D804" s="50">
        <v>1316889</v>
      </c>
      <c r="E804" s="50">
        <v>456718</v>
      </c>
      <c r="F804" s="51">
        <v>0.346815866789076</v>
      </c>
      <c r="G804" s="50">
        <v>11604</v>
      </c>
      <c r="H804" s="51">
        <v>2.54073629679583E-2</v>
      </c>
      <c r="I804" s="51">
        <v>8.8116766105571492E-3</v>
      </c>
      <c r="J804" s="52" t="s">
        <v>1055</v>
      </c>
      <c r="K804" s="109" t="s">
        <v>1056</v>
      </c>
    </row>
    <row r="805" spans="1:11" x14ac:dyDescent="0.35">
      <c r="A805" s="61">
        <v>45496</v>
      </c>
      <c r="B805" s="49" t="s">
        <v>584</v>
      </c>
      <c r="C805" s="49" t="s">
        <v>11</v>
      </c>
      <c r="D805" s="50">
        <v>91138</v>
      </c>
      <c r="E805" s="50">
        <v>31436</v>
      </c>
      <c r="F805" s="51">
        <v>0.34492747262393297</v>
      </c>
      <c r="G805" s="50">
        <v>1194</v>
      </c>
      <c r="H805" s="51">
        <v>3.7981931543453397E-2</v>
      </c>
      <c r="I805" s="51">
        <v>1.31010116526586E-2</v>
      </c>
      <c r="J805" s="52" t="s">
        <v>1055</v>
      </c>
      <c r="K805" s="109" t="s">
        <v>1056</v>
      </c>
    </row>
    <row r="806" spans="1:11" x14ac:dyDescent="0.35">
      <c r="A806" s="61">
        <v>45498</v>
      </c>
      <c r="B806" s="49" t="s">
        <v>557</v>
      </c>
      <c r="C806" s="49" t="s">
        <v>253</v>
      </c>
      <c r="D806" s="50">
        <v>702952</v>
      </c>
      <c r="E806" s="50">
        <v>170379</v>
      </c>
      <c r="F806" s="60">
        <v>0.2424</v>
      </c>
      <c r="G806" s="50">
        <v>2541</v>
      </c>
      <c r="H806" s="60">
        <v>1.49E-2</v>
      </c>
      <c r="I806" s="60">
        <v>3.5999999999999999E-3</v>
      </c>
      <c r="J806" s="52" t="s">
        <v>1055</v>
      </c>
      <c r="K806" s="109" t="s">
        <v>1056</v>
      </c>
    </row>
    <row r="807" spans="1:11" x14ac:dyDescent="0.35">
      <c r="A807" s="61">
        <v>45498</v>
      </c>
      <c r="B807" s="49" t="s">
        <v>558</v>
      </c>
      <c r="C807" s="49" t="s">
        <v>255</v>
      </c>
      <c r="D807" s="50">
        <v>54654</v>
      </c>
      <c r="E807" s="50">
        <v>12457</v>
      </c>
      <c r="F807" s="60">
        <v>0.22789999999999999</v>
      </c>
      <c r="G807" s="49">
        <v>208</v>
      </c>
      <c r="H807" s="60">
        <v>1.67E-2</v>
      </c>
      <c r="I807" s="60">
        <v>3.8E-3</v>
      </c>
      <c r="J807" s="52" t="s">
        <v>1055</v>
      </c>
      <c r="K807" s="109" t="s">
        <v>1056</v>
      </c>
    </row>
    <row r="808" spans="1:11" x14ac:dyDescent="0.35">
      <c r="A808" s="61">
        <v>45498</v>
      </c>
      <c r="B808" s="49" t="s">
        <v>585</v>
      </c>
      <c r="C808" s="49" t="s">
        <v>543</v>
      </c>
      <c r="D808" s="50">
        <v>1216926</v>
      </c>
      <c r="E808" s="50">
        <v>298077</v>
      </c>
      <c r="F808" s="60">
        <v>0.24490000000000001</v>
      </c>
      <c r="G808" s="50">
        <v>4536</v>
      </c>
      <c r="H808" s="60">
        <v>1.52E-2</v>
      </c>
      <c r="I808" s="60">
        <v>3.7000000000000002E-3</v>
      </c>
      <c r="J808" s="52" t="s">
        <v>1055</v>
      </c>
      <c r="K808" s="109" t="s">
        <v>1056</v>
      </c>
    </row>
    <row r="809" spans="1:11" x14ac:dyDescent="0.35">
      <c r="A809" s="61">
        <v>45498</v>
      </c>
      <c r="B809" s="49" t="s">
        <v>586</v>
      </c>
      <c r="C809" s="49" t="s">
        <v>545</v>
      </c>
      <c r="D809" s="50">
        <v>88626</v>
      </c>
      <c r="E809" s="50">
        <v>22073</v>
      </c>
      <c r="F809" s="60">
        <v>0.24909999999999999</v>
      </c>
      <c r="G809" s="49">
        <v>333</v>
      </c>
      <c r="H809" s="60">
        <v>1.5100000000000001E-2</v>
      </c>
      <c r="I809" s="60">
        <v>3.8E-3</v>
      </c>
      <c r="J809" s="52" t="s">
        <v>1055</v>
      </c>
      <c r="K809" s="109" t="s">
        <v>1056</v>
      </c>
    </row>
    <row r="810" spans="1:11" x14ac:dyDescent="0.35">
      <c r="A810" s="61">
        <v>45498</v>
      </c>
      <c r="B810" s="49" t="s">
        <v>570</v>
      </c>
      <c r="C810" s="49" t="s">
        <v>235</v>
      </c>
      <c r="D810" s="50">
        <v>58051</v>
      </c>
      <c r="E810" s="50">
        <v>15463</v>
      </c>
      <c r="F810" s="60">
        <v>0.26640000000000003</v>
      </c>
      <c r="G810" s="49">
        <v>348</v>
      </c>
      <c r="H810" s="60">
        <v>2.2499999999999999E-2</v>
      </c>
      <c r="I810" s="60">
        <v>6.0000000000000001E-3</v>
      </c>
      <c r="J810" s="52" t="s">
        <v>1055</v>
      </c>
      <c r="K810" s="109" t="s">
        <v>1056</v>
      </c>
    </row>
    <row r="811" spans="1:11" x14ac:dyDescent="0.35">
      <c r="A811" s="61">
        <v>45498</v>
      </c>
      <c r="B811" s="49" t="s">
        <v>587</v>
      </c>
      <c r="C811" s="49" t="s">
        <v>72</v>
      </c>
      <c r="D811" s="50">
        <v>472183</v>
      </c>
      <c r="E811" s="50">
        <v>113624</v>
      </c>
      <c r="F811" s="51">
        <v>0.240635516314649</v>
      </c>
      <c r="G811" s="50">
        <v>2866</v>
      </c>
      <c r="H811" s="51">
        <v>2.5223544321622202E-2</v>
      </c>
      <c r="I811" s="51">
        <v>6.0696806111189897E-3</v>
      </c>
      <c r="J811" s="52" t="s">
        <v>1055</v>
      </c>
      <c r="K811" s="109" t="s">
        <v>1056</v>
      </c>
    </row>
    <row r="812" spans="1:11" x14ac:dyDescent="0.35">
      <c r="A812" s="61">
        <v>45498</v>
      </c>
      <c r="B812" s="49" t="s">
        <v>587</v>
      </c>
      <c r="C812" s="49" t="s">
        <v>73</v>
      </c>
      <c r="D812" s="50">
        <v>24163</v>
      </c>
      <c r="E812" s="50">
        <v>5731</v>
      </c>
      <c r="F812" s="51">
        <v>0.23718081364068999</v>
      </c>
      <c r="G812" s="50">
        <v>208</v>
      </c>
      <c r="H812" s="51">
        <v>3.6293840516489297E-2</v>
      </c>
      <c r="I812" s="51">
        <v>8.6082026238463796E-3</v>
      </c>
      <c r="J812" s="52" t="s">
        <v>1055</v>
      </c>
      <c r="K812" s="109" t="s">
        <v>1056</v>
      </c>
    </row>
    <row r="813" spans="1:11" x14ac:dyDescent="0.35">
      <c r="A813" s="61">
        <v>45498</v>
      </c>
      <c r="B813" s="49" t="s">
        <v>588</v>
      </c>
      <c r="C813" s="49" t="s">
        <v>10</v>
      </c>
      <c r="D813" s="50">
        <v>75671</v>
      </c>
      <c r="E813" s="50">
        <v>20003</v>
      </c>
      <c r="F813" s="51">
        <v>0.26434168968297</v>
      </c>
      <c r="G813" s="50">
        <v>357</v>
      </c>
      <c r="H813" s="51">
        <v>1.7847322901564801E-2</v>
      </c>
      <c r="I813" s="51">
        <v>4.7177914921171897E-3</v>
      </c>
      <c r="J813" s="52" t="s">
        <v>1055</v>
      </c>
      <c r="K813" s="109" t="s">
        <v>1056</v>
      </c>
    </row>
    <row r="814" spans="1:11" x14ac:dyDescent="0.35">
      <c r="A814" s="61">
        <v>45499</v>
      </c>
      <c r="B814" s="49" t="s">
        <v>589</v>
      </c>
      <c r="C814" s="49" t="s">
        <v>10</v>
      </c>
      <c r="D814" s="50">
        <v>391753</v>
      </c>
      <c r="E814" s="50">
        <v>104675</v>
      </c>
      <c r="F814" s="51">
        <v>0.26719642223543899</v>
      </c>
      <c r="G814" s="50">
        <v>2507</v>
      </c>
      <c r="H814" s="51">
        <v>2.3950322426558399E-2</v>
      </c>
      <c r="I814" s="51">
        <v>6.3994404637615996E-3</v>
      </c>
      <c r="J814" s="52" t="s">
        <v>1057</v>
      </c>
      <c r="K814" s="109" t="s">
        <v>1054</v>
      </c>
    </row>
    <row r="815" spans="1:11" x14ac:dyDescent="0.35">
      <c r="A815" s="61">
        <v>45499</v>
      </c>
      <c r="B815" s="49" t="s">
        <v>590</v>
      </c>
      <c r="C815" s="49" t="s">
        <v>524</v>
      </c>
      <c r="D815" s="50">
        <v>240966</v>
      </c>
      <c r="E815" s="50">
        <v>61784</v>
      </c>
      <c r="F815" s="51">
        <v>0.25640131802826999</v>
      </c>
      <c r="G815" s="50">
        <v>956</v>
      </c>
      <c r="H815" s="51">
        <v>1.54732616858734E-2</v>
      </c>
      <c r="I815" s="51">
        <v>3.9673646904542503E-3</v>
      </c>
      <c r="J815" s="52" t="s">
        <v>1055</v>
      </c>
      <c r="K815" s="109" t="s">
        <v>1056</v>
      </c>
    </row>
    <row r="816" spans="1:11" x14ac:dyDescent="0.35">
      <c r="A816" s="61">
        <v>45499</v>
      </c>
      <c r="B816" s="49" t="s">
        <v>590</v>
      </c>
      <c r="C816" s="49" t="s">
        <v>525</v>
      </c>
      <c r="D816" s="50">
        <v>15451</v>
      </c>
      <c r="E816" s="50">
        <v>3567</v>
      </c>
      <c r="F816" s="51">
        <v>0.230858844087761</v>
      </c>
      <c r="G816" s="50">
        <v>68</v>
      </c>
      <c r="H816" s="51">
        <v>1.9063638912251199E-2</v>
      </c>
      <c r="I816" s="51">
        <v>4.4010096433887798E-3</v>
      </c>
      <c r="J816" s="52" t="s">
        <v>1055</v>
      </c>
      <c r="K816" s="109" t="s">
        <v>1056</v>
      </c>
    </row>
    <row r="817" spans="1:11" x14ac:dyDescent="0.35">
      <c r="A817" s="61">
        <v>45499</v>
      </c>
      <c r="B817" s="49" t="s">
        <v>590</v>
      </c>
      <c r="C817" s="49" t="s">
        <v>526</v>
      </c>
      <c r="D817" s="50">
        <v>4349935</v>
      </c>
      <c r="E817" s="50">
        <v>1066631</v>
      </c>
      <c r="F817" s="51">
        <v>0.245206192736213</v>
      </c>
      <c r="G817" s="50">
        <v>16165</v>
      </c>
      <c r="H817" s="51">
        <v>1.5155194251807801E-2</v>
      </c>
      <c r="I817" s="51">
        <v>3.7161474826635302E-3</v>
      </c>
      <c r="J817" s="52" t="s">
        <v>1055</v>
      </c>
      <c r="K817" s="109" t="s">
        <v>1056</v>
      </c>
    </row>
    <row r="818" spans="1:11" x14ac:dyDescent="0.35">
      <c r="A818" s="61">
        <v>45499</v>
      </c>
      <c r="B818" s="49" t="s">
        <v>590</v>
      </c>
      <c r="C818" s="49" t="s">
        <v>527</v>
      </c>
      <c r="D818" s="50">
        <v>279170</v>
      </c>
      <c r="E818" s="50">
        <v>63974</v>
      </c>
      <c r="F818" s="51">
        <v>0.22915786080166201</v>
      </c>
      <c r="G818" s="50">
        <v>1128</v>
      </c>
      <c r="H818" s="51">
        <v>1.7632163066245699E-2</v>
      </c>
      <c r="I818" s="51">
        <v>4.0405487695669299E-3</v>
      </c>
      <c r="J818" s="52" t="s">
        <v>1055</v>
      </c>
      <c r="K818" s="109" t="s">
        <v>1056</v>
      </c>
    </row>
    <row r="819" spans="1:11" x14ac:dyDescent="0.35">
      <c r="A819" s="61">
        <v>45499</v>
      </c>
      <c r="B819" s="49" t="s">
        <v>590</v>
      </c>
      <c r="C819" s="49" t="s">
        <v>528</v>
      </c>
      <c r="D819" s="50">
        <v>240675</v>
      </c>
      <c r="E819" s="50">
        <v>64962</v>
      </c>
      <c r="F819" s="51">
        <v>0.26991586163914</v>
      </c>
      <c r="G819" s="50">
        <v>868</v>
      </c>
      <c r="H819" s="51">
        <v>1.3361657584434E-2</v>
      </c>
      <c r="I819" s="51">
        <v>3.6065233198296501E-3</v>
      </c>
      <c r="J819" s="52" t="s">
        <v>1055</v>
      </c>
      <c r="K819" s="109" t="s">
        <v>1056</v>
      </c>
    </row>
    <row r="820" spans="1:11" x14ac:dyDescent="0.35">
      <c r="A820" s="61">
        <v>45499</v>
      </c>
      <c r="B820" s="49" t="s">
        <v>590</v>
      </c>
      <c r="C820" s="49" t="s">
        <v>529</v>
      </c>
      <c r="D820" s="50">
        <v>15237</v>
      </c>
      <c r="E820" s="50">
        <v>3858</v>
      </c>
      <c r="F820" s="51">
        <v>0.25319944871037597</v>
      </c>
      <c r="G820" s="50">
        <v>68</v>
      </c>
      <c r="H820" s="51">
        <v>1.7625712804561999E-2</v>
      </c>
      <c r="I820" s="51">
        <v>4.4628207652424997E-3</v>
      </c>
      <c r="J820" s="52" t="s">
        <v>1055</v>
      </c>
      <c r="K820" s="109" t="s">
        <v>1056</v>
      </c>
    </row>
    <row r="821" spans="1:11" x14ac:dyDescent="0.35">
      <c r="A821" s="61">
        <v>45502</v>
      </c>
      <c r="B821" s="49" t="s">
        <v>591</v>
      </c>
      <c r="C821" s="49" t="s">
        <v>10</v>
      </c>
      <c r="D821" s="50">
        <v>6444080</v>
      </c>
      <c r="E821" s="50">
        <v>2131162</v>
      </c>
      <c r="F821" s="51">
        <v>0.33071625429851897</v>
      </c>
      <c r="G821" s="50">
        <v>14257</v>
      </c>
      <c r="H821" s="51">
        <v>6.6897776893544503E-3</v>
      </c>
      <c r="I821" s="51">
        <v>2.2124182195130998E-3</v>
      </c>
      <c r="J821" s="52" t="s">
        <v>1059</v>
      </c>
      <c r="K821" s="109" t="s">
        <v>1054</v>
      </c>
    </row>
    <row r="822" spans="1:11" x14ac:dyDescent="0.35">
      <c r="A822" s="61">
        <v>45502</v>
      </c>
      <c r="B822" s="49" t="s">
        <v>591</v>
      </c>
      <c r="C822" s="49" t="s">
        <v>11</v>
      </c>
      <c r="D822" s="50">
        <v>417043</v>
      </c>
      <c r="E822" s="50">
        <v>129774</v>
      </c>
      <c r="F822" s="51">
        <v>0.31117654534424499</v>
      </c>
      <c r="G822" s="50">
        <v>1242</v>
      </c>
      <c r="H822" s="51">
        <v>9.5704840723103198E-3</v>
      </c>
      <c r="I822" s="51">
        <v>2.9781101708936499E-3</v>
      </c>
      <c r="J822" s="52" t="s">
        <v>1059</v>
      </c>
      <c r="K822" s="109" t="s">
        <v>1054</v>
      </c>
    </row>
    <row r="823" spans="1:11" x14ac:dyDescent="0.35">
      <c r="A823" s="61">
        <v>45503</v>
      </c>
      <c r="B823" s="49" t="s">
        <v>592</v>
      </c>
      <c r="C823" s="49" t="s">
        <v>10</v>
      </c>
      <c r="D823" s="50">
        <v>1339316</v>
      </c>
      <c r="E823" s="50">
        <v>449447</v>
      </c>
      <c r="F823" s="51">
        <v>0.335579504762132</v>
      </c>
      <c r="G823" s="50">
        <v>6478</v>
      </c>
      <c r="H823" s="51">
        <v>1.44132678602816E-2</v>
      </c>
      <c r="I823" s="51">
        <v>4.8367972905572704E-3</v>
      </c>
      <c r="J823" s="52" t="s">
        <v>1055</v>
      </c>
      <c r="K823" s="109" t="s">
        <v>1056</v>
      </c>
    </row>
    <row r="824" spans="1:11" x14ac:dyDescent="0.35">
      <c r="A824" s="61">
        <v>45503</v>
      </c>
      <c r="B824" s="49" t="s">
        <v>592</v>
      </c>
      <c r="C824" s="49" t="s">
        <v>11</v>
      </c>
      <c r="D824" s="50">
        <v>92210</v>
      </c>
      <c r="E824" s="50">
        <v>28251</v>
      </c>
      <c r="F824" s="51">
        <v>0.306376748725735</v>
      </c>
      <c r="G824" s="50">
        <v>641</v>
      </c>
      <c r="H824" s="51">
        <v>2.2689462319917902E-2</v>
      </c>
      <c r="I824" s="51">
        <v>6.9515236959115101E-3</v>
      </c>
      <c r="J824" s="52" t="s">
        <v>1055</v>
      </c>
      <c r="K824" s="109" t="s">
        <v>1056</v>
      </c>
    </row>
    <row r="825" spans="1:11" x14ac:dyDescent="0.35">
      <c r="A825" s="61">
        <v>45503</v>
      </c>
      <c r="B825" s="49" t="s">
        <v>593</v>
      </c>
      <c r="C825" s="49" t="s">
        <v>10</v>
      </c>
      <c r="D825" s="50">
        <v>172492</v>
      </c>
      <c r="E825" s="50">
        <v>58611</v>
      </c>
      <c r="F825" s="51">
        <v>0.33978967140505101</v>
      </c>
      <c r="G825" s="50">
        <v>681</v>
      </c>
      <c r="H825" s="51">
        <v>1.16189793724727E-2</v>
      </c>
      <c r="I825" s="51">
        <v>3.9480091830345803E-3</v>
      </c>
      <c r="J825" s="52" t="s">
        <v>1055</v>
      </c>
      <c r="K825" s="109" t="s">
        <v>1056</v>
      </c>
    </row>
    <row r="826" spans="1:11" x14ac:dyDescent="0.35">
      <c r="A826" s="61">
        <v>45503</v>
      </c>
      <c r="B826" s="49" t="s">
        <v>593</v>
      </c>
      <c r="C826" s="49" t="s">
        <v>11</v>
      </c>
      <c r="D826" s="50">
        <v>5857</v>
      </c>
      <c r="E826" s="50">
        <v>1875</v>
      </c>
      <c r="F826" s="51">
        <v>0.32012975926242099</v>
      </c>
      <c r="G826" s="50">
        <v>24</v>
      </c>
      <c r="H826" s="51">
        <v>1.2800000000000001E-2</v>
      </c>
      <c r="I826" s="51">
        <v>4.0976609185589897E-3</v>
      </c>
      <c r="J826" s="52" t="s">
        <v>1055</v>
      </c>
      <c r="K826" s="109" t="s">
        <v>1056</v>
      </c>
    </row>
    <row r="827" spans="1:11" x14ac:dyDescent="0.35">
      <c r="A827" s="61">
        <v>45503</v>
      </c>
      <c r="B827" s="49" t="s">
        <v>594</v>
      </c>
      <c r="C827" s="49" t="s">
        <v>74</v>
      </c>
      <c r="D827" s="50">
        <v>7128</v>
      </c>
      <c r="E827" s="50">
        <v>2562</v>
      </c>
      <c r="F827" s="51">
        <v>0.35942760942760899</v>
      </c>
      <c r="G827" s="50">
        <v>27</v>
      </c>
      <c r="H827" s="51">
        <v>1.0538641686182701E-2</v>
      </c>
      <c r="I827" s="51">
        <v>3.7878787878787902E-3</v>
      </c>
      <c r="J827" s="52" t="s">
        <v>1055</v>
      </c>
      <c r="K827" s="109" t="s">
        <v>1056</v>
      </c>
    </row>
    <row r="828" spans="1:11" x14ac:dyDescent="0.35">
      <c r="A828" s="61">
        <v>45503</v>
      </c>
      <c r="B828" s="49" t="s">
        <v>594</v>
      </c>
      <c r="C828" s="49" t="s">
        <v>72</v>
      </c>
      <c r="D828" s="50">
        <v>135376</v>
      </c>
      <c r="E828" s="50">
        <v>48848</v>
      </c>
      <c r="F828" s="51">
        <v>0.36083205294882398</v>
      </c>
      <c r="G828" s="50">
        <v>742</v>
      </c>
      <c r="H828" s="51">
        <v>1.51899770717327E-2</v>
      </c>
      <c r="I828" s="51">
        <v>5.4810306110388797E-3</v>
      </c>
      <c r="J828" s="52" t="s">
        <v>1055</v>
      </c>
      <c r="K828" s="109" t="s">
        <v>1056</v>
      </c>
    </row>
    <row r="829" spans="1:11" x14ac:dyDescent="0.35">
      <c r="A829" s="61">
        <v>45503</v>
      </c>
      <c r="B829" s="49" t="s">
        <v>594</v>
      </c>
      <c r="C829" s="49" t="s">
        <v>75</v>
      </c>
      <c r="D829" s="50">
        <v>771</v>
      </c>
      <c r="E829" s="50">
        <v>266</v>
      </c>
      <c r="F829" s="51">
        <v>0.34500648508430598</v>
      </c>
      <c r="G829" s="50">
        <v>9</v>
      </c>
      <c r="H829" s="51">
        <v>3.3834586466165398E-2</v>
      </c>
      <c r="I829" s="51">
        <v>1.1673151750972799E-2</v>
      </c>
      <c r="J829" s="52" t="s">
        <v>1055</v>
      </c>
      <c r="K829" s="109" t="s">
        <v>1056</v>
      </c>
    </row>
    <row r="830" spans="1:11" x14ac:dyDescent="0.35">
      <c r="A830" s="61">
        <v>45503</v>
      </c>
      <c r="B830" s="49" t="s">
        <v>594</v>
      </c>
      <c r="C830" s="49" t="s">
        <v>73</v>
      </c>
      <c r="D830" s="50">
        <v>14796</v>
      </c>
      <c r="E830" s="50">
        <v>5584</v>
      </c>
      <c r="F830" s="51">
        <v>0.377399297107326</v>
      </c>
      <c r="G830" s="50">
        <v>121</v>
      </c>
      <c r="H830" s="51">
        <v>2.1669054441260702E-2</v>
      </c>
      <c r="I830" s="51">
        <v>8.1778859151121902E-3</v>
      </c>
      <c r="J830" s="52" t="s">
        <v>1055</v>
      </c>
      <c r="K830" s="109" t="s">
        <v>1056</v>
      </c>
    </row>
    <row r="831" spans="1:11" x14ac:dyDescent="0.35">
      <c r="A831" s="61">
        <v>45504</v>
      </c>
      <c r="B831" s="49" t="s">
        <v>595</v>
      </c>
      <c r="C831" s="49" t="s">
        <v>596</v>
      </c>
      <c r="D831" s="50">
        <v>5475</v>
      </c>
      <c r="E831" s="50">
        <v>2509</v>
      </c>
      <c r="F831" s="51">
        <v>0.45826484018264801</v>
      </c>
      <c r="G831" s="50">
        <v>462</v>
      </c>
      <c r="H831" s="51">
        <v>0.18413710641689901</v>
      </c>
      <c r="I831" s="51">
        <v>8.4383561643835606E-2</v>
      </c>
      <c r="J831" s="52" t="s">
        <v>1058</v>
      </c>
      <c r="K831" s="109" t="s">
        <v>1054</v>
      </c>
    </row>
    <row r="832" spans="1:11" x14ac:dyDescent="0.35">
      <c r="A832" s="61">
        <v>45504</v>
      </c>
      <c r="B832" s="49" t="s">
        <v>595</v>
      </c>
      <c r="C832" s="49" t="s">
        <v>597</v>
      </c>
      <c r="D832" s="50">
        <v>34372</v>
      </c>
      <c r="E832" s="50">
        <v>16545</v>
      </c>
      <c r="F832" s="51">
        <v>0.48135109973234003</v>
      </c>
      <c r="G832" s="50">
        <v>2238</v>
      </c>
      <c r="H832" s="51">
        <v>0.13526745240253901</v>
      </c>
      <c r="I832" s="51">
        <v>6.5111136971953906E-2</v>
      </c>
      <c r="J832" s="52" t="s">
        <v>1058</v>
      </c>
      <c r="K832" s="109" t="s">
        <v>1054</v>
      </c>
    </row>
    <row r="833" spans="1:11" x14ac:dyDescent="0.35">
      <c r="A833" s="61">
        <v>45504</v>
      </c>
      <c r="B833" s="49" t="s">
        <v>595</v>
      </c>
      <c r="C833" s="49" t="s">
        <v>598</v>
      </c>
      <c r="D833" s="50">
        <v>2546</v>
      </c>
      <c r="E833" s="50">
        <v>1263</v>
      </c>
      <c r="F833" s="51">
        <v>0.49607227022780798</v>
      </c>
      <c r="G833" s="50">
        <v>216</v>
      </c>
      <c r="H833" s="51">
        <v>0.17102137767220901</v>
      </c>
      <c r="I833" s="51">
        <v>8.4838963079340093E-2</v>
      </c>
      <c r="J833" s="52" t="s">
        <v>1058</v>
      </c>
      <c r="K833" s="109" t="s">
        <v>1054</v>
      </c>
    </row>
    <row r="834" spans="1:11" x14ac:dyDescent="0.35">
      <c r="A834" s="61">
        <v>45504</v>
      </c>
      <c r="B834" s="49" t="s">
        <v>595</v>
      </c>
      <c r="C834" s="49" t="s">
        <v>599</v>
      </c>
      <c r="D834" s="50">
        <v>1627</v>
      </c>
      <c r="E834" s="50">
        <v>829</v>
      </c>
      <c r="F834" s="51">
        <v>0.50952673632452405</v>
      </c>
      <c r="G834" s="50">
        <v>164</v>
      </c>
      <c r="H834" s="51">
        <v>0.19782870928829899</v>
      </c>
      <c r="I834" s="51">
        <v>0.10079901659496</v>
      </c>
      <c r="J834" s="52" t="s">
        <v>1058</v>
      </c>
      <c r="K834" s="109" t="s">
        <v>1054</v>
      </c>
    </row>
    <row r="835" spans="1:11" x14ac:dyDescent="0.35">
      <c r="A835" s="61">
        <v>45505</v>
      </c>
      <c r="B835" s="49" t="s">
        <v>600</v>
      </c>
      <c r="C835" s="49" t="s">
        <v>543</v>
      </c>
      <c r="D835" s="50">
        <v>1293055</v>
      </c>
      <c r="E835" s="50">
        <v>420610</v>
      </c>
      <c r="F835" s="60">
        <v>0.32529999999999998</v>
      </c>
      <c r="G835" s="50">
        <v>4347</v>
      </c>
      <c r="H835" s="60">
        <v>1.03E-2</v>
      </c>
      <c r="I835" s="60">
        <v>3.3999999999999998E-3</v>
      </c>
      <c r="J835" s="52" t="s">
        <v>1055</v>
      </c>
      <c r="K835" s="109" t="s">
        <v>1056</v>
      </c>
    </row>
    <row r="836" spans="1:11" x14ac:dyDescent="0.35">
      <c r="A836" s="61">
        <v>45505</v>
      </c>
      <c r="B836" s="49" t="s">
        <v>601</v>
      </c>
      <c r="C836" s="49" t="s">
        <v>545</v>
      </c>
      <c r="D836" s="50">
        <v>42989</v>
      </c>
      <c r="E836" s="50">
        <v>12732</v>
      </c>
      <c r="F836" s="51">
        <v>0.29616878736420899</v>
      </c>
      <c r="G836" s="50">
        <v>144</v>
      </c>
      <c r="H836" s="51">
        <v>1.13100848256362E-2</v>
      </c>
      <c r="I836" s="51">
        <v>3.3496941077950202E-3</v>
      </c>
      <c r="J836" s="52" t="s">
        <v>1055</v>
      </c>
      <c r="K836" s="109" t="s">
        <v>1056</v>
      </c>
    </row>
    <row r="837" spans="1:11" x14ac:dyDescent="0.35">
      <c r="A837" s="61">
        <v>45505</v>
      </c>
      <c r="B837" s="49" t="s">
        <v>585</v>
      </c>
      <c r="C837" s="49" t="s">
        <v>234</v>
      </c>
      <c r="D837" s="50">
        <v>1088034</v>
      </c>
      <c r="E837" s="50">
        <v>352248</v>
      </c>
      <c r="F837" s="60">
        <v>0.32369999999999999</v>
      </c>
      <c r="G837" s="50">
        <v>3173</v>
      </c>
      <c r="H837" s="60">
        <v>8.9999999999999993E-3</v>
      </c>
      <c r="I837" s="60">
        <v>2.8999999999999998E-3</v>
      </c>
      <c r="J837" s="52" t="s">
        <v>1055</v>
      </c>
      <c r="K837" s="109" t="s">
        <v>1056</v>
      </c>
    </row>
    <row r="838" spans="1:11" x14ac:dyDescent="0.35">
      <c r="A838" s="61">
        <v>45505</v>
      </c>
      <c r="B838" s="49" t="s">
        <v>586</v>
      </c>
      <c r="C838" s="49" t="s">
        <v>235</v>
      </c>
      <c r="D838" s="50">
        <v>81844</v>
      </c>
      <c r="E838" s="50">
        <v>25535</v>
      </c>
      <c r="F838" s="60">
        <v>0.312</v>
      </c>
      <c r="G838" s="49">
        <v>288</v>
      </c>
      <c r="H838" s="60">
        <v>1.1299999999999999E-2</v>
      </c>
      <c r="I838" s="60">
        <v>3.5000000000000001E-3</v>
      </c>
      <c r="J838" s="52" t="s">
        <v>1055</v>
      </c>
      <c r="K838" s="109" t="s">
        <v>1056</v>
      </c>
    </row>
    <row r="839" spans="1:11" x14ac:dyDescent="0.35">
      <c r="A839" s="61">
        <v>45505</v>
      </c>
      <c r="B839" s="49" t="s">
        <v>570</v>
      </c>
      <c r="C839" s="49" t="s">
        <v>255</v>
      </c>
      <c r="D839" s="50">
        <v>40296</v>
      </c>
      <c r="E839" s="50">
        <v>14274</v>
      </c>
      <c r="F839" s="51">
        <v>0.35422870756402602</v>
      </c>
      <c r="G839" s="50">
        <v>270</v>
      </c>
      <c r="H839" s="51">
        <v>1.8915510718789399E-2</v>
      </c>
      <c r="I839" s="51">
        <v>6.70041691483026E-3</v>
      </c>
      <c r="J839" s="52" t="s">
        <v>1055</v>
      </c>
      <c r="K839" s="109" t="s">
        <v>1056</v>
      </c>
    </row>
    <row r="840" spans="1:11" x14ac:dyDescent="0.35">
      <c r="A840" s="61">
        <v>45505</v>
      </c>
      <c r="B840" s="49" t="s">
        <v>602</v>
      </c>
      <c r="C840" s="49" t="s">
        <v>84</v>
      </c>
      <c r="D840" s="50">
        <v>11174</v>
      </c>
      <c r="E840" s="50">
        <v>3551</v>
      </c>
      <c r="F840" s="51">
        <v>0.31779130123500998</v>
      </c>
      <c r="G840" s="50">
        <v>39</v>
      </c>
      <c r="H840" s="51">
        <v>1.09828217403548E-2</v>
      </c>
      <c r="I840" s="51">
        <v>3.4902452120995201E-3</v>
      </c>
      <c r="J840" s="52" t="s">
        <v>1055</v>
      </c>
      <c r="K840" s="109" t="s">
        <v>1056</v>
      </c>
    </row>
    <row r="841" spans="1:11" x14ac:dyDescent="0.35">
      <c r="A841" s="61">
        <v>45505</v>
      </c>
      <c r="B841" s="49" t="s">
        <v>602</v>
      </c>
      <c r="C841" s="49" t="s">
        <v>72</v>
      </c>
      <c r="D841" s="50">
        <v>211799</v>
      </c>
      <c r="E841" s="50">
        <v>67746</v>
      </c>
      <c r="F841" s="51">
        <v>0.31985986713818298</v>
      </c>
      <c r="G841" s="50">
        <v>676</v>
      </c>
      <c r="H841" s="51">
        <v>9.9784489121128896E-3</v>
      </c>
      <c r="I841" s="51">
        <v>3.1917053432735801E-3</v>
      </c>
      <c r="J841" s="52" t="s">
        <v>1055</v>
      </c>
      <c r="K841" s="109" t="s">
        <v>1056</v>
      </c>
    </row>
    <row r="842" spans="1:11" x14ac:dyDescent="0.35">
      <c r="A842" s="61">
        <v>45505</v>
      </c>
      <c r="B842" s="49" t="s">
        <v>602</v>
      </c>
      <c r="C842" s="49" t="s">
        <v>85</v>
      </c>
      <c r="D842" s="50">
        <v>583</v>
      </c>
      <c r="E842" s="50">
        <v>195</v>
      </c>
      <c r="F842" s="51">
        <v>0.33447684391080601</v>
      </c>
      <c r="G842" s="50">
        <v>4</v>
      </c>
      <c r="H842" s="51">
        <v>2.0512820512820499E-2</v>
      </c>
      <c r="I842" s="51">
        <v>6.8610634648370496E-3</v>
      </c>
      <c r="J842" s="52" t="s">
        <v>1055</v>
      </c>
      <c r="K842" s="109" t="s">
        <v>1056</v>
      </c>
    </row>
    <row r="843" spans="1:11" x14ac:dyDescent="0.35">
      <c r="A843" s="61">
        <v>45505</v>
      </c>
      <c r="B843" s="49" t="s">
        <v>602</v>
      </c>
      <c r="C843" s="49" t="s">
        <v>73</v>
      </c>
      <c r="D843" s="50">
        <v>12023</v>
      </c>
      <c r="E843" s="50">
        <v>3679</v>
      </c>
      <c r="F843" s="51">
        <v>0.30599683939116701</v>
      </c>
      <c r="G843" s="50">
        <v>48</v>
      </c>
      <c r="H843" s="51">
        <v>1.30470236477304E-2</v>
      </c>
      <c r="I843" s="51">
        <v>3.9923479996672997E-3</v>
      </c>
      <c r="J843" s="52" t="s">
        <v>1055</v>
      </c>
      <c r="K843" s="109" t="s">
        <v>1056</v>
      </c>
    </row>
    <row r="844" spans="1:11" x14ac:dyDescent="0.35">
      <c r="A844" s="61">
        <v>45505</v>
      </c>
      <c r="B844" s="49" t="s">
        <v>603</v>
      </c>
      <c r="C844" s="49" t="s">
        <v>10</v>
      </c>
      <c r="D844" s="50">
        <v>86950</v>
      </c>
      <c r="E844" s="50">
        <v>30473</v>
      </c>
      <c r="F844" s="51">
        <v>0.35046578493386998</v>
      </c>
      <c r="G844" s="50">
        <v>3253</v>
      </c>
      <c r="H844" s="51">
        <v>0.106750237915532</v>
      </c>
      <c r="I844" s="51">
        <v>3.74123059229442E-2</v>
      </c>
      <c r="J844" s="52" t="s">
        <v>1053</v>
      </c>
      <c r="K844" s="109" t="s">
        <v>1054</v>
      </c>
    </row>
    <row r="845" spans="1:11" x14ac:dyDescent="0.35">
      <c r="A845" s="61">
        <v>45505</v>
      </c>
      <c r="B845" s="49" t="s">
        <v>603</v>
      </c>
      <c r="C845" s="49" t="s">
        <v>11</v>
      </c>
      <c r="D845" s="50">
        <v>9592</v>
      </c>
      <c r="E845" s="50">
        <v>3239</v>
      </c>
      <c r="F845" s="51">
        <v>0.33767723102585501</v>
      </c>
      <c r="G845" s="50">
        <v>525</v>
      </c>
      <c r="H845" s="51">
        <v>0.16208706390861399</v>
      </c>
      <c r="I845" s="51">
        <v>5.4733110925771503E-2</v>
      </c>
      <c r="J845" s="52" t="s">
        <v>1053</v>
      </c>
      <c r="K845" s="109" t="s">
        <v>1054</v>
      </c>
    </row>
    <row r="846" spans="1:11" x14ac:dyDescent="0.35">
      <c r="A846" s="61">
        <v>45506</v>
      </c>
      <c r="B846" s="49" t="s">
        <v>604</v>
      </c>
      <c r="C846" s="49" t="s">
        <v>10</v>
      </c>
      <c r="D846" s="50">
        <v>396585</v>
      </c>
      <c r="E846" s="50">
        <v>130124</v>
      </c>
      <c r="F846" s="51">
        <v>0.32811124979512601</v>
      </c>
      <c r="G846" s="50">
        <v>3149</v>
      </c>
      <c r="H846" s="51">
        <v>2.4199993852018101E-2</v>
      </c>
      <c r="I846" s="51">
        <v>7.9402902278200103E-3</v>
      </c>
      <c r="J846" s="52" t="s">
        <v>1057</v>
      </c>
      <c r="K846" s="109" t="s">
        <v>1054</v>
      </c>
    </row>
    <row r="847" spans="1:11" x14ac:dyDescent="0.35">
      <c r="A847" s="61">
        <v>45506</v>
      </c>
      <c r="B847" s="49" t="s">
        <v>604</v>
      </c>
      <c r="C847" s="49" t="s">
        <v>11</v>
      </c>
      <c r="D847" s="50">
        <v>21896</v>
      </c>
      <c r="E847" s="50">
        <v>7027</v>
      </c>
      <c r="F847" s="51">
        <v>0.32092619656558302</v>
      </c>
      <c r="G847" s="50">
        <v>333</v>
      </c>
      <c r="H847" s="51">
        <v>4.7388643802476198E-2</v>
      </c>
      <c r="I847" s="51">
        <v>1.5208257215929799E-2</v>
      </c>
      <c r="J847" s="52" t="s">
        <v>1057</v>
      </c>
      <c r="K847" s="109" t="s">
        <v>1054</v>
      </c>
    </row>
    <row r="848" spans="1:11" x14ac:dyDescent="0.35">
      <c r="A848" s="61">
        <v>45506</v>
      </c>
      <c r="B848" s="49" t="s">
        <v>605</v>
      </c>
      <c r="C848" s="49" t="s">
        <v>104</v>
      </c>
      <c r="D848" s="50">
        <v>275995</v>
      </c>
      <c r="E848" s="50">
        <v>88204</v>
      </c>
      <c r="F848" s="51">
        <v>0.31958549973731398</v>
      </c>
      <c r="G848" s="50">
        <v>1636</v>
      </c>
      <c r="H848" s="51">
        <v>1.8547911659335201E-2</v>
      </c>
      <c r="I848" s="51">
        <v>5.9276436167321903E-3</v>
      </c>
      <c r="J848" s="52" t="s">
        <v>1060</v>
      </c>
      <c r="K848" s="109" t="s">
        <v>1054</v>
      </c>
    </row>
    <row r="849" spans="1:11" x14ac:dyDescent="0.35">
      <c r="A849" s="61">
        <v>45506</v>
      </c>
      <c r="B849" s="49" t="s">
        <v>606</v>
      </c>
      <c r="C849" s="49" t="s">
        <v>10</v>
      </c>
      <c r="D849" s="50">
        <v>4404914</v>
      </c>
      <c r="E849" s="50">
        <v>1328657</v>
      </c>
      <c r="F849" s="51">
        <v>0.301630633424398</v>
      </c>
      <c r="G849" s="50">
        <v>16133</v>
      </c>
      <c r="H849" s="51">
        <v>1.2142336208667901E-2</v>
      </c>
      <c r="I849" s="51">
        <v>3.6625005618724899E-3</v>
      </c>
      <c r="J849" s="52" t="s">
        <v>1055</v>
      </c>
      <c r="K849" s="109" t="s">
        <v>1056</v>
      </c>
    </row>
    <row r="850" spans="1:11" x14ac:dyDescent="0.35">
      <c r="A850" s="61">
        <v>45506</v>
      </c>
      <c r="B850" s="49" t="s">
        <v>606</v>
      </c>
      <c r="C850" s="49" t="s">
        <v>11</v>
      </c>
      <c r="D850" s="50">
        <v>281259</v>
      </c>
      <c r="E850" s="50">
        <v>74041</v>
      </c>
      <c r="F850" s="51">
        <v>0.26324846493801102</v>
      </c>
      <c r="G850" s="50">
        <v>977</v>
      </c>
      <c r="H850" s="51">
        <v>1.3195391742413E-2</v>
      </c>
      <c r="I850" s="51">
        <v>3.4736666204459202E-3</v>
      </c>
      <c r="J850" s="52" t="s">
        <v>1055</v>
      </c>
      <c r="K850" s="109" t="s">
        <v>1056</v>
      </c>
    </row>
    <row r="851" spans="1:11" x14ac:dyDescent="0.35">
      <c r="A851" s="61">
        <v>45506</v>
      </c>
      <c r="B851" s="49" t="s">
        <v>606</v>
      </c>
      <c r="C851" s="49" t="s">
        <v>528</v>
      </c>
      <c r="D851" s="50">
        <v>237607</v>
      </c>
      <c r="E851" s="50">
        <v>81748</v>
      </c>
      <c r="F851" s="51">
        <v>0.34404710298939001</v>
      </c>
      <c r="G851" s="50">
        <v>1015</v>
      </c>
      <c r="H851" s="51">
        <v>1.2416205901061799E-2</v>
      </c>
      <c r="I851" s="51">
        <v>4.2717596703800804E-3</v>
      </c>
      <c r="J851" s="52" t="s">
        <v>1055</v>
      </c>
      <c r="K851" s="109" t="s">
        <v>1056</v>
      </c>
    </row>
    <row r="852" spans="1:11" x14ac:dyDescent="0.35">
      <c r="A852" s="61">
        <v>45506</v>
      </c>
      <c r="B852" s="49" t="s">
        <v>606</v>
      </c>
      <c r="C852" s="49" t="s">
        <v>529</v>
      </c>
      <c r="D852" s="50">
        <v>15257</v>
      </c>
      <c r="E852" s="50">
        <v>4885</v>
      </c>
      <c r="F852" s="51">
        <v>0.32018090057023002</v>
      </c>
      <c r="G852" s="50">
        <v>65</v>
      </c>
      <c r="H852" s="51">
        <v>1.33060388945752E-2</v>
      </c>
      <c r="I852" s="51">
        <v>4.26033951628761E-3</v>
      </c>
      <c r="J852" s="52" t="s">
        <v>1055</v>
      </c>
      <c r="K852" s="109" t="s">
        <v>1056</v>
      </c>
    </row>
    <row r="853" spans="1:11" x14ac:dyDescent="0.35">
      <c r="A853" s="61">
        <v>45507</v>
      </c>
      <c r="B853" s="49" t="s">
        <v>607</v>
      </c>
      <c r="C853" s="49" t="s">
        <v>10</v>
      </c>
      <c r="D853" s="50">
        <v>63460</v>
      </c>
      <c r="E853" s="50">
        <v>21970</v>
      </c>
      <c r="F853" s="51">
        <v>0.34620233217774998</v>
      </c>
      <c r="G853" s="50">
        <v>1905</v>
      </c>
      <c r="H853" s="51">
        <v>8.67091488393264E-2</v>
      </c>
      <c r="I853" s="51">
        <v>3.00189095493224E-2</v>
      </c>
      <c r="J853" s="52" t="s">
        <v>1055</v>
      </c>
      <c r="K853" s="109" t="s">
        <v>1056</v>
      </c>
    </row>
    <row r="854" spans="1:11" x14ac:dyDescent="0.35">
      <c r="A854" s="61">
        <v>45507</v>
      </c>
      <c r="B854" s="49" t="s">
        <v>607</v>
      </c>
      <c r="C854" s="49" t="s">
        <v>11</v>
      </c>
      <c r="D854" s="50">
        <v>7049</v>
      </c>
      <c r="E854" s="50">
        <v>2469</v>
      </c>
      <c r="F854" s="51">
        <v>0.35026244857426603</v>
      </c>
      <c r="G854" s="50">
        <v>227</v>
      </c>
      <c r="H854" s="51">
        <v>9.1940056703118694E-2</v>
      </c>
      <c r="I854" s="51">
        <v>3.2203149382891198E-2</v>
      </c>
      <c r="J854" s="52" t="s">
        <v>1055</v>
      </c>
      <c r="K854" s="109" t="s">
        <v>1056</v>
      </c>
    </row>
    <row r="855" spans="1:11" x14ac:dyDescent="0.35">
      <c r="A855" s="61">
        <v>45509</v>
      </c>
      <c r="B855" s="49" t="s">
        <v>608</v>
      </c>
      <c r="C855" s="49" t="s">
        <v>10</v>
      </c>
      <c r="D855" s="50">
        <v>306071</v>
      </c>
      <c r="E855" s="50">
        <v>114073</v>
      </c>
      <c r="F855" s="51">
        <v>0.372701105299097</v>
      </c>
      <c r="G855" s="50">
        <v>1502</v>
      </c>
      <c r="H855" s="51">
        <v>1.31670070919499E-2</v>
      </c>
      <c r="I855" s="51">
        <v>4.9073580966507799E-3</v>
      </c>
      <c r="J855" s="52" t="s">
        <v>1057</v>
      </c>
      <c r="K855" s="109" t="s">
        <v>1054</v>
      </c>
    </row>
    <row r="856" spans="1:11" x14ac:dyDescent="0.35">
      <c r="A856" s="61">
        <v>45510</v>
      </c>
      <c r="B856" s="49" t="s">
        <v>609</v>
      </c>
      <c r="C856" s="49" t="s">
        <v>10</v>
      </c>
      <c r="D856" s="50">
        <v>335680</v>
      </c>
      <c r="E856" s="50">
        <v>114967</v>
      </c>
      <c r="F856" s="51">
        <v>0.342489871306006</v>
      </c>
      <c r="G856" s="50">
        <v>1594</v>
      </c>
      <c r="H856" s="51">
        <v>1.38648481738238E-2</v>
      </c>
      <c r="I856" s="51">
        <v>4.74857006673022E-3</v>
      </c>
      <c r="J856" s="52" t="s">
        <v>1057</v>
      </c>
      <c r="K856" s="109" t="s">
        <v>1054</v>
      </c>
    </row>
    <row r="857" spans="1:11" x14ac:dyDescent="0.35">
      <c r="A857" s="61">
        <v>45510</v>
      </c>
      <c r="B857" s="49" t="s">
        <v>609</v>
      </c>
      <c r="C857" s="49" t="s">
        <v>11</v>
      </c>
      <c r="D857" s="50">
        <v>21805</v>
      </c>
      <c r="E857" s="50">
        <v>7285</v>
      </c>
      <c r="F857" s="51">
        <v>0.33409768401742701</v>
      </c>
      <c r="G857" s="50">
        <v>216</v>
      </c>
      <c r="H857" s="51">
        <v>2.96499656829101E-2</v>
      </c>
      <c r="I857" s="51">
        <v>9.9059848658564608E-3</v>
      </c>
      <c r="J857" s="52" t="s">
        <v>1057</v>
      </c>
      <c r="K857" s="109" t="s">
        <v>1054</v>
      </c>
    </row>
    <row r="858" spans="1:11" x14ac:dyDescent="0.35">
      <c r="A858" s="61">
        <v>45510</v>
      </c>
      <c r="B858" s="49" t="s">
        <v>610</v>
      </c>
      <c r="C858" s="49" t="s">
        <v>10</v>
      </c>
      <c r="D858" s="50">
        <v>1375976</v>
      </c>
      <c r="E858" s="50">
        <v>466416</v>
      </c>
      <c r="F858" s="51">
        <v>0.33897102856445199</v>
      </c>
      <c r="G858" s="50">
        <v>5744</v>
      </c>
      <c r="H858" s="51">
        <v>1.23151864430037E-2</v>
      </c>
      <c r="I858" s="51">
        <v>4.17449141554795E-3</v>
      </c>
      <c r="J858" s="52" t="s">
        <v>1055</v>
      </c>
      <c r="K858" s="109" t="s">
        <v>1056</v>
      </c>
    </row>
    <row r="859" spans="1:11" x14ac:dyDescent="0.35">
      <c r="A859" s="61">
        <v>45510</v>
      </c>
      <c r="B859" s="49" t="s">
        <v>610</v>
      </c>
      <c r="C859" s="49" t="s">
        <v>11</v>
      </c>
      <c r="D859" s="50">
        <v>93206</v>
      </c>
      <c r="E859" s="50">
        <v>30493</v>
      </c>
      <c r="F859" s="51">
        <v>0.32715704997532302</v>
      </c>
      <c r="G859" s="50">
        <v>549</v>
      </c>
      <c r="H859" s="51">
        <v>1.8004132095890898E-2</v>
      </c>
      <c r="I859" s="51">
        <v>5.8901787438576901E-3</v>
      </c>
      <c r="J859" s="52" t="s">
        <v>1055</v>
      </c>
      <c r="K859" s="109" t="s">
        <v>1056</v>
      </c>
    </row>
    <row r="860" spans="1:11" x14ac:dyDescent="0.35">
      <c r="A860" s="61">
        <v>45511</v>
      </c>
      <c r="B860" s="49" t="s">
        <v>611</v>
      </c>
      <c r="C860" s="49" t="s">
        <v>84</v>
      </c>
      <c r="D860" s="50">
        <v>32892</v>
      </c>
      <c r="E860" s="50">
        <v>13606</v>
      </c>
      <c r="F860" s="51">
        <v>0.41365681624711198</v>
      </c>
      <c r="G860" s="50">
        <v>307</v>
      </c>
      <c r="H860" s="51">
        <v>2.2563574893429399E-2</v>
      </c>
      <c r="I860" s="51">
        <v>9.3335765535692596E-3</v>
      </c>
      <c r="J860" s="52" t="s">
        <v>1055</v>
      </c>
      <c r="K860" s="109" t="s">
        <v>1056</v>
      </c>
    </row>
    <row r="861" spans="1:11" x14ac:dyDescent="0.35">
      <c r="A861" s="61">
        <v>45511</v>
      </c>
      <c r="B861" s="49" t="s">
        <v>611</v>
      </c>
      <c r="C861" s="49" t="s">
        <v>72</v>
      </c>
      <c r="D861" s="50">
        <v>102275</v>
      </c>
      <c r="E861" s="50">
        <v>45607</v>
      </c>
      <c r="F861" s="51">
        <v>0.44592520166218502</v>
      </c>
      <c r="G861" s="50">
        <v>836</v>
      </c>
      <c r="H861" s="51">
        <v>1.8330519437805601E-2</v>
      </c>
      <c r="I861" s="51">
        <v>8.17404057687607E-3</v>
      </c>
      <c r="J861" s="52" t="s">
        <v>1055</v>
      </c>
      <c r="K861" s="109" t="s">
        <v>1056</v>
      </c>
    </row>
    <row r="862" spans="1:11" x14ac:dyDescent="0.35">
      <c r="A862" s="61">
        <v>45511</v>
      </c>
      <c r="B862" s="49" t="s">
        <v>611</v>
      </c>
      <c r="C862" s="49" t="s">
        <v>85</v>
      </c>
      <c r="D862" s="50">
        <v>1788</v>
      </c>
      <c r="E862" s="50">
        <v>719</v>
      </c>
      <c r="F862" s="51">
        <v>0.40212527964205802</v>
      </c>
      <c r="G862" s="50">
        <v>25</v>
      </c>
      <c r="H862" s="51">
        <v>3.4770514603616097E-2</v>
      </c>
      <c r="I862" s="51">
        <v>1.3982102908277399E-2</v>
      </c>
      <c r="J862" s="52" t="s">
        <v>1055</v>
      </c>
      <c r="K862" s="109" t="s">
        <v>1056</v>
      </c>
    </row>
    <row r="863" spans="1:11" x14ac:dyDescent="0.35">
      <c r="A863" s="61">
        <v>45511</v>
      </c>
      <c r="B863" s="49" t="s">
        <v>611</v>
      </c>
      <c r="C863" s="49" t="s">
        <v>73</v>
      </c>
      <c r="D863" s="50">
        <v>5585</v>
      </c>
      <c r="E863" s="50">
        <v>2776</v>
      </c>
      <c r="F863" s="51">
        <v>0.49704565801253398</v>
      </c>
      <c r="G863" s="50">
        <v>66</v>
      </c>
      <c r="H863" s="51">
        <v>2.37752161383285E-2</v>
      </c>
      <c r="I863" s="51">
        <v>1.18173679498657E-2</v>
      </c>
      <c r="J863" s="52" t="s">
        <v>1055</v>
      </c>
      <c r="K863" s="109" t="s">
        <v>1056</v>
      </c>
    </row>
    <row r="864" spans="1:11" x14ac:dyDescent="0.35">
      <c r="A864" s="61">
        <v>45511</v>
      </c>
      <c r="B864" s="49" t="s">
        <v>612</v>
      </c>
      <c r="C864" s="49" t="s">
        <v>316</v>
      </c>
      <c r="D864" s="50">
        <v>8315</v>
      </c>
      <c r="E864" s="50">
        <v>2397</v>
      </c>
      <c r="F864" s="51">
        <v>0.28827420324714398</v>
      </c>
      <c r="G864" s="50">
        <v>256</v>
      </c>
      <c r="H864" s="51">
        <v>0.106800166875261</v>
      </c>
      <c r="I864" s="51">
        <v>3.0787733012627799E-2</v>
      </c>
      <c r="J864" s="52" t="s">
        <v>1061</v>
      </c>
      <c r="K864" s="109" t="s">
        <v>1054</v>
      </c>
    </row>
    <row r="865" spans="1:11" x14ac:dyDescent="0.35">
      <c r="A865" s="61">
        <v>45511</v>
      </c>
      <c r="B865" s="49" t="s">
        <v>613</v>
      </c>
      <c r="C865" s="49" t="s">
        <v>318</v>
      </c>
      <c r="D865" s="50">
        <v>615</v>
      </c>
      <c r="E865" s="50">
        <v>147</v>
      </c>
      <c r="F865" s="51">
        <v>0.23902439024390201</v>
      </c>
      <c r="G865" s="50">
        <v>11</v>
      </c>
      <c r="H865" s="51">
        <v>7.4829931972789102E-2</v>
      </c>
      <c r="I865" s="51">
        <v>1.7886178861788601E-2</v>
      </c>
      <c r="J865" s="52" t="s">
        <v>1061</v>
      </c>
      <c r="K865" s="109" t="s">
        <v>1054</v>
      </c>
    </row>
    <row r="866" spans="1:11" x14ac:dyDescent="0.35">
      <c r="A866" s="61">
        <v>45512</v>
      </c>
      <c r="B866" s="49" t="s">
        <v>600</v>
      </c>
      <c r="C866" s="49" t="s">
        <v>234</v>
      </c>
      <c r="D866" s="50">
        <v>949978</v>
      </c>
      <c r="E866" s="50">
        <v>295109</v>
      </c>
      <c r="F866" s="60">
        <v>0.31059999999999999</v>
      </c>
      <c r="G866" s="49">
        <v>2629</v>
      </c>
      <c r="H866" s="60">
        <v>8.8999999999999999E-3</v>
      </c>
      <c r="I866" s="60">
        <v>2.8E-3</v>
      </c>
      <c r="J866" s="52" t="s">
        <v>1055</v>
      </c>
      <c r="K866" s="109" t="s">
        <v>1056</v>
      </c>
    </row>
    <row r="867" spans="1:11" x14ac:dyDescent="0.35">
      <c r="A867" s="61">
        <v>45512</v>
      </c>
      <c r="B867" s="49" t="s">
        <v>601</v>
      </c>
      <c r="C867" s="49" t="s">
        <v>235</v>
      </c>
      <c r="D867" s="50">
        <v>49612</v>
      </c>
      <c r="E867" s="50">
        <v>14409</v>
      </c>
      <c r="F867" s="60">
        <v>0.29039999999999999</v>
      </c>
      <c r="G867" s="49">
        <v>159</v>
      </c>
      <c r="H867" s="60">
        <v>1.0999999999999999E-2</v>
      </c>
      <c r="I867" s="60">
        <v>3.2000000000000002E-3</v>
      </c>
      <c r="J867" s="52" t="s">
        <v>1055</v>
      </c>
      <c r="K867" s="109" t="s">
        <v>1056</v>
      </c>
    </row>
    <row r="868" spans="1:11" x14ac:dyDescent="0.35">
      <c r="A868" s="61">
        <v>45512</v>
      </c>
      <c r="B868" s="49" t="s">
        <v>585</v>
      </c>
      <c r="C868" s="49" t="s">
        <v>253</v>
      </c>
      <c r="D868" s="50">
        <v>1074763</v>
      </c>
      <c r="E868" s="50">
        <v>356174</v>
      </c>
      <c r="F868" s="60">
        <v>0.33139999999999997</v>
      </c>
      <c r="G868" s="50">
        <v>3448</v>
      </c>
      <c r="H868" s="60">
        <v>9.7000000000000003E-3</v>
      </c>
      <c r="I868" s="60">
        <v>3.2000000000000002E-3</v>
      </c>
      <c r="J868" s="52" t="s">
        <v>1055</v>
      </c>
      <c r="K868" s="109" t="s">
        <v>1056</v>
      </c>
    </row>
    <row r="869" spans="1:11" x14ac:dyDescent="0.35">
      <c r="A869" s="61">
        <v>45512</v>
      </c>
      <c r="B869" s="49" t="s">
        <v>586</v>
      </c>
      <c r="C869" s="49" t="s">
        <v>255</v>
      </c>
      <c r="D869" s="50">
        <v>80966</v>
      </c>
      <c r="E869" s="50">
        <v>26660</v>
      </c>
      <c r="F869" s="60">
        <v>0.32929999999999998</v>
      </c>
      <c r="G869" s="49">
        <v>381</v>
      </c>
      <c r="H869" s="60">
        <v>1.43E-2</v>
      </c>
      <c r="I869" s="60">
        <v>4.7000000000000002E-3</v>
      </c>
      <c r="J869" s="52" t="s">
        <v>1055</v>
      </c>
      <c r="K869" s="109" t="s">
        <v>1056</v>
      </c>
    </row>
    <row r="870" spans="1:11" x14ac:dyDescent="0.35">
      <c r="A870" s="61">
        <v>45512</v>
      </c>
      <c r="B870" s="49" t="s">
        <v>614</v>
      </c>
      <c r="C870" s="49" t="s">
        <v>10</v>
      </c>
      <c r="D870" s="50">
        <v>880131</v>
      </c>
      <c r="E870" s="50">
        <v>247683</v>
      </c>
      <c r="F870" s="51">
        <v>0.28141606192714502</v>
      </c>
      <c r="G870" s="50">
        <v>3076</v>
      </c>
      <c r="H870" s="51">
        <v>1.24191002208468E-2</v>
      </c>
      <c r="I870" s="51">
        <v>3.49493427682924E-3</v>
      </c>
      <c r="J870" s="52" t="s">
        <v>1055</v>
      </c>
      <c r="K870" s="109" t="s">
        <v>1056</v>
      </c>
    </row>
    <row r="871" spans="1:11" x14ac:dyDescent="0.35">
      <c r="A871" s="61">
        <v>45512</v>
      </c>
      <c r="B871" s="49" t="s">
        <v>615</v>
      </c>
      <c r="C871" s="49" t="s">
        <v>10</v>
      </c>
      <c r="D871" s="50">
        <v>272279</v>
      </c>
      <c r="E871" s="50">
        <v>84746</v>
      </c>
      <c r="F871" s="51">
        <v>0.31124691952005101</v>
      </c>
      <c r="G871" s="50">
        <v>787</v>
      </c>
      <c r="H871" s="51">
        <v>9.2865739975928098E-3</v>
      </c>
      <c r="I871" s="51">
        <v>2.89041754964577E-3</v>
      </c>
      <c r="J871" s="52" t="s">
        <v>1060</v>
      </c>
      <c r="K871" s="109" t="s">
        <v>1054</v>
      </c>
    </row>
    <row r="872" spans="1:11" x14ac:dyDescent="0.35">
      <c r="A872" s="61">
        <v>45512</v>
      </c>
      <c r="B872" s="49" t="s">
        <v>616</v>
      </c>
      <c r="C872" s="49" t="s">
        <v>617</v>
      </c>
      <c r="D872" s="50">
        <v>539619</v>
      </c>
      <c r="E872" s="50">
        <v>195417</v>
      </c>
      <c r="F872" s="51">
        <v>0.362138842405475</v>
      </c>
      <c r="G872" s="50">
        <v>2069</v>
      </c>
      <c r="H872" s="51">
        <v>1.0587615202362099E-2</v>
      </c>
      <c r="I872" s="51">
        <v>3.8341867132180301E-3</v>
      </c>
      <c r="J872" s="52" t="s">
        <v>1055</v>
      </c>
      <c r="K872" s="109" t="s">
        <v>1056</v>
      </c>
    </row>
    <row r="873" spans="1:11" x14ac:dyDescent="0.35">
      <c r="A873" s="61">
        <v>45512</v>
      </c>
      <c r="B873" s="49" t="s">
        <v>616</v>
      </c>
      <c r="C873" s="49" t="s">
        <v>618</v>
      </c>
      <c r="D873" s="50">
        <v>77206</v>
      </c>
      <c r="E873" s="50">
        <v>28749</v>
      </c>
      <c r="F873" s="51">
        <v>0.37236743258296001</v>
      </c>
      <c r="G873" s="50">
        <v>317</v>
      </c>
      <c r="H873" s="51">
        <v>1.1026470485929901E-2</v>
      </c>
      <c r="I873" s="51">
        <v>4.1058985052975202E-3</v>
      </c>
      <c r="J873" s="52" t="s">
        <v>1055</v>
      </c>
      <c r="K873" s="109" t="s">
        <v>1056</v>
      </c>
    </row>
    <row r="874" spans="1:11" x14ac:dyDescent="0.35">
      <c r="A874" s="61">
        <v>45512</v>
      </c>
      <c r="B874" s="49" t="s">
        <v>616</v>
      </c>
      <c r="C874" s="49" t="s">
        <v>619</v>
      </c>
      <c r="D874" s="50">
        <v>49519</v>
      </c>
      <c r="E874" s="50">
        <v>19713</v>
      </c>
      <c r="F874" s="51">
        <v>0.39808962216522997</v>
      </c>
      <c r="G874" s="50">
        <v>272</v>
      </c>
      <c r="H874" s="51">
        <v>1.3798001318926599E-2</v>
      </c>
      <c r="I874" s="51">
        <v>5.4928411316868299E-3</v>
      </c>
      <c r="J874" s="52" t="s">
        <v>1055</v>
      </c>
      <c r="K874" s="109" t="s">
        <v>1056</v>
      </c>
    </row>
    <row r="875" spans="1:11" x14ac:dyDescent="0.35">
      <c r="A875" s="61">
        <v>45513</v>
      </c>
      <c r="B875" s="49" t="s">
        <v>620</v>
      </c>
      <c r="C875" s="49" t="s">
        <v>10</v>
      </c>
      <c r="D875" s="50">
        <v>396410</v>
      </c>
      <c r="E875" s="50">
        <v>137902</v>
      </c>
      <c r="F875" s="51">
        <v>0.34787719785070997</v>
      </c>
      <c r="G875" s="50">
        <v>2875</v>
      </c>
      <c r="H875" s="51">
        <v>2.0848138533161201E-2</v>
      </c>
      <c r="I875" s="51">
        <v>7.2525920133195403E-3</v>
      </c>
      <c r="J875" s="52" t="s">
        <v>1057</v>
      </c>
      <c r="K875" s="109" t="s">
        <v>1054</v>
      </c>
    </row>
    <row r="876" spans="1:11" x14ac:dyDescent="0.35">
      <c r="A876" s="61">
        <v>45513</v>
      </c>
      <c r="B876" s="49" t="s">
        <v>621</v>
      </c>
      <c r="C876" s="49" t="s">
        <v>10</v>
      </c>
      <c r="D876" s="50">
        <v>71583</v>
      </c>
      <c r="E876" s="50">
        <v>24046</v>
      </c>
      <c r="F876" s="51">
        <v>0.33591774583350797</v>
      </c>
      <c r="G876" s="50">
        <v>215</v>
      </c>
      <c r="H876" s="51">
        <v>8.9411960409215702E-3</v>
      </c>
      <c r="I876" s="51">
        <v>3.00350641912186E-3</v>
      </c>
      <c r="J876" s="52" t="s">
        <v>1060</v>
      </c>
      <c r="K876" s="109" t="s">
        <v>1054</v>
      </c>
    </row>
    <row r="877" spans="1:11" x14ac:dyDescent="0.35">
      <c r="A877" s="61">
        <v>45513</v>
      </c>
      <c r="B877" s="49" t="s">
        <v>622</v>
      </c>
      <c r="C877" s="49" t="s">
        <v>623</v>
      </c>
      <c r="D877" s="50">
        <v>7939</v>
      </c>
      <c r="E877" s="50">
        <v>2270</v>
      </c>
      <c r="F877" s="51">
        <v>0.28593021791157602</v>
      </c>
      <c r="G877" s="50">
        <v>181</v>
      </c>
      <c r="H877" s="51">
        <v>7.9735682819383299E-2</v>
      </c>
      <c r="I877" s="51">
        <v>2.2798841163874501E-2</v>
      </c>
      <c r="J877" s="52" t="s">
        <v>1061</v>
      </c>
      <c r="K877" s="109" t="s">
        <v>1054</v>
      </c>
    </row>
    <row r="878" spans="1:11" x14ac:dyDescent="0.35">
      <c r="A878" s="61">
        <v>45513</v>
      </c>
      <c r="B878" s="49" t="s">
        <v>624</v>
      </c>
      <c r="C878" s="49" t="s">
        <v>625</v>
      </c>
      <c r="D878" s="50">
        <v>588</v>
      </c>
      <c r="E878" s="50">
        <v>141</v>
      </c>
      <c r="F878" s="51">
        <v>0.23979591836734701</v>
      </c>
      <c r="G878" s="50">
        <v>4</v>
      </c>
      <c r="H878" s="51">
        <v>2.8368794326241099E-2</v>
      </c>
      <c r="I878" s="51">
        <v>6.8027210884353704E-3</v>
      </c>
      <c r="J878" s="52" t="s">
        <v>1061</v>
      </c>
      <c r="K878" s="109" t="s">
        <v>1054</v>
      </c>
    </row>
    <row r="879" spans="1:11" x14ac:dyDescent="0.35">
      <c r="A879" s="61">
        <v>45513</v>
      </c>
      <c r="B879" s="49" t="s">
        <v>626</v>
      </c>
      <c r="C879" s="49" t="s">
        <v>10</v>
      </c>
      <c r="D879" s="50">
        <v>196521</v>
      </c>
      <c r="E879" s="50">
        <v>68424</v>
      </c>
      <c r="F879" s="51">
        <v>0.34817653075243898</v>
      </c>
      <c r="G879" s="50">
        <v>663</v>
      </c>
      <c r="H879" s="51">
        <v>9.6895826025955797E-3</v>
      </c>
      <c r="I879" s="51">
        <v>3.3736852550109099E-3</v>
      </c>
      <c r="J879" s="52" t="s">
        <v>1058</v>
      </c>
      <c r="K879" s="109" t="s">
        <v>1054</v>
      </c>
    </row>
    <row r="880" spans="1:11" x14ac:dyDescent="0.35">
      <c r="A880" s="61">
        <v>45513</v>
      </c>
      <c r="B880" s="49" t="s">
        <v>626</v>
      </c>
      <c r="C880" s="49" t="s">
        <v>11</v>
      </c>
      <c r="D880" s="50">
        <v>8808</v>
      </c>
      <c r="E880" s="50">
        <v>3314</v>
      </c>
      <c r="F880" s="51">
        <v>0.37624886466848301</v>
      </c>
      <c r="G880" s="50">
        <v>53</v>
      </c>
      <c r="H880" s="51">
        <v>1.5992757996379E-2</v>
      </c>
      <c r="I880" s="51">
        <v>6.0172570390554002E-3</v>
      </c>
      <c r="J880" s="52" t="s">
        <v>1058</v>
      </c>
      <c r="K880" s="109" t="s">
        <v>1054</v>
      </c>
    </row>
    <row r="881" spans="1:11" x14ac:dyDescent="0.35">
      <c r="A881" s="61">
        <v>45513</v>
      </c>
      <c r="B881" s="49" t="s">
        <v>627</v>
      </c>
      <c r="C881" s="49" t="s">
        <v>10</v>
      </c>
      <c r="D881" s="50">
        <v>73172</v>
      </c>
      <c r="E881" s="50">
        <v>34016</v>
      </c>
      <c r="F881" s="51">
        <v>0.46487727546055901</v>
      </c>
      <c r="G881" s="50">
        <v>1342</v>
      </c>
      <c r="H881" s="51">
        <v>3.9452022577610497E-2</v>
      </c>
      <c r="I881" s="51">
        <v>1.8340348767288E-2</v>
      </c>
      <c r="J881" s="52" t="s">
        <v>1058</v>
      </c>
      <c r="K881" s="109" t="s">
        <v>1056</v>
      </c>
    </row>
    <row r="882" spans="1:11" x14ac:dyDescent="0.35">
      <c r="A882" s="61">
        <v>45513</v>
      </c>
      <c r="B882" s="49" t="s">
        <v>628</v>
      </c>
      <c r="C882" s="49" t="s">
        <v>10</v>
      </c>
      <c r="D882" s="50">
        <v>4469717</v>
      </c>
      <c r="E882" s="50">
        <v>1408499</v>
      </c>
      <c r="F882" s="51">
        <v>0.31512039800282698</v>
      </c>
      <c r="G882" s="50">
        <v>17882</v>
      </c>
      <c r="H882" s="51">
        <v>1.2695784661544E-2</v>
      </c>
      <c r="I882" s="51">
        <v>4.0007007155039099E-3</v>
      </c>
      <c r="J882" s="52" t="s">
        <v>1055</v>
      </c>
      <c r="K882" s="109" t="s">
        <v>1056</v>
      </c>
    </row>
    <row r="883" spans="1:11" x14ac:dyDescent="0.35">
      <c r="A883" s="61">
        <v>45513</v>
      </c>
      <c r="B883" s="49" t="s">
        <v>628</v>
      </c>
      <c r="C883" s="49" t="s">
        <v>11</v>
      </c>
      <c r="D883" s="50">
        <v>288763</v>
      </c>
      <c r="E883" s="50">
        <v>81791</v>
      </c>
      <c r="F883" s="51">
        <v>0.28324612225250501</v>
      </c>
      <c r="G883" s="50">
        <v>1285</v>
      </c>
      <c r="H883" s="51">
        <v>1.5710775024146899E-2</v>
      </c>
      <c r="I883" s="51">
        <v>4.4500161031711099E-3</v>
      </c>
      <c r="J883" s="52" t="s">
        <v>1055</v>
      </c>
      <c r="K883" s="109" t="s">
        <v>1056</v>
      </c>
    </row>
    <row r="884" spans="1:11" x14ac:dyDescent="0.35">
      <c r="A884" s="61">
        <v>45513</v>
      </c>
      <c r="B884" s="49" t="s">
        <v>628</v>
      </c>
      <c r="C884" s="49" t="s">
        <v>528</v>
      </c>
      <c r="D884" s="50">
        <v>197843</v>
      </c>
      <c r="E884" s="50">
        <v>72660</v>
      </c>
      <c r="F884" s="51">
        <v>0.36726090890251401</v>
      </c>
      <c r="G884" s="50">
        <v>786</v>
      </c>
      <c r="H884" s="51">
        <v>1.08175061932287E-2</v>
      </c>
      <c r="I884" s="51">
        <v>3.9728471565837597E-3</v>
      </c>
      <c r="J884" s="52" t="s">
        <v>1055</v>
      </c>
      <c r="K884" s="109" t="s">
        <v>1056</v>
      </c>
    </row>
    <row r="885" spans="1:11" x14ac:dyDescent="0.35">
      <c r="A885" s="61">
        <v>45513</v>
      </c>
      <c r="B885" s="49" t="s">
        <v>628</v>
      </c>
      <c r="C885" s="49" t="s">
        <v>529</v>
      </c>
      <c r="D885" s="50">
        <v>11586</v>
      </c>
      <c r="E885" s="50">
        <v>4095</v>
      </c>
      <c r="F885" s="51">
        <v>0.35344381149663401</v>
      </c>
      <c r="G885" s="50">
        <v>56</v>
      </c>
      <c r="H885" s="51">
        <v>1.3675213675213699E-2</v>
      </c>
      <c r="I885" s="51">
        <v>4.8334196443984099E-3</v>
      </c>
      <c r="J885" s="52" t="s">
        <v>1055</v>
      </c>
      <c r="K885" s="109" t="s">
        <v>1056</v>
      </c>
    </row>
    <row r="886" spans="1:11" x14ac:dyDescent="0.35">
      <c r="A886" s="61">
        <v>45516</v>
      </c>
      <c r="B886" s="49" t="s">
        <v>629</v>
      </c>
      <c r="C886" s="49" t="s">
        <v>72</v>
      </c>
      <c r="D886" s="50">
        <v>147189</v>
      </c>
      <c r="E886" s="50">
        <v>53820</v>
      </c>
      <c r="F886" s="51">
        <v>0.36565232456229702</v>
      </c>
      <c r="G886" s="50">
        <v>780</v>
      </c>
      <c r="H886" s="51">
        <v>1.4492753623188401E-2</v>
      </c>
      <c r="I886" s="51">
        <v>5.2993090516275003E-3</v>
      </c>
      <c r="J886" s="52" t="s">
        <v>1055</v>
      </c>
      <c r="K886" s="109" t="s">
        <v>1056</v>
      </c>
    </row>
    <row r="887" spans="1:11" x14ac:dyDescent="0.35">
      <c r="A887" s="61">
        <v>45516</v>
      </c>
      <c r="B887" s="49" t="s">
        <v>629</v>
      </c>
      <c r="C887" s="49" t="s">
        <v>73</v>
      </c>
      <c r="D887" s="50">
        <v>15889</v>
      </c>
      <c r="E887" s="50">
        <v>6192</v>
      </c>
      <c r="F887" s="51">
        <v>0.389703568506514</v>
      </c>
      <c r="G887" s="50">
        <v>105</v>
      </c>
      <c r="H887" s="51">
        <v>1.6957364341085301E-2</v>
      </c>
      <c r="I887" s="51">
        <v>6.6083453961860404E-3</v>
      </c>
      <c r="J887" s="52" t="s">
        <v>1055</v>
      </c>
      <c r="K887" s="109" t="s">
        <v>1056</v>
      </c>
    </row>
    <row r="888" spans="1:11" x14ac:dyDescent="0.35">
      <c r="A888" s="61">
        <v>45517</v>
      </c>
      <c r="B888" s="49" t="s">
        <v>630</v>
      </c>
      <c r="C888" s="49" t="s">
        <v>10</v>
      </c>
      <c r="D888" s="50">
        <v>1386559</v>
      </c>
      <c r="E888" s="50">
        <v>477462</v>
      </c>
      <c r="F888" s="51">
        <v>0.34435029450603999</v>
      </c>
      <c r="G888" s="50">
        <v>6447</v>
      </c>
      <c r="H888" s="51">
        <v>1.3502645236689001E-2</v>
      </c>
      <c r="I888" s="51">
        <v>4.6496398638644302E-3</v>
      </c>
      <c r="J888" s="52" t="s">
        <v>1055</v>
      </c>
      <c r="K888" s="109" t="s">
        <v>1056</v>
      </c>
    </row>
    <row r="889" spans="1:11" x14ac:dyDescent="0.35">
      <c r="A889" s="61">
        <v>45517</v>
      </c>
      <c r="B889" s="49" t="s">
        <v>630</v>
      </c>
      <c r="C889" s="49" t="s">
        <v>11</v>
      </c>
      <c r="D889" s="50">
        <v>93595</v>
      </c>
      <c r="E889" s="50">
        <v>32446</v>
      </c>
      <c r="F889" s="51">
        <v>0.34666381751161901</v>
      </c>
      <c r="G889" s="50">
        <v>619</v>
      </c>
      <c r="H889" s="51">
        <v>1.9077852431732701E-2</v>
      </c>
      <c r="I889" s="51">
        <v>6.6136011539077904E-3</v>
      </c>
      <c r="J889" s="52" t="s">
        <v>1055</v>
      </c>
      <c r="K889" s="109" t="s">
        <v>1056</v>
      </c>
    </row>
    <row r="890" spans="1:11" x14ac:dyDescent="0.35">
      <c r="A890" s="61">
        <v>45519</v>
      </c>
      <c r="B890" s="49" t="s">
        <v>600</v>
      </c>
      <c r="C890" s="49" t="s">
        <v>253</v>
      </c>
      <c r="D890" s="50">
        <v>921798</v>
      </c>
      <c r="E890" s="50">
        <v>288290</v>
      </c>
      <c r="F890" s="60">
        <v>0.31269999999999998</v>
      </c>
      <c r="G890" s="50">
        <v>2608</v>
      </c>
      <c r="H890" s="60">
        <v>8.9999999999999993E-3</v>
      </c>
      <c r="I890" s="60">
        <v>2.8E-3</v>
      </c>
      <c r="J890" s="52" t="s">
        <v>1055</v>
      </c>
      <c r="K890" s="109" t="s">
        <v>1056</v>
      </c>
    </row>
    <row r="891" spans="1:11" x14ac:dyDescent="0.35">
      <c r="A891" s="61">
        <v>45519</v>
      </c>
      <c r="B891" s="49" t="s">
        <v>601</v>
      </c>
      <c r="C891" s="49" t="s">
        <v>255</v>
      </c>
      <c r="D891" s="50">
        <v>48177</v>
      </c>
      <c r="E891" s="50">
        <v>14255</v>
      </c>
      <c r="F891" s="60">
        <v>0.2959</v>
      </c>
      <c r="G891" s="49">
        <v>158</v>
      </c>
      <c r="H891" s="60">
        <v>1.11E-2</v>
      </c>
      <c r="I891" s="60">
        <v>3.3E-3</v>
      </c>
      <c r="J891" s="52" t="s">
        <v>1055</v>
      </c>
      <c r="K891" s="109" t="s">
        <v>1056</v>
      </c>
    </row>
    <row r="892" spans="1:11" x14ac:dyDescent="0.35">
      <c r="A892" s="61">
        <v>45519</v>
      </c>
      <c r="B892" s="49" t="s">
        <v>631</v>
      </c>
      <c r="C892" s="49" t="s">
        <v>543</v>
      </c>
      <c r="D892" s="50">
        <v>341887</v>
      </c>
      <c r="E892" s="50">
        <v>127151</v>
      </c>
      <c r="F892" s="60">
        <v>0.37190000000000001</v>
      </c>
      <c r="G892" s="50">
        <v>1615</v>
      </c>
      <c r="H892" s="60">
        <v>1.2699999999999999E-2</v>
      </c>
      <c r="I892" s="60">
        <v>4.7000000000000002E-3</v>
      </c>
      <c r="J892" s="52" t="s">
        <v>1055</v>
      </c>
      <c r="K892" s="109" t="s">
        <v>1056</v>
      </c>
    </row>
    <row r="893" spans="1:11" x14ac:dyDescent="0.35">
      <c r="A893" s="61">
        <v>45519</v>
      </c>
      <c r="B893" s="49" t="s">
        <v>632</v>
      </c>
      <c r="C893" s="49" t="s">
        <v>545</v>
      </c>
      <c r="D893" s="50">
        <v>18994</v>
      </c>
      <c r="E893" s="50">
        <v>6583</v>
      </c>
      <c r="F893" s="60">
        <v>0.34660000000000002</v>
      </c>
      <c r="G893" s="49">
        <v>102</v>
      </c>
      <c r="H893" s="60">
        <v>1.55E-2</v>
      </c>
      <c r="I893" s="60">
        <v>5.4000000000000003E-3</v>
      </c>
      <c r="J893" s="52" t="s">
        <v>1055</v>
      </c>
      <c r="K893" s="109" t="s">
        <v>1056</v>
      </c>
    </row>
    <row r="894" spans="1:11" x14ac:dyDescent="0.35">
      <c r="A894" s="61">
        <v>45519</v>
      </c>
      <c r="B894" s="49" t="s">
        <v>633</v>
      </c>
      <c r="C894" s="49" t="s">
        <v>545</v>
      </c>
      <c r="D894" s="50">
        <v>15326</v>
      </c>
      <c r="E894" s="50">
        <v>7208</v>
      </c>
      <c r="F894" s="60">
        <v>0.4703</v>
      </c>
      <c r="G894" s="49">
        <v>232</v>
      </c>
      <c r="H894" s="60">
        <v>3.2199999999999999E-2</v>
      </c>
      <c r="I894" s="60">
        <v>1.5100000000000001E-2</v>
      </c>
      <c r="J894" s="52" t="s">
        <v>1055</v>
      </c>
      <c r="K894" s="109" t="s">
        <v>1056</v>
      </c>
    </row>
    <row r="895" spans="1:11" x14ac:dyDescent="0.35">
      <c r="A895" s="61">
        <v>45519</v>
      </c>
      <c r="B895" s="49" t="s">
        <v>634</v>
      </c>
      <c r="C895" s="49" t="s">
        <v>316</v>
      </c>
      <c r="D895" s="50">
        <v>8171</v>
      </c>
      <c r="E895" s="50">
        <v>2141</v>
      </c>
      <c r="F895" s="51">
        <v>0.26202423204014202</v>
      </c>
      <c r="G895" s="50">
        <v>205</v>
      </c>
      <c r="H895" s="51">
        <v>9.5749649696403594E-2</v>
      </c>
      <c r="I895" s="51">
        <v>2.5088728429812801E-2</v>
      </c>
      <c r="J895" s="52" t="s">
        <v>1061</v>
      </c>
      <c r="K895" s="109" t="s">
        <v>1054</v>
      </c>
    </row>
    <row r="896" spans="1:11" x14ac:dyDescent="0.35">
      <c r="A896" s="61">
        <v>45519</v>
      </c>
      <c r="B896" s="49" t="s">
        <v>635</v>
      </c>
      <c r="C896" s="49" t="s">
        <v>318</v>
      </c>
      <c r="D896" s="50">
        <v>608</v>
      </c>
      <c r="E896" s="50">
        <v>132</v>
      </c>
      <c r="F896" s="51">
        <v>0.217105263157895</v>
      </c>
      <c r="G896" s="50">
        <v>11</v>
      </c>
      <c r="H896" s="51">
        <v>8.3333333333333301E-2</v>
      </c>
      <c r="I896" s="51">
        <v>1.8092105263157899E-2</v>
      </c>
      <c r="J896" s="52" t="s">
        <v>1061</v>
      </c>
      <c r="K896" s="109" t="s">
        <v>1054</v>
      </c>
    </row>
    <row r="897" spans="1:11" x14ac:dyDescent="0.35">
      <c r="A897" s="61">
        <v>45519</v>
      </c>
      <c r="B897" s="49" t="s">
        <v>636</v>
      </c>
      <c r="C897" s="49" t="s">
        <v>10</v>
      </c>
      <c r="D897" s="50">
        <v>528</v>
      </c>
      <c r="E897" s="50">
        <v>193</v>
      </c>
      <c r="F897" s="51">
        <v>0.36553030303030298</v>
      </c>
      <c r="G897" s="50">
        <v>12</v>
      </c>
      <c r="H897" s="51">
        <v>6.21761658031088E-2</v>
      </c>
      <c r="I897" s="51">
        <v>2.27272727272727E-2</v>
      </c>
      <c r="J897" s="52" t="s">
        <v>1060</v>
      </c>
      <c r="K897" s="109" t="s">
        <v>1054</v>
      </c>
    </row>
    <row r="898" spans="1:11" x14ac:dyDescent="0.35">
      <c r="A898" s="61">
        <v>45519</v>
      </c>
      <c r="B898" s="49" t="s">
        <v>637</v>
      </c>
      <c r="C898" s="49" t="s">
        <v>10</v>
      </c>
      <c r="D898" s="50">
        <v>41913</v>
      </c>
      <c r="E898" s="50">
        <v>12083</v>
      </c>
      <c r="F898" s="51">
        <v>0.28828764345191199</v>
      </c>
      <c r="G898" s="50">
        <v>395</v>
      </c>
      <c r="H898" s="51">
        <v>3.2690556980882197E-2</v>
      </c>
      <c r="I898" s="51">
        <v>9.4242836351489997E-3</v>
      </c>
      <c r="J898" s="52" t="s">
        <v>1055</v>
      </c>
      <c r="K898" s="109" t="s">
        <v>1056</v>
      </c>
    </row>
    <row r="899" spans="1:11" x14ac:dyDescent="0.35">
      <c r="A899" s="61">
        <v>45520</v>
      </c>
      <c r="B899" s="49" t="s">
        <v>638</v>
      </c>
      <c r="C899" s="49" t="s">
        <v>10</v>
      </c>
      <c r="D899" s="50">
        <v>394317</v>
      </c>
      <c r="E899" s="50">
        <v>137127</v>
      </c>
      <c r="F899" s="51">
        <v>0.34775827570203699</v>
      </c>
      <c r="G899" s="50">
        <v>3707</v>
      </c>
      <c r="H899" s="51">
        <v>2.7033334062584301E-2</v>
      </c>
      <c r="I899" s="51">
        <v>9.4010656400814602E-3</v>
      </c>
      <c r="J899" s="52" t="s">
        <v>1057</v>
      </c>
      <c r="K899" s="109" t="s">
        <v>1054</v>
      </c>
    </row>
    <row r="900" spans="1:11" x14ac:dyDescent="0.35">
      <c r="A900" s="61">
        <v>45520</v>
      </c>
      <c r="B900" s="49" t="s">
        <v>638</v>
      </c>
      <c r="C900" s="49" t="s">
        <v>11</v>
      </c>
      <c r="D900" s="50">
        <v>21906</v>
      </c>
      <c r="E900" s="50">
        <v>7065</v>
      </c>
      <c r="F900" s="51">
        <v>0.32251437962202101</v>
      </c>
      <c r="G900" s="50">
        <v>359</v>
      </c>
      <c r="H900" s="51">
        <v>5.0813871196036801E-2</v>
      </c>
      <c r="I900" s="51">
        <v>1.6388204144983098E-2</v>
      </c>
      <c r="J900" s="52" t="s">
        <v>1057</v>
      </c>
      <c r="K900" s="109" t="s">
        <v>1054</v>
      </c>
    </row>
    <row r="901" spans="1:11" x14ac:dyDescent="0.35">
      <c r="A901" s="61">
        <v>45520</v>
      </c>
      <c r="B901" s="49" t="s">
        <v>639</v>
      </c>
      <c r="C901" s="49" t="s">
        <v>85</v>
      </c>
      <c r="D901" s="50">
        <v>1032</v>
      </c>
      <c r="E901" s="50">
        <v>374</v>
      </c>
      <c r="F901" s="51">
        <v>0.362403100775194</v>
      </c>
      <c r="G901" s="50">
        <v>10</v>
      </c>
      <c r="H901" s="51">
        <v>2.6737967914438499E-2</v>
      </c>
      <c r="I901" s="51">
        <v>9.6899224806201497E-3</v>
      </c>
      <c r="J901" s="52" t="s">
        <v>1055</v>
      </c>
      <c r="K901" s="109" t="s">
        <v>1056</v>
      </c>
    </row>
    <row r="902" spans="1:11" x14ac:dyDescent="0.35">
      <c r="A902" s="61">
        <v>45520</v>
      </c>
      <c r="B902" s="49" t="s">
        <v>639</v>
      </c>
      <c r="C902" s="49" t="s">
        <v>73</v>
      </c>
      <c r="D902" s="50">
        <v>20526</v>
      </c>
      <c r="E902" s="50">
        <v>7521</v>
      </c>
      <c r="F902" s="51">
        <v>0.36641332943583699</v>
      </c>
      <c r="G902" s="50">
        <v>248</v>
      </c>
      <c r="H902" s="51">
        <v>3.2974338518813998E-2</v>
      </c>
      <c r="I902" s="51">
        <v>1.2082237162622999E-2</v>
      </c>
      <c r="J902" s="52" t="s">
        <v>1055</v>
      </c>
      <c r="K902" s="109" t="s">
        <v>1056</v>
      </c>
    </row>
    <row r="903" spans="1:11" x14ac:dyDescent="0.35">
      <c r="A903" s="61">
        <v>45520</v>
      </c>
      <c r="B903" s="49" t="s">
        <v>640</v>
      </c>
      <c r="C903" s="49" t="s">
        <v>10</v>
      </c>
      <c r="D903" s="50">
        <v>4367175</v>
      </c>
      <c r="E903" s="50">
        <v>1432182</v>
      </c>
      <c r="F903" s="51">
        <v>0.32794243418227997</v>
      </c>
      <c r="G903" s="50">
        <v>17270</v>
      </c>
      <c r="H903" s="51">
        <v>1.20585232882413E-2</v>
      </c>
      <c r="I903" s="51">
        <v>3.9545014797895701E-3</v>
      </c>
      <c r="J903" s="52" t="s">
        <v>1055</v>
      </c>
      <c r="K903" s="109" t="s">
        <v>1056</v>
      </c>
    </row>
    <row r="904" spans="1:11" x14ac:dyDescent="0.35">
      <c r="A904" s="61">
        <v>45520</v>
      </c>
      <c r="B904" s="49" t="s">
        <v>640</v>
      </c>
      <c r="C904" s="49" t="s">
        <v>11</v>
      </c>
      <c r="D904" s="50">
        <v>281198</v>
      </c>
      <c r="E904" s="50">
        <v>80870</v>
      </c>
      <c r="F904" s="51">
        <v>0.28759095014900499</v>
      </c>
      <c r="G904" s="50">
        <v>1383</v>
      </c>
      <c r="H904" s="51">
        <v>1.7101520959564701E-2</v>
      </c>
      <c r="I904" s="51">
        <v>4.9182426617543499E-3</v>
      </c>
      <c r="J904" s="52" t="s">
        <v>1055</v>
      </c>
      <c r="K904" s="109" t="s">
        <v>1056</v>
      </c>
    </row>
    <row r="905" spans="1:11" x14ac:dyDescent="0.35">
      <c r="A905" s="61">
        <v>45520</v>
      </c>
      <c r="B905" s="49" t="s">
        <v>640</v>
      </c>
      <c r="C905" s="49" t="s">
        <v>528</v>
      </c>
      <c r="D905" s="50">
        <v>240903</v>
      </c>
      <c r="E905" s="50">
        <v>88690</v>
      </c>
      <c r="F905" s="51">
        <v>0.36815647791849798</v>
      </c>
      <c r="G905" s="50">
        <v>843</v>
      </c>
      <c r="H905" s="51">
        <v>9.5050174766038997E-3</v>
      </c>
      <c r="I905" s="51">
        <v>3.4993337567402602E-3</v>
      </c>
      <c r="J905" s="52" t="s">
        <v>1055</v>
      </c>
      <c r="K905" s="109" t="s">
        <v>1056</v>
      </c>
    </row>
    <row r="906" spans="1:11" x14ac:dyDescent="0.35">
      <c r="A906" s="61">
        <v>45520</v>
      </c>
      <c r="B906" s="49" t="s">
        <v>640</v>
      </c>
      <c r="C906" s="49" t="s">
        <v>529</v>
      </c>
      <c r="D906" s="50">
        <v>15171</v>
      </c>
      <c r="E906" s="50">
        <v>5189</v>
      </c>
      <c r="F906" s="51">
        <v>0.34203414409069899</v>
      </c>
      <c r="G906" s="50">
        <v>74</v>
      </c>
      <c r="H906" s="51">
        <v>1.42609365966468E-2</v>
      </c>
      <c r="I906" s="51">
        <v>4.8777272427657998E-3</v>
      </c>
      <c r="J906" s="52" t="s">
        <v>1055</v>
      </c>
      <c r="K906" s="109" t="s">
        <v>1056</v>
      </c>
    </row>
    <row r="907" spans="1:11" x14ac:dyDescent="0.35">
      <c r="A907" s="61">
        <v>45521</v>
      </c>
      <c r="B907" s="49" t="s">
        <v>641</v>
      </c>
      <c r="C907" s="49" t="s">
        <v>10</v>
      </c>
      <c r="D907" s="50">
        <v>1261820</v>
      </c>
      <c r="E907" s="50">
        <v>350472</v>
      </c>
      <c r="F907" s="51">
        <v>0.27775118479656402</v>
      </c>
      <c r="G907" s="50">
        <v>6095</v>
      </c>
      <c r="H907" s="51">
        <v>1.7390832933871999E-2</v>
      </c>
      <c r="I907" s="51">
        <v>4.8303244519820598E-3</v>
      </c>
      <c r="J907" s="52" t="s">
        <v>1055</v>
      </c>
      <c r="K907" s="109" t="s">
        <v>1056</v>
      </c>
    </row>
    <row r="908" spans="1:11" x14ac:dyDescent="0.35">
      <c r="A908" s="61">
        <v>45521</v>
      </c>
      <c r="B908" s="49" t="s">
        <v>641</v>
      </c>
      <c r="C908" s="49" t="s">
        <v>11</v>
      </c>
      <c r="D908" s="50">
        <v>94044</v>
      </c>
      <c r="E908" s="50">
        <v>24014</v>
      </c>
      <c r="F908" s="51">
        <v>0.25534856024839397</v>
      </c>
      <c r="G908" s="50">
        <v>696</v>
      </c>
      <c r="H908" s="51">
        <v>2.8983093195635901E-2</v>
      </c>
      <c r="I908" s="51">
        <v>7.4007911190506603E-3</v>
      </c>
      <c r="J908" s="52" t="s">
        <v>1055</v>
      </c>
      <c r="K908" s="109" t="s">
        <v>1056</v>
      </c>
    </row>
    <row r="909" spans="1:11" x14ac:dyDescent="0.35">
      <c r="A909" s="61">
        <v>45523</v>
      </c>
      <c r="B909" s="49" t="s">
        <v>642</v>
      </c>
      <c r="C909" s="49" t="s">
        <v>10</v>
      </c>
      <c r="D909" s="50">
        <v>6318255</v>
      </c>
      <c r="E909" s="50">
        <v>2161418</v>
      </c>
      <c r="F909" s="51">
        <v>0.34209097290312002</v>
      </c>
      <c r="G909" s="50">
        <v>15272</v>
      </c>
      <c r="H909" s="51">
        <v>7.0657318482588698E-3</v>
      </c>
      <c r="I909" s="51">
        <v>2.4171230822434401E-3</v>
      </c>
      <c r="J909" s="52" t="s">
        <v>1059</v>
      </c>
      <c r="K909" s="109" t="s">
        <v>1054</v>
      </c>
    </row>
    <row r="910" spans="1:11" x14ac:dyDescent="0.35">
      <c r="A910" s="61">
        <v>45523</v>
      </c>
      <c r="B910" s="49" t="s">
        <v>642</v>
      </c>
      <c r="C910" s="49" t="s">
        <v>11</v>
      </c>
      <c r="D910" s="50">
        <v>419502</v>
      </c>
      <c r="E910" s="50">
        <v>139542</v>
      </c>
      <c r="F910" s="51">
        <v>0.33263726990574499</v>
      </c>
      <c r="G910" s="50">
        <v>1627</v>
      </c>
      <c r="H910" s="51">
        <v>1.1659572028493201E-2</v>
      </c>
      <c r="I910" s="51">
        <v>3.8784082078273802E-3</v>
      </c>
      <c r="J910" s="52" t="s">
        <v>1059</v>
      </c>
      <c r="K910" s="109" t="s">
        <v>1054</v>
      </c>
    </row>
    <row r="911" spans="1:11" x14ac:dyDescent="0.35">
      <c r="A911" s="61">
        <v>45524</v>
      </c>
      <c r="B911" s="49" t="s">
        <v>643</v>
      </c>
      <c r="C911" s="49" t="s">
        <v>10</v>
      </c>
      <c r="D911" s="50">
        <v>1385818</v>
      </c>
      <c r="E911" s="50">
        <v>418347</v>
      </c>
      <c r="F911" s="51">
        <v>0.301877302791564</v>
      </c>
      <c r="G911" s="50">
        <v>9406</v>
      </c>
      <c r="H911" s="51">
        <v>2.2483727623240999E-2</v>
      </c>
      <c r="I911" s="51">
        <v>6.7873270516041802E-3</v>
      </c>
      <c r="J911" s="52" t="s">
        <v>1055</v>
      </c>
      <c r="K911" s="109" t="s">
        <v>1056</v>
      </c>
    </row>
    <row r="912" spans="1:11" x14ac:dyDescent="0.35">
      <c r="A912" s="61">
        <v>45524</v>
      </c>
      <c r="B912" s="49" t="s">
        <v>643</v>
      </c>
      <c r="C912" s="49" t="s">
        <v>11</v>
      </c>
      <c r="D912" s="50">
        <v>93837</v>
      </c>
      <c r="E912" s="50">
        <v>29059</v>
      </c>
      <c r="F912" s="51">
        <v>0.30967528799940303</v>
      </c>
      <c r="G912" s="50">
        <v>1076</v>
      </c>
      <c r="H912" s="51">
        <v>3.7028115213875203E-2</v>
      </c>
      <c r="I912" s="51">
        <v>1.1466692242931901E-2</v>
      </c>
      <c r="J912" s="52" t="s">
        <v>1055</v>
      </c>
      <c r="K912" s="109" t="s">
        <v>1056</v>
      </c>
    </row>
    <row r="913" spans="1:11" x14ac:dyDescent="0.35">
      <c r="A913" s="61">
        <v>45524</v>
      </c>
      <c r="B913" s="49" t="s">
        <v>644</v>
      </c>
      <c r="C913" s="49" t="s">
        <v>10</v>
      </c>
      <c r="D913" s="50">
        <v>206562</v>
      </c>
      <c r="E913" s="50">
        <v>67646</v>
      </c>
      <c r="F913" s="51">
        <v>0.32748521025164401</v>
      </c>
      <c r="G913" s="50">
        <v>1097</v>
      </c>
      <c r="H913" s="51">
        <v>1.6216775566921901E-2</v>
      </c>
      <c r="I913" s="51">
        <v>5.3107541561371397E-3</v>
      </c>
      <c r="J913" s="52" t="s">
        <v>1060</v>
      </c>
      <c r="K913" s="109" t="s">
        <v>1054</v>
      </c>
    </row>
    <row r="914" spans="1:11" x14ac:dyDescent="0.35">
      <c r="A914" s="61">
        <v>45524</v>
      </c>
      <c r="B914" s="49" t="s">
        <v>645</v>
      </c>
      <c r="C914" s="49" t="s">
        <v>10</v>
      </c>
      <c r="D914" s="50">
        <v>6496406</v>
      </c>
      <c r="E914" s="50">
        <v>2169911</v>
      </c>
      <c r="F914" s="51">
        <v>0.33401714732730697</v>
      </c>
      <c r="G914" s="50">
        <v>11436</v>
      </c>
      <c r="H914" s="51">
        <v>5.2702622365617801E-3</v>
      </c>
      <c r="I914" s="51">
        <v>1.7603579579231999E-3</v>
      </c>
      <c r="J914" s="52" t="s">
        <v>1059</v>
      </c>
      <c r="K914" s="109" t="s">
        <v>1054</v>
      </c>
    </row>
    <row r="915" spans="1:11" x14ac:dyDescent="0.35">
      <c r="A915" s="61">
        <v>45524</v>
      </c>
      <c r="B915" s="49" t="s">
        <v>645</v>
      </c>
      <c r="C915" s="49" t="s">
        <v>11</v>
      </c>
      <c r="D915" s="50">
        <v>419326</v>
      </c>
      <c r="E915" s="50">
        <v>132774</v>
      </c>
      <c r="F915" s="51">
        <v>0.31663669793907401</v>
      </c>
      <c r="G915" s="50">
        <v>1158</v>
      </c>
      <c r="H915" s="51">
        <v>8.7215870577070798E-3</v>
      </c>
      <c r="I915" s="51">
        <v>2.7615745267405298E-3</v>
      </c>
      <c r="J915" s="52" t="s">
        <v>1059</v>
      </c>
      <c r="K915" s="109" t="s">
        <v>1054</v>
      </c>
    </row>
    <row r="916" spans="1:11" x14ac:dyDescent="0.35">
      <c r="A916" s="61">
        <v>45524</v>
      </c>
      <c r="B916" s="49" t="s">
        <v>646</v>
      </c>
      <c r="C916" s="49" t="s">
        <v>316</v>
      </c>
      <c r="D916" s="50">
        <v>801</v>
      </c>
      <c r="E916" s="50">
        <v>217</v>
      </c>
      <c r="F916" s="51">
        <v>0.27091136079900102</v>
      </c>
      <c r="G916" s="50">
        <v>28</v>
      </c>
      <c r="H916" s="51">
        <v>0.12903225806451599</v>
      </c>
      <c r="I916" s="51">
        <v>3.4956304619225997E-2</v>
      </c>
      <c r="J916" s="52" t="s">
        <v>1061</v>
      </c>
      <c r="K916" s="109" t="s">
        <v>1054</v>
      </c>
    </row>
    <row r="917" spans="1:11" x14ac:dyDescent="0.35">
      <c r="A917" s="61">
        <v>45525</v>
      </c>
      <c r="B917" s="49" t="s">
        <v>647</v>
      </c>
      <c r="C917" s="49" t="s">
        <v>10</v>
      </c>
      <c r="D917" s="50">
        <v>227740</v>
      </c>
      <c r="E917" s="50">
        <v>76195</v>
      </c>
      <c r="F917" s="51">
        <v>0.33457012382541501</v>
      </c>
      <c r="G917" s="50">
        <v>950</v>
      </c>
      <c r="H917" s="51">
        <v>1.2468009711923401E-2</v>
      </c>
      <c r="I917" s="51">
        <v>4.1714235531746698E-3</v>
      </c>
      <c r="J917" s="52" t="s">
        <v>1055</v>
      </c>
      <c r="K917" s="109" t="s">
        <v>1056</v>
      </c>
    </row>
    <row r="918" spans="1:11" x14ac:dyDescent="0.35">
      <c r="A918" s="61">
        <v>45525</v>
      </c>
      <c r="B918" s="49" t="s">
        <v>647</v>
      </c>
      <c r="C918" s="49" t="s">
        <v>11</v>
      </c>
      <c r="D918" s="50">
        <v>9897</v>
      </c>
      <c r="E918" s="50">
        <v>3156</v>
      </c>
      <c r="F918" s="51">
        <v>0.31888451045771399</v>
      </c>
      <c r="G918" s="50">
        <v>66</v>
      </c>
      <c r="H918" s="51">
        <v>2.0912547528517102E-2</v>
      </c>
      <c r="I918" s="51">
        <v>6.6686874810548604E-3</v>
      </c>
      <c r="J918" s="52" t="s">
        <v>1055</v>
      </c>
      <c r="K918" s="109" t="s">
        <v>1056</v>
      </c>
    </row>
    <row r="919" spans="1:11" x14ac:dyDescent="0.35">
      <c r="A919" s="61">
        <v>45525</v>
      </c>
      <c r="B919" s="49" t="s">
        <v>648</v>
      </c>
      <c r="C919" s="49" t="s">
        <v>10</v>
      </c>
      <c r="D919" s="50">
        <v>136083</v>
      </c>
      <c r="E919" s="50">
        <v>61539</v>
      </c>
      <c r="F919" s="51">
        <v>0.45221666189017001</v>
      </c>
      <c r="G919" s="50">
        <v>1919</v>
      </c>
      <c r="H919" s="51">
        <v>3.1183477144574999E-2</v>
      </c>
      <c r="I919" s="51">
        <v>1.41016879404481E-2</v>
      </c>
      <c r="J919" s="52" t="s">
        <v>1055</v>
      </c>
      <c r="K919" s="109" t="s">
        <v>1056</v>
      </c>
    </row>
    <row r="920" spans="1:11" x14ac:dyDescent="0.35">
      <c r="A920" s="61">
        <v>45525</v>
      </c>
      <c r="B920" s="49" t="s">
        <v>648</v>
      </c>
      <c r="C920" s="49" t="s">
        <v>11</v>
      </c>
      <c r="D920" s="50">
        <v>7412</v>
      </c>
      <c r="E920" s="50">
        <v>3541</v>
      </c>
      <c r="F920" s="51">
        <v>0.477738801942795</v>
      </c>
      <c r="G920" s="50">
        <v>162</v>
      </c>
      <c r="H920" s="51">
        <v>4.5749788195425002E-2</v>
      </c>
      <c r="I920" s="51">
        <v>2.1856449001619E-2</v>
      </c>
      <c r="J920" s="52" t="s">
        <v>1055</v>
      </c>
      <c r="K920" s="109" t="s">
        <v>1056</v>
      </c>
    </row>
    <row r="921" spans="1:11" x14ac:dyDescent="0.35">
      <c r="A921" s="61">
        <v>45525</v>
      </c>
      <c r="B921" s="49" t="s">
        <v>649</v>
      </c>
      <c r="C921" s="49" t="s">
        <v>10</v>
      </c>
      <c r="D921" s="50">
        <v>93273</v>
      </c>
      <c r="E921" s="50">
        <v>38793</v>
      </c>
      <c r="F921" s="51">
        <v>0.41590814061947201</v>
      </c>
      <c r="G921" s="50">
        <v>1789</v>
      </c>
      <c r="H921" s="51">
        <v>4.6116567421957598E-2</v>
      </c>
      <c r="I921" s="51">
        <v>1.9180255808218898E-2</v>
      </c>
      <c r="J921" s="52" t="s">
        <v>1055</v>
      </c>
      <c r="K921" s="109" t="s">
        <v>1056</v>
      </c>
    </row>
    <row r="922" spans="1:11" x14ac:dyDescent="0.35">
      <c r="A922" s="61">
        <v>45526</v>
      </c>
      <c r="B922" s="49" t="s">
        <v>631</v>
      </c>
      <c r="C922" s="49" t="s">
        <v>234</v>
      </c>
      <c r="D922" s="50">
        <v>280609</v>
      </c>
      <c r="E922" s="50">
        <v>108823</v>
      </c>
      <c r="F922" s="60">
        <v>0.38779999999999998</v>
      </c>
      <c r="G922" s="50">
        <v>1064</v>
      </c>
      <c r="H922" s="60">
        <v>9.7999999999999997E-3</v>
      </c>
      <c r="I922" s="60">
        <v>3.8E-3</v>
      </c>
      <c r="J922" s="52" t="s">
        <v>1055</v>
      </c>
      <c r="K922" s="109" t="s">
        <v>1056</v>
      </c>
    </row>
    <row r="923" spans="1:11" x14ac:dyDescent="0.35">
      <c r="A923" s="61">
        <v>45526</v>
      </c>
      <c r="B923" s="49" t="s">
        <v>632</v>
      </c>
      <c r="C923" s="49" t="s">
        <v>235</v>
      </c>
      <c r="D923" s="50">
        <v>15835</v>
      </c>
      <c r="E923" s="50">
        <v>5577</v>
      </c>
      <c r="F923" s="60">
        <v>0.35220000000000001</v>
      </c>
      <c r="G923" s="49">
        <v>64</v>
      </c>
      <c r="H923" s="60">
        <v>1.15E-2</v>
      </c>
      <c r="I923" s="60">
        <v>4.0000000000000001E-3</v>
      </c>
      <c r="J923" s="52" t="s">
        <v>1055</v>
      </c>
      <c r="K923" s="109" t="s">
        <v>1056</v>
      </c>
    </row>
    <row r="924" spans="1:11" x14ac:dyDescent="0.35">
      <c r="A924" s="61">
        <v>45526</v>
      </c>
      <c r="B924" s="49" t="s">
        <v>633</v>
      </c>
      <c r="C924" s="49" t="s">
        <v>235</v>
      </c>
      <c r="D924" s="50">
        <v>13941</v>
      </c>
      <c r="E924" s="50">
        <v>6734</v>
      </c>
      <c r="F924" s="60">
        <v>0.48299999999999998</v>
      </c>
      <c r="G924" s="49">
        <v>167</v>
      </c>
      <c r="H924" s="60">
        <v>2.4799999999999999E-2</v>
      </c>
      <c r="I924" s="60">
        <v>1.2E-2</v>
      </c>
      <c r="J924" s="52" t="s">
        <v>1055</v>
      </c>
      <c r="K924" s="109" t="s">
        <v>1056</v>
      </c>
    </row>
    <row r="925" spans="1:11" x14ac:dyDescent="0.35">
      <c r="A925" s="61">
        <v>45526</v>
      </c>
      <c r="B925" s="49" t="s">
        <v>650</v>
      </c>
      <c r="C925" s="49" t="s">
        <v>10</v>
      </c>
      <c r="D925" s="50">
        <v>233102</v>
      </c>
      <c r="E925" s="50">
        <v>76368</v>
      </c>
      <c r="F925" s="51">
        <v>0.32761623666892598</v>
      </c>
      <c r="G925" s="50">
        <v>1765</v>
      </c>
      <c r="H925" s="51">
        <v>2.3111774565262901E-2</v>
      </c>
      <c r="I925" s="51">
        <v>7.5717926058120498E-3</v>
      </c>
      <c r="J925" s="52" t="s">
        <v>1055</v>
      </c>
      <c r="K925" s="109" t="s">
        <v>1056</v>
      </c>
    </row>
    <row r="926" spans="1:11" x14ac:dyDescent="0.35">
      <c r="A926" s="61">
        <v>45526</v>
      </c>
      <c r="B926" s="49" t="s">
        <v>651</v>
      </c>
      <c r="C926" s="49" t="s">
        <v>10</v>
      </c>
      <c r="D926" s="50">
        <v>137837</v>
      </c>
      <c r="E926" s="50">
        <v>72341</v>
      </c>
      <c r="F926" s="51">
        <v>0.524830052888557</v>
      </c>
      <c r="G926" s="50">
        <v>8390</v>
      </c>
      <c r="H926" s="51">
        <v>0.115978490759044</v>
      </c>
      <c r="I926" s="51">
        <v>6.0868997439004001E-2</v>
      </c>
      <c r="J926" s="52" t="s">
        <v>1058</v>
      </c>
      <c r="K926" s="109" t="s">
        <v>1054</v>
      </c>
    </row>
    <row r="927" spans="1:11" x14ac:dyDescent="0.35">
      <c r="A927" s="61">
        <v>45526</v>
      </c>
      <c r="B927" s="49" t="s">
        <v>651</v>
      </c>
      <c r="C927" s="49" t="s">
        <v>11</v>
      </c>
      <c r="D927" s="50">
        <v>6237</v>
      </c>
      <c r="E927" s="50">
        <v>3962</v>
      </c>
      <c r="F927" s="51">
        <v>0.63524130190796901</v>
      </c>
      <c r="G927" s="50">
        <v>504</v>
      </c>
      <c r="H927" s="51">
        <v>0.12720848056537101</v>
      </c>
      <c r="I927" s="51">
        <v>8.0808080808080801E-2</v>
      </c>
      <c r="J927" s="52" t="s">
        <v>1058</v>
      </c>
      <c r="K927" s="109" t="s">
        <v>1054</v>
      </c>
    </row>
    <row r="928" spans="1:11" x14ac:dyDescent="0.35">
      <c r="A928" s="61">
        <v>45526</v>
      </c>
      <c r="B928" s="49" t="s">
        <v>652</v>
      </c>
      <c r="C928" s="49" t="s">
        <v>10</v>
      </c>
      <c r="D928" s="50">
        <v>41551</v>
      </c>
      <c r="E928" s="50">
        <v>20003</v>
      </c>
      <c r="F928" s="51">
        <v>0.481408389689779</v>
      </c>
      <c r="G928" s="50">
        <v>1199</v>
      </c>
      <c r="H928" s="51">
        <v>5.9941008848672699E-2</v>
      </c>
      <c r="I928" s="51">
        <v>2.8856104546220299E-2</v>
      </c>
      <c r="J928" s="52" t="s">
        <v>1058</v>
      </c>
      <c r="K928" s="109" t="s">
        <v>1054</v>
      </c>
    </row>
    <row r="929" spans="1:11" x14ac:dyDescent="0.35">
      <c r="A929" s="61">
        <v>45526</v>
      </c>
      <c r="B929" s="49" t="s">
        <v>653</v>
      </c>
      <c r="C929" s="49" t="s">
        <v>654</v>
      </c>
      <c r="D929" s="50">
        <v>975125</v>
      </c>
      <c r="E929" s="50">
        <v>346274</v>
      </c>
      <c r="F929" s="51">
        <v>0.35510729393667501</v>
      </c>
      <c r="G929" s="50">
        <v>3494</v>
      </c>
      <c r="H929" s="51">
        <v>1.00902753310962E-2</v>
      </c>
      <c r="I929" s="51">
        <v>3.5831303679015498E-3</v>
      </c>
      <c r="J929" s="52" t="s">
        <v>1055</v>
      </c>
      <c r="K929" s="109" t="s">
        <v>1056</v>
      </c>
    </row>
    <row r="930" spans="1:11" x14ac:dyDescent="0.35">
      <c r="A930" s="61">
        <v>45526</v>
      </c>
      <c r="B930" s="49" t="s">
        <v>653</v>
      </c>
      <c r="C930" s="49" t="s">
        <v>618</v>
      </c>
      <c r="D930" s="50">
        <v>325565</v>
      </c>
      <c r="E930" s="50">
        <v>121311</v>
      </c>
      <c r="F930" s="51">
        <v>0.37261683534778001</v>
      </c>
      <c r="G930" s="50">
        <v>1473</v>
      </c>
      <c r="H930" s="51">
        <v>1.21423448821624E-2</v>
      </c>
      <c r="I930" s="51">
        <v>4.5244421236926603E-3</v>
      </c>
      <c r="J930" s="52" t="s">
        <v>1055</v>
      </c>
      <c r="K930" s="109" t="s">
        <v>1056</v>
      </c>
    </row>
    <row r="931" spans="1:11" x14ac:dyDescent="0.35">
      <c r="A931" s="61">
        <v>45526</v>
      </c>
      <c r="B931" s="49" t="s">
        <v>653</v>
      </c>
      <c r="C931" s="49" t="s">
        <v>619</v>
      </c>
      <c r="D931" s="50">
        <v>67599</v>
      </c>
      <c r="E931" s="50">
        <v>26711</v>
      </c>
      <c r="F931" s="51">
        <v>0.39513898134587799</v>
      </c>
      <c r="G931" s="50">
        <v>442</v>
      </c>
      <c r="H931" s="51">
        <v>1.65474897982105E-2</v>
      </c>
      <c r="I931" s="51">
        <v>6.5385582626961902E-3</v>
      </c>
      <c r="J931" s="52" t="s">
        <v>1055</v>
      </c>
      <c r="K931" s="109" t="s">
        <v>1056</v>
      </c>
    </row>
    <row r="932" spans="1:11" x14ac:dyDescent="0.35">
      <c r="A932" s="61">
        <v>45527</v>
      </c>
      <c r="B932" s="49" t="s">
        <v>655</v>
      </c>
      <c r="C932" s="49" t="s">
        <v>10</v>
      </c>
      <c r="D932" s="50">
        <v>392505</v>
      </c>
      <c r="E932" s="50">
        <v>138893</v>
      </c>
      <c r="F932" s="51">
        <v>0.35386300811454602</v>
      </c>
      <c r="G932" s="50">
        <v>3422</v>
      </c>
      <c r="H932" s="51">
        <v>2.4637670724946499E-2</v>
      </c>
      <c r="I932" s="51">
        <v>8.7183602756652802E-3</v>
      </c>
      <c r="J932" s="52" t="s">
        <v>1057</v>
      </c>
      <c r="K932" s="109" t="s">
        <v>1054</v>
      </c>
    </row>
    <row r="933" spans="1:11" x14ac:dyDescent="0.35">
      <c r="A933" s="61">
        <v>45527</v>
      </c>
      <c r="B933" s="49" t="s">
        <v>656</v>
      </c>
      <c r="C933" s="49" t="s">
        <v>85</v>
      </c>
      <c r="D933" s="50">
        <v>897</v>
      </c>
      <c r="E933" s="50">
        <v>439</v>
      </c>
      <c r="F933" s="51">
        <v>0.48940914158305499</v>
      </c>
      <c r="G933" s="50">
        <v>16</v>
      </c>
      <c r="H933" s="51">
        <v>3.6446469248291598E-2</v>
      </c>
      <c r="I933" s="51">
        <v>1.78372352285396E-2</v>
      </c>
      <c r="J933" s="52" t="s">
        <v>1055</v>
      </c>
      <c r="K933" s="109" t="s">
        <v>1056</v>
      </c>
    </row>
    <row r="934" spans="1:11" x14ac:dyDescent="0.35">
      <c r="A934" s="61">
        <v>45527</v>
      </c>
      <c r="B934" s="49" t="s">
        <v>656</v>
      </c>
      <c r="C934" s="49" t="s">
        <v>73</v>
      </c>
      <c r="D934" s="50">
        <v>17110</v>
      </c>
      <c r="E934" s="50">
        <v>8524</v>
      </c>
      <c r="F934" s="51">
        <v>0.49818819403857401</v>
      </c>
      <c r="G934" s="50">
        <v>384</v>
      </c>
      <c r="H934" s="51">
        <v>4.5049272641952097E-2</v>
      </c>
      <c r="I934" s="51">
        <v>2.24430157802455E-2</v>
      </c>
      <c r="J934" s="52" t="s">
        <v>1055</v>
      </c>
      <c r="K934" s="109" t="s">
        <v>1056</v>
      </c>
    </row>
    <row r="935" spans="1:11" x14ac:dyDescent="0.35">
      <c r="A935" s="61">
        <v>45527</v>
      </c>
      <c r="B935" s="49" t="s">
        <v>657</v>
      </c>
      <c r="C935" s="49" t="s">
        <v>10</v>
      </c>
      <c r="D935" s="50">
        <v>4340756</v>
      </c>
      <c r="E935" s="50">
        <v>1331098</v>
      </c>
      <c r="F935" s="51">
        <v>0.306651191635743</v>
      </c>
      <c r="G935" s="50">
        <v>14276</v>
      </c>
      <c r="H935" s="51">
        <v>1.07249804296904E-2</v>
      </c>
      <c r="I935" s="51">
        <v>3.28882802903457E-3</v>
      </c>
      <c r="J935" s="52" t="s">
        <v>1055</v>
      </c>
      <c r="K935" s="109" t="s">
        <v>1056</v>
      </c>
    </row>
    <row r="936" spans="1:11" x14ac:dyDescent="0.35">
      <c r="A936" s="61">
        <v>45527</v>
      </c>
      <c r="B936" s="49" t="s">
        <v>657</v>
      </c>
      <c r="C936" s="49" t="s">
        <v>11</v>
      </c>
      <c r="D936" s="50">
        <v>279656</v>
      </c>
      <c r="E936" s="50">
        <v>77426</v>
      </c>
      <c r="F936" s="51">
        <v>0.27686157278942702</v>
      </c>
      <c r="G936" s="50">
        <v>1030</v>
      </c>
      <c r="H936" s="51">
        <v>1.3303024823702599E-2</v>
      </c>
      <c r="I936" s="51">
        <v>3.6830963755471002E-3</v>
      </c>
      <c r="J936" s="52" t="s">
        <v>1055</v>
      </c>
      <c r="K936" s="109" t="s">
        <v>1056</v>
      </c>
    </row>
    <row r="937" spans="1:11" x14ac:dyDescent="0.35">
      <c r="A937" s="61">
        <v>45527</v>
      </c>
      <c r="B937" s="49" t="s">
        <v>657</v>
      </c>
      <c r="C937" s="49" t="s">
        <v>528</v>
      </c>
      <c r="D937" s="50">
        <v>240747</v>
      </c>
      <c r="E937" s="50">
        <v>87663</v>
      </c>
      <c r="F937" s="51">
        <v>0.36412914802676699</v>
      </c>
      <c r="G937" s="50">
        <v>748</v>
      </c>
      <c r="H937" s="51">
        <v>8.5326762716311302E-3</v>
      </c>
      <c r="I937" s="51">
        <v>3.1069961411772499E-3</v>
      </c>
      <c r="J937" s="52" t="s">
        <v>1055</v>
      </c>
      <c r="K937" s="109" t="s">
        <v>1056</v>
      </c>
    </row>
    <row r="938" spans="1:11" x14ac:dyDescent="0.35">
      <c r="A938" s="61">
        <v>45527</v>
      </c>
      <c r="B938" s="49" t="s">
        <v>657</v>
      </c>
      <c r="C938" s="49" t="s">
        <v>529</v>
      </c>
      <c r="D938" s="50">
        <v>15066</v>
      </c>
      <c r="E938" s="50">
        <v>5079</v>
      </c>
      <c r="F938" s="51">
        <v>0.33711668657905203</v>
      </c>
      <c r="G938" s="50">
        <v>64</v>
      </c>
      <c r="H938" s="51">
        <v>1.26009056900965E-2</v>
      </c>
      <c r="I938" s="51">
        <v>4.2479755741404498E-3</v>
      </c>
      <c r="J938" s="52" t="s">
        <v>1055</v>
      </c>
      <c r="K938" s="109" t="s">
        <v>1056</v>
      </c>
    </row>
    <row r="939" spans="1:11" x14ac:dyDescent="0.35">
      <c r="A939" s="61">
        <v>45530</v>
      </c>
      <c r="B939" s="49" t="s">
        <v>658</v>
      </c>
      <c r="C939" s="49" t="s">
        <v>316</v>
      </c>
      <c r="D939" s="50">
        <v>2216</v>
      </c>
      <c r="E939" s="50">
        <v>1045</v>
      </c>
      <c r="F939" s="51">
        <v>0.47157039711191301</v>
      </c>
      <c r="G939" s="50">
        <v>61</v>
      </c>
      <c r="H939" s="51">
        <v>5.8373205741626799E-2</v>
      </c>
      <c r="I939" s="51">
        <v>2.7527075812274399E-2</v>
      </c>
      <c r="J939" s="52" t="s">
        <v>1061</v>
      </c>
      <c r="K939" s="109" t="s">
        <v>1054</v>
      </c>
    </row>
    <row r="940" spans="1:11" x14ac:dyDescent="0.35">
      <c r="A940" s="61">
        <v>45530</v>
      </c>
      <c r="B940" s="49" t="s">
        <v>659</v>
      </c>
      <c r="C940" s="49" t="s">
        <v>318</v>
      </c>
      <c r="D940" s="50">
        <v>148</v>
      </c>
      <c r="E940" s="50">
        <v>51</v>
      </c>
      <c r="F940" s="51">
        <v>0.34459459459459502</v>
      </c>
      <c r="G940" s="50">
        <v>3</v>
      </c>
      <c r="H940" s="51">
        <v>5.8823529411764698E-2</v>
      </c>
      <c r="I940" s="51">
        <v>2.0270270270270299E-2</v>
      </c>
      <c r="J940" s="52" t="s">
        <v>1061</v>
      </c>
      <c r="K940" s="109" t="s">
        <v>1054</v>
      </c>
    </row>
    <row r="941" spans="1:11" x14ac:dyDescent="0.35">
      <c r="A941" s="61">
        <v>45530</v>
      </c>
      <c r="B941" s="49" t="s">
        <v>660</v>
      </c>
      <c r="C941" s="49" t="s">
        <v>10</v>
      </c>
      <c r="D941" s="50">
        <v>241435</v>
      </c>
      <c r="E941" s="50">
        <v>92080</v>
      </c>
      <c r="F941" s="51">
        <v>0.38138629444778099</v>
      </c>
      <c r="G941" s="50">
        <v>10110</v>
      </c>
      <c r="H941" s="51">
        <v>0.10979582971329301</v>
      </c>
      <c r="I941" s="51">
        <v>4.1874624640172303E-2</v>
      </c>
      <c r="J941" s="52" t="s">
        <v>1053</v>
      </c>
      <c r="K941" s="109" t="s">
        <v>1054</v>
      </c>
    </row>
    <row r="942" spans="1:11" x14ac:dyDescent="0.35">
      <c r="A942" s="61">
        <v>45530</v>
      </c>
      <c r="B942" s="49" t="s">
        <v>660</v>
      </c>
      <c r="C942" s="49" t="s">
        <v>11</v>
      </c>
      <c r="D942" s="50">
        <v>67317</v>
      </c>
      <c r="E942" s="50">
        <v>25332</v>
      </c>
      <c r="F942" s="51">
        <v>0.37630910468380901</v>
      </c>
      <c r="G942" s="50">
        <v>4227</v>
      </c>
      <c r="H942" s="51">
        <v>0.166864045476078</v>
      </c>
      <c r="I942" s="51">
        <v>6.2792459557021299E-2</v>
      </c>
      <c r="J942" s="52" t="s">
        <v>1053</v>
      </c>
      <c r="K942" s="109" t="s">
        <v>1054</v>
      </c>
    </row>
    <row r="943" spans="1:11" x14ac:dyDescent="0.35">
      <c r="A943" s="61">
        <v>45531</v>
      </c>
      <c r="B943" s="49" t="s">
        <v>661</v>
      </c>
      <c r="C943" s="49" t="s">
        <v>10</v>
      </c>
      <c r="D943" s="50">
        <v>1384372</v>
      </c>
      <c r="E943" s="50">
        <v>399688</v>
      </c>
      <c r="F943" s="51">
        <v>0.28871430511452101</v>
      </c>
      <c r="G943" s="50">
        <v>8910</v>
      </c>
      <c r="H943" s="51">
        <v>2.2292388062688899E-2</v>
      </c>
      <c r="I943" s="51">
        <v>6.4361313288624697E-3</v>
      </c>
      <c r="J943" s="52" t="s">
        <v>1055</v>
      </c>
      <c r="K943" s="109" t="s">
        <v>1056</v>
      </c>
    </row>
    <row r="944" spans="1:11" x14ac:dyDescent="0.35">
      <c r="A944" s="61">
        <v>45531</v>
      </c>
      <c r="B944" s="49" t="s">
        <v>661</v>
      </c>
      <c r="C944" s="49" t="s">
        <v>11</v>
      </c>
      <c r="D944" s="50">
        <v>94097</v>
      </c>
      <c r="E944" s="50">
        <v>27622</v>
      </c>
      <c r="F944" s="51">
        <v>0.293548147124776</v>
      </c>
      <c r="G944" s="50">
        <v>842</v>
      </c>
      <c r="H944" s="51">
        <v>3.0482948374484099E-2</v>
      </c>
      <c r="I944" s="51">
        <v>8.9482130142300009E-3</v>
      </c>
      <c r="J944" s="52" t="s">
        <v>1055</v>
      </c>
      <c r="K944" s="109" t="s">
        <v>1056</v>
      </c>
    </row>
    <row r="945" spans="1:11" x14ac:dyDescent="0.35">
      <c r="A945" s="61">
        <v>45531</v>
      </c>
      <c r="B945" s="49" t="s">
        <v>662</v>
      </c>
      <c r="C945" s="49" t="s">
        <v>316</v>
      </c>
      <c r="D945" s="50">
        <v>801</v>
      </c>
      <c r="E945" s="50">
        <v>186</v>
      </c>
      <c r="F945" s="51">
        <v>0.23220973782771501</v>
      </c>
      <c r="G945" s="50">
        <v>30</v>
      </c>
      <c r="H945" s="51">
        <v>0.16129032258064499</v>
      </c>
      <c r="I945" s="51">
        <v>3.7453183520599301E-2</v>
      </c>
      <c r="J945" s="52" t="s">
        <v>1061</v>
      </c>
      <c r="K945" s="109" t="s">
        <v>1054</v>
      </c>
    </row>
    <row r="946" spans="1:11" x14ac:dyDescent="0.35">
      <c r="A946" s="61">
        <v>45532</v>
      </c>
      <c r="B946" s="49" t="s">
        <v>663</v>
      </c>
      <c r="C946" s="49" t="s">
        <v>10</v>
      </c>
      <c r="D946" s="50">
        <v>105193</v>
      </c>
      <c r="E946" s="50">
        <v>44422</v>
      </c>
      <c r="F946" s="51">
        <v>0.42229045658931702</v>
      </c>
      <c r="G946" s="50">
        <v>932</v>
      </c>
      <c r="H946" s="51">
        <v>2.09805952005763E-2</v>
      </c>
      <c r="I946" s="51">
        <v>8.8599051267669905E-3</v>
      </c>
      <c r="J946" s="52" t="s">
        <v>1055</v>
      </c>
      <c r="K946" s="109" t="s">
        <v>1056</v>
      </c>
    </row>
    <row r="947" spans="1:11" x14ac:dyDescent="0.35">
      <c r="A947" s="61">
        <v>45532</v>
      </c>
      <c r="B947" s="49" t="s">
        <v>663</v>
      </c>
      <c r="C947" s="49" t="s">
        <v>11</v>
      </c>
      <c r="D947" s="50">
        <v>3668</v>
      </c>
      <c r="E947" s="50">
        <v>1480</v>
      </c>
      <c r="F947" s="51">
        <v>0.40348964013086203</v>
      </c>
      <c r="G947" s="50">
        <v>28</v>
      </c>
      <c r="H947" s="51">
        <v>1.8918918918918899E-2</v>
      </c>
      <c r="I947" s="51">
        <v>7.63358778625954E-3</v>
      </c>
      <c r="J947" s="52" t="s">
        <v>1055</v>
      </c>
      <c r="K947" s="109" t="s">
        <v>1056</v>
      </c>
    </row>
    <row r="948" spans="1:11" x14ac:dyDescent="0.35">
      <c r="A948" s="61">
        <v>45533</v>
      </c>
      <c r="B948" s="49" t="s">
        <v>631</v>
      </c>
      <c r="C948" s="49" t="s">
        <v>253</v>
      </c>
      <c r="D948" s="50">
        <v>96758</v>
      </c>
      <c r="E948" s="50">
        <v>36691</v>
      </c>
      <c r="F948" s="51">
        <v>0.37920378676698602</v>
      </c>
      <c r="G948" s="50">
        <v>367</v>
      </c>
      <c r="H948" s="51">
        <v>1.0002452917609201E-2</v>
      </c>
      <c r="I948" s="51">
        <v>3.7929680233158999E-3</v>
      </c>
      <c r="J948" s="52" t="s">
        <v>1055</v>
      </c>
      <c r="K948" s="109" t="s">
        <v>1056</v>
      </c>
    </row>
    <row r="949" spans="1:11" x14ac:dyDescent="0.35">
      <c r="A949" s="61">
        <v>45533</v>
      </c>
      <c r="B949" s="49" t="s">
        <v>632</v>
      </c>
      <c r="C949" s="49" t="s">
        <v>255</v>
      </c>
      <c r="D949" s="50">
        <v>4629</v>
      </c>
      <c r="E949" s="50">
        <v>1402</v>
      </c>
      <c r="F949" s="51">
        <v>0.30287319075394298</v>
      </c>
      <c r="G949" s="50">
        <v>11</v>
      </c>
      <c r="H949" s="51">
        <v>7.8459343794579205E-3</v>
      </c>
      <c r="I949" s="51">
        <v>2.3763231799524701E-3</v>
      </c>
      <c r="J949" s="52" t="s">
        <v>1055</v>
      </c>
      <c r="K949" s="109" t="s">
        <v>1056</v>
      </c>
    </row>
    <row r="950" spans="1:11" x14ac:dyDescent="0.35">
      <c r="A950" s="61">
        <v>45533</v>
      </c>
      <c r="B950" s="49" t="s">
        <v>633</v>
      </c>
      <c r="C950" s="49" t="s">
        <v>255</v>
      </c>
      <c r="D950" s="50">
        <v>10067</v>
      </c>
      <c r="E950" s="50">
        <v>4916</v>
      </c>
      <c r="F950" s="51">
        <v>0.488328201052945</v>
      </c>
      <c r="G950" s="50">
        <v>150</v>
      </c>
      <c r="H950" s="51">
        <v>3.0512611879576899E-2</v>
      </c>
      <c r="I950" s="51">
        <v>1.4900168868580499E-2</v>
      </c>
      <c r="J950" s="52" t="s">
        <v>1055</v>
      </c>
      <c r="K950" s="109" t="s">
        <v>1056</v>
      </c>
    </row>
    <row r="951" spans="1:11" x14ac:dyDescent="0.35">
      <c r="A951" s="61">
        <v>45533</v>
      </c>
      <c r="B951" s="49" t="s">
        <v>664</v>
      </c>
      <c r="C951" s="49" t="s">
        <v>543</v>
      </c>
      <c r="D951" s="50">
        <v>37338</v>
      </c>
      <c r="E951" s="50">
        <v>14524</v>
      </c>
      <c r="F951" s="51">
        <v>0.38898709089935202</v>
      </c>
      <c r="G951" s="50">
        <v>112</v>
      </c>
      <c r="H951" s="51">
        <v>7.7113742770586599E-3</v>
      </c>
      <c r="I951" s="51">
        <v>2.9996250468691402E-3</v>
      </c>
      <c r="J951" s="52" t="s">
        <v>1055</v>
      </c>
      <c r="K951" s="109" t="s">
        <v>1056</v>
      </c>
    </row>
    <row r="952" spans="1:11" x14ac:dyDescent="0.35">
      <c r="A952" s="61">
        <v>45533</v>
      </c>
      <c r="B952" s="49" t="s">
        <v>665</v>
      </c>
      <c r="C952" s="49" t="s">
        <v>545</v>
      </c>
      <c r="D952" s="50">
        <v>15186</v>
      </c>
      <c r="E952" s="50">
        <v>5203</v>
      </c>
      <c r="F952" s="51">
        <v>0.34261820097458201</v>
      </c>
      <c r="G952" s="50">
        <v>65</v>
      </c>
      <c r="H952" s="51">
        <v>1.24927926196425E-2</v>
      </c>
      <c r="I952" s="51">
        <v>4.2802581324904504E-3</v>
      </c>
      <c r="J952" s="52" t="s">
        <v>1055</v>
      </c>
      <c r="K952" s="109" t="s">
        <v>1056</v>
      </c>
    </row>
    <row r="953" spans="1:11" x14ac:dyDescent="0.35">
      <c r="A953" s="61">
        <v>45533</v>
      </c>
      <c r="B953" s="49" t="s">
        <v>666</v>
      </c>
      <c r="C953" s="49" t="s">
        <v>10</v>
      </c>
      <c r="D953" s="50">
        <v>541523</v>
      </c>
      <c r="E953" s="50">
        <v>164419</v>
      </c>
      <c r="F953" s="51">
        <v>0.30362329947204503</v>
      </c>
      <c r="G953" s="50">
        <v>4846</v>
      </c>
      <c r="H953" s="51">
        <v>2.9473479342411801E-2</v>
      </c>
      <c r="I953" s="51">
        <v>8.94883504486421E-3</v>
      </c>
      <c r="J953" s="52" t="s">
        <v>1059</v>
      </c>
      <c r="K953" s="109" t="s">
        <v>1056</v>
      </c>
    </row>
    <row r="954" spans="1:11" x14ac:dyDescent="0.35">
      <c r="A954" s="61">
        <v>45533</v>
      </c>
      <c r="B954" s="49" t="s">
        <v>666</v>
      </c>
      <c r="C954" s="49" t="s">
        <v>11</v>
      </c>
      <c r="D954" s="50">
        <v>119655</v>
      </c>
      <c r="E954" s="50">
        <v>35113</v>
      </c>
      <c r="F954" s="51">
        <v>0.29345200785591902</v>
      </c>
      <c r="G954" s="50">
        <v>1662</v>
      </c>
      <c r="H954" s="51">
        <v>4.7332896647965098E-2</v>
      </c>
      <c r="I954" s="51">
        <v>1.38899335589821E-2</v>
      </c>
      <c r="J954" s="52" t="s">
        <v>1059</v>
      </c>
      <c r="K954" s="109" t="s">
        <v>1056</v>
      </c>
    </row>
    <row r="955" spans="1:11" x14ac:dyDescent="0.35">
      <c r="A955" s="61">
        <v>45534</v>
      </c>
      <c r="B955" s="49" t="s">
        <v>667</v>
      </c>
      <c r="C955" s="49" t="s">
        <v>10</v>
      </c>
      <c r="D955" s="50">
        <v>390517</v>
      </c>
      <c r="E955" s="50">
        <v>137774</v>
      </c>
      <c r="F955" s="51">
        <v>0.35279898186250502</v>
      </c>
      <c r="G955" s="50">
        <v>3196</v>
      </c>
      <c r="H955" s="51">
        <v>2.3197410251571401E-2</v>
      </c>
      <c r="I955" s="51">
        <v>8.1840227186012401E-3</v>
      </c>
      <c r="J955" s="52" t="s">
        <v>1057</v>
      </c>
      <c r="K955" s="109" t="s">
        <v>1054</v>
      </c>
    </row>
    <row r="956" spans="1:11" x14ac:dyDescent="0.35">
      <c r="A956" s="61">
        <v>45534</v>
      </c>
      <c r="B956" s="49" t="s">
        <v>667</v>
      </c>
      <c r="C956" s="49" t="s">
        <v>11</v>
      </c>
      <c r="D956" s="50">
        <v>21748</v>
      </c>
      <c r="E956" s="50">
        <v>7322</v>
      </c>
      <c r="F956" s="51">
        <v>0.33667463674820702</v>
      </c>
      <c r="G956" s="50">
        <v>357</v>
      </c>
      <c r="H956" s="51">
        <v>4.8757170172084099E-2</v>
      </c>
      <c r="I956" s="51">
        <v>1.6415302556556901E-2</v>
      </c>
      <c r="J956" s="52" t="s">
        <v>1057</v>
      </c>
      <c r="K956" s="109" t="s">
        <v>1054</v>
      </c>
    </row>
    <row r="957" spans="1:11" x14ac:dyDescent="0.35">
      <c r="A957" s="61">
        <v>45534</v>
      </c>
      <c r="B957" s="49" t="s">
        <v>668</v>
      </c>
      <c r="C957" s="49" t="s">
        <v>10</v>
      </c>
      <c r="D957" s="50">
        <v>2405401</v>
      </c>
      <c r="E957" s="50">
        <v>773136</v>
      </c>
      <c r="F957" s="51">
        <v>0.32141667854964701</v>
      </c>
      <c r="G957" s="50">
        <v>9926</v>
      </c>
      <c r="H957" s="51">
        <v>1.28386208894683E-2</v>
      </c>
      <c r="I957" s="51">
        <v>4.1265468834510302E-3</v>
      </c>
      <c r="J957" s="52" t="s">
        <v>1055</v>
      </c>
      <c r="K957" s="109" t="s">
        <v>1056</v>
      </c>
    </row>
    <row r="958" spans="1:11" x14ac:dyDescent="0.35">
      <c r="A958" s="61">
        <v>45534</v>
      </c>
      <c r="B958" s="49" t="s">
        <v>668</v>
      </c>
      <c r="C958" s="49" t="s">
        <v>464</v>
      </c>
      <c r="D958" s="50">
        <v>2410751</v>
      </c>
      <c r="E958" s="50">
        <v>775714</v>
      </c>
      <c r="F958" s="51">
        <v>0.32177275877931799</v>
      </c>
      <c r="G958" s="50">
        <v>10274</v>
      </c>
      <c r="H958" s="51">
        <v>1.3244572097448301E-2</v>
      </c>
      <c r="I958" s="51">
        <v>4.2617425026475197E-3</v>
      </c>
      <c r="J958" s="52" t="s">
        <v>1055</v>
      </c>
      <c r="K958" s="109" t="s">
        <v>1056</v>
      </c>
    </row>
    <row r="959" spans="1:11" x14ac:dyDescent="0.35">
      <c r="A959" s="61">
        <v>45534</v>
      </c>
      <c r="B959" s="49" t="s">
        <v>668</v>
      </c>
      <c r="C959" s="49" t="s">
        <v>11</v>
      </c>
      <c r="D959" s="50">
        <v>154742</v>
      </c>
      <c r="E959" s="50">
        <v>44944</v>
      </c>
      <c r="F959" s="51">
        <v>0.290444740277365</v>
      </c>
      <c r="G959" s="50">
        <v>870</v>
      </c>
      <c r="H959" s="51">
        <v>1.9357422570309701E-2</v>
      </c>
      <c r="I959" s="51">
        <v>5.6222615708728099E-3</v>
      </c>
      <c r="J959" s="52" t="s">
        <v>1055</v>
      </c>
      <c r="K959" s="109" t="s">
        <v>1056</v>
      </c>
    </row>
    <row r="960" spans="1:11" x14ac:dyDescent="0.35">
      <c r="A960" s="61">
        <v>45534</v>
      </c>
      <c r="B960" s="49" t="s">
        <v>668</v>
      </c>
      <c r="C960" s="49" t="s">
        <v>466</v>
      </c>
      <c r="D960" s="50">
        <v>154575</v>
      </c>
      <c r="E960" s="50">
        <v>45161</v>
      </c>
      <c r="F960" s="51">
        <v>0.29216238072133299</v>
      </c>
      <c r="G960" s="50">
        <v>898</v>
      </c>
      <c r="H960" s="51">
        <v>1.9884413542658502E-2</v>
      </c>
      <c r="I960" s="51">
        <v>5.8094775998706102E-3</v>
      </c>
      <c r="J960" s="52" t="s">
        <v>1055</v>
      </c>
      <c r="K960" s="109" t="s">
        <v>1056</v>
      </c>
    </row>
    <row r="961" spans="1:11" x14ac:dyDescent="0.35">
      <c r="A961" s="61">
        <v>45534</v>
      </c>
      <c r="B961" s="49" t="s">
        <v>669</v>
      </c>
      <c r="C961" s="49" t="s">
        <v>10</v>
      </c>
      <c r="D961" s="50">
        <v>56210</v>
      </c>
      <c r="E961" s="50">
        <v>18687</v>
      </c>
      <c r="F961" s="51">
        <v>0.33244974203878302</v>
      </c>
      <c r="G961" s="50">
        <v>246</v>
      </c>
      <c r="H961" s="51">
        <v>1.31642318189115E-2</v>
      </c>
      <c r="I961" s="51">
        <v>4.3764454723358801E-3</v>
      </c>
      <c r="J961" s="52" t="s">
        <v>1059</v>
      </c>
      <c r="K961" s="109" t="s">
        <v>1056</v>
      </c>
    </row>
    <row r="962" spans="1:11" x14ac:dyDescent="0.35">
      <c r="A962" s="61">
        <v>45534</v>
      </c>
      <c r="B962" s="49" t="s">
        <v>670</v>
      </c>
      <c r="C962" s="49" t="s">
        <v>10</v>
      </c>
      <c r="D962" s="50">
        <v>254728</v>
      </c>
      <c r="E962" s="50">
        <v>84126</v>
      </c>
      <c r="F962" s="51">
        <v>0.330258157721177</v>
      </c>
      <c r="G962" s="50">
        <v>1204</v>
      </c>
      <c r="H962" s="51">
        <v>1.4311865535030799E-2</v>
      </c>
      <c r="I962" s="51">
        <v>4.7266103451524804E-3</v>
      </c>
      <c r="J962" s="52" t="s">
        <v>1059</v>
      </c>
      <c r="K962" s="109" t="s">
        <v>1056</v>
      </c>
    </row>
    <row r="963" spans="1:11" x14ac:dyDescent="0.35">
      <c r="A963" s="61">
        <v>45534</v>
      </c>
      <c r="B963" s="49" t="s">
        <v>671</v>
      </c>
      <c r="C963" s="49" t="s">
        <v>10</v>
      </c>
      <c r="D963" s="50">
        <v>114863</v>
      </c>
      <c r="E963" s="50">
        <v>38910</v>
      </c>
      <c r="F963" s="51">
        <v>0.33875138208126199</v>
      </c>
      <c r="G963" s="50">
        <v>417</v>
      </c>
      <c r="H963" s="51">
        <v>1.0717039321511201E-2</v>
      </c>
      <c r="I963" s="51">
        <v>3.6304118819811401E-3</v>
      </c>
      <c r="J963" s="52" t="s">
        <v>1055</v>
      </c>
      <c r="K963" s="109" t="s">
        <v>1056</v>
      </c>
    </row>
    <row r="964" spans="1:11" x14ac:dyDescent="0.35">
      <c r="A964" s="61">
        <v>45534</v>
      </c>
      <c r="B964" s="49" t="s">
        <v>672</v>
      </c>
      <c r="C964" s="49" t="s">
        <v>673</v>
      </c>
      <c r="D964" s="50">
        <v>10985</v>
      </c>
      <c r="E964" s="50">
        <v>3952</v>
      </c>
      <c r="F964" s="51">
        <v>0.35976331360946701</v>
      </c>
      <c r="G964" s="50">
        <v>57</v>
      </c>
      <c r="H964" s="51">
        <v>1.44230769230769E-2</v>
      </c>
      <c r="I964" s="51">
        <v>5.1888939462904002E-3</v>
      </c>
      <c r="J964" s="52" t="s">
        <v>1055</v>
      </c>
      <c r="K964" s="109" t="s">
        <v>1056</v>
      </c>
    </row>
    <row r="965" spans="1:11" x14ac:dyDescent="0.35">
      <c r="A965" s="61">
        <v>45534</v>
      </c>
      <c r="B965" s="49" t="s">
        <v>672</v>
      </c>
      <c r="C965" s="49" t="s">
        <v>674</v>
      </c>
      <c r="D965" s="50">
        <v>230819</v>
      </c>
      <c r="E965" s="50">
        <v>91117</v>
      </c>
      <c r="F965" s="51">
        <v>0.39475519779567497</v>
      </c>
      <c r="G965" s="50">
        <v>689</v>
      </c>
      <c r="H965" s="51">
        <v>7.5617063775146199E-3</v>
      </c>
      <c r="I965" s="51">
        <v>2.9850228967286101E-3</v>
      </c>
      <c r="J965" s="52" t="s">
        <v>1055</v>
      </c>
      <c r="K965" s="109" t="s">
        <v>1056</v>
      </c>
    </row>
    <row r="966" spans="1:11" x14ac:dyDescent="0.35">
      <c r="A966" s="61">
        <v>45536</v>
      </c>
      <c r="B966" s="49" t="s">
        <v>675</v>
      </c>
      <c r="C966" s="49" t="s">
        <v>104</v>
      </c>
      <c r="D966" s="50">
        <v>253057</v>
      </c>
      <c r="E966" s="50">
        <v>86298</v>
      </c>
      <c r="F966" s="51">
        <v>0.34102198318955801</v>
      </c>
      <c r="G966" s="50">
        <v>1824</v>
      </c>
      <c r="H966" s="51">
        <v>2.11360634081902E-2</v>
      </c>
      <c r="I966" s="51">
        <v>7.2078622602812798E-3</v>
      </c>
      <c r="J966" s="52" t="s">
        <v>1060</v>
      </c>
      <c r="K966" s="109" t="s">
        <v>1054</v>
      </c>
    </row>
    <row r="967" spans="1:11" x14ac:dyDescent="0.35">
      <c r="A967" s="61">
        <v>45538</v>
      </c>
      <c r="B967" s="49" t="s">
        <v>676</v>
      </c>
      <c r="C967" s="49" t="s">
        <v>10</v>
      </c>
      <c r="D967" s="50">
        <v>1371385</v>
      </c>
      <c r="E967" s="50">
        <v>408583</v>
      </c>
      <c r="F967" s="51">
        <v>0.29793456979622801</v>
      </c>
      <c r="G967" s="50">
        <v>9832</v>
      </c>
      <c r="H967" s="51">
        <v>2.40636541412638E-2</v>
      </c>
      <c r="I967" s="51">
        <v>7.1693944443026597E-3</v>
      </c>
      <c r="J967" s="52" t="s">
        <v>1055</v>
      </c>
      <c r="K967" s="109" t="s">
        <v>1056</v>
      </c>
    </row>
    <row r="968" spans="1:11" x14ac:dyDescent="0.35">
      <c r="A968" s="61">
        <v>45538</v>
      </c>
      <c r="B968" s="49" t="s">
        <v>676</v>
      </c>
      <c r="C968" s="49" t="s">
        <v>11</v>
      </c>
      <c r="D968" s="50">
        <v>93362</v>
      </c>
      <c r="E968" s="50">
        <v>28591</v>
      </c>
      <c r="F968" s="51">
        <v>0.30623808401705199</v>
      </c>
      <c r="G968" s="50">
        <v>1228</v>
      </c>
      <c r="H968" s="51">
        <v>4.2950578853485397E-2</v>
      </c>
      <c r="I968" s="51">
        <v>1.31531029755147E-2</v>
      </c>
      <c r="J968" s="52" t="s">
        <v>1055</v>
      </c>
      <c r="K968" s="109" t="s">
        <v>1056</v>
      </c>
    </row>
    <row r="969" spans="1:11" x14ac:dyDescent="0.35">
      <c r="A969" s="61">
        <v>45539</v>
      </c>
      <c r="B969" s="49" t="s">
        <v>677</v>
      </c>
      <c r="C969" s="49" t="s">
        <v>678</v>
      </c>
      <c r="D969" s="50">
        <v>55875</v>
      </c>
      <c r="E969" s="50">
        <v>25647</v>
      </c>
      <c r="F969" s="51">
        <v>0.45900671140939597</v>
      </c>
      <c r="G969" s="50">
        <v>296</v>
      </c>
      <c r="H969" s="51">
        <v>1.15413108745662E-2</v>
      </c>
      <c r="I969" s="51">
        <v>5.2975391498881396E-3</v>
      </c>
      <c r="J969" s="52" t="s">
        <v>1059</v>
      </c>
      <c r="K969" s="109" t="s">
        <v>1056</v>
      </c>
    </row>
    <row r="970" spans="1:11" x14ac:dyDescent="0.35">
      <c r="A970" s="61">
        <v>45539</v>
      </c>
      <c r="B970" s="49" t="s">
        <v>677</v>
      </c>
      <c r="C970" s="49" t="s">
        <v>679</v>
      </c>
      <c r="D970" s="50">
        <v>66</v>
      </c>
      <c r="E970" s="50">
        <v>28</v>
      </c>
      <c r="F970" s="51">
        <v>0.42424242424242398</v>
      </c>
      <c r="G970" s="50">
        <v>0</v>
      </c>
      <c r="H970" s="51">
        <v>0</v>
      </c>
      <c r="I970" s="51">
        <v>0</v>
      </c>
      <c r="J970" s="52" t="s">
        <v>1059</v>
      </c>
      <c r="K970" s="109" t="s">
        <v>1056</v>
      </c>
    </row>
    <row r="971" spans="1:11" x14ac:dyDescent="0.35">
      <c r="A971" s="61">
        <v>45539</v>
      </c>
      <c r="B971" s="49" t="s">
        <v>677</v>
      </c>
      <c r="C971" s="49" t="s">
        <v>680</v>
      </c>
      <c r="D971" s="50">
        <v>55662</v>
      </c>
      <c r="E971" s="50">
        <v>25688</v>
      </c>
      <c r="F971" s="51">
        <v>0.46149976644748703</v>
      </c>
      <c r="G971" s="50">
        <v>321</v>
      </c>
      <c r="H971" s="51">
        <v>1.2496107131734701E-2</v>
      </c>
      <c r="I971" s="51">
        <v>5.7669505227983201E-3</v>
      </c>
      <c r="J971" s="52" t="s">
        <v>1059</v>
      </c>
      <c r="K971" s="109" t="s">
        <v>1056</v>
      </c>
    </row>
    <row r="972" spans="1:11" x14ac:dyDescent="0.35">
      <c r="A972" s="61">
        <v>45539</v>
      </c>
      <c r="B972" s="49" t="s">
        <v>677</v>
      </c>
      <c r="C972" s="49" t="s">
        <v>681</v>
      </c>
      <c r="D972" s="50">
        <v>77</v>
      </c>
      <c r="E972" s="50">
        <v>26</v>
      </c>
      <c r="F972" s="51">
        <v>0.337662337662338</v>
      </c>
      <c r="G972" s="50">
        <v>0</v>
      </c>
      <c r="H972" s="51">
        <v>0</v>
      </c>
      <c r="I972" s="51">
        <v>0</v>
      </c>
      <c r="J972" s="52" t="s">
        <v>1059</v>
      </c>
      <c r="K972" s="109" t="s">
        <v>1056</v>
      </c>
    </row>
    <row r="973" spans="1:11" x14ac:dyDescent="0.35">
      <c r="A973" s="61">
        <v>45539</v>
      </c>
      <c r="B973" s="49" t="s">
        <v>682</v>
      </c>
      <c r="C973" s="49" t="s">
        <v>10</v>
      </c>
      <c r="D973" s="50">
        <v>55297</v>
      </c>
      <c r="E973" s="50">
        <v>18702</v>
      </c>
      <c r="F973" s="51">
        <v>0.33821002947718698</v>
      </c>
      <c r="G973" s="50">
        <v>195</v>
      </c>
      <c r="H973" s="51">
        <v>1.0426692332370899E-2</v>
      </c>
      <c r="I973" s="51">
        <v>3.5264119210807101E-3</v>
      </c>
      <c r="J973" s="52" t="s">
        <v>1061</v>
      </c>
      <c r="K973" s="109" t="s">
        <v>1054</v>
      </c>
    </row>
    <row r="974" spans="1:11" x14ac:dyDescent="0.35">
      <c r="A974" s="61">
        <v>45539</v>
      </c>
      <c r="B974" s="49" t="s">
        <v>683</v>
      </c>
      <c r="C974" s="49" t="s">
        <v>10</v>
      </c>
      <c r="D974" s="50">
        <v>86818</v>
      </c>
      <c r="E974" s="50">
        <v>32597</v>
      </c>
      <c r="F974" s="51">
        <v>0.37546361353636298</v>
      </c>
      <c r="G974" s="50">
        <v>3254</v>
      </c>
      <c r="H974" s="51">
        <v>9.9825137282572002E-2</v>
      </c>
      <c r="I974" s="51">
        <v>3.7480706765878002E-2</v>
      </c>
      <c r="J974" s="52" t="s">
        <v>1053</v>
      </c>
      <c r="K974" s="109" t="s">
        <v>1054</v>
      </c>
    </row>
    <row r="975" spans="1:11" x14ac:dyDescent="0.35">
      <c r="A975" s="61">
        <v>45539</v>
      </c>
      <c r="B975" s="49" t="s">
        <v>683</v>
      </c>
      <c r="C975" s="49" t="s">
        <v>11</v>
      </c>
      <c r="D975" s="50">
        <v>9611</v>
      </c>
      <c r="E975" s="50">
        <v>3417</v>
      </c>
      <c r="F975" s="51">
        <v>0.35553012173551102</v>
      </c>
      <c r="G975" s="50">
        <v>506</v>
      </c>
      <c r="H975" s="51">
        <v>0.14808311384255199</v>
      </c>
      <c r="I975" s="51">
        <v>5.2648007491416099E-2</v>
      </c>
      <c r="J975" s="52" t="s">
        <v>1053</v>
      </c>
      <c r="K975" s="109" t="s">
        <v>1054</v>
      </c>
    </row>
    <row r="976" spans="1:11" x14ac:dyDescent="0.35">
      <c r="A976" s="61">
        <v>45540</v>
      </c>
      <c r="B976" s="49" t="s">
        <v>664</v>
      </c>
      <c r="C976" s="49" t="s">
        <v>234</v>
      </c>
      <c r="D976" s="50">
        <v>388217</v>
      </c>
      <c r="E976" s="50">
        <v>129176</v>
      </c>
      <c r="F976" s="60">
        <v>0.3327</v>
      </c>
      <c r="G976" s="49">
        <v>837</v>
      </c>
      <c r="H976" s="60">
        <v>6.4999999999999997E-3</v>
      </c>
      <c r="I976" s="60">
        <v>2.2000000000000001E-3</v>
      </c>
      <c r="J976" s="52" t="s">
        <v>1055</v>
      </c>
      <c r="K976" s="109" t="s">
        <v>1056</v>
      </c>
    </row>
    <row r="977" spans="1:11" x14ac:dyDescent="0.35">
      <c r="A977" s="61">
        <v>45540</v>
      </c>
      <c r="B977" s="49" t="s">
        <v>665</v>
      </c>
      <c r="C977" s="49" t="s">
        <v>235</v>
      </c>
      <c r="D977" s="50">
        <v>21822</v>
      </c>
      <c r="E977" s="50">
        <v>6973</v>
      </c>
      <c r="F977" s="60">
        <v>0.31950000000000001</v>
      </c>
      <c r="G977" s="49">
        <v>85</v>
      </c>
      <c r="H977" s="60">
        <v>1.2200000000000001E-2</v>
      </c>
      <c r="I977" s="60">
        <v>3.8999999999999998E-3</v>
      </c>
      <c r="J977" s="52" t="s">
        <v>1055</v>
      </c>
      <c r="K977" s="109" t="s">
        <v>1056</v>
      </c>
    </row>
    <row r="978" spans="1:11" x14ac:dyDescent="0.35">
      <c r="A978" s="61">
        <v>45540</v>
      </c>
      <c r="B978" s="49" t="s">
        <v>684</v>
      </c>
      <c r="C978" s="49" t="s">
        <v>10</v>
      </c>
      <c r="D978" s="50">
        <v>6459600</v>
      </c>
      <c r="E978" s="50">
        <v>2165193</v>
      </c>
      <c r="F978" s="51">
        <v>0.33518994984209499</v>
      </c>
      <c r="G978" s="50">
        <v>101884</v>
      </c>
      <c r="H978" s="51">
        <v>4.7055389519548602E-2</v>
      </c>
      <c r="I978" s="51">
        <v>1.5772493652857801E-2</v>
      </c>
      <c r="J978" s="52" t="s">
        <v>1059</v>
      </c>
      <c r="K978" s="109" t="s">
        <v>1056</v>
      </c>
    </row>
    <row r="979" spans="1:11" x14ac:dyDescent="0.35">
      <c r="A979" s="61">
        <v>45540</v>
      </c>
      <c r="B979" s="49" t="s">
        <v>684</v>
      </c>
      <c r="C979" s="49" t="s">
        <v>11</v>
      </c>
      <c r="D979" s="50">
        <v>417206</v>
      </c>
      <c r="E979" s="50">
        <v>137653</v>
      </c>
      <c r="F979" s="51">
        <v>0.329940125501551</v>
      </c>
      <c r="G979" s="50">
        <v>8797</v>
      </c>
      <c r="H979" s="51">
        <v>6.39070706777186E-2</v>
      </c>
      <c r="I979" s="51">
        <v>2.1085506919843001E-2</v>
      </c>
      <c r="J979" s="52" t="s">
        <v>1059</v>
      </c>
      <c r="K979" s="109" t="s">
        <v>1056</v>
      </c>
    </row>
    <row r="980" spans="1:11" x14ac:dyDescent="0.35">
      <c r="A980" s="61">
        <v>45540</v>
      </c>
      <c r="B980" s="49" t="s">
        <v>685</v>
      </c>
      <c r="C980" s="49" t="s">
        <v>74</v>
      </c>
      <c r="D980" s="50">
        <v>512</v>
      </c>
      <c r="E980" s="50">
        <v>200</v>
      </c>
      <c r="F980" s="51">
        <v>0.390625</v>
      </c>
      <c r="G980" s="50">
        <v>1</v>
      </c>
      <c r="H980" s="51">
        <v>5.0000000000000001E-3</v>
      </c>
      <c r="I980" s="51">
        <v>1.953125E-3</v>
      </c>
      <c r="J980" s="52" t="s">
        <v>1055</v>
      </c>
      <c r="K980" s="109" t="s">
        <v>1056</v>
      </c>
    </row>
    <row r="981" spans="1:11" x14ac:dyDescent="0.35">
      <c r="A981" s="61">
        <v>45540</v>
      </c>
      <c r="B981" s="49" t="s">
        <v>685</v>
      </c>
      <c r="C981" s="49" t="s">
        <v>72</v>
      </c>
      <c r="D981" s="50">
        <v>9892</v>
      </c>
      <c r="E981" s="50">
        <v>4081</v>
      </c>
      <c r="F981" s="51">
        <v>0.41255560048524098</v>
      </c>
      <c r="G981" s="50">
        <v>47</v>
      </c>
      <c r="H981" s="51">
        <v>1.15167851016908E-2</v>
      </c>
      <c r="I981" s="51">
        <v>4.7513141932875097E-3</v>
      </c>
      <c r="J981" s="52" t="s">
        <v>1055</v>
      </c>
      <c r="K981" s="109" t="s">
        <v>1056</v>
      </c>
    </row>
    <row r="982" spans="1:11" x14ac:dyDescent="0.35">
      <c r="A982" s="61">
        <v>45540</v>
      </c>
      <c r="B982" s="49" t="s">
        <v>685</v>
      </c>
      <c r="C982" s="49" t="s">
        <v>75</v>
      </c>
      <c r="D982" s="50">
        <v>161</v>
      </c>
      <c r="E982" s="50">
        <v>48</v>
      </c>
      <c r="F982" s="51">
        <v>0.29813664596273298</v>
      </c>
      <c r="G982" s="50">
        <v>0</v>
      </c>
      <c r="H982" s="51">
        <v>0</v>
      </c>
      <c r="I982" s="51">
        <v>0</v>
      </c>
      <c r="J982" s="52" t="s">
        <v>1055</v>
      </c>
      <c r="K982" s="109" t="s">
        <v>1056</v>
      </c>
    </row>
    <row r="983" spans="1:11" x14ac:dyDescent="0.35">
      <c r="A983" s="61">
        <v>45540</v>
      </c>
      <c r="B983" s="49" t="s">
        <v>685</v>
      </c>
      <c r="C983" s="49" t="s">
        <v>73</v>
      </c>
      <c r="D983" s="50">
        <v>3053</v>
      </c>
      <c r="E983" s="50">
        <v>983</v>
      </c>
      <c r="F983" s="51">
        <v>0.32197838191942402</v>
      </c>
      <c r="G983" s="50">
        <v>8</v>
      </c>
      <c r="H983" s="51">
        <v>8.1383519837232993E-3</v>
      </c>
      <c r="I983" s="51">
        <v>2.6203734032099598E-3</v>
      </c>
      <c r="J983" s="52" t="s">
        <v>1055</v>
      </c>
      <c r="K983" s="109" t="s">
        <v>1056</v>
      </c>
    </row>
    <row r="984" spans="1:11" x14ac:dyDescent="0.35">
      <c r="A984" s="61">
        <v>45540</v>
      </c>
      <c r="B984" s="49" t="s">
        <v>686</v>
      </c>
      <c r="C984" s="49" t="s">
        <v>355</v>
      </c>
      <c r="D984" s="50">
        <v>801647</v>
      </c>
      <c r="E984" s="50">
        <v>281491</v>
      </c>
      <c r="F984" s="51">
        <v>0.35114083879812402</v>
      </c>
      <c r="G984" s="50">
        <v>4807</v>
      </c>
      <c r="H984" s="51">
        <v>1.7076922530382899E-2</v>
      </c>
      <c r="I984" s="51">
        <v>5.9964049014092202E-3</v>
      </c>
      <c r="J984" s="52" t="s">
        <v>1059</v>
      </c>
      <c r="K984" s="109" t="s">
        <v>1056</v>
      </c>
    </row>
    <row r="985" spans="1:11" x14ac:dyDescent="0.35">
      <c r="A985" s="61">
        <v>45540</v>
      </c>
      <c r="B985" s="49" t="s">
        <v>686</v>
      </c>
      <c r="C985" s="49" t="s">
        <v>356</v>
      </c>
      <c r="D985" s="50">
        <v>41102</v>
      </c>
      <c r="E985" s="50">
        <v>14566</v>
      </c>
      <c r="F985" s="51">
        <v>0.354386647851686</v>
      </c>
      <c r="G985" s="50">
        <v>512</v>
      </c>
      <c r="H985" s="51">
        <v>3.5150350130440801E-2</v>
      </c>
      <c r="I985" s="51">
        <v>1.245681475354E-2</v>
      </c>
      <c r="J985" s="52" t="s">
        <v>1059</v>
      </c>
      <c r="K985" s="109" t="s">
        <v>1056</v>
      </c>
    </row>
    <row r="986" spans="1:11" x14ac:dyDescent="0.35">
      <c r="A986" s="62">
        <v>45541</v>
      </c>
      <c r="B986" s="53" t="s">
        <v>687</v>
      </c>
      <c r="C986" s="53" t="s">
        <v>10</v>
      </c>
      <c r="D986" s="54">
        <v>254111</v>
      </c>
      <c r="E986" s="54">
        <v>89749</v>
      </c>
      <c r="F986" s="55">
        <v>0.35318817367213501</v>
      </c>
      <c r="G986" s="54">
        <v>987</v>
      </c>
      <c r="H986" s="55">
        <v>1.09973370176826E-2</v>
      </c>
      <c r="I986" s="55">
        <v>3.8841293765323002E-3</v>
      </c>
      <c r="J986" s="56" t="s">
        <v>1061</v>
      </c>
      <c r="K986" s="109" t="s">
        <v>1054</v>
      </c>
    </row>
    <row r="987" spans="1:11" x14ac:dyDescent="0.35">
      <c r="A987" s="62">
        <v>45541</v>
      </c>
      <c r="B987" s="53" t="s">
        <v>688</v>
      </c>
      <c r="C987" s="53" t="s">
        <v>10</v>
      </c>
      <c r="D987" s="54">
        <v>389137</v>
      </c>
      <c r="E987" s="54">
        <v>141922</v>
      </c>
      <c r="F987" s="55">
        <v>0.36470960098885502</v>
      </c>
      <c r="G987" s="54">
        <v>3126</v>
      </c>
      <c r="H987" s="55">
        <v>2.2026183396513601E-2</v>
      </c>
      <c r="I987" s="55">
        <v>8.0331605578498107E-3</v>
      </c>
      <c r="J987" s="56" t="s">
        <v>1057</v>
      </c>
      <c r="K987" s="109" t="s">
        <v>1054</v>
      </c>
    </row>
    <row r="988" spans="1:11" x14ac:dyDescent="0.35">
      <c r="A988" s="62">
        <v>45541</v>
      </c>
      <c r="B988" s="53" t="s">
        <v>689</v>
      </c>
      <c r="C988" s="53" t="s">
        <v>10</v>
      </c>
      <c r="D988" s="54">
        <v>2402981</v>
      </c>
      <c r="E988" s="54">
        <v>788178</v>
      </c>
      <c r="F988" s="55">
        <v>0.328000096546748</v>
      </c>
      <c r="G988" s="54">
        <v>10892</v>
      </c>
      <c r="H988" s="55">
        <v>1.3819213426408799E-2</v>
      </c>
      <c r="I988" s="55">
        <v>4.5327033380621797E-3</v>
      </c>
      <c r="J988" s="56" t="s">
        <v>1055</v>
      </c>
      <c r="K988" s="109" t="s">
        <v>1056</v>
      </c>
    </row>
    <row r="989" spans="1:11" x14ac:dyDescent="0.35">
      <c r="A989" s="62">
        <v>45541</v>
      </c>
      <c r="B989" s="53" t="s">
        <v>689</v>
      </c>
      <c r="C989" s="53" t="s">
        <v>690</v>
      </c>
      <c r="D989" s="54">
        <v>2400502</v>
      </c>
      <c r="E989" s="54">
        <v>785938</v>
      </c>
      <c r="F989" s="55">
        <v>0.32740568431103201</v>
      </c>
      <c r="G989" s="54">
        <v>11085</v>
      </c>
      <c r="H989" s="55">
        <v>1.4104165977469E-2</v>
      </c>
      <c r="I989" s="55">
        <v>4.6177841134896003E-3</v>
      </c>
      <c r="J989" s="56" t="s">
        <v>1055</v>
      </c>
      <c r="K989" s="109" t="s">
        <v>1056</v>
      </c>
    </row>
    <row r="990" spans="1:11" x14ac:dyDescent="0.35">
      <c r="A990" s="62">
        <v>45541</v>
      </c>
      <c r="B990" s="53" t="s">
        <v>689</v>
      </c>
      <c r="C990" s="53" t="s">
        <v>11</v>
      </c>
      <c r="D990" s="54">
        <v>308515</v>
      </c>
      <c r="E990" s="54">
        <v>89792</v>
      </c>
      <c r="F990" s="55">
        <v>0.29104581624880499</v>
      </c>
      <c r="G990" s="54">
        <v>1509</v>
      </c>
      <c r="H990" s="55">
        <v>1.6805506058446201E-2</v>
      </c>
      <c r="I990" s="55">
        <v>4.8911722282546999E-3</v>
      </c>
      <c r="J990" s="56" t="s">
        <v>1055</v>
      </c>
      <c r="K990" s="109" t="s">
        <v>1056</v>
      </c>
    </row>
    <row r="991" spans="1:11" x14ac:dyDescent="0.35">
      <c r="A991" s="62">
        <v>45542</v>
      </c>
      <c r="B991" s="53" t="s">
        <v>691</v>
      </c>
      <c r="C991" s="53" t="s">
        <v>10</v>
      </c>
      <c r="D991" s="54">
        <v>63699</v>
      </c>
      <c r="E991" s="54">
        <v>25784</v>
      </c>
      <c r="F991" s="55">
        <v>0.40477872494073702</v>
      </c>
      <c r="G991" s="54">
        <v>1946</v>
      </c>
      <c r="H991" s="55">
        <v>7.5473161650636097E-2</v>
      </c>
      <c r="I991" s="55">
        <v>3.0549930140190602E-2</v>
      </c>
      <c r="J991" s="56" t="s">
        <v>1055</v>
      </c>
      <c r="K991" s="109" t="s">
        <v>1056</v>
      </c>
    </row>
    <row r="992" spans="1:11" x14ac:dyDescent="0.35">
      <c r="A992" s="62">
        <v>45542</v>
      </c>
      <c r="B992" s="53" t="s">
        <v>691</v>
      </c>
      <c r="C992" s="53" t="s">
        <v>11</v>
      </c>
      <c r="D992" s="54">
        <v>7023</v>
      </c>
      <c r="E992" s="54">
        <v>3294</v>
      </c>
      <c r="F992" s="55">
        <v>0.46903032891926499</v>
      </c>
      <c r="G992" s="54">
        <v>299</v>
      </c>
      <c r="H992" s="55">
        <v>9.0771098967820305E-2</v>
      </c>
      <c r="I992" s="55">
        <v>4.2574398405239897E-2</v>
      </c>
      <c r="J992" s="56" t="s">
        <v>1055</v>
      </c>
      <c r="K992" s="109" t="s">
        <v>1056</v>
      </c>
    </row>
    <row r="993" spans="1:11" x14ac:dyDescent="0.35">
      <c r="A993" s="62">
        <v>45544</v>
      </c>
      <c r="B993" s="53" t="s">
        <v>692</v>
      </c>
      <c r="C993" s="53" t="s">
        <v>10</v>
      </c>
      <c r="D993" s="54">
        <v>302363</v>
      </c>
      <c r="E993" s="54">
        <v>120489</v>
      </c>
      <c r="F993" s="55">
        <v>0.39849121751007899</v>
      </c>
      <c r="G993" s="54">
        <v>1089</v>
      </c>
      <c r="H993" s="55">
        <v>9.0381694594527297E-3</v>
      </c>
      <c r="I993" s="55">
        <v>3.6016311519597301E-3</v>
      </c>
      <c r="J993" s="56" t="s">
        <v>1057</v>
      </c>
      <c r="K993" s="109" t="s">
        <v>1054</v>
      </c>
    </row>
    <row r="994" spans="1:11" x14ac:dyDescent="0.35">
      <c r="A994" s="62">
        <v>45544</v>
      </c>
      <c r="B994" s="53" t="s">
        <v>692</v>
      </c>
      <c r="C994" s="53" t="s">
        <v>11</v>
      </c>
      <c r="D994" s="54">
        <v>19629</v>
      </c>
      <c r="E994" s="54">
        <v>6535</v>
      </c>
      <c r="F994" s="55">
        <v>0.33292577309083499</v>
      </c>
      <c r="G994" s="54">
        <v>130</v>
      </c>
      <c r="H994" s="55">
        <v>1.9892884468247898E-2</v>
      </c>
      <c r="I994" s="55">
        <v>6.6228539405980896E-3</v>
      </c>
      <c r="J994" s="56" t="s">
        <v>1057</v>
      </c>
      <c r="K994" s="109" t="s">
        <v>1054</v>
      </c>
    </row>
    <row r="995" spans="1:11" x14ac:dyDescent="0.35">
      <c r="A995" s="62">
        <v>45544</v>
      </c>
      <c r="B995" s="53" t="s">
        <v>693</v>
      </c>
      <c r="C995" s="53" t="s">
        <v>10</v>
      </c>
      <c r="D995" s="54">
        <v>6456320</v>
      </c>
      <c r="E995" s="54">
        <v>2077272</v>
      </c>
      <c r="F995" s="55">
        <v>0.321742416732752</v>
      </c>
      <c r="G995" s="54">
        <v>19324</v>
      </c>
      <c r="H995" s="55">
        <v>9.3025853138154306E-3</v>
      </c>
      <c r="I995" s="55">
        <v>2.9930362807295799E-3</v>
      </c>
      <c r="J995" s="56" t="s">
        <v>1055</v>
      </c>
      <c r="K995" s="109" t="s">
        <v>1056</v>
      </c>
    </row>
    <row r="996" spans="1:11" x14ac:dyDescent="0.35">
      <c r="A996" s="62">
        <v>45544</v>
      </c>
      <c r="B996" s="53" t="s">
        <v>693</v>
      </c>
      <c r="C996" s="53" t="s">
        <v>11</v>
      </c>
      <c r="D996" s="54">
        <v>417010</v>
      </c>
      <c r="E996" s="54">
        <v>123704</v>
      </c>
      <c r="F996" s="55">
        <v>0.29664516438454702</v>
      </c>
      <c r="G996" s="54">
        <v>1547</v>
      </c>
      <c r="H996" s="55">
        <v>1.2505658669081E-2</v>
      </c>
      <c r="I996" s="55">
        <v>3.7097431716265799E-3</v>
      </c>
      <c r="J996" s="56" t="s">
        <v>1055</v>
      </c>
      <c r="K996" s="109" t="s">
        <v>1056</v>
      </c>
    </row>
    <row r="997" spans="1:11" x14ac:dyDescent="0.35">
      <c r="A997" s="62">
        <v>45545</v>
      </c>
      <c r="B997" s="53" t="s">
        <v>694</v>
      </c>
      <c r="C997" s="53" t="s">
        <v>10</v>
      </c>
      <c r="D997" s="54">
        <v>1366347</v>
      </c>
      <c r="E997" s="54">
        <v>408752</v>
      </c>
      <c r="F997" s="55">
        <v>0.299156802774112</v>
      </c>
      <c r="G997" s="54">
        <v>8933</v>
      </c>
      <c r="H997" s="55">
        <v>2.18543273182761E-2</v>
      </c>
      <c r="I997" s="55">
        <v>6.5378706873144201E-3</v>
      </c>
      <c r="J997" s="56" t="s">
        <v>1055</v>
      </c>
      <c r="K997" s="109" t="s">
        <v>1056</v>
      </c>
    </row>
    <row r="998" spans="1:11" x14ac:dyDescent="0.35">
      <c r="A998" s="62">
        <v>45545</v>
      </c>
      <c r="B998" s="53" t="s">
        <v>694</v>
      </c>
      <c r="C998" s="53" t="s">
        <v>11</v>
      </c>
      <c r="D998" s="54">
        <v>93028</v>
      </c>
      <c r="E998" s="54">
        <v>27748</v>
      </c>
      <c r="F998" s="55">
        <v>0.29827578793481502</v>
      </c>
      <c r="G998" s="54">
        <v>732</v>
      </c>
      <c r="H998" s="55">
        <v>2.6380279659795301E-2</v>
      </c>
      <c r="I998" s="55">
        <v>7.8685987014662194E-3</v>
      </c>
      <c r="J998" s="56" t="s">
        <v>1055</v>
      </c>
      <c r="K998" s="109" t="s">
        <v>1056</v>
      </c>
    </row>
    <row r="999" spans="1:11" x14ac:dyDescent="0.35">
      <c r="A999" s="62">
        <v>45546</v>
      </c>
      <c r="B999" s="53" t="s">
        <v>677</v>
      </c>
      <c r="C999" s="53" t="s">
        <v>695</v>
      </c>
      <c r="D999" s="54">
        <v>55215</v>
      </c>
      <c r="E999" s="54">
        <v>22608</v>
      </c>
      <c r="F999" s="55">
        <v>0.40945395273023599</v>
      </c>
      <c r="G999" s="54">
        <v>351</v>
      </c>
      <c r="H999" s="55">
        <v>1.5525477707006401E-2</v>
      </c>
      <c r="I999" s="55">
        <v>6.3569682151589204E-3</v>
      </c>
      <c r="J999" s="56" t="s">
        <v>1059</v>
      </c>
      <c r="K999" s="109" t="s">
        <v>1056</v>
      </c>
    </row>
    <row r="1000" spans="1:11" x14ac:dyDescent="0.35">
      <c r="A1000" s="62">
        <v>45546</v>
      </c>
      <c r="B1000" s="53" t="s">
        <v>677</v>
      </c>
      <c r="C1000" s="53" t="s">
        <v>696</v>
      </c>
      <c r="D1000" s="54">
        <v>65</v>
      </c>
      <c r="E1000" s="54">
        <v>22</v>
      </c>
      <c r="F1000" s="55">
        <v>0.33846153846153798</v>
      </c>
      <c r="G1000" s="54">
        <v>0</v>
      </c>
      <c r="H1000" s="55">
        <v>0</v>
      </c>
      <c r="I1000" s="55">
        <v>0</v>
      </c>
      <c r="J1000" s="56" t="s">
        <v>1059</v>
      </c>
      <c r="K1000" s="109" t="s">
        <v>1056</v>
      </c>
    </row>
    <row r="1001" spans="1:11" x14ac:dyDescent="0.35">
      <c r="A1001" s="62">
        <v>45546</v>
      </c>
      <c r="B1001" s="53" t="s">
        <v>677</v>
      </c>
      <c r="C1001" s="53" t="s">
        <v>697</v>
      </c>
      <c r="D1001" s="54">
        <v>55028</v>
      </c>
      <c r="E1001" s="54">
        <v>26069</v>
      </c>
      <c r="F1001" s="55">
        <v>0.47374064112815301</v>
      </c>
      <c r="G1001" s="54">
        <v>505</v>
      </c>
      <c r="H1001" s="55">
        <v>1.9371667497794301E-2</v>
      </c>
      <c r="I1001" s="55">
        <v>9.1771461801264803E-3</v>
      </c>
      <c r="J1001" s="56" t="s">
        <v>1059</v>
      </c>
      <c r="K1001" s="109" t="s">
        <v>1056</v>
      </c>
    </row>
    <row r="1002" spans="1:11" x14ac:dyDescent="0.35">
      <c r="A1002" s="62">
        <v>45546</v>
      </c>
      <c r="B1002" s="53" t="s">
        <v>677</v>
      </c>
      <c r="C1002" s="53" t="s">
        <v>698</v>
      </c>
      <c r="D1002" s="54">
        <v>77</v>
      </c>
      <c r="E1002" s="54">
        <v>23</v>
      </c>
      <c r="F1002" s="55">
        <v>0.29870129870129902</v>
      </c>
      <c r="G1002" s="54">
        <v>1</v>
      </c>
      <c r="H1002" s="55">
        <v>4.3478260869565202E-2</v>
      </c>
      <c r="I1002" s="55">
        <v>1.2987012987013E-2</v>
      </c>
      <c r="J1002" s="56" t="s">
        <v>1059</v>
      </c>
      <c r="K1002" s="109" t="s">
        <v>1056</v>
      </c>
    </row>
    <row r="1003" spans="1:11" x14ac:dyDescent="0.35">
      <c r="A1003" s="62">
        <v>45547</v>
      </c>
      <c r="B1003" s="53" t="s">
        <v>699</v>
      </c>
      <c r="C1003" s="53" t="s">
        <v>543</v>
      </c>
      <c r="D1003" s="54">
        <v>170445</v>
      </c>
      <c r="E1003" s="54">
        <v>58981</v>
      </c>
      <c r="F1003" s="57">
        <v>0.34599999999999997</v>
      </c>
      <c r="G1003" s="53">
        <v>197</v>
      </c>
      <c r="H1003" s="57">
        <v>3.3E-3</v>
      </c>
      <c r="I1003" s="57">
        <v>1.1999999999999999E-3</v>
      </c>
      <c r="J1003" s="56" t="s">
        <v>1055</v>
      </c>
      <c r="K1003" s="109" t="s">
        <v>1056</v>
      </c>
    </row>
    <row r="1004" spans="1:11" x14ac:dyDescent="0.35">
      <c r="A1004" s="62">
        <v>45547</v>
      </c>
      <c r="B1004" s="53" t="s">
        <v>700</v>
      </c>
      <c r="C1004" s="53" t="s">
        <v>545</v>
      </c>
      <c r="D1004" s="54">
        <v>13218</v>
      </c>
      <c r="E1004" s="54">
        <v>4088</v>
      </c>
      <c r="F1004" s="57">
        <v>0.30930000000000002</v>
      </c>
      <c r="G1004" s="53">
        <v>27</v>
      </c>
      <c r="H1004" s="57">
        <v>6.6E-3</v>
      </c>
      <c r="I1004" s="57">
        <v>2E-3</v>
      </c>
      <c r="J1004" s="56" t="s">
        <v>1055</v>
      </c>
      <c r="K1004" s="109" t="s">
        <v>1056</v>
      </c>
    </row>
    <row r="1005" spans="1:11" x14ac:dyDescent="0.35">
      <c r="A1005" s="62">
        <v>45547</v>
      </c>
      <c r="B1005" s="53" t="s">
        <v>664</v>
      </c>
      <c r="C1005" s="53" t="s">
        <v>253</v>
      </c>
      <c r="D1005" s="54">
        <v>385530</v>
      </c>
      <c r="E1005" s="54">
        <v>126118</v>
      </c>
      <c r="F1005" s="57">
        <v>0.3271</v>
      </c>
      <c r="G1005" s="53">
        <v>822</v>
      </c>
      <c r="H1005" s="57">
        <v>6.4999999999999997E-3</v>
      </c>
      <c r="I1005" s="57">
        <v>2.0999999999999999E-3</v>
      </c>
      <c r="J1005" s="56" t="s">
        <v>1055</v>
      </c>
      <c r="K1005" s="109" t="s">
        <v>1056</v>
      </c>
    </row>
    <row r="1006" spans="1:11" x14ac:dyDescent="0.35">
      <c r="A1006" s="62">
        <v>45547</v>
      </c>
      <c r="B1006" s="53" t="s">
        <v>665</v>
      </c>
      <c r="C1006" s="53" t="s">
        <v>255</v>
      </c>
      <c r="D1006" s="54">
        <v>21679</v>
      </c>
      <c r="E1006" s="54">
        <v>6882</v>
      </c>
      <c r="F1006" s="57">
        <v>0.3175</v>
      </c>
      <c r="G1006" s="53">
        <v>63</v>
      </c>
      <c r="H1006" s="57">
        <v>9.1999999999999998E-3</v>
      </c>
      <c r="I1006" s="57">
        <v>2.8999999999999998E-3</v>
      </c>
      <c r="J1006" s="56" t="s">
        <v>1055</v>
      </c>
      <c r="K1006" s="109" t="s">
        <v>1056</v>
      </c>
    </row>
    <row r="1007" spans="1:11" x14ac:dyDescent="0.35">
      <c r="A1007" s="62">
        <v>45547</v>
      </c>
      <c r="B1007" s="53" t="s">
        <v>701</v>
      </c>
      <c r="C1007" s="53" t="s">
        <v>10</v>
      </c>
      <c r="D1007" s="54">
        <v>1282137</v>
      </c>
      <c r="E1007" s="54">
        <v>347001</v>
      </c>
      <c r="F1007" s="55">
        <v>0.27064268483009202</v>
      </c>
      <c r="G1007" s="54">
        <v>4223</v>
      </c>
      <c r="H1007" s="55">
        <v>1.2169993746415701E-2</v>
      </c>
      <c r="I1007" s="55">
        <v>3.2937197818953801E-3</v>
      </c>
      <c r="J1007" s="56" t="s">
        <v>1055</v>
      </c>
      <c r="K1007" s="109" t="s">
        <v>1056</v>
      </c>
    </row>
    <row r="1008" spans="1:11" x14ac:dyDescent="0.35">
      <c r="A1008" s="62">
        <v>45547</v>
      </c>
      <c r="B1008" s="53" t="s">
        <v>702</v>
      </c>
      <c r="C1008" s="53" t="s">
        <v>10</v>
      </c>
      <c r="D1008" s="54">
        <v>363512</v>
      </c>
      <c r="E1008" s="54">
        <v>117443</v>
      </c>
      <c r="F1008" s="55">
        <v>0.32307874293008199</v>
      </c>
      <c r="G1008" s="54">
        <v>949</v>
      </c>
      <c r="H1008" s="55">
        <v>8.0805156544025598E-3</v>
      </c>
      <c r="I1008" s="55">
        <v>2.6106428398512301E-3</v>
      </c>
      <c r="J1008" s="56" t="s">
        <v>1055</v>
      </c>
      <c r="K1008" s="109" t="s">
        <v>1056</v>
      </c>
    </row>
    <row r="1009" spans="1:11" x14ac:dyDescent="0.35">
      <c r="A1009" s="62">
        <v>45547</v>
      </c>
      <c r="B1009" s="53" t="s">
        <v>702</v>
      </c>
      <c r="C1009" s="53" t="s">
        <v>11</v>
      </c>
      <c r="D1009" s="54">
        <v>17993</v>
      </c>
      <c r="E1009" s="54">
        <v>5263</v>
      </c>
      <c r="F1009" s="55">
        <v>0.292502639915523</v>
      </c>
      <c r="G1009" s="54">
        <v>54</v>
      </c>
      <c r="H1009" s="55">
        <v>1.0260307809234301E-2</v>
      </c>
      <c r="I1009" s="55">
        <v>3.0011671205468801E-3</v>
      </c>
      <c r="J1009" s="56" t="s">
        <v>1055</v>
      </c>
      <c r="K1009" s="109" t="s">
        <v>1056</v>
      </c>
    </row>
    <row r="1010" spans="1:11" x14ac:dyDescent="0.35">
      <c r="A1010" s="61">
        <v>45548</v>
      </c>
      <c r="B1010" s="49" t="s">
        <v>703</v>
      </c>
      <c r="C1010" s="49" t="s">
        <v>10</v>
      </c>
      <c r="D1010" s="50">
        <v>386763</v>
      </c>
      <c r="E1010" s="50">
        <v>137521</v>
      </c>
      <c r="F1010" s="51">
        <v>0.35556917285262601</v>
      </c>
      <c r="G1010" s="50">
        <v>2161</v>
      </c>
      <c r="H1010" s="51">
        <v>1.5713963685546201E-2</v>
      </c>
      <c r="I1010" s="51">
        <v>5.5874010699058603E-3</v>
      </c>
      <c r="J1010" s="52" t="s">
        <v>1057</v>
      </c>
      <c r="K1010" s="109" t="s">
        <v>1054</v>
      </c>
    </row>
    <row r="1011" spans="1:11" x14ac:dyDescent="0.35">
      <c r="A1011" s="61">
        <v>45548</v>
      </c>
      <c r="B1011" s="49" t="s">
        <v>703</v>
      </c>
      <c r="C1011" s="49" t="s">
        <v>11</v>
      </c>
      <c r="D1011" s="50">
        <v>21645</v>
      </c>
      <c r="E1011" s="50">
        <v>7292</v>
      </c>
      <c r="F1011" s="51">
        <v>0.33689073689073701</v>
      </c>
      <c r="G1011" s="50">
        <v>227</v>
      </c>
      <c r="H1011" s="51">
        <v>3.1130005485463502E-2</v>
      </c>
      <c r="I1011" s="51">
        <v>1.04874104874105E-2</v>
      </c>
      <c r="J1011" s="52" t="s">
        <v>1057</v>
      </c>
      <c r="K1011" s="109" t="s">
        <v>1054</v>
      </c>
    </row>
    <row r="1012" spans="1:11" x14ac:dyDescent="0.35">
      <c r="A1012" s="61">
        <v>45548</v>
      </c>
      <c r="B1012" s="49" t="s">
        <v>704</v>
      </c>
      <c r="C1012" s="49" t="s">
        <v>10</v>
      </c>
      <c r="D1012" s="50">
        <v>2390210</v>
      </c>
      <c r="E1012" s="50">
        <v>738231</v>
      </c>
      <c r="F1012" s="51">
        <v>0.30885612561239401</v>
      </c>
      <c r="G1012" s="50">
        <v>8343</v>
      </c>
      <c r="H1012" s="51">
        <v>1.1301340637280201E-2</v>
      </c>
      <c r="I1012" s="51">
        <v>3.4904882834562701E-3</v>
      </c>
      <c r="J1012" s="52" t="s">
        <v>1055</v>
      </c>
      <c r="K1012" s="109" t="s">
        <v>1056</v>
      </c>
    </row>
    <row r="1013" spans="1:11" x14ac:dyDescent="0.35">
      <c r="A1013" s="61">
        <v>45548</v>
      </c>
      <c r="B1013" s="49" t="s">
        <v>704</v>
      </c>
      <c r="C1013" s="49" t="s">
        <v>690</v>
      </c>
      <c r="D1013" s="50">
        <v>2389065</v>
      </c>
      <c r="E1013" s="50">
        <v>759580</v>
      </c>
      <c r="F1013" s="51">
        <v>0.31794028207687902</v>
      </c>
      <c r="G1013" s="50">
        <v>8285</v>
      </c>
      <c r="H1013" s="51">
        <v>1.0907343531951901E-2</v>
      </c>
      <c r="I1013" s="51">
        <v>3.4678838792581998E-3</v>
      </c>
      <c r="J1013" s="52" t="s">
        <v>1055</v>
      </c>
      <c r="K1013" s="109" t="s">
        <v>1056</v>
      </c>
    </row>
    <row r="1014" spans="1:11" x14ac:dyDescent="0.35">
      <c r="A1014" s="61">
        <v>45548</v>
      </c>
      <c r="B1014" s="49" t="s">
        <v>704</v>
      </c>
      <c r="C1014" s="49" t="s">
        <v>11</v>
      </c>
      <c r="D1014" s="50">
        <v>153755</v>
      </c>
      <c r="E1014" s="50">
        <v>38849</v>
      </c>
      <c r="F1014" s="51">
        <v>0.25266820591200301</v>
      </c>
      <c r="G1014" s="50">
        <v>627</v>
      </c>
      <c r="H1014" s="51">
        <v>1.6139411567865299E-2</v>
      </c>
      <c r="I1014" s="51">
        <v>4.0779161653279597E-3</v>
      </c>
      <c r="J1014" s="52" t="s">
        <v>1055</v>
      </c>
      <c r="K1014" s="109" t="s">
        <v>1056</v>
      </c>
    </row>
    <row r="1015" spans="1:11" x14ac:dyDescent="0.35">
      <c r="A1015" s="61">
        <v>45548</v>
      </c>
      <c r="B1015" s="49" t="s">
        <v>704</v>
      </c>
      <c r="C1015" s="49" t="s">
        <v>705</v>
      </c>
      <c r="D1015" s="50">
        <v>153376</v>
      </c>
      <c r="E1015" s="50">
        <v>39478</v>
      </c>
      <c r="F1015" s="51">
        <v>0.257393594825788</v>
      </c>
      <c r="G1015" s="50">
        <v>671</v>
      </c>
      <c r="H1015" s="51">
        <v>1.6996808348953799E-2</v>
      </c>
      <c r="I1015" s="51">
        <v>4.3748696015021901E-3</v>
      </c>
      <c r="J1015" s="52" t="s">
        <v>1055</v>
      </c>
      <c r="K1015" s="109" t="s">
        <v>1056</v>
      </c>
    </row>
    <row r="1016" spans="1:11" x14ac:dyDescent="0.35">
      <c r="A1016" s="61">
        <v>45548</v>
      </c>
      <c r="B1016" s="49" t="s">
        <v>706</v>
      </c>
      <c r="C1016" s="49" t="s">
        <v>85</v>
      </c>
      <c r="D1016" s="50">
        <v>1638</v>
      </c>
      <c r="E1016" s="50">
        <v>625</v>
      </c>
      <c r="F1016" s="51">
        <v>0.38156288156288198</v>
      </c>
      <c r="G1016" s="50">
        <v>10</v>
      </c>
      <c r="H1016" s="51">
        <v>1.6E-2</v>
      </c>
      <c r="I1016" s="51">
        <v>6.1050061050061102E-3</v>
      </c>
      <c r="J1016" s="52" t="s">
        <v>1055</v>
      </c>
      <c r="K1016" s="109" t="s">
        <v>1056</v>
      </c>
    </row>
    <row r="1017" spans="1:11" x14ac:dyDescent="0.35">
      <c r="A1017" s="61">
        <v>45548</v>
      </c>
      <c r="B1017" s="49" t="s">
        <v>706</v>
      </c>
      <c r="C1017" s="49" t="s">
        <v>73</v>
      </c>
      <c r="D1017" s="50">
        <v>30999</v>
      </c>
      <c r="E1017" s="50">
        <v>11867</v>
      </c>
      <c r="F1017" s="51">
        <v>0.382818800606471</v>
      </c>
      <c r="G1017" s="50">
        <v>211</v>
      </c>
      <c r="H1017" s="51">
        <v>1.77803994269824E-2</v>
      </c>
      <c r="I1017" s="51">
        <v>6.8066711829413897E-3</v>
      </c>
      <c r="J1017" s="52" t="s">
        <v>1055</v>
      </c>
      <c r="K1017" s="109" t="s">
        <v>1056</v>
      </c>
    </row>
    <row r="1018" spans="1:11" x14ac:dyDescent="0.35">
      <c r="A1018" s="61">
        <v>45549</v>
      </c>
      <c r="B1018" s="49" t="s">
        <v>707</v>
      </c>
      <c r="C1018" s="49" t="s">
        <v>10</v>
      </c>
      <c r="D1018" s="50">
        <v>253302</v>
      </c>
      <c r="E1018" s="50">
        <v>88745</v>
      </c>
      <c r="F1018" s="51">
        <v>0.35035254360407703</v>
      </c>
      <c r="G1018" s="50">
        <v>955</v>
      </c>
      <c r="H1018" s="51">
        <v>1.0761169643360199E-2</v>
      </c>
      <c r="I1018" s="51">
        <v>3.7702031567062198E-3</v>
      </c>
      <c r="J1018" s="52" t="s">
        <v>1060</v>
      </c>
      <c r="K1018" s="109" t="s">
        <v>1054</v>
      </c>
    </row>
    <row r="1019" spans="1:11" x14ac:dyDescent="0.35">
      <c r="A1019" s="61">
        <v>45550</v>
      </c>
      <c r="B1019" s="49" t="s">
        <v>708</v>
      </c>
      <c r="C1019" s="49" t="s">
        <v>10</v>
      </c>
      <c r="D1019" s="50">
        <v>55632</v>
      </c>
      <c r="E1019" s="50">
        <v>19087</v>
      </c>
      <c r="F1019" s="51">
        <v>0.34309390278976098</v>
      </c>
      <c r="G1019" s="50">
        <v>159</v>
      </c>
      <c r="H1019" s="51">
        <v>8.3302771519882593E-3</v>
      </c>
      <c r="I1019" s="51">
        <v>2.8580672993960298E-3</v>
      </c>
      <c r="J1019" s="52" t="s">
        <v>1060</v>
      </c>
      <c r="K1019" s="109" t="s">
        <v>1054</v>
      </c>
    </row>
    <row r="1020" spans="1:11" x14ac:dyDescent="0.35">
      <c r="A1020" s="61">
        <v>45551</v>
      </c>
      <c r="B1020" s="49" t="s">
        <v>709</v>
      </c>
      <c r="C1020" s="49" t="s">
        <v>11</v>
      </c>
      <c r="D1020" s="50">
        <v>5955</v>
      </c>
      <c r="E1020" s="50">
        <v>3899</v>
      </c>
      <c r="F1020" s="51">
        <v>0.65474391267842103</v>
      </c>
      <c r="G1020" s="50">
        <v>179</v>
      </c>
      <c r="H1020" s="51">
        <v>4.5909207489099803E-2</v>
      </c>
      <c r="I1020" s="51">
        <v>3.0058774139378699E-2</v>
      </c>
      <c r="J1020" s="52" t="s">
        <v>1058</v>
      </c>
      <c r="K1020" s="109" t="s">
        <v>1054</v>
      </c>
    </row>
    <row r="1021" spans="1:11" x14ac:dyDescent="0.35">
      <c r="A1021" s="61">
        <v>45551</v>
      </c>
      <c r="B1021" s="49" t="s">
        <v>710</v>
      </c>
      <c r="C1021" s="49" t="s">
        <v>10</v>
      </c>
      <c r="D1021" s="50">
        <v>36256</v>
      </c>
      <c r="E1021" s="50">
        <v>18017</v>
      </c>
      <c r="F1021" s="51">
        <v>0.49693843777581598</v>
      </c>
      <c r="G1021" s="50">
        <v>644</v>
      </c>
      <c r="H1021" s="51">
        <v>3.5744019537103801E-2</v>
      </c>
      <c r="I1021" s="51">
        <v>1.7762577228596602E-2</v>
      </c>
      <c r="J1021" s="52" t="s">
        <v>1058</v>
      </c>
      <c r="K1021" s="109" t="s">
        <v>1056</v>
      </c>
    </row>
    <row r="1022" spans="1:11" x14ac:dyDescent="0.35">
      <c r="A1022" s="61">
        <v>45551</v>
      </c>
      <c r="B1022" s="49" t="s">
        <v>710</v>
      </c>
      <c r="C1022" s="49" t="s">
        <v>11</v>
      </c>
      <c r="D1022" s="50">
        <v>1684</v>
      </c>
      <c r="E1022" s="50">
        <v>840</v>
      </c>
      <c r="F1022" s="51">
        <v>0.49881235154394299</v>
      </c>
      <c r="G1022" s="50">
        <v>75</v>
      </c>
      <c r="H1022" s="51">
        <v>8.9285714285714302E-2</v>
      </c>
      <c r="I1022" s="51">
        <v>4.4536817102137798E-2</v>
      </c>
      <c r="J1022" s="52" t="s">
        <v>1058</v>
      </c>
      <c r="K1022" s="109" t="s">
        <v>1056</v>
      </c>
    </row>
    <row r="1023" spans="1:11" x14ac:dyDescent="0.35">
      <c r="A1023" s="61">
        <v>45552</v>
      </c>
      <c r="B1023" s="49" t="s">
        <v>711</v>
      </c>
      <c r="C1023" s="49" t="s">
        <v>10</v>
      </c>
      <c r="D1023" s="50">
        <v>1364349</v>
      </c>
      <c r="E1023" s="50">
        <v>410623</v>
      </c>
      <c r="F1023" s="51">
        <v>0.30096624837193398</v>
      </c>
      <c r="G1023" s="50">
        <v>8686</v>
      </c>
      <c r="H1023" s="51">
        <v>2.1153223272929199E-2</v>
      </c>
      <c r="I1023" s="51">
        <v>6.3664062494273796E-3</v>
      </c>
      <c r="J1023" s="52" t="s">
        <v>1055</v>
      </c>
      <c r="K1023" s="109" t="s">
        <v>1056</v>
      </c>
    </row>
    <row r="1024" spans="1:11" x14ac:dyDescent="0.35">
      <c r="A1024" s="61">
        <v>45552</v>
      </c>
      <c r="B1024" s="49" t="s">
        <v>711</v>
      </c>
      <c r="C1024" s="49" t="s">
        <v>11</v>
      </c>
      <c r="D1024" s="50">
        <v>93006</v>
      </c>
      <c r="E1024" s="50">
        <v>28165</v>
      </c>
      <c r="F1024" s="51">
        <v>0.30282992495107802</v>
      </c>
      <c r="G1024" s="50">
        <v>706</v>
      </c>
      <c r="H1024" s="51">
        <v>2.50665719865081E-2</v>
      </c>
      <c r="I1024" s="51">
        <v>7.5909081134550504E-3</v>
      </c>
      <c r="J1024" s="52" t="s">
        <v>1055</v>
      </c>
      <c r="K1024" s="109" t="s">
        <v>1056</v>
      </c>
    </row>
    <row r="1025" spans="1:11" x14ac:dyDescent="0.35">
      <c r="A1025" s="61">
        <v>45552</v>
      </c>
      <c r="B1025" s="49" t="s">
        <v>712</v>
      </c>
      <c r="C1025" s="49" t="s">
        <v>10</v>
      </c>
      <c r="D1025" s="50">
        <v>55096</v>
      </c>
      <c r="E1025" s="50">
        <v>18947</v>
      </c>
      <c r="F1025" s="51">
        <v>0.34389066356904302</v>
      </c>
      <c r="G1025" s="50">
        <v>296</v>
      </c>
      <c r="H1025" s="51">
        <v>1.5622525993561001E-2</v>
      </c>
      <c r="I1025" s="51">
        <v>5.37244083055031E-3</v>
      </c>
      <c r="J1025" s="52" t="s">
        <v>1060</v>
      </c>
      <c r="K1025" s="109" t="s">
        <v>1054</v>
      </c>
    </row>
    <row r="1026" spans="1:11" x14ac:dyDescent="0.35">
      <c r="A1026" s="61">
        <v>45553</v>
      </c>
      <c r="B1026" s="49" t="s">
        <v>713</v>
      </c>
      <c r="C1026" s="49" t="s">
        <v>10</v>
      </c>
      <c r="D1026" s="50">
        <v>55548</v>
      </c>
      <c r="E1026" s="50">
        <v>19144</v>
      </c>
      <c r="F1026" s="51">
        <v>0.34463887088644102</v>
      </c>
      <c r="G1026" s="50">
        <v>215</v>
      </c>
      <c r="H1026" s="51">
        <v>1.1230672795654E-2</v>
      </c>
      <c r="I1026" s="51">
        <v>3.8705263915892602E-3</v>
      </c>
      <c r="J1026" s="52" t="s">
        <v>1061</v>
      </c>
      <c r="K1026" s="109" t="s">
        <v>1054</v>
      </c>
    </row>
    <row r="1027" spans="1:11" x14ac:dyDescent="0.35">
      <c r="A1027" s="61">
        <v>45553</v>
      </c>
      <c r="B1027" s="49" t="s">
        <v>714</v>
      </c>
      <c r="C1027" s="49" t="s">
        <v>10</v>
      </c>
      <c r="D1027" s="50">
        <v>253712</v>
      </c>
      <c r="E1027" s="50">
        <v>88273</v>
      </c>
      <c r="F1027" s="51">
        <v>0.347925994828782</v>
      </c>
      <c r="G1027" s="50">
        <v>1117</v>
      </c>
      <c r="H1027" s="51">
        <v>1.26539258890034E-2</v>
      </c>
      <c r="I1027" s="51">
        <v>4.4026297534212003E-3</v>
      </c>
      <c r="J1027" s="52" t="s">
        <v>1060</v>
      </c>
      <c r="K1027" s="109" t="s">
        <v>1054</v>
      </c>
    </row>
    <row r="1028" spans="1:11" x14ac:dyDescent="0.35">
      <c r="A1028" s="61">
        <v>45553</v>
      </c>
      <c r="B1028" s="49" t="s">
        <v>715</v>
      </c>
      <c r="C1028" s="49" t="s">
        <v>10</v>
      </c>
      <c r="D1028" s="50">
        <v>461663</v>
      </c>
      <c r="E1028" s="50">
        <v>160061</v>
      </c>
      <c r="F1028" s="51">
        <v>0.34670528069175999</v>
      </c>
      <c r="G1028" s="50">
        <v>1817</v>
      </c>
      <c r="H1028" s="51">
        <v>1.1351922079707101E-2</v>
      </c>
      <c r="I1028" s="51">
        <v>3.9357713310358396E-3</v>
      </c>
      <c r="J1028" s="52" t="s">
        <v>1055</v>
      </c>
      <c r="K1028" s="109" t="s">
        <v>1056</v>
      </c>
    </row>
    <row r="1029" spans="1:11" x14ac:dyDescent="0.35">
      <c r="A1029" s="61">
        <v>45553</v>
      </c>
      <c r="B1029" s="49" t="s">
        <v>715</v>
      </c>
      <c r="C1029" s="49" t="s">
        <v>11</v>
      </c>
      <c r="D1029" s="50">
        <v>20907</v>
      </c>
      <c r="E1029" s="50">
        <v>7207</v>
      </c>
      <c r="F1029" s="51">
        <v>0.34471708040369298</v>
      </c>
      <c r="G1029" s="50">
        <v>131</v>
      </c>
      <c r="H1029" s="51">
        <v>1.81767725822117E-2</v>
      </c>
      <c r="I1029" s="51">
        <v>6.2658439757019204E-3</v>
      </c>
      <c r="J1029" s="52" t="s">
        <v>1055</v>
      </c>
      <c r="K1029" s="109" t="s">
        <v>1056</v>
      </c>
    </row>
    <row r="1030" spans="1:11" x14ac:dyDescent="0.35">
      <c r="A1030" s="61">
        <v>45554</v>
      </c>
      <c r="B1030" s="49" t="s">
        <v>716</v>
      </c>
      <c r="C1030" s="49" t="s">
        <v>543</v>
      </c>
      <c r="D1030" s="50">
        <v>341201</v>
      </c>
      <c r="E1030" s="50">
        <v>115486</v>
      </c>
      <c r="F1030" s="60">
        <v>0.33850000000000002</v>
      </c>
      <c r="G1030" s="49">
        <v>389</v>
      </c>
      <c r="H1030" s="60">
        <v>3.3999999999999998E-3</v>
      </c>
      <c r="I1030" s="60">
        <v>1.1000000000000001E-3</v>
      </c>
      <c r="J1030" s="52" t="s">
        <v>1055</v>
      </c>
      <c r="K1030" s="109" t="s">
        <v>1056</v>
      </c>
    </row>
    <row r="1031" spans="1:11" x14ac:dyDescent="0.35">
      <c r="A1031" s="61">
        <v>45554</v>
      </c>
      <c r="B1031" s="49" t="s">
        <v>717</v>
      </c>
      <c r="C1031" s="49" t="s">
        <v>545</v>
      </c>
      <c r="D1031" s="50">
        <v>16917</v>
      </c>
      <c r="E1031" s="50">
        <v>5252</v>
      </c>
      <c r="F1031" s="60">
        <v>0.3105</v>
      </c>
      <c r="G1031" s="49">
        <v>23</v>
      </c>
      <c r="H1031" s="60">
        <v>4.4000000000000003E-3</v>
      </c>
      <c r="I1031" s="60">
        <v>1.4E-3</v>
      </c>
      <c r="J1031" s="52" t="s">
        <v>1055</v>
      </c>
      <c r="K1031" s="109" t="s">
        <v>1056</v>
      </c>
    </row>
    <row r="1032" spans="1:11" x14ac:dyDescent="0.35">
      <c r="A1032" s="61">
        <v>45554</v>
      </c>
      <c r="B1032" s="49" t="s">
        <v>699</v>
      </c>
      <c r="C1032" s="49" t="s">
        <v>234</v>
      </c>
      <c r="D1032" s="50">
        <v>174143</v>
      </c>
      <c r="E1032" s="50">
        <v>60437</v>
      </c>
      <c r="F1032" s="60">
        <v>0.34849999999999998</v>
      </c>
      <c r="G1032" s="49">
        <v>171</v>
      </c>
      <c r="H1032" s="60">
        <v>2.8E-3</v>
      </c>
      <c r="I1032" s="60">
        <v>1.4E-3</v>
      </c>
      <c r="J1032" s="52" t="s">
        <v>1055</v>
      </c>
      <c r="K1032" s="109" t="s">
        <v>1056</v>
      </c>
    </row>
    <row r="1033" spans="1:11" x14ac:dyDescent="0.35">
      <c r="A1033" s="61">
        <v>45554</v>
      </c>
      <c r="B1033" s="49" t="s">
        <v>700</v>
      </c>
      <c r="C1033" s="49" t="s">
        <v>235</v>
      </c>
      <c r="D1033" s="50">
        <v>10603</v>
      </c>
      <c r="E1033" s="50">
        <v>3235</v>
      </c>
      <c r="F1033" s="51">
        <v>0.30630000000000002</v>
      </c>
      <c r="G1033" s="50">
        <v>11</v>
      </c>
      <c r="H1033" s="51">
        <v>3.3999999999999998E-3</v>
      </c>
      <c r="I1033" s="51">
        <v>1.5E-3</v>
      </c>
      <c r="J1033" s="52" t="s">
        <v>1055</v>
      </c>
      <c r="K1033" s="109" t="s">
        <v>1056</v>
      </c>
    </row>
    <row r="1034" spans="1:11" x14ac:dyDescent="0.35">
      <c r="A1034" s="61">
        <v>45554</v>
      </c>
      <c r="B1034" s="49" t="s">
        <v>718</v>
      </c>
      <c r="C1034" s="49" t="s">
        <v>74</v>
      </c>
      <c r="D1034" s="50">
        <v>16790</v>
      </c>
      <c r="E1034" s="50">
        <v>5665</v>
      </c>
      <c r="F1034" s="51">
        <v>0.33740321620011898</v>
      </c>
      <c r="G1034" s="50">
        <v>51</v>
      </c>
      <c r="H1034" s="51">
        <v>9.0026478375992893E-3</v>
      </c>
      <c r="I1034" s="51">
        <v>3.03752233472305E-3</v>
      </c>
      <c r="J1034" s="52" t="s">
        <v>1055</v>
      </c>
      <c r="K1034" s="109" t="s">
        <v>1056</v>
      </c>
    </row>
    <row r="1035" spans="1:11" x14ac:dyDescent="0.35">
      <c r="A1035" s="61">
        <v>45554</v>
      </c>
      <c r="B1035" s="49" t="s">
        <v>718</v>
      </c>
      <c r="C1035" s="49" t="s">
        <v>72</v>
      </c>
      <c r="D1035" s="50">
        <v>311652</v>
      </c>
      <c r="E1035" s="50">
        <v>107179</v>
      </c>
      <c r="F1035" s="51">
        <v>0.34390602338505799</v>
      </c>
      <c r="G1035" s="50">
        <v>851</v>
      </c>
      <c r="H1035" s="51">
        <v>7.9399882439657003E-3</v>
      </c>
      <c r="I1035" s="51">
        <v>2.73060978270635E-3</v>
      </c>
      <c r="J1035" s="52" t="s">
        <v>1055</v>
      </c>
      <c r="K1035" s="109" t="s">
        <v>1056</v>
      </c>
    </row>
    <row r="1036" spans="1:11" x14ac:dyDescent="0.35">
      <c r="A1036" s="61">
        <v>45554</v>
      </c>
      <c r="B1036" s="49" t="s">
        <v>718</v>
      </c>
      <c r="C1036" s="49" t="s">
        <v>75</v>
      </c>
      <c r="D1036" s="50">
        <v>681</v>
      </c>
      <c r="E1036" s="50">
        <v>187</v>
      </c>
      <c r="F1036" s="51">
        <v>0.274596182085169</v>
      </c>
      <c r="G1036" s="50">
        <v>1</v>
      </c>
      <c r="H1036" s="51">
        <v>5.3475935828877002E-3</v>
      </c>
      <c r="I1036" s="51">
        <v>1.46842878120411E-3</v>
      </c>
      <c r="J1036" s="52" t="s">
        <v>1055</v>
      </c>
      <c r="K1036" s="109" t="s">
        <v>1056</v>
      </c>
    </row>
    <row r="1037" spans="1:11" x14ac:dyDescent="0.35">
      <c r="A1037" s="61">
        <v>45554</v>
      </c>
      <c r="B1037" s="49" t="s">
        <v>718</v>
      </c>
      <c r="C1037" s="49" t="s">
        <v>73</v>
      </c>
      <c r="D1037" s="50">
        <v>12943</v>
      </c>
      <c r="E1037" s="50">
        <v>3942</v>
      </c>
      <c r="F1037" s="51">
        <v>0.304566174766283</v>
      </c>
      <c r="G1037" s="50">
        <v>33</v>
      </c>
      <c r="H1037" s="51">
        <v>8.3713850837138504E-3</v>
      </c>
      <c r="I1037" s="51">
        <v>2.5496407324422498E-3</v>
      </c>
      <c r="J1037" s="52" t="s">
        <v>1055</v>
      </c>
      <c r="K1037" s="109" t="s">
        <v>1056</v>
      </c>
    </row>
    <row r="1038" spans="1:11" x14ac:dyDescent="0.35">
      <c r="A1038" s="61">
        <v>45554</v>
      </c>
      <c r="B1038" s="49" t="s">
        <v>719</v>
      </c>
      <c r="C1038" s="49" t="s">
        <v>623</v>
      </c>
      <c r="D1038" s="50">
        <v>2165</v>
      </c>
      <c r="E1038" s="50">
        <v>491</v>
      </c>
      <c r="F1038" s="51">
        <v>0.226789838337182</v>
      </c>
      <c r="G1038" s="50">
        <v>105</v>
      </c>
      <c r="H1038" s="51">
        <v>0.213849287169043</v>
      </c>
      <c r="I1038" s="51">
        <v>4.8498845265588897E-2</v>
      </c>
      <c r="J1038" s="52" t="s">
        <v>1061</v>
      </c>
      <c r="K1038" s="109" t="s">
        <v>1054</v>
      </c>
    </row>
    <row r="1039" spans="1:11" x14ac:dyDescent="0.35">
      <c r="A1039" s="61">
        <v>45554</v>
      </c>
      <c r="B1039" s="49" t="s">
        <v>720</v>
      </c>
      <c r="C1039" s="49" t="s">
        <v>625</v>
      </c>
      <c r="D1039" s="50">
        <v>319</v>
      </c>
      <c r="E1039" s="50">
        <v>82</v>
      </c>
      <c r="F1039" s="51">
        <v>0.25705329153605</v>
      </c>
      <c r="G1039" s="50">
        <v>8</v>
      </c>
      <c r="H1039" s="51">
        <v>9.7560975609756101E-2</v>
      </c>
      <c r="I1039" s="51">
        <v>2.5078369905956101E-2</v>
      </c>
      <c r="J1039" s="52" t="s">
        <v>1061</v>
      </c>
      <c r="K1039" s="109" t="s">
        <v>1054</v>
      </c>
    </row>
    <row r="1040" spans="1:11" x14ac:dyDescent="0.35">
      <c r="A1040" s="61">
        <v>45554</v>
      </c>
      <c r="B1040" s="49" t="s">
        <v>721</v>
      </c>
      <c r="C1040" s="49" t="s">
        <v>722</v>
      </c>
      <c r="D1040" s="50">
        <v>111148</v>
      </c>
      <c r="E1040" s="50">
        <v>42355</v>
      </c>
      <c r="F1040" s="51">
        <v>0.381068485262893</v>
      </c>
      <c r="G1040" s="50">
        <v>960</v>
      </c>
      <c r="H1040" s="51">
        <v>2.26655648683745E-2</v>
      </c>
      <c r="I1040" s="51">
        <v>8.6371324720192905E-3</v>
      </c>
      <c r="J1040" s="52" t="s">
        <v>1058</v>
      </c>
      <c r="K1040" s="109" t="s">
        <v>1054</v>
      </c>
    </row>
    <row r="1041" spans="1:11" x14ac:dyDescent="0.35">
      <c r="A1041" s="61">
        <v>45554</v>
      </c>
      <c r="B1041" s="49" t="s">
        <v>721</v>
      </c>
      <c r="C1041" s="49" t="s">
        <v>723</v>
      </c>
      <c r="D1041" s="50">
        <v>15267</v>
      </c>
      <c r="E1041" s="50">
        <v>5936</v>
      </c>
      <c r="F1041" s="51">
        <v>0.38881247134342001</v>
      </c>
      <c r="G1041" s="50">
        <v>298</v>
      </c>
      <c r="H1041" s="51">
        <v>5.02021563342318E-2</v>
      </c>
      <c r="I1041" s="51">
        <v>1.9519224471081401E-2</v>
      </c>
      <c r="J1041" s="52" t="s">
        <v>1058</v>
      </c>
      <c r="K1041" s="109" t="s">
        <v>1054</v>
      </c>
    </row>
    <row r="1042" spans="1:11" x14ac:dyDescent="0.35">
      <c r="A1042" s="61">
        <v>45554</v>
      </c>
      <c r="B1042" s="49" t="s">
        <v>724</v>
      </c>
      <c r="C1042" s="49" t="s">
        <v>10</v>
      </c>
      <c r="D1042" s="50">
        <v>51387</v>
      </c>
      <c r="E1042" s="50">
        <v>19870</v>
      </c>
      <c r="F1042" s="51">
        <v>0.386673672329578</v>
      </c>
      <c r="G1042" s="50">
        <v>336</v>
      </c>
      <c r="H1042" s="51">
        <v>1.6909914443885302E-2</v>
      </c>
      <c r="I1042" s="51">
        <v>6.5386187167960803E-3</v>
      </c>
      <c r="J1042" s="52" t="s">
        <v>1055</v>
      </c>
      <c r="K1042" s="109" t="s">
        <v>1056</v>
      </c>
    </row>
    <row r="1043" spans="1:11" x14ac:dyDescent="0.35">
      <c r="A1043" s="61">
        <v>45554</v>
      </c>
      <c r="B1043" s="49" t="s">
        <v>724</v>
      </c>
      <c r="C1043" s="49" t="s">
        <v>11</v>
      </c>
      <c r="D1043" s="50">
        <v>1744</v>
      </c>
      <c r="E1043" s="50">
        <v>688</v>
      </c>
      <c r="F1043" s="51">
        <v>0.394495412844037</v>
      </c>
      <c r="G1043" s="50">
        <v>22</v>
      </c>
      <c r="H1043" s="51">
        <v>3.1976744186046499E-2</v>
      </c>
      <c r="I1043" s="51">
        <v>1.2614678899082601E-2</v>
      </c>
      <c r="J1043" s="52" t="s">
        <v>1055</v>
      </c>
      <c r="K1043" s="109" t="s">
        <v>1056</v>
      </c>
    </row>
    <row r="1044" spans="1:11" x14ac:dyDescent="0.35">
      <c r="A1044" s="61">
        <v>45555</v>
      </c>
      <c r="B1044" s="49" t="s">
        <v>725</v>
      </c>
      <c r="C1044" s="49" t="s">
        <v>10</v>
      </c>
      <c r="D1044" s="50">
        <v>252825</v>
      </c>
      <c r="E1044" s="50">
        <v>92829</v>
      </c>
      <c r="F1044" s="51">
        <v>0.367167012755859</v>
      </c>
      <c r="G1044" s="50">
        <v>1196</v>
      </c>
      <c r="H1044" s="51">
        <v>1.2883904814228299E-2</v>
      </c>
      <c r="I1044" s="51">
        <v>4.7305448432710404E-3</v>
      </c>
      <c r="J1044" s="52" t="s">
        <v>1061</v>
      </c>
      <c r="K1044" s="109" t="s">
        <v>1054</v>
      </c>
    </row>
    <row r="1045" spans="1:11" x14ac:dyDescent="0.35">
      <c r="A1045" s="61">
        <v>45555</v>
      </c>
      <c r="B1045" s="49" t="s">
        <v>726</v>
      </c>
      <c r="C1045" s="49" t="s">
        <v>10</v>
      </c>
      <c r="D1045" s="50">
        <v>385017</v>
      </c>
      <c r="E1045" s="50">
        <v>140652</v>
      </c>
      <c r="F1045" s="51">
        <v>0.36531373939332601</v>
      </c>
      <c r="G1045" s="50">
        <v>2491</v>
      </c>
      <c r="H1045" s="51">
        <v>1.77103773853198E-2</v>
      </c>
      <c r="I1045" s="51">
        <v>6.4698441886981602E-3</v>
      </c>
      <c r="J1045" s="52" t="s">
        <v>1057</v>
      </c>
      <c r="K1045" s="109" t="s">
        <v>1054</v>
      </c>
    </row>
    <row r="1046" spans="1:11" x14ac:dyDescent="0.35">
      <c r="A1046" s="61">
        <v>45555</v>
      </c>
      <c r="B1046" s="49" t="s">
        <v>727</v>
      </c>
      <c r="C1046" s="49" t="s">
        <v>10</v>
      </c>
      <c r="D1046" s="50">
        <v>4761594</v>
      </c>
      <c r="E1046" s="50">
        <v>1376616</v>
      </c>
      <c r="F1046" s="51">
        <v>0.28910822720290702</v>
      </c>
      <c r="G1046" s="50">
        <v>14228</v>
      </c>
      <c r="H1046" s="51">
        <v>1.03354893448863E-2</v>
      </c>
      <c r="I1046" s="51">
        <v>2.9880750017746201E-3</v>
      </c>
      <c r="J1046" s="52" t="s">
        <v>1055</v>
      </c>
      <c r="K1046" s="109" t="s">
        <v>1056</v>
      </c>
    </row>
    <row r="1047" spans="1:11" x14ac:dyDescent="0.35">
      <c r="A1047" s="61">
        <v>45555</v>
      </c>
      <c r="B1047" s="49" t="s">
        <v>727</v>
      </c>
      <c r="C1047" s="49" t="s">
        <v>11</v>
      </c>
      <c r="D1047" s="50">
        <v>306409</v>
      </c>
      <c r="E1047" s="50">
        <v>80358</v>
      </c>
      <c r="F1047" s="51">
        <v>0.26225730967432398</v>
      </c>
      <c r="G1047" s="50">
        <v>888</v>
      </c>
      <c r="H1047" s="51">
        <v>1.1050548794146201E-2</v>
      </c>
      <c r="I1047" s="51">
        <v>2.8980871971776298E-3</v>
      </c>
      <c r="J1047" s="52" t="s">
        <v>1055</v>
      </c>
      <c r="K1047" s="109" t="s">
        <v>1056</v>
      </c>
    </row>
    <row r="1048" spans="1:11" x14ac:dyDescent="0.35">
      <c r="A1048" s="61">
        <v>45556</v>
      </c>
      <c r="B1048" s="49" t="s">
        <v>728</v>
      </c>
      <c r="C1048" s="49" t="s">
        <v>10</v>
      </c>
      <c r="D1048" s="50">
        <v>1246170</v>
      </c>
      <c r="E1048" s="50">
        <v>377535</v>
      </c>
      <c r="F1048" s="51">
        <v>0.30295625797443398</v>
      </c>
      <c r="G1048" s="50">
        <v>6752</v>
      </c>
      <c r="H1048" s="51">
        <v>1.78844345557366E-2</v>
      </c>
      <c r="I1048" s="51">
        <v>5.4182013689945997E-3</v>
      </c>
      <c r="J1048" s="52" t="s">
        <v>1055</v>
      </c>
      <c r="K1048" s="109" t="s">
        <v>1056</v>
      </c>
    </row>
    <row r="1049" spans="1:11" x14ac:dyDescent="0.35">
      <c r="A1049" s="61">
        <v>45556</v>
      </c>
      <c r="B1049" s="49" t="s">
        <v>728</v>
      </c>
      <c r="C1049" s="49" t="s">
        <v>11</v>
      </c>
      <c r="D1049" s="50">
        <v>92673</v>
      </c>
      <c r="E1049" s="50">
        <v>24515</v>
      </c>
      <c r="F1049" s="51">
        <v>0.26453228016790198</v>
      </c>
      <c r="G1049" s="50">
        <v>503</v>
      </c>
      <c r="H1049" s="51">
        <v>2.0518050173363198E-2</v>
      </c>
      <c r="I1049" s="51">
        <v>5.4276865969592001E-3</v>
      </c>
      <c r="J1049" s="52" t="s">
        <v>1055</v>
      </c>
      <c r="K1049" s="109" t="s">
        <v>1056</v>
      </c>
    </row>
    <row r="1050" spans="1:11" x14ac:dyDescent="0.35">
      <c r="A1050" s="61">
        <v>45558</v>
      </c>
      <c r="B1050" s="49" t="s">
        <v>729</v>
      </c>
      <c r="C1050" s="49" t="s">
        <v>730</v>
      </c>
      <c r="D1050" s="50">
        <v>493</v>
      </c>
      <c r="E1050" s="50">
        <v>232</v>
      </c>
      <c r="F1050" s="51">
        <v>0.47058823529411797</v>
      </c>
      <c r="G1050" s="50">
        <v>40</v>
      </c>
      <c r="H1050" s="51">
        <v>0.17241379310344801</v>
      </c>
      <c r="I1050" s="51">
        <v>8.1135902636916807E-2</v>
      </c>
      <c r="J1050" s="52" t="s">
        <v>1053</v>
      </c>
      <c r="K1050" s="109" t="s">
        <v>1054</v>
      </c>
    </row>
    <row r="1051" spans="1:11" x14ac:dyDescent="0.35">
      <c r="A1051" s="61">
        <v>45558</v>
      </c>
      <c r="B1051" s="49" t="s">
        <v>729</v>
      </c>
      <c r="C1051" s="49" t="s">
        <v>731</v>
      </c>
      <c r="D1051" s="50">
        <v>494</v>
      </c>
      <c r="E1051" s="50">
        <v>257</v>
      </c>
      <c r="F1051" s="51">
        <v>0.52024291497975705</v>
      </c>
      <c r="G1051" s="50">
        <v>59</v>
      </c>
      <c r="H1051" s="51">
        <v>0.22957198443579799</v>
      </c>
      <c r="I1051" s="51">
        <v>0.119433198380567</v>
      </c>
      <c r="J1051" s="52" t="s">
        <v>1053</v>
      </c>
      <c r="K1051" s="109" t="s">
        <v>1054</v>
      </c>
    </row>
    <row r="1052" spans="1:11" x14ac:dyDescent="0.35">
      <c r="A1052" s="61">
        <v>45559</v>
      </c>
      <c r="B1052" s="49" t="s">
        <v>732</v>
      </c>
      <c r="C1052" s="49" t="s">
        <v>10</v>
      </c>
      <c r="D1052" s="50">
        <v>1363475</v>
      </c>
      <c r="E1052" s="50">
        <v>416307</v>
      </c>
      <c r="F1052" s="51">
        <v>0.30532793047177198</v>
      </c>
      <c r="G1052" s="50">
        <v>8832</v>
      </c>
      <c r="H1052" s="51">
        <v>2.12151128854427E-2</v>
      </c>
      <c r="I1052" s="51">
        <v>6.4775665120372604E-3</v>
      </c>
      <c r="J1052" s="52" t="s">
        <v>1055</v>
      </c>
      <c r="K1052" s="109" t="s">
        <v>1056</v>
      </c>
    </row>
    <row r="1053" spans="1:11" x14ac:dyDescent="0.35">
      <c r="A1053" s="61">
        <v>45559</v>
      </c>
      <c r="B1053" s="49" t="s">
        <v>732</v>
      </c>
      <c r="C1053" s="49" t="s">
        <v>11</v>
      </c>
      <c r="D1053" s="50">
        <v>92839</v>
      </c>
      <c r="E1053" s="50">
        <v>28587</v>
      </c>
      <c r="F1053" s="51">
        <v>0.30792016286259</v>
      </c>
      <c r="G1053" s="50">
        <v>713</v>
      </c>
      <c r="H1053" s="51">
        <v>2.4941406933221399E-2</v>
      </c>
      <c r="I1053" s="51">
        <v>7.6799620848996596E-3</v>
      </c>
      <c r="J1053" s="52" t="s">
        <v>1055</v>
      </c>
      <c r="K1053" s="109" t="s">
        <v>1056</v>
      </c>
    </row>
    <row r="1054" spans="1:11" x14ac:dyDescent="0.35">
      <c r="A1054" s="61">
        <v>45560</v>
      </c>
      <c r="B1054" s="49" t="s">
        <v>733</v>
      </c>
      <c r="C1054" s="49" t="s">
        <v>10</v>
      </c>
      <c r="D1054" s="50">
        <v>891890</v>
      </c>
      <c r="E1054" s="50">
        <v>333034</v>
      </c>
      <c r="F1054" s="51">
        <v>0.373402549641772</v>
      </c>
      <c r="G1054" s="50">
        <v>3821</v>
      </c>
      <c r="H1054" s="51">
        <v>1.1473303026117499E-2</v>
      </c>
      <c r="I1054" s="51">
        <v>4.2841606027649104E-3</v>
      </c>
      <c r="J1054" s="52" t="s">
        <v>1055</v>
      </c>
      <c r="K1054" s="109" t="s">
        <v>1056</v>
      </c>
    </row>
    <row r="1055" spans="1:11" x14ac:dyDescent="0.35">
      <c r="A1055" s="61">
        <v>45560</v>
      </c>
      <c r="B1055" s="49" t="s">
        <v>733</v>
      </c>
      <c r="C1055" s="49" t="s">
        <v>11</v>
      </c>
      <c r="D1055" s="50">
        <v>53060</v>
      </c>
      <c r="E1055" s="50">
        <v>17776</v>
      </c>
      <c r="F1055" s="51">
        <v>0.335016961929891</v>
      </c>
      <c r="G1055" s="50">
        <v>225</v>
      </c>
      <c r="H1055" s="51">
        <v>1.2657515751575201E-2</v>
      </c>
      <c r="I1055" s="51">
        <v>4.2404824726724501E-3</v>
      </c>
      <c r="J1055" s="52" t="s">
        <v>1055</v>
      </c>
      <c r="K1055" s="109" t="s">
        <v>1056</v>
      </c>
    </row>
    <row r="1056" spans="1:11" x14ac:dyDescent="0.35">
      <c r="A1056" s="61">
        <v>45560</v>
      </c>
      <c r="B1056" s="49" t="s">
        <v>734</v>
      </c>
      <c r="C1056" s="49" t="s">
        <v>10</v>
      </c>
      <c r="D1056" s="50">
        <v>71838</v>
      </c>
      <c r="E1056" s="50">
        <v>31840</v>
      </c>
      <c r="F1056" s="51">
        <v>0.443219466020769</v>
      </c>
      <c r="G1056" s="50">
        <v>1180</v>
      </c>
      <c r="H1056" s="51">
        <v>3.7060301507537703E-2</v>
      </c>
      <c r="I1056" s="51">
        <v>1.6425847044739601E-2</v>
      </c>
      <c r="J1056" s="52" t="s">
        <v>1058</v>
      </c>
      <c r="K1056" s="109" t="s">
        <v>1056</v>
      </c>
    </row>
    <row r="1057" spans="1:11" x14ac:dyDescent="0.35">
      <c r="A1057" s="61">
        <v>45560</v>
      </c>
      <c r="B1057" s="49" t="s">
        <v>734</v>
      </c>
      <c r="C1057" s="49" t="s">
        <v>11</v>
      </c>
      <c r="D1057" s="50">
        <v>1277</v>
      </c>
      <c r="E1057" s="50">
        <v>582</v>
      </c>
      <c r="F1057" s="51">
        <v>0.45575567736883299</v>
      </c>
      <c r="G1057" s="50">
        <v>40</v>
      </c>
      <c r="H1057" s="51">
        <v>6.8728522336769807E-2</v>
      </c>
      <c r="I1057" s="51">
        <v>3.13234142521535E-2</v>
      </c>
      <c r="J1057" s="52" t="s">
        <v>1058</v>
      </c>
      <c r="K1057" s="109" t="s">
        <v>1056</v>
      </c>
    </row>
    <row r="1058" spans="1:11" x14ac:dyDescent="0.35">
      <c r="A1058" s="61">
        <v>45560</v>
      </c>
      <c r="B1058" s="49" t="s">
        <v>735</v>
      </c>
      <c r="C1058" s="49" t="s">
        <v>10</v>
      </c>
      <c r="D1058" s="50">
        <v>156972</v>
      </c>
      <c r="E1058" s="50">
        <v>57100</v>
      </c>
      <c r="F1058" s="51">
        <v>0.36375914175776602</v>
      </c>
      <c r="G1058" s="50">
        <v>939</v>
      </c>
      <c r="H1058" s="51">
        <v>1.64448336252189E-2</v>
      </c>
      <c r="I1058" s="51">
        <v>5.9819585658588796E-3</v>
      </c>
      <c r="J1058" s="52" t="s">
        <v>1055</v>
      </c>
      <c r="K1058" s="109" t="s">
        <v>1056</v>
      </c>
    </row>
    <row r="1059" spans="1:11" x14ac:dyDescent="0.35">
      <c r="A1059" s="61">
        <v>45560</v>
      </c>
      <c r="B1059" s="49" t="s">
        <v>735</v>
      </c>
      <c r="C1059" s="49" t="s">
        <v>11</v>
      </c>
      <c r="D1059" s="50">
        <v>7346</v>
      </c>
      <c r="E1059" s="50">
        <v>2878</v>
      </c>
      <c r="F1059" s="51">
        <v>0.39177783827933599</v>
      </c>
      <c r="G1059" s="50">
        <v>60</v>
      </c>
      <c r="H1059" s="51">
        <v>2.0847810979847101E-2</v>
      </c>
      <c r="I1059" s="51">
        <v>8.1677103185407007E-3</v>
      </c>
      <c r="J1059" s="52" t="s">
        <v>1055</v>
      </c>
      <c r="K1059" s="109" t="s">
        <v>1056</v>
      </c>
    </row>
    <row r="1060" spans="1:11" x14ac:dyDescent="0.35">
      <c r="A1060" s="61">
        <v>45561</v>
      </c>
      <c r="B1060" s="49" t="s">
        <v>736</v>
      </c>
      <c r="C1060" s="49" t="s">
        <v>737</v>
      </c>
      <c r="D1060" s="50">
        <v>54160</v>
      </c>
      <c r="E1060" s="50">
        <v>26833</v>
      </c>
      <c r="F1060" s="51">
        <v>0.495439438700148</v>
      </c>
      <c r="G1060" s="50">
        <v>613</v>
      </c>
      <c r="H1060" s="51">
        <v>2.2845004285767499E-2</v>
      </c>
      <c r="I1060" s="51">
        <v>1.13183161004431E-2</v>
      </c>
      <c r="J1060" s="52" t="s">
        <v>1055</v>
      </c>
      <c r="K1060" s="109" t="s">
        <v>1056</v>
      </c>
    </row>
    <row r="1061" spans="1:11" x14ac:dyDescent="0.35">
      <c r="A1061" s="61">
        <v>45561</v>
      </c>
      <c r="B1061" s="49" t="s">
        <v>736</v>
      </c>
      <c r="C1061" s="49" t="s">
        <v>738</v>
      </c>
      <c r="D1061" s="50">
        <v>53888</v>
      </c>
      <c r="E1061" s="50">
        <v>26591</v>
      </c>
      <c r="F1061" s="51">
        <v>0.493449376484561</v>
      </c>
      <c r="G1061" s="50">
        <v>444</v>
      </c>
      <c r="H1061" s="51">
        <v>1.66973788123801E-2</v>
      </c>
      <c r="I1061" s="51">
        <v>8.2393111638954901E-3</v>
      </c>
      <c r="J1061" s="52" t="s">
        <v>1055</v>
      </c>
      <c r="K1061" s="109" t="s">
        <v>1056</v>
      </c>
    </row>
    <row r="1062" spans="1:11" x14ac:dyDescent="0.35">
      <c r="A1062" s="61">
        <v>45561</v>
      </c>
      <c r="B1062" s="49" t="s">
        <v>716</v>
      </c>
      <c r="C1062" s="49" t="s">
        <v>234</v>
      </c>
      <c r="D1062" s="50">
        <v>121047</v>
      </c>
      <c r="E1062" s="50">
        <v>39623</v>
      </c>
      <c r="F1062" s="60">
        <v>0.32729999999999998</v>
      </c>
      <c r="G1062" s="49">
        <v>120</v>
      </c>
      <c r="H1062" s="60">
        <v>3.0000000000000001E-3</v>
      </c>
      <c r="I1062" s="60">
        <v>1E-3</v>
      </c>
      <c r="J1062" s="52" t="s">
        <v>1055</v>
      </c>
      <c r="K1062" s="109" t="s">
        <v>1056</v>
      </c>
    </row>
    <row r="1063" spans="1:11" x14ac:dyDescent="0.35">
      <c r="A1063" s="61">
        <v>45561</v>
      </c>
      <c r="B1063" s="49" t="s">
        <v>717</v>
      </c>
      <c r="C1063" s="49" t="s">
        <v>235</v>
      </c>
      <c r="D1063" s="50">
        <v>6337</v>
      </c>
      <c r="E1063" s="50">
        <v>1892</v>
      </c>
      <c r="F1063" s="60">
        <v>0.29859999999999998</v>
      </c>
      <c r="G1063" s="49">
        <v>5</v>
      </c>
      <c r="H1063" s="60">
        <v>2.5999999999999999E-3</v>
      </c>
      <c r="I1063" s="60">
        <v>8.0000000000000004E-4</v>
      </c>
      <c r="J1063" s="52" t="s">
        <v>1055</v>
      </c>
      <c r="K1063" s="109" t="s">
        <v>1056</v>
      </c>
    </row>
    <row r="1064" spans="1:11" x14ac:dyDescent="0.35">
      <c r="A1064" s="61">
        <v>45561</v>
      </c>
      <c r="B1064" s="49" t="s">
        <v>699</v>
      </c>
      <c r="C1064" s="49" t="s">
        <v>739</v>
      </c>
      <c r="D1064" s="50">
        <v>11893</v>
      </c>
      <c r="E1064" s="50">
        <v>4293</v>
      </c>
      <c r="F1064" s="51">
        <v>0.36096863701336901</v>
      </c>
      <c r="G1064" s="50">
        <v>18</v>
      </c>
      <c r="H1064" s="51">
        <v>4.1928721174004204E-3</v>
      </c>
      <c r="I1064" s="51">
        <v>1.51349533338939E-3</v>
      </c>
      <c r="J1064" s="52" t="s">
        <v>1055</v>
      </c>
      <c r="K1064" s="109" t="s">
        <v>1056</v>
      </c>
    </row>
    <row r="1065" spans="1:11" x14ac:dyDescent="0.35">
      <c r="A1065" s="61">
        <v>45561</v>
      </c>
      <c r="B1065" s="49" t="s">
        <v>699</v>
      </c>
      <c r="C1065" s="49" t="s">
        <v>740</v>
      </c>
      <c r="D1065" s="50">
        <v>106013</v>
      </c>
      <c r="E1065" s="50">
        <v>38166</v>
      </c>
      <c r="F1065" s="51">
        <v>0.36</v>
      </c>
      <c r="G1065" s="50">
        <v>113</v>
      </c>
      <c r="H1065" s="51">
        <v>3.0000000000000001E-3</v>
      </c>
      <c r="I1065" s="51">
        <v>1.4E-3</v>
      </c>
      <c r="J1065" s="52" t="s">
        <v>1055</v>
      </c>
      <c r="K1065" s="109" t="s">
        <v>1056</v>
      </c>
    </row>
    <row r="1066" spans="1:11" x14ac:dyDescent="0.35">
      <c r="A1066" s="61">
        <v>45561</v>
      </c>
      <c r="B1066" s="49" t="s">
        <v>699</v>
      </c>
      <c r="C1066" s="49" t="s">
        <v>741</v>
      </c>
      <c r="D1066" s="50">
        <v>51649</v>
      </c>
      <c r="E1066" s="50">
        <v>16353</v>
      </c>
      <c r="F1066" s="51">
        <v>0.31659999999999999</v>
      </c>
      <c r="G1066" s="50">
        <v>50</v>
      </c>
      <c r="H1066" s="51">
        <v>3.0999999999999999E-3</v>
      </c>
      <c r="I1066" s="51">
        <v>1.4E-3</v>
      </c>
      <c r="J1066" s="52" t="s">
        <v>1055</v>
      </c>
      <c r="K1066" s="109" t="s">
        <v>1056</v>
      </c>
    </row>
    <row r="1067" spans="1:11" x14ac:dyDescent="0.35">
      <c r="A1067" s="61">
        <v>45561</v>
      </c>
      <c r="B1067" s="49" t="s">
        <v>700</v>
      </c>
      <c r="C1067" s="49" t="s">
        <v>742</v>
      </c>
      <c r="D1067" s="50">
        <v>3515</v>
      </c>
      <c r="E1067" s="50">
        <v>964</v>
      </c>
      <c r="F1067" s="51">
        <v>0.27425320056899</v>
      </c>
      <c r="G1067" s="50">
        <v>5</v>
      </c>
      <c r="H1067" s="51">
        <v>5.1867219917012403E-3</v>
      </c>
      <c r="I1067" s="51">
        <v>1.42247510668563E-3</v>
      </c>
      <c r="J1067" s="52" t="s">
        <v>1055</v>
      </c>
      <c r="K1067" s="109" t="s">
        <v>1056</v>
      </c>
    </row>
    <row r="1068" spans="1:11" x14ac:dyDescent="0.35">
      <c r="A1068" s="61">
        <v>45561</v>
      </c>
      <c r="B1068" s="49" t="s">
        <v>700</v>
      </c>
      <c r="C1068" s="49" t="s">
        <v>743</v>
      </c>
      <c r="D1068" s="50">
        <v>656</v>
      </c>
      <c r="E1068" s="50">
        <v>203</v>
      </c>
      <c r="F1068" s="51">
        <v>0.30945121951219501</v>
      </c>
      <c r="G1068" s="50">
        <v>0</v>
      </c>
      <c r="H1068" s="51">
        <v>0</v>
      </c>
      <c r="I1068" s="51">
        <v>0</v>
      </c>
      <c r="J1068" s="52" t="s">
        <v>1055</v>
      </c>
      <c r="K1068" s="109" t="s">
        <v>1056</v>
      </c>
    </row>
    <row r="1069" spans="1:11" x14ac:dyDescent="0.35">
      <c r="A1069" s="61">
        <v>45561</v>
      </c>
      <c r="B1069" s="49" t="s">
        <v>700</v>
      </c>
      <c r="C1069" s="49" t="s">
        <v>744</v>
      </c>
      <c r="D1069" s="50">
        <v>6183</v>
      </c>
      <c r="E1069" s="50">
        <v>2196</v>
      </c>
      <c r="F1069" s="51">
        <v>0.35516739446870399</v>
      </c>
      <c r="G1069" s="50">
        <v>6</v>
      </c>
      <c r="H1069" s="51">
        <v>2.7322404371584699E-3</v>
      </c>
      <c r="I1069" s="51">
        <v>9.7040271712760804E-4</v>
      </c>
      <c r="J1069" s="52" t="s">
        <v>1055</v>
      </c>
      <c r="K1069" s="109" t="s">
        <v>1056</v>
      </c>
    </row>
    <row r="1070" spans="1:11" x14ac:dyDescent="0.35">
      <c r="A1070" s="61">
        <v>45561</v>
      </c>
      <c r="B1070" s="49" t="s">
        <v>745</v>
      </c>
      <c r="C1070" s="49" t="s">
        <v>543</v>
      </c>
      <c r="D1070" s="50">
        <v>806673</v>
      </c>
      <c r="E1070" s="50">
        <v>431487</v>
      </c>
      <c r="F1070" s="60">
        <v>0.53490000000000004</v>
      </c>
      <c r="G1070" s="50">
        <v>1434</v>
      </c>
      <c r="H1070" s="60">
        <v>3.3E-3</v>
      </c>
      <c r="I1070" s="60">
        <v>1.8E-3</v>
      </c>
      <c r="J1070" s="52" t="s">
        <v>1055</v>
      </c>
      <c r="K1070" s="109" t="s">
        <v>1056</v>
      </c>
    </row>
    <row r="1071" spans="1:11" x14ac:dyDescent="0.35">
      <c r="A1071" s="61">
        <v>45561</v>
      </c>
      <c r="B1071" s="49" t="s">
        <v>746</v>
      </c>
      <c r="C1071" s="49" t="s">
        <v>747</v>
      </c>
      <c r="D1071" s="50">
        <v>34967</v>
      </c>
      <c r="E1071" s="50">
        <v>17589</v>
      </c>
      <c r="F1071" s="60">
        <v>0.503</v>
      </c>
      <c r="G1071" s="49">
        <v>84</v>
      </c>
      <c r="H1071" s="60">
        <v>4.7999999999999996E-3</v>
      </c>
      <c r="I1071" s="60">
        <v>2.3999999999999998E-3</v>
      </c>
      <c r="J1071" s="52" t="s">
        <v>1055</v>
      </c>
      <c r="K1071" s="109" t="s">
        <v>1056</v>
      </c>
    </row>
    <row r="1072" spans="1:11" x14ac:dyDescent="0.35">
      <c r="A1072" s="61">
        <v>45561</v>
      </c>
      <c r="B1072" s="49" t="s">
        <v>748</v>
      </c>
      <c r="C1072" s="49" t="s">
        <v>10</v>
      </c>
      <c r="D1072" s="50">
        <v>218471</v>
      </c>
      <c r="E1072" s="50">
        <v>96148</v>
      </c>
      <c r="F1072" s="51">
        <v>0.44009502405353601</v>
      </c>
      <c r="G1072" s="50">
        <v>1514</v>
      </c>
      <c r="H1072" s="51">
        <v>1.5746557390689399E-2</v>
      </c>
      <c r="I1072" s="51">
        <v>6.9299815536158103E-3</v>
      </c>
      <c r="J1072" s="52" t="s">
        <v>1055</v>
      </c>
      <c r="K1072" s="109" t="s">
        <v>1056</v>
      </c>
    </row>
    <row r="1073" spans="1:11" x14ac:dyDescent="0.35">
      <c r="A1073" s="61">
        <v>45561</v>
      </c>
      <c r="B1073" s="49" t="s">
        <v>749</v>
      </c>
      <c r="C1073" s="49" t="s">
        <v>10</v>
      </c>
      <c r="D1073" s="50">
        <v>3648</v>
      </c>
      <c r="E1073" s="50">
        <v>1038</v>
      </c>
      <c r="F1073" s="51">
        <v>0.28453947368421101</v>
      </c>
      <c r="G1073" s="50">
        <v>105</v>
      </c>
      <c r="H1073" s="51">
        <v>0.10115606936416199</v>
      </c>
      <c r="I1073" s="51">
        <v>2.8782894736842101E-2</v>
      </c>
      <c r="J1073" s="52" t="s">
        <v>1061</v>
      </c>
      <c r="K1073" s="109" t="s">
        <v>1054</v>
      </c>
    </row>
    <row r="1074" spans="1:11" x14ac:dyDescent="0.35">
      <c r="A1074" s="61">
        <v>45562</v>
      </c>
      <c r="B1074" s="49" t="s">
        <v>750</v>
      </c>
      <c r="C1074" s="49" t="s">
        <v>10</v>
      </c>
      <c r="D1074" s="50">
        <v>383173</v>
      </c>
      <c r="E1074" s="50">
        <v>138102</v>
      </c>
      <c r="F1074" s="51">
        <v>0.360416835215425</v>
      </c>
      <c r="G1074" s="50">
        <v>2647</v>
      </c>
      <c r="H1074" s="51">
        <v>1.9166992512780399E-2</v>
      </c>
      <c r="I1074" s="51">
        <v>6.9081067820540602E-3</v>
      </c>
      <c r="J1074" s="52" t="s">
        <v>1057</v>
      </c>
      <c r="K1074" s="109" t="s">
        <v>1054</v>
      </c>
    </row>
    <row r="1075" spans="1:11" x14ac:dyDescent="0.35">
      <c r="A1075" s="61">
        <v>45562</v>
      </c>
      <c r="B1075" s="49" t="s">
        <v>750</v>
      </c>
      <c r="C1075" s="49" t="s">
        <v>11</v>
      </c>
      <c r="D1075" s="50">
        <v>21550</v>
      </c>
      <c r="E1075" s="50">
        <v>7557</v>
      </c>
      <c r="F1075" s="51">
        <v>0.35067285382830599</v>
      </c>
      <c r="G1075" s="50">
        <v>304</v>
      </c>
      <c r="H1075" s="51">
        <v>4.0227603546380802E-2</v>
      </c>
      <c r="I1075" s="51">
        <v>1.4106728538283099E-2</v>
      </c>
      <c r="J1075" s="52" t="s">
        <v>1057</v>
      </c>
      <c r="K1075" s="109" t="s">
        <v>1054</v>
      </c>
    </row>
    <row r="1076" spans="1:11" x14ac:dyDescent="0.35">
      <c r="A1076" s="61">
        <v>45562</v>
      </c>
      <c r="B1076" s="49" t="s">
        <v>751</v>
      </c>
      <c r="C1076" s="49" t="s">
        <v>10</v>
      </c>
      <c r="D1076" s="50">
        <v>4693437</v>
      </c>
      <c r="E1076" s="50">
        <v>1541205</v>
      </c>
      <c r="F1076" s="51">
        <v>0.32837449400087798</v>
      </c>
      <c r="G1076" s="50">
        <v>15653</v>
      </c>
      <c r="H1076" s="51">
        <v>1.01563387089972E-2</v>
      </c>
      <c r="I1076" s="51">
        <v>3.3350825844684802E-3</v>
      </c>
      <c r="J1076" s="52" t="s">
        <v>1055</v>
      </c>
      <c r="K1076" s="109" t="s">
        <v>1056</v>
      </c>
    </row>
    <row r="1077" spans="1:11" x14ac:dyDescent="0.35">
      <c r="A1077" s="61">
        <v>45562</v>
      </c>
      <c r="B1077" s="49" t="s">
        <v>751</v>
      </c>
      <c r="C1077" s="49" t="s">
        <v>11</v>
      </c>
      <c r="D1077" s="50">
        <v>302947</v>
      </c>
      <c r="E1077" s="50">
        <v>87072</v>
      </c>
      <c r="F1077" s="51">
        <v>0.28741661082631598</v>
      </c>
      <c r="G1077" s="50">
        <v>1004</v>
      </c>
      <c r="H1077" s="51">
        <v>1.1530687247335501E-2</v>
      </c>
      <c r="I1077" s="51">
        <v>3.3141110491274098E-3</v>
      </c>
      <c r="J1077" s="52" t="s">
        <v>1055</v>
      </c>
      <c r="K1077" s="109" t="s">
        <v>1056</v>
      </c>
    </row>
    <row r="1078" spans="1:11" x14ac:dyDescent="0.35">
      <c r="A1078" s="61">
        <v>45562</v>
      </c>
      <c r="B1078" s="49" t="s">
        <v>752</v>
      </c>
      <c r="C1078" s="49" t="s">
        <v>10</v>
      </c>
      <c r="D1078" s="50">
        <v>39619</v>
      </c>
      <c r="E1078" s="50">
        <v>14784</v>
      </c>
      <c r="F1078" s="51">
        <v>0.37315429465660399</v>
      </c>
      <c r="G1078" s="50">
        <v>257</v>
      </c>
      <c r="H1078" s="51">
        <v>1.7383658008658001E-2</v>
      </c>
      <c r="I1078" s="51">
        <v>6.4867866427724104E-3</v>
      </c>
      <c r="J1078" s="52" t="s">
        <v>1060</v>
      </c>
      <c r="K1078" s="109" t="s">
        <v>1054</v>
      </c>
    </row>
    <row r="1079" spans="1:11" x14ac:dyDescent="0.35">
      <c r="A1079" s="61">
        <v>45562</v>
      </c>
      <c r="B1079" s="49" t="s">
        <v>753</v>
      </c>
      <c r="C1079" s="49" t="s">
        <v>10</v>
      </c>
      <c r="D1079" s="50">
        <v>390917</v>
      </c>
      <c r="E1079" s="50">
        <v>146755</v>
      </c>
      <c r="F1079" s="51">
        <v>0.37541217189326598</v>
      </c>
      <c r="G1079" s="50">
        <v>1324</v>
      </c>
      <c r="H1079" s="51">
        <v>9.0218391196211396E-3</v>
      </c>
      <c r="I1079" s="51">
        <v>3.3869082183685998E-3</v>
      </c>
      <c r="J1079" s="52" t="s">
        <v>1055</v>
      </c>
      <c r="K1079" s="109" t="s">
        <v>1056</v>
      </c>
    </row>
    <row r="1080" spans="1:11" x14ac:dyDescent="0.35">
      <c r="A1080" s="61">
        <v>45562</v>
      </c>
      <c r="B1080" s="49" t="s">
        <v>754</v>
      </c>
      <c r="C1080" s="49" t="s">
        <v>730</v>
      </c>
      <c r="D1080" s="50">
        <v>491</v>
      </c>
      <c r="E1080" s="50">
        <v>223</v>
      </c>
      <c r="F1080" s="51">
        <v>0.454175152749491</v>
      </c>
      <c r="G1080" s="50">
        <v>27</v>
      </c>
      <c r="H1080" s="51">
        <v>0.121076233183857</v>
      </c>
      <c r="I1080" s="51">
        <v>5.4989816700610997E-2</v>
      </c>
      <c r="J1080" s="52" t="s">
        <v>1053</v>
      </c>
      <c r="K1080" s="109" t="s">
        <v>1054</v>
      </c>
    </row>
    <row r="1081" spans="1:11" x14ac:dyDescent="0.35">
      <c r="A1081" s="61">
        <v>45562</v>
      </c>
      <c r="B1081" s="49" t="s">
        <v>754</v>
      </c>
      <c r="C1081" s="49" t="s">
        <v>731</v>
      </c>
      <c r="D1081" s="50">
        <v>498</v>
      </c>
      <c r="E1081" s="50">
        <v>244</v>
      </c>
      <c r="F1081" s="51">
        <v>0.48995983935742998</v>
      </c>
      <c r="G1081" s="50">
        <v>51</v>
      </c>
      <c r="H1081" s="51">
        <v>0.20901639344262299</v>
      </c>
      <c r="I1081" s="51">
        <v>0.102409638554217</v>
      </c>
      <c r="J1081" s="52" t="s">
        <v>1053</v>
      </c>
      <c r="K1081" s="109" t="s">
        <v>1054</v>
      </c>
    </row>
    <row r="1082" spans="1:11" x14ac:dyDescent="0.35">
      <c r="A1082" s="61">
        <v>45562</v>
      </c>
      <c r="B1082" s="49" t="s">
        <v>755</v>
      </c>
      <c r="C1082" s="49" t="s">
        <v>10</v>
      </c>
      <c r="D1082" s="50">
        <v>182885</v>
      </c>
      <c r="E1082" s="50">
        <v>70921</v>
      </c>
      <c r="F1082" s="51">
        <v>0.38779014134565398</v>
      </c>
      <c r="G1082" s="50">
        <v>763</v>
      </c>
      <c r="H1082" s="51">
        <v>1.07584495424486E-2</v>
      </c>
      <c r="I1082" s="51">
        <v>4.17202066872625E-3</v>
      </c>
      <c r="J1082" s="52" t="s">
        <v>1055</v>
      </c>
      <c r="K1082" s="109" t="s">
        <v>1056</v>
      </c>
    </row>
    <row r="1083" spans="1:11" x14ac:dyDescent="0.35">
      <c r="A1083" s="61">
        <v>45565</v>
      </c>
      <c r="B1083" s="49" t="s">
        <v>1062</v>
      </c>
      <c r="C1083" s="49" t="s">
        <v>10</v>
      </c>
      <c r="D1083" s="50">
        <v>1314111</v>
      </c>
      <c r="E1083" s="50">
        <v>389575</v>
      </c>
      <c r="F1083" s="51">
        <v>0.29645517007315197</v>
      </c>
      <c r="G1083" s="50">
        <v>4333</v>
      </c>
      <c r="H1083" s="51">
        <v>1.11223769492396E-2</v>
      </c>
      <c r="I1083" s="51">
        <v>3.2972861501045199E-3</v>
      </c>
      <c r="J1083" s="52" t="s">
        <v>1055</v>
      </c>
      <c r="K1083" s="109" t="s">
        <v>1056</v>
      </c>
    </row>
    <row r="1084" spans="1:11" x14ac:dyDescent="0.35">
      <c r="A1084" s="61">
        <v>45565</v>
      </c>
      <c r="B1084" s="49" t="s">
        <v>757</v>
      </c>
      <c r="C1084" s="49" t="s">
        <v>10</v>
      </c>
      <c r="D1084" s="50">
        <v>105394</v>
      </c>
      <c r="E1084" s="50">
        <v>44407</v>
      </c>
      <c r="F1084" s="51">
        <v>0.42134277093572697</v>
      </c>
      <c r="G1084" s="50">
        <v>909</v>
      </c>
      <c r="H1084" s="51">
        <v>2.0469745760803501E-2</v>
      </c>
      <c r="I1084" s="51">
        <v>8.62477939920679E-3</v>
      </c>
      <c r="J1084" s="52" t="s">
        <v>1055</v>
      </c>
      <c r="K1084" s="109" t="s">
        <v>1056</v>
      </c>
    </row>
    <row r="1085" spans="1:11" x14ac:dyDescent="0.35">
      <c r="A1085" s="61">
        <v>45565</v>
      </c>
      <c r="B1085" s="49" t="s">
        <v>757</v>
      </c>
      <c r="C1085" s="49" t="s">
        <v>11</v>
      </c>
      <c r="D1085" s="50">
        <v>6184</v>
      </c>
      <c r="E1085" s="50">
        <v>2685</v>
      </c>
      <c r="F1085" s="51">
        <v>0.43418499353169498</v>
      </c>
      <c r="G1085" s="50">
        <v>68</v>
      </c>
      <c r="H1085" s="51">
        <v>2.5325884543761602E-2</v>
      </c>
      <c r="I1085" s="51">
        <v>1.09961190168176E-2</v>
      </c>
      <c r="J1085" s="52" t="s">
        <v>1055</v>
      </c>
      <c r="K1085" s="109" t="s">
        <v>1056</v>
      </c>
    </row>
    <row r="1086" spans="1:11" x14ac:dyDescent="0.35">
      <c r="A1086" s="61">
        <v>45566</v>
      </c>
      <c r="B1086" s="49" t="s">
        <v>758</v>
      </c>
      <c r="C1086" s="49" t="s">
        <v>10</v>
      </c>
      <c r="D1086" s="50">
        <v>1367821</v>
      </c>
      <c r="E1086" s="50">
        <v>404059</v>
      </c>
      <c r="F1086" s="51">
        <v>0.29540341901462303</v>
      </c>
      <c r="G1086" s="50">
        <v>9504</v>
      </c>
      <c r="H1086" s="51">
        <v>2.35213174313652E-2</v>
      </c>
      <c r="I1086" s="51">
        <v>6.9482775889535197E-3</v>
      </c>
      <c r="J1086" s="52" t="s">
        <v>1055</v>
      </c>
      <c r="K1086" s="109" t="s">
        <v>1056</v>
      </c>
    </row>
    <row r="1087" spans="1:11" x14ac:dyDescent="0.35">
      <c r="A1087" s="61">
        <v>45566</v>
      </c>
      <c r="B1087" s="49" t="s">
        <v>758</v>
      </c>
      <c r="C1087" s="49" t="s">
        <v>11</v>
      </c>
      <c r="D1087" s="50">
        <v>92861</v>
      </c>
      <c r="E1087" s="50">
        <v>27121</v>
      </c>
      <c r="F1087" s="51">
        <v>0.29206017596192202</v>
      </c>
      <c r="G1087" s="50">
        <v>780</v>
      </c>
      <c r="H1087" s="51">
        <v>2.8760001474871899E-2</v>
      </c>
      <c r="I1087" s="51">
        <v>8.3996510914162003E-3</v>
      </c>
      <c r="J1087" s="52" t="s">
        <v>1055</v>
      </c>
      <c r="K1087" s="109" t="s">
        <v>1056</v>
      </c>
    </row>
    <row r="1088" spans="1:11" x14ac:dyDescent="0.35">
      <c r="A1088" s="61">
        <v>45566</v>
      </c>
      <c r="B1088" s="49" t="s">
        <v>759</v>
      </c>
      <c r="C1088" s="49" t="s">
        <v>104</v>
      </c>
      <c r="D1088" s="50">
        <v>249961</v>
      </c>
      <c r="E1088" s="50">
        <v>86958</v>
      </c>
      <c r="F1088" s="51">
        <v>0.34788627025815999</v>
      </c>
      <c r="G1088" s="50">
        <v>1258</v>
      </c>
      <c r="H1088" s="51">
        <v>1.4466754065180901E-2</v>
      </c>
      <c r="I1088" s="51">
        <v>5.03278511447786E-3</v>
      </c>
      <c r="J1088" s="52" t="s">
        <v>1060</v>
      </c>
      <c r="K1088" s="109" t="s">
        <v>1054</v>
      </c>
    </row>
    <row r="1089" spans="1:11" x14ac:dyDescent="0.35">
      <c r="A1089" s="61">
        <v>45567</v>
      </c>
      <c r="B1089" s="49" t="s">
        <v>760</v>
      </c>
      <c r="C1089" s="49" t="s">
        <v>11</v>
      </c>
      <c r="D1089" s="50">
        <v>13072</v>
      </c>
      <c r="E1089" s="50">
        <v>5738</v>
      </c>
      <c r="F1089" s="51">
        <v>0.43895348837209303</v>
      </c>
      <c r="G1089" s="50">
        <v>182</v>
      </c>
      <c r="H1089" s="51">
        <v>3.1718368769606098E-2</v>
      </c>
      <c r="I1089" s="51">
        <v>1.39228886168911E-2</v>
      </c>
      <c r="J1089" s="52" t="s">
        <v>1055</v>
      </c>
      <c r="K1089" s="109" t="s">
        <v>1056</v>
      </c>
    </row>
    <row r="1090" spans="1:11" x14ac:dyDescent="0.35">
      <c r="A1090" s="61">
        <v>45567</v>
      </c>
      <c r="B1090" s="49" t="s">
        <v>761</v>
      </c>
      <c r="C1090" s="49" t="s">
        <v>10</v>
      </c>
      <c r="D1090" s="50">
        <v>568651</v>
      </c>
      <c r="E1090" s="50">
        <v>179831</v>
      </c>
      <c r="F1090" s="51">
        <v>0.31624142048462101</v>
      </c>
      <c r="G1090" s="50">
        <v>1609</v>
      </c>
      <c r="H1090" s="51">
        <v>8.9472893994917493E-3</v>
      </c>
      <c r="I1090" s="51">
        <v>2.8295035091822599E-3</v>
      </c>
      <c r="J1090" s="52" t="s">
        <v>1055</v>
      </c>
      <c r="K1090" s="109" t="s">
        <v>1056</v>
      </c>
    </row>
    <row r="1091" spans="1:11" x14ac:dyDescent="0.35">
      <c r="A1091" s="61">
        <v>45567</v>
      </c>
      <c r="B1091" s="49" t="s">
        <v>761</v>
      </c>
      <c r="C1091" s="49" t="s">
        <v>11</v>
      </c>
      <c r="D1091" s="50">
        <v>14301</v>
      </c>
      <c r="E1091" s="50">
        <v>4532</v>
      </c>
      <c r="F1091" s="51">
        <v>0.31690091601985898</v>
      </c>
      <c r="G1091" s="50">
        <v>75</v>
      </c>
      <c r="H1091" s="51">
        <v>1.65489849955869E-2</v>
      </c>
      <c r="I1091" s="51">
        <v>5.2443885043004001E-3</v>
      </c>
      <c r="J1091" s="52" t="s">
        <v>1055</v>
      </c>
      <c r="K1091" s="109" t="s">
        <v>1056</v>
      </c>
    </row>
    <row r="1092" spans="1:11" x14ac:dyDescent="0.35">
      <c r="A1092" s="61">
        <v>45567</v>
      </c>
      <c r="B1092" s="49" t="s">
        <v>762</v>
      </c>
      <c r="C1092" s="49" t="s">
        <v>10</v>
      </c>
      <c r="D1092" s="50">
        <v>1378883</v>
      </c>
      <c r="E1092" s="50">
        <v>490007</v>
      </c>
      <c r="F1092" s="51">
        <v>0.35536517601565898</v>
      </c>
      <c r="G1092" s="50">
        <v>4241</v>
      </c>
      <c r="H1092" s="51">
        <v>8.6549783982677805E-3</v>
      </c>
      <c r="I1092" s="51">
        <v>3.0756779219121601E-3</v>
      </c>
      <c r="J1092" s="52" t="s">
        <v>1055</v>
      </c>
      <c r="K1092" s="109" t="s">
        <v>1056</v>
      </c>
    </row>
    <row r="1093" spans="1:11" x14ac:dyDescent="0.35">
      <c r="A1093" s="61">
        <v>45567</v>
      </c>
      <c r="B1093" s="49" t="s">
        <v>762</v>
      </c>
      <c r="C1093" s="49" t="s">
        <v>11</v>
      </c>
      <c r="D1093" s="50">
        <v>17334</v>
      </c>
      <c r="E1093" s="50">
        <v>6584</v>
      </c>
      <c r="F1093" s="51">
        <v>0.37983154494057902</v>
      </c>
      <c r="G1093" s="50">
        <v>108</v>
      </c>
      <c r="H1093" s="51">
        <v>1.6403402187120299E-2</v>
      </c>
      <c r="I1093" s="51">
        <v>6.2305295950155796E-3</v>
      </c>
      <c r="J1093" s="52" t="s">
        <v>1055</v>
      </c>
      <c r="K1093" s="109" t="s">
        <v>1056</v>
      </c>
    </row>
    <row r="1094" spans="1:11" x14ac:dyDescent="0.35">
      <c r="A1094" s="61">
        <v>45568</v>
      </c>
      <c r="B1094" s="49" t="s">
        <v>736</v>
      </c>
      <c r="C1094" s="49" t="s">
        <v>763</v>
      </c>
      <c r="D1094" s="50">
        <v>53324</v>
      </c>
      <c r="E1094" s="50">
        <v>23623</v>
      </c>
      <c r="F1094" s="51">
        <v>0.44300877653589399</v>
      </c>
      <c r="G1094" s="50">
        <v>489</v>
      </c>
      <c r="H1094" s="51">
        <v>2.0700165093341199E-2</v>
      </c>
      <c r="I1094" s="51">
        <v>9.1703548120921196E-3</v>
      </c>
      <c r="J1094" s="52" t="s">
        <v>1055</v>
      </c>
      <c r="K1094" s="109" t="s">
        <v>1056</v>
      </c>
    </row>
    <row r="1095" spans="1:11" x14ac:dyDescent="0.35">
      <c r="A1095" s="61">
        <v>45568</v>
      </c>
      <c r="B1095" s="49" t="s">
        <v>736</v>
      </c>
      <c r="C1095" s="49" t="s">
        <v>695</v>
      </c>
      <c r="D1095" s="50">
        <v>53061</v>
      </c>
      <c r="E1095" s="50">
        <v>23883</v>
      </c>
      <c r="F1095" s="51">
        <v>0.45010459659636998</v>
      </c>
      <c r="G1095" s="50">
        <v>364</v>
      </c>
      <c r="H1095" s="51">
        <v>1.52409663777582E-2</v>
      </c>
      <c r="I1095" s="51">
        <v>6.8600290231997096E-3</v>
      </c>
      <c r="J1095" s="52" t="s">
        <v>1055</v>
      </c>
      <c r="K1095" s="109" t="s">
        <v>1056</v>
      </c>
    </row>
    <row r="1096" spans="1:11" x14ac:dyDescent="0.35">
      <c r="A1096" s="61">
        <v>45568</v>
      </c>
      <c r="B1096" s="49" t="s">
        <v>716</v>
      </c>
      <c r="C1096" s="49" t="s">
        <v>764</v>
      </c>
      <c r="D1096" s="50">
        <v>161065</v>
      </c>
      <c r="E1096" s="50">
        <v>54677</v>
      </c>
      <c r="F1096" s="51">
        <v>0.33950000000000002</v>
      </c>
      <c r="G1096" s="50">
        <v>105</v>
      </c>
      <c r="H1096" s="51">
        <v>1.9E-3</v>
      </c>
      <c r="I1096" s="51">
        <v>8.9999999999999998E-4</v>
      </c>
      <c r="J1096" s="52" t="s">
        <v>1055</v>
      </c>
      <c r="K1096" s="109" t="s">
        <v>1056</v>
      </c>
    </row>
    <row r="1097" spans="1:11" x14ac:dyDescent="0.35">
      <c r="A1097" s="61">
        <v>45568</v>
      </c>
      <c r="B1097" s="49" t="s">
        <v>716</v>
      </c>
      <c r="C1097" s="49" t="s">
        <v>765</v>
      </c>
      <c r="D1097" s="50">
        <v>17985</v>
      </c>
      <c r="E1097" s="50">
        <v>6032</v>
      </c>
      <c r="F1097" s="51">
        <v>0.33539999999999998</v>
      </c>
      <c r="G1097" s="50">
        <v>15</v>
      </c>
      <c r="H1097" s="51">
        <v>2.5000000000000001E-3</v>
      </c>
      <c r="I1097" s="51">
        <v>1.1999999999999999E-3</v>
      </c>
      <c r="J1097" s="52" t="s">
        <v>1055</v>
      </c>
      <c r="K1097" s="109" t="s">
        <v>1056</v>
      </c>
    </row>
    <row r="1098" spans="1:11" x14ac:dyDescent="0.35">
      <c r="A1098" s="61">
        <v>45568</v>
      </c>
      <c r="B1098" s="49" t="s">
        <v>716</v>
      </c>
      <c r="C1098" s="49" t="s">
        <v>741</v>
      </c>
      <c r="D1098" s="50">
        <v>102104</v>
      </c>
      <c r="E1098" s="50">
        <v>28972</v>
      </c>
      <c r="F1098" s="51">
        <v>0.28374990206064399</v>
      </c>
      <c r="G1098" s="50">
        <v>69</v>
      </c>
      <c r="H1098" s="51">
        <v>2.3816098301808601E-3</v>
      </c>
      <c r="I1098" s="51">
        <v>6.7578155606048702E-4</v>
      </c>
      <c r="J1098" s="52" t="s">
        <v>1055</v>
      </c>
      <c r="K1098" s="109" t="s">
        <v>1056</v>
      </c>
    </row>
    <row r="1099" spans="1:11" x14ac:dyDescent="0.35">
      <c r="A1099" s="61">
        <v>45568</v>
      </c>
      <c r="B1099" s="49" t="s">
        <v>717</v>
      </c>
      <c r="C1099" s="49" t="s">
        <v>766</v>
      </c>
      <c r="D1099" s="50">
        <v>7850</v>
      </c>
      <c r="E1099" s="50">
        <v>2597</v>
      </c>
      <c r="F1099" s="51">
        <v>0.33079999999999998</v>
      </c>
      <c r="G1099" s="50">
        <v>6</v>
      </c>
      <c r="H1099" s="51">
        <v>2.3E-3</v>
      </c>
      <c r="I1099" s="51">
        <v>8.0000000000000004E-4</v>
      </c>
      <c r="J1099" s="52" t="s">
        <v>1055</v>
      </c>
      <c r="K1099" s="109" t="s">
        <v>1056</v>
      </c>
    </row>
    <row r="1100" spans="1:11" x14ac:dyDescent="0.35">
      <c r="A1100" s="61">
        <v>45568</v>
      </c>
      <c r="B1100" s="49" t="s">
        <v>717</v>
      </c>
      <c r="C1100" s="49" t="s">
        <v>767</v>
      </c>
      <c r="D1100" s="50">
        <v>878</v>
      </c>
      <c r="E1100" s="50">
        <v>252</v>
      </c>
      <c r="F1100" s="51">
        <v>0.28699999999999998</v>
      </c>
      <c r="G1100" s="50">
        <v>2</v>
      </c>
      <c r="H1100" s="51">
        <v>7.9000000000000008E-3</v>
      </c>
      <c r="I1100" s="51">
        <v>3.3999999999999998E-3</v>
      </c>
      <c r="J1100" s="52" t="s">
        <v>1055</v>
      </c>
      <c r="K1100" s="109" t="s">
        <v>1056</v>
      </c>
    </row>
    <row r="1101" spans="1:11" x14ac:dyDescent="0.35">
      <c r="A1101" s="61">
        <v>45568</v>
      </c>
      <c r="B1101" s="49" t="s">
        <v>717</v>
      </c>
      <c r="C1101" s="49" t="s">
        <v>742</v>
      </c>
      <c r="D1101" s="50">
        <v>5384</v>
      </c>
      <c r="E1101" s="50">
        <v>1331</v>
      </c>
      <c r="F1101" s="51">
        <v>0.24721396731055001</v>
      </c>
      <c r="G1101" s="50">
        <v>7</v>
      </c>
      <c r="H1101" s="51">
        <v>5.2592036063110401E-3</v>
      </c>
      <c r="I1101" s="51">
        <v>1.3001485884101E-3</v>
      </c>
      <c r="J1101" s="52" t="s">
        <v>1055</v>
      </c>
      <c r="K1101" s="109" t="s">
        <v>1056</v>
      </c>
    </row>
    <row r="1102" spans="1:11" x14ac:dyDescent="0.35">
      <c r="A1102" s="61">
        <v>45568</v>
      </c>
      <c r="B1102" s="49" t="s">
        <v>768</v>
      </c>
      <c r="C1102" s="49" t="s">
        <v>543</v>
      </c>
      <c r="D1102" s="50">
        <v>824177</v>
      </c>
      <c r="E1102" s="50">
        <v>273092</v>
      </c>
      <c r="F1102" s="60">
        <v>0.33139999999999997</v>
      </c>
      <c r="G1102" s="50">
        <v>1121</v>
      </c>
      <c r="H1102" s="60">
        <v>4.1000000000000003E-3</v>
      </c>
      <c r="I1102" s="60">
        <v>1.4E-3</v>
      </c>
      <c r="J1102" s="52" t="s">
        <v>1055</v>
      </c>
      <c r="K1102" s="109" t="s">
        <v>1056</v>
      </c>
    </row>
    <row r="1103" spans="1:11" x14ac:dyDescent="0.35">
      <c r="A1103" s="61">
        <v>45568</v>
      </c>
      <c r="B1103" s="49" t="s">
        <v>769</v>
      </c>
      <c r="C1103" s="49" t="s">
        <v>545</v>
      </c>
      <c r="D1103" s="50">
        <v>49651</v>
      </c>
      <c r="E1103" s="50">
        <v>14735</v>
      </c>
      <c r="F1103" s="60">
        <v>0.29680000000000001</v>
      </c>
      <c r="G1103" s="49">
        <v>57</v>
      </c>
      <c r="H1103" s="60">
        <v>3.8999999999999998E-3</v>
      </c>
      <c r="I1103" s="60">
        <v>1.1000000000000001E-3</v>
      </c>
      <c r="J1103" s="52" t="s">
        <v>1055</v>
      </c>
      <c r="K1103" s="109" t="s">
        <v>1056</v>
      </c>
    </row>
    <row r="1104" spans="1:11" x14ac:dyDescent="0.35">
      <c r="A1104" s="61">
        <v>45568</v>
      </c>
      <c r="B1104" s="49" t="s">
        <v>745</v>
      </c>
      <c r="C1104" s="49" t="s">
        <v>234</v>
      </c>
      <c r="D1104" s="50">
        <v>484297</v>
      </c>
      <c r="E1104" s="50">
        <v>161160</v>
      </c>
      <c r="F1104" s="51">
        <v>0.33279999999999998</v>
      </c>
      <c r="G1104" s="50">
        <v>431</v>
      </c>
      <c r="H1104" s="51">
        <v>2.7000000000000001E-3</v>
      </c>
      <c r="I1104" s="51">
        <v>1.1000000000000001E-3</v>
      </c>
      <c r="J1104" s="52" t="s">
        <v>1055</v>
      </c>
      <c r="K1104" s="109" t="s">
        <v>1056</v>
      </c>
    </row>
    <row r="1105" spans="1:11" x14ac:dyDescent="0.35">
      <c r="A1105" s="61">
        <v>45568</v>
      </c>
      <c r="B1105" s="49" t="s">
        <v>745</v>
      </c>
      <c r="C1105" s="49" t="s">
        <v>770</v>
      </c>
      <c r="D1105" s="50">
        <v>53885</v>
      </c>
      <c r="E1105" s="50">
        <v>17689</v>
      </c>
      <c r="F1105" s="51">
        <v>0.32829999999999998</v>
      </c>
      <c r="G1105" s="50">
        <v>45</v>
      </c>
      <c r="H1105" s="51">
        <v>2.5000000000000001E-3</v>
      </c>
      <c r="I1105" s="51">
        <v>1E-3</v>
      </c>
      <c r="J1105" s="52" t="s">
        <v>1055</v>
      </c>
      <c r="K1105" s="109" t="s">
        <v>1056</v>
      </c>
    </row>
    <row r="1106" spans="1:11" x14ac:dyDescent="0.35">
      <c r="A1106" s="61">
        <v>45568</v>
      </c>
      <c r="B1106" s="49" t="s">
        <v>745</v>
      </c>
      <c r="C1106" s="49" t="s">
        <v>771</v>
      </c>
      <c r="D1106" s="50">
        <v>170534</v>
      </c>
      <c r="E1106" s="50">
        <v>46667</v>
      </c>
      <c r="F1106" s="51">
        <v>0.27365217493285798</v>
      </c>
      <c r="G1106" s="50">
        <v>131</v>
      </c>
      <c r="H1106" s="51">
        <v>2.8071228062656701E-3</v>
      </c>
      <c r="I1106" s="51">
        <v>7.6817526123822795E-4</v>
      </c>
      <c r="J1106" s="52" t="s">
        <v>1055</v>
      </c>
      <c r="K1106" s="109" t="s">
        <v>1056</v>
      </c>
    </row>
    <row r="1107" spans="1:11" x14ac:dyDescent="0.35">
      <c r="A1107" s="61">
        <v>45568</v>
      </c>
      <c r="B1107" s="49" t="s">
        <v>746</v>
      </c>
      <c r="C1107" s="49" t="s">
        <v>235</v>
      </c>
      <c r="D1107" s="50">
        <v>21464</v>
      </c>
      <c r="E1107" s="50">
        <v>6665</v>
      </c>
      <c r="F1107" s="51">
        <v>0.3105</v>
      </c>
      <c r="G1107" s="50">
        <v>17</v>
      </c>
      <c r="H1107" s="51">
        <v>2.5999999999999999E-3</v>
      </c>
      <c r="I1107" s="51">
        <v>1E-3</v>
      </c>
      <c r="J1107" s="52" t="s">
        <v>1055</v>
      </c>
      <c r="K1107" s="109" t="s">
        <v>1056</v>
      </c>
    </row>
    <row r="1108" spans="1:11" x14ac:dyDescent="0.35">
      <c r="A1108" s="61">
        <v>45568</v>
      </c>
      <c r="B1108" s="49" t="s">
        <v>746</v>
      </c>
      <c r="C1108" s="49" t="s">
        <v>772</v>
      </c>
      <c r="D1108" s="50">
        <v>2412</v>
      </c>
      <c r="E1108" s="50">
        <v>689</v>
      </c>
      <c r="F1108" s="51">
        <v>0.28570000000000001</v>
      </c>
      <c r="G1108" s="50">
        <v>5</v>
      </c>
      <c r="H1108" s="51">
        <v>7.3000000000000001E-3</v>
      </c>
      <c r="I1108" s="51">
        <v>3.7000000000000002E-3</v>
      </c>
      <c r="J1108" s="52" t="s">
        <v>1055</v>
      </c>
      <c r="K1108" s="109" t="s">
        <v>1056</v>
      </c>
    </row>
    <row r="1109" spans="1:11" x14ac:dyDescent="0.35">
      <c r="A1109" s="61">
        <v>45568</v>
      </c>
      <c r="B1109" s="49" t="s">
        <v>746</v>
      </c>
      <c r="C1109" s="49" t="s">
        <v>773</v>
      </c>
      <c r="D1109" s="50">
        <v>7141</v>
      </c>
      <c r="E1109" s="50">
        <v>1711</v>
      </c>
      <c r="F1109" s="51">
        <v>0.23960229659711499</v>
      </c>
      <c r="G1109" s="50">
        <v>8</v>
      </c>
      <c r="H1109" s="51">
        <v>4.6756282875511403E-3</v>
      </c>
      <c r="I1109" s="51">
        <v>1.1202912757316899E-3</v>
      </c>
      <c r="J1109" s="52" t="s">
        <v>1055</v>
      </c>
      <c r="K1109" s="109" t="s">
        <v>1056</v>
      </c>
    </row>
    <row r="1110" spans="1:11" x14ac:dyDescent="0.35">
      <c r="A1110" s="61">
        <v>45569</v>
      </c>
      <c r="B1110" s="49" t="s">
        <v>775</v>
      </c>
      <c r="C1110" s="49" t="s">
        <v>10</v>
      </c>
      <c r="D1110" s="50">
        <v>4671946</v>
      </c>
      <c r="E1110" s="50">
        <v>1465332</v>
      </c>
      <c r="F1110" s="51">
        <v>0.313644892299697</v>
      </c>
      <c r="G1110" s="50">
        <v>14349</v>
      </c>
      <c r="H1110" s="51">
        <v>9.7923201022020907E-3</v>
      </c>
      <c r="I1110" s="51">
        <v>3.0713111838193302E-3</v>
      </c>
      <c r="J1110" s="52" t="s">
        <v>1055</v>
      </c>
      <c r="K1110" s="109" t="s">
        <v>1056</v>
      </c>
    </row>
    <row r="1111" spans="1:11" x14ac:dyDescent="0.35">
      <c r="A1111" s="61">
        <v>45569</v>
      </c>
      <c r="B1111" s="49" t="s">
        <v>775</v>
      </c>
      <c r="C1111" s="49" t="s">
        <v>11</v>
      </c>
      <c r="D1111" s="50">
        <v>301899</v>
      </c>
      <c r="E1111" s="50">
        <v>85324</v>
      </c>
      <c r="F1111" s="51">
        <v>0.28262432137900401</v>
      </c>
      <c r="G1111" s="50">
        <v>1065</v>
      </c>
      <c r="H1111" s="51">
        <v>1.24818339505883E-2</v>
      </c>
      <c r="I1111" s="51">
        <v>3.5276698498504502E-3</v>
      </c>
      <c r="J1111" s="52" t="s">
        <v>1055</v>
      </c>
      <c r="K1111" s="109" t="s">
        <v>1056</v>
      </c>
    </row>
    <row r="1112" spans="1:11" x14ac:dyDescent="0.35">
      <c r="A1112" s="61">
        <v>45569</v>
      </c>
      <c r="B1112" s="49" t="s">
        <v>774</v>
      </c>
      <c r="C1112" s="49" t="s">
        <v>10</v>
      </c>
      <c r="D1112" s="50">
        <v>381421</v>
      </c>
      <c r="E1112" s="50">
        <v>136763</v>
      </c>
      <c r="F1112" s="51">
        <v>0.35856179916679998</v>
      </c>
      <c r="G1112" s="50">
        <v>3012</v>
      </c>
      <c r="H1112" s="51">
        <v>2.20235005081784E-2</v>
      </c>
      <c r="I1112" s="51">
        <v>7.8967859661633697E-3</v>
      </c>
      <c r="J1112" s="52" t="s">
        <v>1057</v>
      </c>
      <c r="K1112" s="109" t="s">
        <v>1054</v>
      </c>
    </row>
    <row r="1113" spans="1:11" x14ac:dyDescent="0.35">
      <c r="A1113" s="61">
        <v>45570</v>
      </c>
      <c r="B1113" s="49" t="s">
        <v>776</v>
      </c>
      <c r="C1113" s="49" t="s">
        <v>10</v>
      </c>
      <c r="D1113" s="50">
        <v>66358</v>
      </c>
      <c r="E1113" s="50">
        <v>27758</v>
      </c>
      <c r="F1113" s="51">
        <v>0.41830676030018998</v>
      </c>
      <c r="G1113" s="50">
        <v>1272</v>
      </c>
      <c r="H1113" s="51">
        <v>4.5824627134519798E-2</v>
      </c>
      <c r="I1113" s="51">
        <v>1.9168751318605098E-2</v>
      </c>
      <c r="J1113" s="52" t="s">
        <v>1055</v>
      </c>
      <c r="K1113" s="109" t="s">
        <v>1056</v>
      </c>
    </row>
    <row r="1114" spans="1:11" x14ac:dyDescent="0.35">
      <c r="A1114" s="61">
        <v>45570</v>
      </c>
      <c r="B1114" s="49" t="s">
        <v>776</v>
      </c>
      <c r="C1114" s="49" t="s">
        <v>11</v>
      </c>
      <c r="D1114" s="50">
        <v>7655</v>
      </c>
      <c r="E1114" s="50">
        <v>3531</v>
      </c>
      <c r="F1114" s="51">
        <v>0.46126714565643401</v>
      </c>
      <c r="G1114" s="50">
        <v>216</v>
      </c>
      <c r="H1114" s="51">
        <v>6.1172472387425701E-2</v>
      </c>
      <c r="I1114" s="51">
        <v>2.8216851730894801E-2</v>
      </c>
      <c r="J1114" s="52" t="s">
        <v>1055</v>
      </c>
      <c r="K1114" s="109" t="s">
        <v>1056</v>
      </c>
    </row>
    <row r="1115" spans="1:11" x14ac:dyDescent="0.35">
      <c r="A1115" s="61">
        <v>45572</v>
      </c>
      <c r="B1115" s="49" t="s">
        <v>777</v>
      </c>
      <c r="C1115" s="49" t="s">
        <v>10</v>
      </c>
      <c r="D1115" s="50">
        <v>55081</v>
      </c>
      <c r="E1115" s="50">
        <v>18301</v>
      </c>
      <c r="F1115" s="51">
        <v>0.332256131878506</v>
      </c>
      <c r="G1115" s="50">
        <v>164</v>
      </c>
      <c r="H1115" s="51">
        <v>8.9612589475984907E-3</v>
      </c>
      <c r="I1115" s="51">
        <v>2.9774332346907302E-3</v>
      </c>
      <c r="J1115" s="52" t="s">
        <v>1060</v>
      </c>
      <c r="K1115" s="109" t="s">
        <v>1054</v>
      </c>
    </row>
    <row r="1116" spans="1:11" x14ac:dyDescent="0.35">
      <c r="A1116" s="61">
        <v>45573</v>
      </c>
      <c r="B1116" s="49" t="s">
        <v>778</v>
      </c>
      <c r="C1116" s="49" t="s">
        <v>10</v>
      </c>
      <c r="D1116" s="50">
        <v>1361117</v>
      </c>
      <c r="E1116" s="50">
        <v>420726</v>
      </c>
      <c r="F1116" s="51">
        <v>0.30910347898086599</v>
      </c>
      <c r="G1116" s="50">
        <v>10288</v>
      </c>
      <c r="H1116" s="51">
        <v>2.4452969391005101E-2</v>
      </c>
      <c r="I1116" s="51">
        <v>7.5584979101723099E-3</v>
      </c>
      <c r="J1116" s="52" t="s">
        <v>1055</v>
      </c>
      <c r="K1116" s="109" t="s">
        <v>1056</v>
      </c>
    </row>
    <row r="1117" spans="1:11" x14ac:dyDescent="0.35">
      <c r="A1117" s="61">
        <v>45573</v>
      </c>
      <c r="B1117" s="49" t="s">
        <v>778</v>
      </c>
      <c r="C1117" s="49" t="s">
        <v>11</v>
      </c>
      <c r="D1117" s="50">
        <v>92390</v>
      </c>
      <c r="E1117" s="50">
        <v>27056</v>
      </c>
      <c r="F1117" s="51">
        <v>0.29284554605476798</v>
      </c>
      <c r="G1117" s="50">
        <v>891</v>
      </c>
      <c r="H1117" s="51">
        <v>3.2931697220579502E-2</v>
      </c>
      <c r="I1117" s="51">
        <v>9.6439008550708895E-3</v>
      </c>
      <c r="J1117" s="52" t="s">
        <v>1055</v>
      </c>
      <c r="K1117" s="109" t="s">
        <v>1056</v>
      </c>
    </row>
    <row r="1118" spans="1:11" x14ac:dyDescent="0.35">
      <c r="A1118" s="61">
        <v>45573</v>
      </c>
      <c r="B1118" s="49" t="s">
        <v>780</v>
      </c>
      <c r="C1118" s="49" t="s">
        <v>10</v>
      </c>
      <c r="D1118" s="50">
        <v>1029630</v>
      </c>
      <c r="E1118" s="50">
        <v>382557</v>
      </c>
      <c r="F1118" s="51">
        <v>0.37154803181725499</v>
      </c>
      <c r="G1118" s="50">
        <v>5553</v>
      </c>
      <c r="H1118" s="51">
        <v>1.4515483967095099E-2</v>
      </c>
      <c r="I1118" s="51">
        <v>5.3931994988490996E-3</v>
      </c>
      <c r="J1118" s="52" t="s">
        <v>1055</v>
      </c>
      <c r="K1118" s="109" t="s">
        <v>1056</v>
      </c>
    </row>
    <row r="1119" spans="1:11" x14ac:dyDescent="0.35">
      <c r="A1119" s="61">
        <v>45573</v>
      </c>
      <c r="B1119" s="49" t="s">
        <v>780</v>
      </c>
      <c r="C1119" s="49" t="s">
        <v>11</v>
      </c>
      <c r="D1119" s="50">
        <v>86535</v>
      </c>
      <c r="E1119" s="50">
        <v>32117</v>
      </c>
      <c r="F1119" s="51">
        <v>0.37114462356271999</v>
      </c>
      <c r="G1119" s="50">
        <v>559</v>
      </c>
      <c r="H1119" s="51">
        <v>1.74051125572127E-2</v>
      </c>
      <c r="I1119" s="51">
        <v>6.4598139481134801E-3</v>
      </c>
      <c r="J1119" s="52" t="s">
        <v>1055</v>
      </c>
      <c r="K1119" s="109" t="s">
        <v>1056</v>
      </c>
    </row>
    <row r="1120" spans="1:11" x14ac:dyDescent="0.35">
      <c r="A1120" s="61">
        <v>45573</v>
      </c>
      <c r="B1120" s="49" t="s">
        <v>779</v>
      </c>
      <c r="C1120" s="49" t="s">
        <v>10</v>
      </c>
      <c r="D1120" s="50">
        <v>250037</v>
      </c>
      <c r="E1120" s="50">
        <v>85130</v>
      </c>
      <c r="F1120" s="51">
        <v>0.34046961049764601</v>
      </c>
      <c r="G1120" s="50">
        <v>698</v>
      </c>
      <c r="H1120" s="51">
        <v>8.1992247151415499E-3</v>
      </c>
      <c r="I1120" s="51">
        <v>2.7915868451469199E-3</v>
      </c>
      <c r="J1120" s="52" t="s">
        <v>1060</v>
      </c>
      <c r="K1120" s="109" t="s">
        <v>1054</v>
      </c>
    </row>
    <row r="1121" spans="1:11" x14ac:dyDescent="0.35">
      <c r="A1121" s="61">
        <v>45574</v>
      </c>
      <c r="B1121" s="49" t="s">
        <v>782</v>
      </c>
      <c r="C1121" s="49" t="s">
        <v>10</v>
      </c>
      <c r="D1121" s="50">
        <v>838377</v>
      </c>
      <c r="E1121" s="50">
        <v>310209</v>
      </c>
      <c r="F1121" s="51">
        <v>0.37001134334553498</v>
      </c>
      <c r="G1121" s="50">
        <v>2838</v>
      </c>
      <c r="H1121" s="51">
        <v>9.14867073489164E-3</v>
      </c>
      <c r="I1121" s="51">
        <v>3.3851119484432399E-3</v>
      </c>
      <c r="J1121" s="52" t="s">
        <v>1055</v>
      </c>
      <c r="K1121" s="109" t="s">
        <v>1056</v>
      </c>
    </row>
    <row r="1122" spans="1:11" x14ac:dyDescent="0.35">
      <c r="A1122" s="61">
        <v>45574</v>
      </c>
      <c r="B1122" s="49" t="s">
        <v>782</v>
      </c>
      <c r="C1122" s="49" t="s">
        <v>11</v>
      </c>
      <c r="D1122" s="50">
        <v>52925</v>
      </c>
      <c r="E1122" s="50">
        <v>18470</v>
      </c>
      <c r="F1122" s="51">
        <v>0.34898441190363699</v>
      </c>
      <c r="G1122" s="50">
        <v>185</v>
      </c>
      <c r="H1122" s="51">
        <v>1.00162425554954E-2</v>
      </c>
      <c r="I1122" s="51">
        <v>3.49551251771375E-3</v>
      </c>
      <c r="J1122" s="52" t="s">
        <v>1055</v>
      </c>
      <c r="K1122" s="109" t="s">
        <v>1056</v>
      </c>
    </row>
    <row r="1123" spans="1:11" x14ac:dyDescent="0.35">
      <c r="A1123" s="61">
        <v>45574</v>
      </c>
      <c r="B1123" s="49" t="s">
        <v>781</v>
      </c>
      <c r="C1123" s="49" t="s">
        <v>10</v>
      </c>
      <c r="D1123" s="50">
        <v>55209</v>
      </c>
      <c r="E1123" s="50">
        <v>15579</v>
      </c>
      <c r="F1123" s="51">
        <v>0.28218225289354998</v>
      </c>
      <c r="G1123" s="50">
        <v>228</v>
      </c>
      <c r="H1123" s="51">
        <v>1.46350856922781E-2</v>
      </c>
      <c r="I1123" s="51">
        <v>4.1297614519371804E-3</v>
      </c>
      <c r="J1123" s="52" t="s">
        <v>1060</v>
      </c>
      <c r="K1123" s="109" t="s">
        <v>1054</v>
      </c>
    </row>
    <row r="1124" spans="1:11" x14ac:dyDescent="0.35">
      <c r="A1124" s="61">
        <v>45574</v>
      </c>
      <c r="B1124" s="49" t="s">
        <v>783</v>
      </c>
      <c r="C1124" s="49" t="s">
        <v>10</v>
      </c>
      <c r="D1124" s="50">
        <v>920632</v>
      </c>
      <c r="E1124" s="50">
        <v>337631</v>
      </c>
      <c r="F1124" s="51">
        <v>0.36673828413524601</v>
      </c>
      <c r="G1124" s="50">
        <v>4469</v>
      </c>
      <c r="H1124" s="51">
        <v>1.3236343819139801E-2</v>
      </c>
      <c r="I1124" s="51">
        <v>4.8542740204555101E-3</v>
      </c>
      <c r="J1124" s="52" t="s">
        <v>1055</v>
      </c>
      <c r="K1124" s="109" t="s">
        <v>1056</v>
      </c>
    </row>
    <row r="1125" spans="1:11" x14ac:dyDescent="0.35">
      <c r="A1125" s="61">
        <v>45574</v>
      </c>
      <c r="B1125" s="49" t="s">
        <v>783</v>
      </c>
      <c r="C1125" s="49" t="s">
        <v>11</v>
      </c>
      <c r="D1125" s="50">
        <v>45534</v>
      </c>
      <c r="E1125" s="50">
        <v>15582</v>
      </c>
      <c r="F1125" s="51">
        <v>0.34220582421926499</v>
      </c>
      <c r="G1125" s="50">
        <v>221</v>
      </c>
      <c r="H1125" s="51">
        <v>1.4183031703247299E-2</v>
      </c>
      <c r="I1125" s="51">
        <v>4.8535160539377202E-3</v>
      </c>
      <c r="J1125" s="52" t="s">
        <v>1055</v>
      </c>
      <c r="K1125" s="109" t="s">
        <v>1056</v>
      </c>
    </row>
    <row r="1126" spans="1:11" x14ac:dyDescent="0.35">
      <c r="A1126" s="61">
        <v>45574</v>
      </c>
      <c r="B1126" s="49" t="s">
        <v>784</v>
      </c>
      <c r="C1126" s="49" t="s">
        <v>10</v>
      </c>
      <c r="D1126" s="50">
        <v>1375443</v>
      </c>
      <c r="E1126" s="50">
        <v>490839</v>
      </c>
      <c r="F1126" s="51">
        <v>0.35685884475038199</v>
      </c>
      <c r="G1126" s="50">
        <v>3433</v>
      </c>
      <c r="H1126" s="51">
        <v>6.9941467568795501E-3</v>
      </c>
      <c r="I1126" s="51">
        <v>2.49592313167467E-3</v>
      </c>
      <c r="J1126" s="52" t="s">
        <v>1055</v>
      </c>
      <c r="K1126" s="109" t="s">
        <v>1056</v>
      </c>
    </row>
    <row r="1127" spans="1:11" x14ac:dyDescent="0.35">
      <c r="A1127" s="61">
        <v>45574</v>
      </c>
      <c r="B1127" s="49" t="s">
        <v>784</v>
      </c>
      <c r="C1127" s="49" t="s">
        <v>11</v>
      </c>
      <c r="D1127" s="50">
        <v>17295</v>
      </c>
      <c r="E1127" s="50">
        <v>6547</v>
      </c>
      <c r="F1127" s="51">
        <v>0.37854871350101199</v>
      </c>
      <c r="G1127" s="50">
        <v>76</v>
      </c>
      <c r="H1127" s="51">
        <v>1.16083702459142E-2</v>
      </c>
      <c r="I1127" s="51">
        <v>4.3943336224342303E-3</v>
      </c>
      <c r="J1127" s="52" t="s">
        <v>1055</v>
      </c>
      <c r="K1127" s="109" t="s">
        <v>1056</v>
      </c>
    </row>
    <row r="1128" spans="1:11" x14ac:dyDescent="0.35">
      <c r="A1128" s="61">
        <v>45574</v>
      </c>
      <c r="B1128" s="49" t="s">
        <v>785</v>
      </c>
      <c r="C1128" s="49" t="s">
        <v>10</v>
      </c>
      <c r="D1128" s="50">
        <v>213414</v>
      </c>
      <c r="E1128" s="50">
        <v>82284</v>
      </c>
      <c r="F1128" s="51">
        <v>0.38556045995108101</v>
      </c>
      <c r="G1128" s="50">
        <v>1034</v>
      </c>
      <c r="H1128" s="51">
        <v>1.25662340187643E-2</v>
      </c>
      <c r="I1128" s="51">
        <v>4.8450429681276804E-3</v>
      </c>
      <c r="J1128" s="52" t="s">
        <v>1055</v>
      </c>
      <c r="K1128" s="109" t="s">
        <v>1056</v>
      </c>
    </row>
    <row r="1129" spans="1:11" x14ac:dyDescent="0.35">
      <c r="A1129" s="61">
        <v>45574</v>
      </c>
      <c r="B1129" s="49" t="s">
        <v>785</v>
      </c>
      <c r="C1129" s="49" t="s">
        <v>11</v>
      </c>
      <c r="D1129" s="50">
        <v>10018</v>
      </c>
      <c r="E1129" s="50">
        <v>4003</v>
      </c>
      <c r="F1129" s="51">
        <v>0.399580754641645</v>
      </c>
      <c r="G1129" s="50">
        <v>43</v>
      </c>
      <c r="H1129" s="51">
        <v>1.07419435423432E-2</v>
      </c>
      <c r="I1129" s="51">
        <v>4.2922739069674604E-3</v>
      </c>
      <c r="J1129" s="52" t="s">
        <v>1055</v>
      </c>
      <c r="K1129" s="109" t="s">
        <v>1056</v>
      </c>
    </row>
    <row r="1130" spans="1:11" x14ac:dyDescent="0.35">
      <c r="A1130" s="61">
        <v>45575</v>
      </c>
      <c r="B1130" s="49" t="s">
        <v>786</v>
      </c>
      <c r="C1130" s="49" t="s">
        <v>543</v>
      </c>
      <c r="D1130" s="50">
        <v>672157</v>
      </c>
      <c r="E1130" s="50">
        <v>229660</v>
      </c>
      <c r="F1130" s="51">
        <v>0.34167612626216798</v>
      </c>
      <c r="G1130" s="50">
        <v>946</v>
      </c>
      <c r="H1130" s="51">
        <v>4.1191326308455999E-3</v>
      </c>
      <c r="I1130" s="51">
        <v>1.4074092808674199E-3</v>
      </c>
      <c r="J1130" s="52" t="s">
        <v>1055</v>
      </c>
      <c r="K1130" s="109" t="s">
        <v>1056</v>
      </c>
    </row>
    <row r="1131" spans="1:11" x14ac:dyDescent="0.35">
      <c r="A1131" s="61">
        <v>45575</v>
      </c>
      <c r="B1131" s="49" t="s">
        <v>787</v>
      </c>
      <c r="C1131" s="49" t="s">
        <v>545</v>
      </c>
      <c r="D1131" s="50">
        <v>2020</v>
      </c>
      <c r="E1131" s="50">
        <v>797</v>
      </c>
      <c r="F1131" s="51">
        <v>0.39455445544554502</v>
      </c>
      <c r="G1131" s="50">
        <v>5</v>
      </c>
      <c r="H1131" s="51">
        <v>6.2735257214554599E-3</v>
      </c>
      <c r="I1131" s="51">
        <v>2.47524752475248E-3</v>
      </c>
      <c r="J1131" s="52" t="s">
        <v>1055</v>
      </c>
      <c r="K1131" s="109" t="s">
        <v>1056</v>
      </c>
    </row>
    <row r="1132" spans="1:11" x14ac:dyDescent="0.35">
      <c r="A1132" s="61">
        <v>45575</v>
      </c>
      <c r="B1132" s="49" t="s">
        <v>768</v>
      </c>
      <c r="C1132" s="49" t="s">
        <v>771</v>
      </c>
      <c r="D1132" s="50">
        <v>136578</v>
      </c>
      <c r="E1132" s="50">
        <v>43358</v>
      </c>
      <c r="F1132" s="51">
        <v>0.31745962014380102</v>
      </c>
      <c r="G1132" s="50">
        <v>148</v>
      </c>
      <c r="H1132" s="51">
        <v>3.4134415794086401E-3</v>
      </c>
      <c r="I1132" s="51">
        <v>1.08362986718212E-3</v>
      </c>
      <c r="J1132" s="52" t="s">
        <v>1055</v>
      </c>
      <c r="K1132" s="109" t="s">
        <v>1056</v>
      </c>
    </row>
    <row r="1133" spans="1:11" x14ac:dyDescent="0.35">
      <c r="A1133" s="61">
        <v>45575</v>
      </c>
      <c r="B1133" s="49" t="s">
        <v>768</v>
      </c>
      <c r="C1133" s="49" t="s">
        <v>788</v>
      </c>
      <c r="D1133" s="50">
        <v>63461</v>
      </c>
      <c r="E1133" s="50">
        <v>21864</v>
      </c>
      <c r="F1133" s="51">
        <v>0.34452655961929401</v>
      </c>
      <c r="G1133" s="50">
        <v>84</v>
      </c>
      <c r="H1133" s="51">
        <v>3.84193194291987E-3</v>
      </c>
      <c r="I1133" s="51">
        <v>1.3236475945856501E-3</v>
      </c>
      <c r="J1133" s="52" t="s">
        <v>1055</v>
      </c>
      <c r="K1133" s="109" t="s">
        <v>1056</v>
      </c>
    </row>
    <row r="1134" spans="1:11" x14ac:dyDescent="0.35">
      <c r="A1134" s="61">
        <v>45575</v>
      </c>
      <c r="B1134" s="49" t="s">
        <v>768</v>
      </c>
      <c r="C1134" s="49" t="s">
        <v>234</v>
      </c>
      <c r="D1134" s="50">
        <v>569318</v>
      </c>
      <c r="E1134" s="50">
        <v>198307</v>
      </c>
      <c r="F1134" s="51">
        <v>0.34832378389581897</v>
      </c>
      <c r="G1134" s="50">
        <v>554</v>
      </c>
      <c r="H1134" s="51">
        <v>2.7936482322863001E-3</v>
      </c>
      <c r="I1134" s="51">
        <v>9.7309412314383202E-4</v>
      </c>
      <c r="J1134" s="52" t="s">
        <v>1055</v>
      </c>
      <c r="K1134" s="109" t="s">
        <v>1056</v>
      </c>
    </row>
    <row r="1135" spans="1:11" x14ac:dyDescent="0.35">
      <c r="A1135" s="61">
        <v>45575</v>
      </c>
      <c r="B1135" s="49" t="s">
        <v>769</v>
      </c>
      <c r="C1135" s="49" t="s">
        <v>773</v>
      </c>
      <c r="D1135" s="50">
        <v>11349</v>
      </c>
      <c r="E1135" s="50">
        <v>2937</v>
      </c>
      <c r="F1135" s="51">
        <v>0.25878932064499099</v>
      </c>
      <c r="G1135" s="50">
        <v>18</v>
      </c>
      <c r="H1135" s="51">
        <v>6.1287027579162399E-3</v>
      </c>
      <c r="I1135" s="51">
        <v>1.58604282315623E-3</v>
      </c>
      <c r="J1135" s="52" t="s">
        <v>1055</v>
      </c>
      <c r="K1135" s="109" t="s">
        <v>1056</v>
      </c>
    </row>
    <row r="1136" spans="1:11" x14ac:dyDescent="0.35">
      <c r="A1136" s="61">
        <v>45575</v>
      </c>
      <c r="B1136" s="49" t="s">
        <v>769</v>
      </c>
      <c r="C1136" s="49" t="s">
        <v>789</v>
      </c>
      <c r="D1136" s="50">
        <v>3557</v>
      </c>
      <c r="E1136" s="50">
        <v>1093</v>
      </c>
      <c r="F1136" s="51">
        <v>0.307281416924374</v>
      </c>
      <c r="G1136" s="50">
        <v>6</v>
      </c>
      <c r="H1136" s="51">
        <v>5.48947849954254E-3</v>
      </c>
      <c r="I1136" s="51">
        <v>1.6868147315153199E-3</v>
      </c>
      <c r="J1136" s="52" t="s">
        <v>1055</v>
      </c>
      <c r="K1136" s="109" t="s">
        <v>1056</v>
      </c>
    </row>
    <row r="1137" spans="1:11" x14ac:dyDescent="0.35">
      <c r="A1137" s="61">
        <v>45575</v>
      </c>
      <c r="B1137" s="49" t="s">
        <v>769</v>
      </c>
      <c r="C1137" s="49" t="s">
        <v>235</v>
      </c>
      <c r="D1137" s="50">
        <v>32088</v>
      </c>
      <c r="E1137" s="50">
        <v>10896</v>
      </c>
      <c r="F1137" s="51">
        <v>0.33979999999999999</v>
      </c>
      <c r="G1137" s="50">
        <v>22</v>
      </c>
      <c r="H1137" s="51">
        <v>2E-3</v>
      </c>
      <c r="I1137" s="51">
        <v>6.9999999999999999E-4</v>
      </c>
      <c r="J1137" s="52" t="s">
        <v>1055</v>
      </c>
      <c r="K1137" s="109" t="s">
        <v>1056</v>
      </c>
    </row>
    <row r="1138" spans="1:11" x14ac:dyDescent="0.35">
      <c r="A1138" s="61">
        <v>45575</v>
      </c>
      <c r="B1138" s="49" t="s">
        <v>745</v>
      </c>
      <c r="C1138" s="49" t="s">
        <v>741</v>
      </c>
      <c r="D1138" s="50">
        <v>169704</v>
      </c>
      <c r="E1138" s="50">
        <v>48919</v>
      </c>
      <c r="F1138" s="51">
        <v>0.28826073634092297</v>
      </c>
      <c r="G1138" s="50">
        <v>119</v>
      </c>
      <c r="H1138" s="51">
        <v>2.43259265316135E-3</v>
      </c>
      <c r="I1138" s="51">
        <v>7.0122094941781001E-4</v>
      </c>
      <c r="J1138" s="52" t="s">
        <v>1055</v>
      </c>
      <c r="K1138" s="109" t="s">
        <v>1056</v>
      </c>
    </row>
    <row r="1139" spans="1:11" x14ac:dyDescent="0.35">
      <c r="A1139" s="61">
        <v>45575</v>
      </c>
      <c r="B1139" s="49" t="s">
        <v>745</v>
      </c>
      <c r="C1139" s="49" t="s">
        <v>790</v>
      </c>
      <c r="D1139" s="50">
        <v>53018</v>
      </c>
      <c r="E1139" s="50">
        <v>17349</v>
      </c>
      <c r="F1139" s="51">
        <v>0.32722848843788899</v>
      </c>
      <c r="G1139" s="50">
        <v>58</v>
      </c>
      <c r="H1139" s="51">
        <v>3.3431321690011E-3</v>
      </c>
      <c r="I1139" s="51">
        <v>1.0939680863103101E-3</v>
      </c>
      <c r="J1139" s="52" t="s">
        <v>1055</v>
      </c>
      <c r="K1139" s="109" t="s">
        <v>1056</v>
      </c>
    </row>
    <row r="1140" spans="1:11" x14ac:dyDescent="0.35">
      <c r="A1140" s="61">
        <v>45575</v>
      </c>
      <c r="B1140" s="49" t="s">
        <v>745</v>
      </c>
      <c r="C1140" s="49" t="s">
        <v>791</v>
      </c>
      <c r="D1140" s="50">
        <v>480959</v>
      </c>
      <c r="E1140" s="50">
        <v>162239</v>
      </c>
      <c r="F1140" s="51">
        <v>0.33789999999999998</v>
      </c>
      <c r="G1140" s="50">
        <v>507</v>
      </c>
      <c r="H1140" s="51">
        <v>3.0999999999999999E-3</v>
      </c>
      <c r="I1140" s="51">
        <v>1.1000000000000001E-3</v>
      </c>
      <c r="J1140" s="52" t="s">
        <v>1055</v>
      </c>
      <c r="K1140" s="109" t="s">
        <v>1056</v>
      </c>
    </row>
    <row r="1141" spans="1:11" x14ac:dyDescent="0.35">
      <c r="A1141" s="61">
        <v>45575</v>
      </c>
      <c r="B1141" s="49" t="s">
        <v>746</v>
      </c>
      <c r="C1141" s="49" t="s">
        <v>742</v>
      </c>
      <c r="D1141" s="50">
        <v>7112</v>
      </c>
      <c r="E1141" s="50">
        <v>1767</v>
      </c>
      <c r="F1141" s="51">
        <v>0.24845331833520801</v>
      </c>
      <c r="G1141" s="50">
        <v>8</v>
      </c>
      <c r="H1141" s="51">
        <v>4.5274476513865302E-3</v>
      </c>
      <c r="I1141" s="51">
        <v>1.1248593925759301E-3</v>
      </c>
      <c r="J1141" s="52" t="s">
        <v>1055</v>
      </c>
      <c r="K1141" s="109" t="s">
        <v>1056</v>
      </c>
    </row>
    <row r="1142" spans="1:11" x14ac:dyDescent="0.35">
      <c r="A1142" s="61">
        <v>45575</v>
      </c>
      <c r="B1142" s="49" t="s">
        <v>746</v>
      </c>
      <c r="C1142" s="49" t="s">
        <v>792</v>
      </c>
      <c r="D1142" s="50">
        <v>2420</v>
      </c>
      <c r="E1142" s="50">
        <v>687</v>
      </c>
      <c r="F1142" s="51">
        <v>0.28388429752066102</v>
      </c>
      <c r="G1142" s="50">
        <v>5</v>
      </c>
      <c r="H1142" s="51">
        <v>7.2780203784570596E-3</v>
      </c>
      <c r="I1142" s="51">
        <v>2.0661157024793402E-3</v>
      </c>
      <c r="J1142" s="52" t="s">
        <v>1055</v>
      </c>
      <c r="K1142" s="109" t="s">
        <v>1056</v>
      </c>
    </row>
    <row r="1143" spans="1:11" x14ac:dyDescent="0.35">
      <c r="A1143" s="61">
        <v>45575</v>
      </c>
      <c r="B1143" s="49" t="s">
        <v>746</v>
      </c>
      <c r="C1143" s="49" t="s">
        <v>793</v>
      </c>
      <c r="D1143" s="50">
        <v>21291</v>
      </c>
      <c r="E1143" s="50">
        <v>6938</v>
      </c>
      <c r="F1143" s="51">
        <v>0.3261</v>
      </c>
      <c r="G1143" s="50">
        <v>26</v>
      </c>
      <c r="H1143" s="51">
        <v>3.7000000000000002E-3</v>
      </c>
      <c r="I1143" s="51">
        <v>1.1999999999999999E-3</v>
      </c>
      <c r="J1143" s="52" t="s">
        <v>1055</v>
      </c>
      <c r="K1143" s="109" t="s">
        <v>1056</v>
      </c>
    </row>
    <row r="1144" spans="1:11" x14ac:dyDescent="0.35">
      <c r="A1144" s="61">
        <v>45576</v>
      </c>
      <c r="B1144" s="49" t="s">
        <v>795</v>
      </c>
      <c r="C1144" s="49" t="s">
        <v>10</v>
      </c>
      <c r="D1144" s="50">
        <v>4339867</v>
      </c>
      <c r="E1144" s="50">
        <v>1381693</v>
      </c>
      <c r="F1144" s="51">
        <v>0.318372198963701</v>
      </c>
      <c r="G1144" s="50">
        <v>13840</v>
      </c>
      <c r="H1144" s="51">
        <v>1.00166969073448E-2</v>
      </c>
      <c r="I1144" s="51">
        <v>3.1890378207442799E-3</v>
      </c>
      <c r="J1144" s="52" t="s">
        <v>1055</v>
      </c>
      <c r="K1144" s="109" t="s">
        <v>1056</v>
      </c>
    </row>
    <row r="1145" spans="1:11" x14ac:dyDescent="0.35">
      <c r="A1145" s="61">
        <v>45576</v>
      </c>
      <c r="B1145" s="49" t="s">
        <v>795</v>
      </c>
      <c r="C1145" s="49" t="s">
        <v>11</v>
      </c>
      <c r="D1145" s="50">
        <v>285481</v>
      </c>
      <c r="E1145" s="50">
        <v>82014</v>
      </c>
      <c r="F1145" s="51">
        <v>0.28728356703248198</v>
      </c>
      <c r="G1145" s="50">
        <v>897</v>
      </c>
      <c r="H1145" s="51">
        <v>1.0937157070744E-2</v>
      </c>
      <c r="I1145" s="51">
        <v>3.14206549647787E-3</v>
      </c>
      <c r="J1145" s="52" t="s">
        <v>1055</v>
      </c>
      <c r="K1145" s="109" t="s">
        <v>1056</v>
      </c>
    </row>
    <row r="1146" spans="1:11" x14ac:dyDescent="0.35">
      <c r="A1146" s="61">
        <v>45576</v>
      </c>
      <c r="B1146" s="49" t="s">
        <v>794</v>
      </c>
      <c r="C1146" s="49" t="s">
        <v>10</v>
      </c>
      <c r="D1146" s="50">
        <v>379659</v>
      </c>
      <c r="E1146" s="50">
        <v>134105</v>
      </c>
      <c r="F1146" s="51">
        <v>0.35322486757853799</v>
      </c>
      <c r="G1146" s="50">
        <v>2802</v>
      </c>
      <c r="H1146" s="51">
        <v>2.08940755378248E-2</v>
      </c>
      <c r="I1146" s="51">
        <v>7.3803070650241397E-3</v>
      </c>
      <c r="J1146" s="52" t="s">
        <v>1057</v>
      </c>
      <c r="K1146" s="109" t="s">
        <v>1054</v>
      </c>
    </row>
    <row r="1147" spans="1:11" x14ac:dyDescent="0.35">
      <c r="A1147" s="61">
        <v>45576</v>
      </c>
      <c r="B1147" s="49" t="s">
        <v>794</v>
      </c>
      <c r="C1147" s="49" t="s">
        <v>11</v>
      </c>
      <c r="D1147" s="50">
        <v>21402</v>
      </c>
      <c r="E1147" s="50">
        <v>7237</v>
      </c>
      <c r="F1147" s="51">
        <v>0.33814596766657301</v>
      </c>
      <c r="G1147" s="50">
        <v>355</v>
      </c>
      <c r="H1147" s="51">
        <v>4.9053475196904797E-2</v>
      </c>
      <c r="I1147" s="51">
        <v>1.6587234837865599E-2</v>
      </c>
      <c r="J1147" s="52" t="s">
        <v>1057</v>
      </c>
      <c r="K1147" s="109" t="s">
        <v>1054</v>
      </c>
    </row>
    <row r="1148" spans="1:11" x14ac:dyDescent="0.35">
      <c r="A1148" s="61">
        <v>45576</v>
      </c>
      <c r="B1148" s="49" t="s">
        <v>799</v>
      </c>
      <c r="C1148" s="49" t="s">
        <v>10</v>
      </c>
      <c r="D1148" s="50">
        <v>423735</v>
      </c>
      <c r="E1148" s="50">
        <v>164383</v>
      </c>
      <c r="F1148" s="51">
        <v>0.38793821610204499</v>
      </c>
      <c r="G1148" s="50">
        <v>2249</v>
      </c>
      <c r="H1148" s="51">
        <v>1.36814634116667E-2</v>
      </c>
      <c r="I1148" s="51">
        <v>5.3075625095873602E-3</v>
      </c>
      <c r="J1148" s="52" t="s">
        <v>1055</v>
      </c>
      <c r="K1148" s="109" t="s">
        <v>1056</v>
      </c>
    </row>
    <row r="1149" spans="1:11" x14ac:dyDescent="0.35">
      <c r="A1149" s="61">
        <v>45576</v>
      </c>
      <c r="B1149" s="49" t="s">
        <v>799</v>
      </c>
      <c r="C1149" s="49" t="s">
        <v>11</v>
      </c>
      <c r="D1149" s="50">
        <v>20137</v>
      </c>
      <c r="E1149" s="50">
        <v>7397</v>
      </c>
      <c r="F1149" s="51">
        <v>0.36733376371852799</v>
      </c>
      <c r="G1149" s="50">
        <v>111</v>
      </c>
      <c r="H1149" s="51">
        <v>1.50060835473841E-2</v>
      </c>
      <c r="I1149" s="51">
        <v>5.5122411481352699E-3</v>
      </c>
      <c r="J1149" s="52" t="s">
        <v>1055</v>
      </c>
      <c r="K1149" s="109" t="s">
        <v>1056</v>
      </c>
    </row>
    <row r="1150" spans="1:11" x14ac:dyDescent="0.35">
      <c r="A1150" s="61">
        <v>45576</v>
      </c>
      <c r="B1150" s="49" t="s">
        <v>796</v>
      </c>
      <c r="C1150" s="49" t="s">
        <v>227</v>
      </c>
      <c r="D1150" s="50">
        <v>9296</v>
      </c>
      <c r="E1150" s="50">
        <v>1864</v>
      </c>
      <c r="F1150" s="51">
        <v>0.20051635111876101</v>
      </c>
      <c r="G1150" s="50">
        <v>185</v>
      </c>
      <c r="H1150" s="51">
        <v>9.9248927038626603E-2</v>
      </c>
      <c r="I1150" s="51">
        <v>1.99010327022375E-2</v>
      </c>
      <c r="J1150" s="52" t="s">
        <v>1061</v>
      </c>
      <c r="K1150" s="109" t="s">
        <v>1054</v>
      </c>
    </row>
    <row r="1151" spans="1:11" x14ac:dyDescent="0.35">
      <c r="A1151" s="61">
        <v>45576</v>
      </c>
      <c r="B1151" s="49" t="s">
        <v>797</v>
      </c>
      <c r="C1151" s="49" t="s">
        <v>798</v>
      </c>
      <c r="D1151" s="50">
        <v>764</v>
      </c>
      <c r="E1151" s="50">
        <v>179</v>
      </c>
      <c r="F1151" s="51">
        <v>0.234293193717277</v>
      </c>
      <c r="G1151" s="50">
        <v>15</v>
      </c>
      <c r="H1151" s="51">
        <v>8.3798882681564199E-2</v>
      </c>
      <c r="I1151" s="51">
        <v>1.96335078534031E-2</v>
      </c>
      <c r="J1151" s="52" t="s">
        <v>1061</v>
      </c>
      <c r="K1151" s="109" t="s">
        <v>1054</v>
      </c>
    </row>
    <row r="1152" spans="1:11" x14ac:dyDescent="0.35">
      <c r="A1152" s="61">
        <v>45576</v>
      </c>
      <c r="B1152" s="49" t="s">
        <v>800</v>
      </c>
      <c r="C1152" s="49" t="s">
        <v>10</v>
      </c>
      <c r="D1152" s="50">
        <v>588783</v>
      </c>
      <c r="E1152" s="50">
        <v>201464</v>
      </c>
      <c r="F1152" s="51">
        <v>0.34217020532182502</v>
      </c>
      <c r="G1152" s="50">
        <v>1936</v>
      </c>
      <c r="H1152" s="51">
        <v>9.6096573085017699E-3</v>
      </c>
      <c r="I1152" s="51">
        <v>3.28813841432242E-3</v>
      </c>
      <c r="J1152" s="52" t="s">
        <v>1055</v>
      </c>
      <c r="K1152" s="109" t="s">
        <v>1056</v>
      </c>
    </row>
    <row r="1153" spans="1:11" x14ac:dyDescent="0.35">
      <c r="A1153" s="61">
        <v>45576</v>
      </c>
      <c r="B1153" s="49" t="s">
        <v>800</v>
      </c>
      <c r="C1153" s="49" t="s">
        <v>11</v>
      </c>
      <c r="D1153" s="50">
        <v>31256</v>
      </c>
      <c r="E1153" s="50">
        <v>9753</v>
      </c>
      <c r="F1153" s="51">
        <v>0.31203608907089803</v>
      </c>
      <c r="G1153" s="50">
        <v>163</v>
      </c>
      <c r="H1153" s="51">
        <v>1.6712806316005299E-2</v>
      </c>
      <c r="I1153" s="51">
        <v>5.2149987202457096E-3</v>
      </c>
      <c r="J1153" s="52" t="s">
        <v>1055</v>
      </c>
      <c r="K1153" s="109" t="s">
        <v>1056</v>
      </c>
    </row>
    <row r="1154" spans="1:11" x14ac:dyDescent="0.35">
      <c r="A1154" s="61">
        <v>45577</v>
      </c>
      <c r="B1154" s="49" t="s">
        <v>801</v>
      </c>
      <c r="C1154" s="49" t="s">
        <v>10</v>
      </c>
      <c r="D1154" s="50">
        <v>1260499</v>
      </c>
      <c r="E1154" s="50">
        <v>376314</v>
      </c>
      <c r="F1154" s="51">
        <v>0.29854367199022003</v>
      </c>
      <c r="G1154" s="50">
        <v>3735</v>
      </c>
      <c r="H1154" s="51">
        <v>9.9252220220347898E-3</v>
      </c>
      <c r="I1154" s="51">
        <v>2.96311222777646E-3</v>
      </c>
      <c r="J1154" s="52" t="s">
        <v>1055</v>
      </c>
      <c r="K1154" s="109" t="s">
        <v>1056</v>
      </c>
    </row>
    <row r="1155" spans="1:11" x14ac:dyDescent="0.35">
      <c r="A1155" s="61">
        <v>45579</v>
      </c>
      <c r="B1155" s="49" t="s">
        <v>802</v>
      </c>
      <c r="C1155" s="49" t="s">
        <v>10</v>
      </c>
      <c r="D1155" s="50">
        <v>214537</v>
      </c>
      <c r="E1155" s="50">
        <v>92987</v>
      </c>
      <c r="F1155" s="51">
        <v>0.43343106317325197</v>
      </c>
      <c r="G1155" s="50">
        <v>1245</v>
      </c>
      <c r="H1155" s="51">
        <v>1.3388968350414599E-2</v>
      </c>
      <c r="I1155" s="51">
        <v>5.8031947869132102E-3</v>
      </c>
      <c r="J1155" s="52" t="s">
        <v>1055</v>
      </c>
      <c r="K1155" s="109" t="s">
        <v>1056</v>
      </c>
    </row>
    <row r="1156" spans="1:11" x14ac:dyDescent="0.35">
      <c r="A1156" s="61">
        <v>45579</v>
      </c>
      <c r="B1156" s="49" t="s">
        <v>802</v>
      </c>
      <c r="C1156" s="49" t="s">
        <v>11</v>
      </c>
      <c r="D1156" s="50">
        <v>12878</v>
      </c>
      <c r="E1156" s="50">
        <v>5799</v>
      </c>
      <c r="F1156" s="51">
        <v>0.45030284205622001</v>
      </c>
      <c r="G1156" s="50">
        <v>161</v>
      </c>
      <c r="H1156" s="51">
        <v>2.7763407484048999E-2</v>
      </c>
      <c r="I1156" s="51">
        <v>1.2501941295232201E-2</v>
      </c>
      <c r="J1156" s="52" t="s">
        <v>1055</v>
      </c>
      <c r="K1156" s="109" t="s">
        <v>1056</v>
      </c>
    </row>
    <row r="1157" spans="1:11" x14ac:dyDescent="0.35">
      <c r="A1157" s="61">
        <v>45580</v>
      </c>
      <c r="B1157" s="49" t="s">
        <v>803</v>
      </c>
      <c r="C1157" s="49" t="s">
        <v>10</v>
      </c>
      <c r="D1157" s="50">
        <v>1356756</v>
      </c>
      <c r="E1157" s="50">
        <v>403542</v>
      </c>
      <c r="F1157" s="51">
        <v>0.29743152047973298</v>
      </c>
      <c r="G1157" s="50">
        <v>8032</v>
      </c>
      <c r="H1157" s="51">
        <v>1.9903752273617101E-2</v>
      </c>
      <c r="I1157" s="51">
        <v>5.9200033019938701E-3</v>
      </c>
      <c r="J1157" s="52" t="s">
        <v>1055</v>
      </c>
      <c r="K1157" s="109" t="s">
        <v>1056</v>
      </c>
    </row>
    <row r="1158" spans="1:11" x14ac:dyDescent="0.35">
      <c r="A1158" s="61">
        <v>45580</v>
      </c>
      <c r="B1158" s="49" t="s">
        <v>803</v>
      </c>
      <c r="C1158" s="49" t="s">
        <v>11</v>
      </c>
      <c r="D1158" s="50">
        <v>92264</v>
      </c>
      <c r="E1158" s="50">
        <v>27469</v>
      </c>
      <c r="F1158" s="51">
        <v>0.29772175496401598</v>
      </c>
      <c r="G1158" s="50">
        <v>670</v>
      </c>
      <c r="H1158" s="51">
        <v>2.43911318213259E-2</v>
      </c>
      <c r="I1158" s="51">
        <v>7.2617705714038E-3</v>
      </c>
      <c r="J1158" s="52" t="s">
        <v>1055</v>
      </c>
      <c r="K1158" s="109" t="s">
        <v>1056</v>
      </c>
    </row>
    <row r="1159" spans="1:11" x14ac:dyDescent="0.35">
      <c r="A1159" s="61">
        <v>45580</v>
      </c>
      <c r="B1159" s="49" t="s">
        <v>804</v>
      </c>
      <c r="C1159" s="49" t="s">
        <v>10</v>
      </c>
      <c r="D1159" s="50">
        <v>601624</v>
      </c>
      <c r="E1159" s="50">
        <v>208920</v>
      </c>
      <c r="F1159" s="51">
        <v>0.34726008270946601</v>
      </c>
      <c r="G1159" s="50">
        <v>1946</v>
      </c>
      <c r="H1159" s="51">
        <v>9.31457017040015E-3</v>
      </c>
      <c r="I1159" s="51">
        <v>3.2345784077762898E-3</v>
      </c>
      <c r="J1159" s="52" t="s">
        <v>1060</v>
      </c>
      <c r="K1159" s="109" t="s">
        <v>1054</v>
      </c>
    </row>
    <row r="1160" spans="1:11" x14ac:dyDescent="0.35">
      <c r="A1160" s="61">
        <v>45580</v>
      </c>
      <c r="B1160" s="49" t="s">
        <v>805</v>
      </c>
      <c r="C1160" s="49" t="s">
        <v>10</v>
      </c>
      <c r="D1160" s="50">
        <v>206890</v>
      </c>
      <c r="E1160" s="50">
        <v>73203</v>
      </c>
      <c r="F1160" s="51">
        <v>0.35382570448064199</v>
      </c>
      <c r="G1160" s="50">
        <v>743</v>
      </c>
      <c r="H1160" s="51">
        <v>1.01498572462877E-2</v>
      </c>
      <c r="I1160" s="51">
        <v>3.5912803905457E-3</v>
      </c>
      <c r="J1160" s="52" t="s">
        <v>1060</v>
      </c>
      <c r="K1160" s="109" t="s">
        <v>1054</v>
      </c>
    </row>
    <row r="1161" spans="1:11" x14ac:dyDescent="0.35">
      <c r="A1161" s="61">
        <v>45581</v>
      </c>
      <c r="B1161" s="49" t="s">
        <v>806</v>
      </c>
      <c r="C1161" s="49" t="s">
        <v>74</v>
      </c>
      <c r="D1161" s="50">
        <v>75014</v>
      </c>
      <c r="E1161" s="50">
        <v>28473</v>
      </c>
      <c r="F1161" s="51">
        <v>0.37956914709254302</v>
      </c>
      <c r="G1161" s="50">
        <v>433</v>
      </c>
      <c r="H1161" s="51">
        <v>1.5207389456678299E-2</v>
      </c>
      <c r="I1161" s="51">
        <v>5.7722558455754903E-3</v>
      </c>
      <c r="J1161" s="52" t="s">
        <v>1055</v>
      </c>
      <c r="K1161" s="109" t="s">
        <v>1056</v>
      </c>
    </row>
    <row r="1162" spans="1:11" x14ac:dyDescent="0.35">
      <c r="A1162" s="61">
        <v>45581</v>
      </c>
      <c r="B1162" s="49" t="s">
        <v>806</v>
      </c>
      <c r="C1162" s="49" t="s">
        <v>72</v>
      </c>
      <c r="D1162" s="50">
        <v>272845</v>
      </c>
      <c r="E1162" s="50">
        <v>117001</v>
      </c>
      <c r="F1162" s="51">
        <v>0.42881855998827201</v>
      </c>
      <c r="G1162" s="50">
        <v>2607</v>
      </c>
      <c r="H1162" s="51">
        <v>2.22818608387962E-2</v>
      </c>
      <c r="I1162" s="51">
        <v>9.5548754787516694E-3</v>
      </c>
      <c r="J1162" s="52" t="s">
        <v>1055</v>
      </c>
      <c r="K1162" s="109" t="s">
        <v>1056</v>
      </c>
    </row>
    <row r="1163" spans="1:11" x14ac:dyDescent="0.35">
      <c r="A1163" s="61">
        <v>45581</v>
      </c>
      <c r="B1163" s="49" t="s">
        <v>806</v>
      </c>
      <c r="C1163" s="49" t="s">
        <v>75</v>
      </c>
      <c r="D1163" s="50">
        <v>3104</v>
      </c>
      <c r="E1163" s="50">
        <v>1126</v>
      </c>
      <c r="F1163" s="51">
        <v>0.36275773195876299</v>
      </c>
      <c r="G1163" s="50">
        <v>26</v>
      </c>
      <c r="H1163" s="51">
        <v>2.3090586145648299E-2</v>
      </c>
      <c r="I1163" s="51">
        <v>8.3762886597938107E-3</v>
      </c>
      <c r="J1163" s="52" t="s">
        <v>1055</v>
      </c>
      <c r="K1163" s="109" t="s">
        <v>1056</v>
      </c>
    </row>
    <row r="1164" spans="1:11" x14ac:dyDescent="0.35">
      <c r="A1164" s="61">
        <v>45581</v>
      </c>
      <c r="B1164" s="49" t="s">
        <v>806</v>
      </c>
      <c r="C1164" s="49" t="s">
        <v>73</v>
      </c>
      <c r="D1164" s="50">
        <v>13312</v>
      </c>
      <c r="E1164" s="50">
        <v>5879</v>
      </c>
      <c r="F1164" s="51">
        <v>0.44163161057692302</v>
      </c>
      <c r="G1164" s="50">
        <v>153</v>
      </c>
      <c r="H1164" s="51">
        <v>2.60248341554686E-2</v>
      </c>
      <c r="I1164" s="51">
        <v>1.14933894230769E-2</v>
      </c>
      <c r="J1164" s="52" t="s">
        <v>1055</v>
      </c>
      <c r="K1164" s="109" t="s">
        <v>1056</v>
      </c>
    </row>
    <row r="1165" spans="1:11" x14ac:dyDescent="0.35">
      <c r="A1165" s="61">
        <v>45581</v>
      </c>
      <c r="B1165" s="49" t="s">
        <v>809</v>
      </c>
      <c r="C1165" s="49" t="s">
        <v>10</v>
      </c>
      <c r="D1165" s="50">
        <v>103827</v>
      </c>
      <c r="E1165" s="50">
        <v>36447</v>
      </c>
      <c r="F1165" s="51">
        <v>0.351035857724869</v>
      </c>
      <c r="G1165" s="50">
        <v>478</v>
      </c>
      <c r="H1165" s="51">
        <v>1.3114934013773401E-2</v>
      </c>
      <c r="I1165" s="51">
        <v>4.6038121105300197E-3</v>
      </c>
      <c r="J1165" s="52" t="s">
        <v>1055</v>
      </c>
      <c r="K1165" s="109" t="s">
        <v>1056</v>
      </c>
    </row>
    <row r="1166" spans="1:11" x14ac:dyDescent="0.35">
      <c r="A1166" s="61">
        <v>45581</v>
      </c>
      <c r="B1166" s="49" t="s">
        <v>810</v>
      </c>
      <c r="C1166" s="49" t="s">
        <v>10</v>
      </c>
      <c r="D1166" s="50">
        <v>1371577</v>
      </c>
      <c r="E1166" s="50">
        <v>497466</v>
      </c>
      <c r="F1166" s="51">
        <v>0.36269637067404897</v>
      </c>
      <c r="G1166" s="50">
        <v>3701</v>
      </c>
      <c r="H1166" s="51">
        <v>7.4397044220107502E-3</v>
      </c>
      <c r="I1166" s="51">
        <v>2.69835379275097E-3</v>
      </c>
      <c r="J1166" s="52" t="s">
        <v>1055</v>
      </c>
      <c r="K1166" s="109" t="s">
        <v>1056</v>
      </c>
    </row>
    <row r="1167" spans="1:11" x14ac:dyDescent="0.35">
      <c r="A1167" s="61">
        <v>45581</v>
      </c>
      <c r="B1167" s="49" t="s">
        <v>807</v>
      </c>
      <c r="C1167" s="49" t="s">
        <v>10</v>
      </c>
      <c r="D1167" s="50">
        <v>1181</v>
      </c>
      <c r="E1167" s="50">
        <v>296</v>
      </c>
      <c r="F1167" s="51">
        <v>0.25063505503810302</v>
      </c>
      <c r="G1167" s="50">
        <v>50</v>
      </c>
      <c r="H1167" s="51">
        <v>0.168918918918919</v>
      </c>
      <c r="I1167" s="51">
        <v>4.23370025402202E-2</v>
      </c>
      <c r="J1167" s="52" t="s">
        <v>1061</v>
      </c>
      <c r="K1167" s="109" t="s">
        <v>1054</v>
      </c>
    </row>
    <row r="1168" spans="1:11" x14ac:dyDescent="0.35">
      <c r="A1168" s="61">
        <v>45581</v>
      </c>
      <c r="B1168" s="49" t="s">
        <v>808</v>
      </c>
      <c r="C1168" s="49" t="s">
        <v>11</v>
      </c>
      <c r="D1168" s="50">
        <v>126</v>
      </c>
      <c r="E1168" s="50">
        <v>34</v>
      </c>
      <c r="F1168" s="51">
        <v>0.26984126984126999</v>
      </c>
      <c r="G1168" s="50">
        <v>5</v>
      </c>
      <c r="H1168" s="51">
        <v>0.14705882352941199</v>
      </c>
      <c r="I1168" s="51">
        <v>3.9682539682539701E-2</v>
      </c>
      <c r="J1168" s="52" t="s">
        <v>1061</v>
      </c>
      <c r="K1168" s="109" t="s">
        <v>1054</v>
      </c>
    </row>
    <row r="1169" spans="1:11" x14ac:dyDescent="0.35">
      <c r="A1169" s="61">
        <v>45581</v>
      </c>
      <c r="B1169" s="49" t="s">
        <v>810</v>
      </c>
      <c r="C1169" s="49" t="s">
        <v>11</v>
      </c>
      <c r="D1169" s="50">
        <v>17249</v>
      </c>
      <c r="E1169" s="50">
        <v>6611</v>
      </c>
      <c r="F1169" s="51">
        <v>0.38326859528088603</v>
      </c>
      <c r="G1169" s="50">
        <v>72</v>
      </c>
      <c r="H1169" s="51">
        <v>1.08909393435184E-2</v>
      </c>
      <c r="I1169" s="51">
        <v>4.1741550234796199E-3</v>
      </c>
      <c r="J1169" s="52" t="s">
        <v>1055</v>
      </c>
      <c r="K1169" s="109" t="s">
        <v>1056</v>
      </c>
    </row>
    <row r="1170" spans="1:11" x14ac:dyDescent="0.35">
      <c r="A1170" s="61">
        <v>45582</v>
      </c>
      <c r="B1170" s="49" t="s">
        <v>786</v>
      </c>
      <c r="C1170" s="49" t="s">
        <v>811</v>
      </c>
      <c r="D1170" s="50">
        <v>337258</v>
      </c>
      <c r="E1170" s="50">
        <v>102586</v>
      </c>
      <c r="F1170" s="51">
        <v>0.30417662442403098</v>
      </c>
      <c r="G1170" s="50">
        <v>361</v>
      </c>
      <c r="H1170" s="51">
        <v>3.51899869377888E-3</v>
      </c>
      <c r="I1170" s="51">
        <v>1.07039714402624E-3</v>
      </c>
      <c r="J1170" s="52" t="s">
        <v>1055</v>
      </c>
      <c r="K1170" s="109" t="s">
        <v>1056</v>
      </c>
    </row>
    <row r="1171" spans="1:11" x14ac:dyDescent="0.35">
      <c r="A1171" s="61">
        <v>45582</v>
      </c>
      <c r="B1171" s="49" t="s">
        <v>786</v>
      </c>
      <c r="C1171" s="49" t="s">
        <v>812</v>
      </c>
      <c r="D1171" s="50">
        <v>66178</v>
      </c>
      <c r="E1171" s="50">
        <v>23417</v>
      </c>
      <c r="F1171" s="51">
        <v>0.35384871105201099</v>
      </c>
      <c r="G1171" s="50">
        <v>115</v>
      </c>
      <c r="H1171" s="51">
        <v>4.9109621215356397E-3</v>
      </c>
      <c r="I1171" s="51">
        <v>1.7377376167306399E-3</v>
      </c>
      <c r="J1171" s="52" t="s">
        <v>1055</v>
      </c>
      <c r="K1171" s="109" t="s">
        <v>1056</v>
      </c>
    </row>
    <row r="1172" spans="1:11" x14ac:dyDescent="0.35">
      <c r="A1172" s="61">
        <v>45582</v>
      </c>
      <c r="B1172" s="49" t="s">
        <v>786</v>
      </c>
      <c r="C1172" s="49" t="s">
        <v>813</v>
      </c>
      <c r="D1172" s="50">
        <v>596988</v>
      </c>
      <c r="E1172" s="50">
        <v>220882</v>
      </c>
      <c r="F1172" s="51">
        <v>0.3705</v>
      </c>
      <c r="G1172" s="50">
        <v>631</v>
      </c>
      <c r="H1172" s="51">
        <v>2.8999999999999998E-3</v>
      </c>
      <c r="I1172" s="51">
        <v>1.1000000000000001E-3</v>
      </c>
      <c r="J1172" s="52" t="s">
        <v>1055</v>
      </c>
      <c r="K1172" s="109" t="s">
        <v>1056</v>
      </c>
    </row>
    <row r="1173" spans="1:11" x14ac:dyDescent="0.35">
      <c r="A1173" s="61">
        <v>45582</v>
      </c>
      <c r="B1173" s="49" t="s">
        <v>787</v>
      </c>
      <c r="C1173" s="49" t="s">
        <v>813</v>
      </c>
      <c r="D1173" s="50">
        <v>33731</v>
      </c>
      <c r="E1173" s="50">
        <v>12564</v>
      </c>
      <c r="F1173" s="51">
        <v>0.3725</v>
      </c>
      <c r="G1173" s="50">
        <v>32</v>
      </c>
      <c r="H1173" s="51">
        <v>2.5000000000000001E-3</v>
      </c>
      <c r="I1173" s="51">
        <v>8.9999999999999998E-4</v>
      </c>
      <c r="J1173" s="52" t="s">
        <v>1055</v>
      </c>
      <c r="K1173" s="109" t="s">
        <v>1056</v>
      </c>
    </row>
    <row r="1174" spans="1:11" x14ac:dyDescent="0.35">
      <c r="A1174" s="61">
        <v>45582</v>
      </c>
      <c r="B1174" s="49" t="s">
        <v>787</v>
      </c>
      <c r="C1174" s="49" t="s">
        <v>811</v>
      </c>
      <c r="D1174" s="50">
        <v>21369</v>
      </c>
      <c r="E1174" s="50">
        <v>6128</v>
      </c>
      <c r="F1174" s="51">
        <v>0.28677055547756097</v>
      </c>
      <c r="G1174" s="50">
        <v>38</v>
      </c>
      <c r="H1174" s="51">
        <v>6.2010443864229797E-3</v>
      </c>
      <c r="I1174" s="51">
        <v>1.7782769432355299E-3</v>
      </c>
      <c r="J1174" s="52" t="s">
        <v>1055</v>
      </c>
      <c r="K1174" s="109" t="s">
        <v>1056</v>
      </c>
    </row>
    <row r="1175" spans="1:11" x14ac:dyDescent="0.35">
      <c r="A1175" s="61">
        <v>45582</v>
      </c>
      <c r="B1175" s="49" t="s">
        <v>787</v>
      </c>
      <c r="C1175" s="49" t="s">
        <v>812</v>
      </c>
      <c r="D1175" s="50">
        <v>3739</v>
      </c>
      <c r="E1175" s="50">
        <v>1259</v>
      </c>
      <c r="F1175" s="51">
        <v>0.33672104840866501</v>
      </c>
      <c r="G1175" s="50">
        <v>3</v>
      </c>
      <c r="H1175" s="51">
        <v>2.38284352660842E-3</v>
      </c>
      <c r="I1175" s="51">
        <v>8.0235357047338902E-4</v>
      </c>
      <c r="J1175" s="52" t="s">
        <v>1055</v>
      </c>
      <c r="K1175" s="109" t="s">
        <v>1056</v>
      </c>
    </row>
    <row r="1176" spans="1:11" x14ac:dyDescent="0.35">
      <c r="A1176" s="61">
        <v>45582</v>
      </c>
      <c r="B1176" s="49" t="s">
        <v>768</v>
      </c>
      <c r="C1176" s="49" t="s">
        <v>456</v>
      </c>
      <c r="D1176" s="50">
        <v>134700</v>
      </c>
      <c r="E1176" s="50">
        <v>43497</v>
      </c>
      <c r="F1176" s="51">
        <v>0.32291759465478798</v>
      </c>
      <c r="G1176" s="50">
        <v>170</v>
      </c>
      <c r="H1176" s="51">
        <v>3.9083155160125997E-3</v>
      </c>
      <c r="I1176" s="51">
        <v>1.2620638455827799E-3</v>
      </c>
      <c r="J1176" s="52" t="s">
        <v>1055</v>
      </c>
      <c r="K1176" s="109" t="s">
        <v>1056</v>
      </c>
    </row>
    <row r="1177" spans="1:11" x14ac:dyDescent="0.35">
      <c r="A1177" s="61">
        <v>45582</v>
      </c>
      <c r="B1177" s="49" t="s">
        <v>768</v>
      </c>
      <c r="C1177" s="49" t="s">
        <v>814</v>
      </c>
      <c r="D1177" s="50">
        <v>62300</v>
      </c>
      <c r="E1177" s="50">
        <v>22109</v>
      </c>
      <c r="F1177" s="51">
        <v>0.35487961476725499</v>
      </c>
      <c r="G1177" s="50">
        <v>86</v>
      </c>
      <c r="H1177" s="51">
        <v>3.88981862589896E-3</v>
      </c>
      <c r="I1177" s="51">
        <v>1.3804173354735199E-3</v>
      </c>
      <c r="J1177" s="52" t="s">
        <v>1055</v>
      </c>
      <c r="K1177" s="109" t="s">
        <v>1056</v>
      </c>
    </row>
    <row r="1178" spans="1:11" x14ac:dyDescent="0.35">
      <c r="A1178" s="61">
        <v>45582</v>
      </c>
      <c r="B1178" s="49" t="s">
        <v>768</v>
      </c>
      <c r="C1178" s="49" t="s">
        <v>455</v>
      </c>
      <c r="D1178" s="50">
        <v>559017</v>
      </c>
      <c r="E1178" s="50">
        <v>201263</v>
      </c>
      <c r="F1178" s="51">
        <v>0.36003019586166402</v>
      </c>
      <c r="G1178" s="50">
        <v>579</v>
      </c>
      <c r="H1178" s="51">
        <v>2.8768328008625501E-3</v>
      </c>
      <c r="I1178" s="51">
        <v>1.03574667675581E-3</v>
      </c>
      <c r="J1178" s="52" t="s">
        <v>1055</v>
      </c>
      <c r="K1178" s="109" t="s">
        <v>1056</v>
      </c>
    </row>
    <row r="1179" spans="1:11" x14ac:dyDescent="0.35">
      <c r="A1179" s="61">
        <v>45582</v>
      </c>
      <c r="B1179" s="49" t="s">
        <v>769</v>
      </c>
      <c r="C1179" s="49" t="s">
        <v>456</v>
      </c>
      <c r="D1179" s="50">
        <v>11198</v>
      </c>
      <c r="E1179" s="50">
        <v>3004</v>
      </c>
      <c r="F1179" s="51">
        <v>0.26826218967672799</v>
      </c>
      <c r="G1179" s="50">
        <v>18</v>
      </c>
      <c r="H1179" s="51">
        <v>5.9920106524633801E-3</v>
      </c>
      <c r="I1179" s="51">
        <v>1.60742989819611E-3</v>
      </c>
      <c r="J1179" s="52" t="s">
        <v>1055</v>
      </c>
      <c r="K1179" s="109" t="s">
        <v>1056</v>
      </c>
    </row>
    <row r="1180" spans="1:11" x14ac:dyDescent="0.35">
      <c r="A1180" s="61">
        <v>45582</v>
      </c>
      <c r="B1180" s="49" t="s">
        <v>769</v>
      </c>
      <c r="C1180" s="49" t="s">
        <v>815</v>
      </c>
      <c r="D1180" s="50">
        <v>3506</v>
      </c>
      <c r="E1180" s="50">
        <v>1117</v>
      </c>
      <c r="F1180" s="51">
        <v>0.31859669138619501</v>
      </c>
      <c r="G1180" s="50">
        <v>3</v>
      </c>
      <c r="H1180" s="51">
        <v>2.6857654431513001E-3</v>
      </c>
      <c r="I1180" s="51">
        <v>8.5567598402738201E-4</v>
      </c>
      <c r="J1180" s="52" t="s">
        <v>1055</v>
      </c>
      <c r="K1180" s="109" t="s">
        <v>1056</v>
      </c>
    </row>
    <row r="1181" spans="1:11" x14ac:dyDescent="0.35">
      <c r="A1181" s="61">
        <v>45582</v>
      </c>
      <c r="B1181" s="49" t="s">
        <v>769</v>
      </c>
      <c r="C1181" s="49" t="s">
        <v>816</v>
      </c>
      <c r="D1181" s="50">
        <v>31422</v>
      </c>
      <c r="E1181" s="50">
        <v>11294</v>
      </c>
      <c r="F1181" s="51">
        <v>0.35959999999999998</v>
      </c>
      <c r="G1181" s="50">
        <v>30</v>
      </c>
      <c r="H1181" s="51">
        <v>2.7000000000000001E-3</v>
      </c>
      <c r="I1181" s="51">
        <v>1E-3</v>
      </c>
      <c r="J1181" s="52" t="s">
        <v>1055</v>
      </c>
      <c r="K1181" s="109" t="s">
        <v>1056</v>
      </c>
    </row>
    <row r="1182" spans="1:11" x14ac:dyDescent="0.35">
      <c r="A1182" s="61">
        <v>45582</v>
      </c>
      <c r="B1182" s="49" t="s">
        <v>817</v>
      </c>
      <c r="C1182" s="49" t="s">
        <v>818</v>
      </c>
      <c r="D1182" s="50">
        <v>1692</v>
      </c>
      <c r="E1182" s="50">
        <v>701</v>
      </c>
      <c r="F1182" s="51">
        <v>0.41430260047281298</v>
      </c>
      <c r="G1182" s="50">
        <v>87</v>
      </c>
      <c r="H1182" s="51">
        <v>0.12410841654778899</v>
      </c>
      <c r="I1182" s="51">
        <v>5.1418439716312103E-2</v>
      </c>
      <c r="J1182" s="52" t="s">
        <v>1058</v>
      </c>
      <c r="K1182" s="109" t="s">
        <v>1054</v>
      </c>
    </row>
    <row r="1183" spans="1:11" x14ac:dyDescent="0.35">
      <c r="A1183" s="61">
        <v>45582</v>
      </c>
      <c r="B1183" s="49" t="s">
        <v>817</v>
      </c>
      <c r="C1183" s="49" t="s">
        <v>819</v>
      </c>
      <c r="D1183" s="50">
        <v>43028</v>
      </c>
      <c r="E1183" s="50">
        <v>14179</v>
      </c>
      <c r="F1183" s="51">
        <v>0.32952960862694097</v>
      </c>
      <c r="G1183" s="50">
        <v>267</v>
      </c>
      <c r="H1183" s="51">
        <v>1.8830665068058399E-2</v>
      </c>
      <c r="I1183" s="51">
        <v>6.2052616900622904E-3</v>
      </c>
      <c r="J1183" s="52" t="s">
        <v>1058</v>
      </c>
      <c r="K1183" s="109" t="s">
        <v>1054</v>
      </c>
    </row>
    <row r="1184" spans="1:11" x14ac:dyDescent="0.35">
      <c r="A1184" s="61">
        <v>45583</v>
      </c>
      <c r="B1184" s="49" t="s">
        <v>821</v>
      </c>
      <c r="C1184" s="49" t="s">
        <v>10</v>
      </c>
      <c r="D1184" s="50">
        <v>4631688</v>
      </c>
      <c r="E1184" s="50">
        <v>1470275</v>
      </c>
      <c r="F1184" s="51">
        <v>0.31743826440813799</v>
      </c>
      <c r="G1184" s="50">
        <v>12460</v>
      </c>
      <c r="H1184" s="51">
        <v>8.4746050908843604E-3</v>
      </c>
      <c r="I1184" s="51">
        <v>2.6901639315947E-3</v>
      </c>
      <c r="J1184" s="109" t="s">
        <v>1055</v>
      </c>
      <c r="K1184" s="109" t="s">
        <v>1056</v>
      </c>
    </row>
    <row r="1185" spans="1:11" x14ac:dyDescent="0.35">
      <c r="A1185" s="61">
        <v>45583</v>
      </c>
      <c r="B1185" s="49" t="s">
        <v>821</v>
      </c>
      <c r="C1185" s="49" t="s">
        <v>11</v>
      </c>
      <c r="D1185" s="50">
        <v>299625</v>
      </c>
      <c r="E1185" s="50">
        <v>85612</v>
      </c>
      <c r="F1185" s="51">
        <v>0.28573049645390097</v>
      </c>
      <c r="G1185" s="50">
        <v>818</v>
      </c>
      <c r="H1185" s="51">
        <v>9.5547353174788591E-3</v>
      </c>
      <c r="I1185" s="51">
        <v>2.7300792657488498E-3</v>
      </c>
      <c r="J1185" s="109" t="s">
        <v>1055</v>
      </c>
      <c r="K1185" s="109" t="s">
        <v>1056</v>
      </c>
    </row>
    <row r="1186" spans="1:11" x14ac:dyDescent="0.35">
      <c r="A1186" s="61">
        <v>45583</v>
      </c>
      <c r="B1186" s="49" t="s">
        <v>820</v>
      </c>
      <c r="C1186" s="49" t="s">
        <v>10</v>
      </c>
      <c r="D1186" s="50">
        <v>379226</v>
      </c>
      <c r="E1186" s="50">
        <v>132964</v>
      </c>
      <c r="F1186" s="51">
        <v>0.35061941955456599</v>
      </c>
      <c r="G1186" s="50">
        <v>2598</v>
      </c>
      <c r="H1186" s="51">
        <v>1.95391233717397E-2</v>
      </c>
      <c r="I1186" s="51">
        <v>6.85079609520444E-3</v>
      </c>
      <c r="J1186" s="109" t="s">
        <v>1057</v>
      </c>
      <c r="K1186" s="109" t="s">
        <v>1054</v>
      </c>
    </row>
    <row r="1187" spans="1:11" x14ac:dyDescent="0.35">
      <c r="A1187" s="61">
        <v>45583</v>
      </c>
      <c r="B1187" s="49" t="s">
        <v>823</v>
      </c>
      <c r="C1187" s="49" t="s">
        <v>74</v>
      </c>
      <c r="D1187" s="50">
        <v>15139</v>
      </c>
      <c r="E1187" s="50">
        <v>5270</v>
      </c>
      <c r="F1187" s="51">
        <v>0.34810753682541801</v>
      </c>
      <c r="G1187" s="50">
        <v>48</v>
      </c>
      <c r="H1187" s="51">
        <v>9.1081593927893698E-3</v>
      </c>
      <c r="I1187" s="51">
        <v>3.1706189312371998E-3</v>
      </c>
      <c r="J1187" s="109" t="s">
        <v>1055</v>
      </c>
      <c r="K1187" s="109" t="s">
        <v>1056</v>
      </c>
    </row>
    <row r="1188" spans="1:11" x14ac:dyDescent="0.35">
      <c r="A1188" s="61">
        <v>45583</v>
      </c>
      <c r="B1188" s="49" t="s">
        <v>823</v>
      </c>
      <c r="C1188" s="49" t="s">
        <v>72</v>
      </c>
      <c r="D1188" s="50">
        <v>292038</v>
      </c>
      <c r="E1188" s="50">
        <v>101814</v>
      </c>
      <c r="F1188" s="51">
        <v>0.34863271218129099</v>
      </c>
      <c r="G1188" s="50">
        <v>631</v>
      </c>
      <c r="H1188" s="51">
        <v>6.1975759718702703E-3</v>
      </c>
      <c r="I1188" s="51">
        <v>2.16067772002274E-3</v>
      </c>
      <c r="J1188" s="109" t="s">
        <v>1055</v>
      </c>
      <c r="K1188" s="109" t="s">
        <v>1056</v>
      </c>
    </row>
    <row r="1189" spans="1:11" x14ac:dyDescent="0.35">
      <c r="A1189" s="61">
        <v>45583</v>
      </c>
      <c r="B1189" s="49" t="s">
        <v>822</v>
      </c>
      <c r="C1189" s="49" t="s">
        <v>10</v>
      </c>
      <c r="D1189" s="50">
        <v>252706</v>
      </c>
      <c r="E1189" s="50">
        <v>92622</v>
      </c>
      <c r="F1189" s="51">
        <v>0.36652077908716102</v>
      </c>
      <c r="G1189" s="50">
        <v>1133</v>
      </c>
      <c r="H1189" s="51">
        <v>1.2232514953250799E-2</v>
      </c>
      <c r="I1189" s="51">
        <v>4.4834709108608397E-3</v>
      </c>
      <c r="J1189" s="109" t="s">
        <v>1060</v>
      </c>
      <c r="K1189" s="109" t="s">
        <v>1054</v>
      </c>
    </row>
    <row r="1190" spans="1:11" x14ac:dyDescent="0.35">
      <c r="A1190" s="61">
        <v>45583</v>
      </c>
      <c r="B1190" s="49" t="s">
        <v>823</v>
      </c>
      <c r="C1190" s="49" t="s">
        <v>75</v>
      </c>
      <c r="D1190" s="50">
        <v>685</v>
      </c>
      <c r="E1190" s="50">
        <v>226</v>
      </c>
      <c r="F1190" s="51">
        <v>0.32992700729926999</v>
      </c>
      <c r="G1190" s="50">
        <v>3</v>
      </c>
      <c r="H1190" s="51">
        <v>1.3274336283185801E-2</v>
      </c>
      <c r="I1190" s="51">
        <v>4.3795620437956199E-3</v>
      </c>
      <c r="J1190" s="109" t="s">
        <v>1055</v>
      </c>
      <c r="K1190" s="109" t="s">
        <v>1056</v>
      </c>
    </row>
    <row r="1191" spans="1:11" x14ac:dyDescent="0.35">
      <c r="A1191" s="61">
        <v>45583</v>
      </c>
      <c r="B1191" s="49" t="s">
        <v>823</v>
      </c>
      <c r="C1191" s="49" t="s">
        <v>73</v>
      </c>
      <c r="D1191" s="50">
        <v>12939</v>
      </c>
      <c r="E1191" s="50">
        <v>4111</v>
      </c>
      <c r="F1191" s="51">
        <v>0.31772161681737399</v>
      </c>
      <c r="G1191" s="50">
        <v>38</v>
      </c>
      <c r="H1191" s="51">
        <v>9.2434930673802006E-3</v>
      </c>
      <c r="I1191" s="51">
        <v>2.93685756240822E-3</v>
      </c>
      <c r="J1191" s="109" t="s">
        <v>1055</v>
      </c>
      <c r="K1191" s="109" t="s">
        <v>1056</v>
      </c>
    </row>
    <row r="1192" spans="1:11" x14ac:dyDescent="0.35">
      <c r="A1192" s="61">
        <v>45583</v>
      </c>
      <c r="B1192" s="49" t="s">
        <v>827</v>
      </c>
      <c r="C1192" s="49" t="s">
        <v>828</v>
      </c>
      <c r="D1192" s="50">
        <v>16307</v>
      </c>
      <c r="E1192" s="50">
        <v>8624</v>
      </c>
      <c r="F1192" s="51">
        <v>0.52885263997056497</v>
      </c>
      <c r="G1192" s="50">
        <v>1541</v>
      </c>
      <c r="H1192" s="51">
        <v>0.178687384044527</v>
      </c>
      <c r="I1192" s="51">
        <v>9.4499294781382207E-2</v>
      </c>
      <c r="J1192" s="109" t="s">
        <v>1055</v>
      </c>
      <c r="K1192" s="109" t="s">
        <v>1056</v>
      </c>
    </row>
    <row r="1193" spans="1:11" x14ac:dyDescent="0.35">
      <c r="A1193" s="61">
        <v>45583</v>
      </c>
      <c r="B1193" s="49" t="s">
        <v>829</v>
      </c>
      <c r="C1193" s="49" t="s">
        <v>74</v>
      </c>
      <c r="D1193" s="50">
        <v>13686</v>
      </c>
      <c r="E1193" s="50">
        <v>5701</v>
      </c>
      <c r="F1193" s="51">
        <v>0.41655706561449701</v>
      </c>
      <c r="G1193" s="50">
        <v>71</v>
      </c>
      <c r="H1193" s="51">
        <v>1.2453955446412901E-2</v>
      </c>
      <c r="I1193" s="51">
        <v>5.1877831360514397E-3</v>
      </c>
      <c r="J1193" s="109" t="s">
        <v>1055</v>
      </c>
      <c r="K1193" s="109" t="s">
        <v>1056</v>
      </c>
    </row>
    <row r="1194" spans="1:11" x14ac:dyDescent="0.35">
      <c r="A1194" s="61">
        <v>45583</v>
      </c>
      <c r="B1194" s="49" t="s">
        <v>824</v>
      </c>
      <c r="C1194" s="49" t="s">
        <v>825</v>
      </c>
      <c r="D1194" s="50">
        <v>188925</v>
      </c>
      <c r="E1194" s="50">
        <v>73442</v>
      </c>
      <c r="F1194" s="51">
        <v>0.38873627100701302</v>
      </c>
      <c r="G1194" s="50">
        <v>1937</v>
      </c>
      <c r="H1194" s="51">
        <v>2.6374554069878299E-2</v>
      </c>
      <c r="I1194" s="51">
        <v>1.02527457985973E-2</v>
      </c>
      <c r="J1194" s="109" t="s">
        <v>1059</v>
      </c>
      <c r="K1194" s="109" t="s">
        <v>1056</v>
      </c>
    </row>
    <row r="1195" spans="1:11" x14ac:dyDescent="0.35">
      <c r="A1195" s="61">
        <v>45583</v>
      </c>
      <c r="B1195" s="49" t="s">
        <v>824</v>
      </c>
      <c r="C1195" s="49" t="s">
        <v>826</v>
      </c>
      <c r="D1195" s="50">
        <v>8683</v>
      </c>
      <c r="E1195" s="50">
        <v>3369</v>
      </c>
      <c r="F1195" s="51">
        <v>0.38799953932972497</v>
      </c>
      <c r="G1195" s="50">
        <v>201</v>
      </c>
      <c r="H1195" s="51">
        <v>5.9661620658949199E-2</v>
      </c>
      <c r="I1195" s="51">
        <v>2.3148681331337101E-2</v>
      </c>
      <c r="J1195" s="109" t="s">
        <v>1059</v>
      </c>
      <c r="K1195" s="109" t="s">
        <v>1056</v>
      </c>
    </row>
    <row r="1196" spans="1:11" x14ac:dyDescent="0.35">
      <c r="A1196" s="61">
        <v>45583</v>
      </c>
      <c r="B1196" s="49" t="s">
        <v>829</v>
      </c>
      <c r="C1196" s="49" t="s">
        <v>72</v>
      </c>
      <c r="D1196" s="50">
        <v>257757</v>
      </c>
      <c r="E1196" s="50">
        <v>104999</v>
      </c>
      <c r="F1196" s="51">
        <v>0.407356541238453</v>
      </c>
      <c r="G1196" s="50">
        <v>1193</v>
      </c>
      <c r="H1196" s="51">
        <v>1.13620129715521E-2</v>
      </c>
      <c r="I1196" s="51">
        <v>4.6283903055979103E-3</v>
      </c>
      <c r="J1196" s="109" t="s">
        <v>1055</v>
      </c>
      <c r="K1196" s="109" t="s">
        <v>1056</v>
      </c>
    </row>
    <row r="1197" spans="1:11" x14ac:dyDescent="0.35">
      <c r="A1197" s="61">
        <v>45583</v>
      </c>
      <c r="B1197" s="49" t="s">
        <v>829</v>
      </c>
      <c r="C1197" s="49" t="s">
        <v>75</v>
      </c>
      <c r="D1197" s="50">
        <v>979</v>
      </c>
      <c r="E1197" s="50">
        <v>399</v>
      </c>
      <c r="F1197" s="51">
        <v>0.40755873340143001</v>
      </c>
      <c r="G1197" s="50">
        <v>8</v>
      </c>
      <c r="H1197" s="51">
        <v>2.00501253132832E-2</v>
      </c>
      <c r="I1197" s="51">
        <v>8.1716036772216498E-3</v>
      </c>
      <c r="J1197" s="109" t="s">
        <v>1055</v>
      </c>
      <c r="K1197" s="109" t="s">
        <v>1056</v>
      </c>
    </row>
    <row r="1198" spans="1:11" x14ac:dyDescent="0.35">
      <c r="A1198" s="61">
        <v>45583</v>
      </c>
      <c r="B1198" s="49" t="s">
        <v>829</v>
      </c>
      <c r="C1198" s="49" t="s">
        <v>73</v>
      </c>
      <c r="D1198" s="50">
        <v>18752</v>
      </c>
      <c r="E1198" s="50">
        <v>7620</v>
      </c>
      <c r="F1198" s="51">
        <v>0.40635665529010201</v>
      </c>
      <c r="G1198" s="50">
        <v>114</v>
      </c>
      <c r="H1198" s="51">
        <v>1.4960629921259801E-2</v>
      </c>
      <c r="I1198" s="51">
        <v>6.0793515358361803E-3</v>
      </c>
      <c r="J1198" s="109" t="s">
        <v>1055</v>
      </c>
      <c r="K1198" s="109" t="s">
        <v>1056</v>
      </c>
    </row>
    <row r="1199" spans="1:11" x14ac:dyDescent="0.35">
      <c r="A1199" s="61">
        <v>45584</v>
      </c>
      <c r="B1199" s="49" t="s">
        <v>830</v>
      </c>
      <c r="C1199" s="49" t="s">
        <v>10</v>
      </c>
      <c r="D1199" s="50">
        <v>1244786</v>
      </c>
      <c r="E1199" s="50">
        <v>368666</v>
      </c>
      <c r="F1199" s="51">
        <v>0.29616817669864498</v>
      </c>
      <c r="G1199" s="50">
        <v>6992</v>
      </c>
      <c r="H1199" s="51">
        <v>1.8965676248962501E-2</v>
      </c>
      <c r="I1199" s="51">
        <v>5.6170297545120196E-3</v>
      </c>
      <c r="J1199" s="109" t="s">
        <v>1055</v>
      </c>
      <c r="K1199" s="109" t="s">
        <v>1056</v>
      </c>
    </row>
    <row r="1200" spans="1:11" x14ac:dyDescent="0.35">
      <c r="A1200" s="61">
        <v>45584</v>
      </c>
      <c r="B1200" s="49" t="s">
        <v>830</v>
      </c>
      <c r="C1200" s="49" t="s">
        <v>11</v>
      </c>
      <c r="D1200" s="50">
        <v>92222</v>
      </c>
      <c r="E1200" s="50">
        <v>27925</v>
      </c>
      <c r="F1200" s="51">
        <v>0.30280193446249298</v>
      </c>
      <c r="G1200" s="50">
        <v>542</v>
      </c>
      <c r="H1200" s="51">
        <v>1.94091316025067E-2</v>
      </c>
      <c r="I1200" s="51">
        <v>5.8771225954761296E-3</v>
      </c>
      <c r="J1200" s="109" t="s">
        <v>1055</v>
      </c>
      <c r="K1200" s="109" t="s">
        <v>1056</v>
      </c>
    </row>
    <row r="1201" spans="1:11" x14ac:dyDescent="0.35">
      <c r="A1201" s="61">
        <v>45584</v>
      </c>
      <c r="B1201" s="49" t="s">
        <v>831</v>
      </c>
      <c r="C1201" s="49" t="s">
        <v>10</v>
      </c>
      <c r="D1201" s="50">
        <v>54901</v>
      </c>
      <c r="E1201" s="50">
        <v>20399</v>
      </c>
      <c r="F1201" s="51">
        <v>0.37155971658075398</v>
      </c>
      <c r="G1201" s="50">
        <v>291</v>
      </c>
      <c r="H1201" s="51">
        <v>1.42654051669199E-2</v>
      </c>
      <c r="I1201" s="51">
        <v>5.30044990073041E-3</v>
      </c>
      <c r="J1201" s="109" t="s">
        <v>1060</v>
      </c>
      <c r="K1201" s="109" t="s">
        <v>1054</v>
      </c>
    </row>
    <row r="1202" spans="1:11" x14ac:dyDescent="0.35">
      <c r="A1202" s="61">
        <v>45587</v>
      </c>
      <c r="B1202" s="49" t="s">
        <v>832</v>
      </c>
      <c r="C1202" s="49" t="s">
        <v>10</v>
      </c>
      <c r="D1202" s="50">
        <v>1356639</v>
      </c>
      <c r="E1202" s="50">
        <v>401955</v>
      </c>
      <c r="F1202" s="51">
        <v>0.29628736900531399</v>
      </c>
      <c r="G1202" s="50">
        <v>8262</v>
      </c>
      <c r="H1202" s="51">
        <v>2.0554539687278401E-2</v>
      </c>
      <c r="I1202" s="51">
        <v>6.0900504850590299E-3</v>
      </c>
      <c r="J1202" s="109" t="s">
        <v>1055</v>
      </c>
      <c r="K1202" s="109" t="s">
        <v>1056</v>
      </c>
    </row>
    <row r="1203" spans="1:11" x14ac:dyDescent="0.35">
      <c r="A1203" s="61">
        <v>45587</v>
      </c>
      <c r="B1203" s="49" t="s">
        <v>832</v>
      </c>
      <c r="C1203" s="49" t="s">
        <v>11</v>
      </c>
      <c r="D1203" s="50">
        <v>92343</v>
      </c>
      <c r="E1203" s="50">
        <v>27517</v>
      </c>
      <c r="F1203" s="51">
        <v>0.29798685336192199</v>
      </c>
      <c r="G1203" s="50">
        <v>827</v>
      </c>
      <c r="H1203" s="51">
        <v>3.0054148344659699E-2</v>
      </c>
      <c r="I1203" s="51">
        <v>8.9557410956975607E-3</v>
      </c>
      <c r="J1203" s="109" t="s">
        <v>1055</v>
      </c>
      <c r="K1203" s="109" t="s">
        <v>1056</v>
      </c>
    </row>
    <row r="1204" spans="1:11" x14ac:dyDescent="0.35">
      <c r="A1204" s="61">
        <v>45588</v>
      </c>
      <c r="B1204" s="49" t="s">
        <v>833</v>
      </c>
      <c r="C1204" s="49" t="s">
        <v>834</v>
      </c>
      <c r="D1204" s="50">
        <v>45892</v>
      </c>
      <c r="E1204" s="50">
        <v>15712</v>
      </c>
      <c r="F1204" s="51">
        <v>0.34236904035561799</v>
      </c>
      <c r="G1204" s="50">
        <v>367</v>
      </c>
      <c r="H1204" s="51">
        <v>2.33579429735234E-2</v>
      </c>
      <c r="I1204" s="51">
        <v>7.9970365205264508E-3</v>
      </c>
      <c r="J1204" s="109" t="s">
        <v>1055</v>
      </c>
      <c r="K1204" s="109" t="s">
        <v>1056</v>
      </c>
    </row>
    <row r="1205" spans="1:11" x14ac:dyDescent="0.35">
      <c r="A1205" s="61">
        <v>45588</v>
      </c>
      <c r="B1205" s="49" t="s">
        <v>833</v>
      </c>
      <c r="C1205" s="49" t="s">
        <v>737</v>
      </c>
      <c r="D1205" s="50">
        <v>45759</v>
      </c>
      <c r="E1205" s="50">
        <v>16236</v>
      </c>
      <c r="F1205" s="51">
        <v>0.35481544614174299</v>
      </c>
      <c r="G1205" s="50">
        <v>319</v>
      </c>
      <c r="H1205" s="51">
        <v>1.96476964769648E-2</v>
      </c>
      <c r="I1205" s="51">
        <v>6.9713061911317997E-3</v>
      </c>
      <c r="J1205" s="109" t="s">
        <v>1055</v>
      </c>
      <c r="K1205" s="109" t="s">
        <v>1056</v>
      </c>
    </row>
    <row r="1206" spans="1:11" x14ac:dyDescent="0.35">
      <c r="A1206" s="61">
        <v>45588</v>
      </c>
      <c r="B1206" s="49" t="s">
        <v>835</v>
      </c>
      <c r="C1206" s="49" t="s">
        <v>10</v>
      </c>
      <c r="D1206" s="50">
        <v>2867604</v>
      </c>
      <c r="E1206" s="50">
        <v>979907</v>
      </c>
      <c r="F1206" s="51">
        <v>0.34171628997588199</v>
      </c>
      <c r="G1206" s="50">
        <v>7670</v>
      </c>
      <c r="H1206" s="51">
        <v>7.8272734045169608E-3</v>
      </c>
      <c r="I1206" s="51">
        <v>2.67470682841843E-3</v>
      </c>
      <c r="J1206" s="109" t="s">
        <v>1061</v>
      </c>
      <c r="K1206" s="109" t="s">
        <v>1054</v>
      </c>
    </row>
    <row r="1207" spans="1:11" x14ac:dyDescent="0.35">
      <c r="A1207" s="61">
        <v>45588</v>
      </c>
      <c r="B1207" s="49" t="s">
        <v>835</v>
      </c>
      <c r="C1207" s="49" t="s">
        <v>11</v>
      </c>
      <c r="D1207" s="50">
        <v>191083</v>
      </c>
      <c r="E1207" s="50">
        <v>62630</v>
      </c>
      <c r="F1207" s="51">
        <v>0.32776332797789398</v>
      </c>
      <c r="G1207" s="50">
        <v>789</v>
      </c>
      <c r="H1207" s="51">
        <v>1.25977965831071E-2</v>
      </c>
      <c r="I1207" s="51">
        <v>4.1290957332677401E-3</v>
      </c>
      <c r="J1207" s="109" t="s">
        <v>1061</v>
      </c>
      <c r="K1207" s="109" t="s">
        <v>1054</v>
      </c>
    </row>
    <row r="1208" spans="1:11" x14ac:dyDescent="0.35">
      <c r="A1208" s="61">
        <v>45588</v>
      </c>
      <c r="B1208" s="49" t="s">
        <v>836</v>
      </c>
      <c r="C1208" s="49" t="s">
        <v>10</v>
      </c>
      <c r="D1208" s="50">
        <v>50362</v>
      </c>
      <c r="E1208" s="50">
        <v>17089</v>
      </c>
      <c r="F1208" s="51">
        <v>0.339323299312974</v>
      </c>
      <c r="G1208" s="50">
        <v>154</v>
      </c>
      <c r="H1208" s="51">
        <v>9.0116449177833693E-3</v>
      </c>
      <c r="I1208" s="51">
        <v>3.0578610857392502E-3</v>
      </c>
      <c r="J1208" s="109" t="s">
        <v>1061</v>
      </c>
      <c r="K1208" s="109" t="s">
        <v>1054</v>
      </c>
    </row>
    <row r="1209" spans="1:11" x14ac:dyDescent="0.35">
      <c r="A1209" s="61">
        <v>45588</v>
      </c>
      <c r="B1209" s="49" t="s">
        <v>837</v>
      </c>
      <c r="C1209" s="49" t="s">
        <v>730</v>
      </c>
      <c r="D1209" s="50">
        <v>959</v>
      </c>
      <c r="E1209" s="50">
        <v>397</v>
      </c>
      <c r="F1209" s="51">
        <v>0.413972888425443</v>
      </c>
      <c r="G1209" s="50">
        <v>61</v>
      </c>
      <c r="H1209" s="51">
        <v>0.15365239294710301</v>
      </c>
      <c r="I1209" s="51">
        <v>6.3607924921793499E-2</v>
      </c>
      <c r="J1209" s="109" t="s">
        <v>1053</v>
      </c>
      <c r="K1209" s="109" t="s">
        <v>1054</v>
      </c>
    </row>
    <row r="1210" spans="1:11" x14ac:dyDescent="0.35">
      <c r="A1210" s="61">
        <v>45588</v>
      </c>
      <c r="B1210" s="49" t="s">
        <v>837</v>
      </c>
      <c r="C1210" s="49" t="s">
        <v>731</v>
      </c>
      <c r="D1210" s="50">
        <v>983</v>
      </c>
      <c r="E1210" s="50">
        <v>473</v>
      </c>
      <c r="F1210" s="51">
        <v>0.48118006103763999</v>
      </c>
      <c r="G1210" s="50">
        <v>104</v>
      </c>
      <c r="H1210" s="51">
        <v>0.21987315010570799</v>
      </c>
      <c r="I1210" s="51">
        <v>0.105798575788403</v>
      </c>
      <c r="J1210" s="109" t="s">
        <v>1053</v>
      </c>
      <c r="K1210" s="109" t="s">
        <v>1054</v>
      </c>
    </row>
    <row r="1211" spans="1:11" x14ac:dyDescent="0.35">
      <c r="A1211" s="61">
        <v>45589</v>
      </c>
      <c r="B1211" s="49" t="s">
        <v>786</v>
      </c>
      <c r="C1211" s="49" t="s">
        <v>456</v>
      </c>
      <c r="D1211" s="50">
        <v>333372</v>
      </c>
      <c r="E1211" s="50">
        <v>100479</v>
      </c>
      <c r="F1211" s="51">
        <v>0.301402037363666</v>
      </c>
      <c r="G1211" s="50">
        <v>344</v>
      </c>
      <c r="H1211" s="51">
        <v>3.4236009514425898E-3</v>
      </c>
      <c r="I1211" s="51">
        <v>1.0318803018849799E-3</v>
      </c>
      <c r="J1211" s="109" t="s">
        <v>1055</v>
      </c>
      <c r="K1211" s="109" t="s">
        <v>1056</v>
      </c>
    </row>
    <row r="1212" spans="1:11" x14ac:dyDescent="0.35">
      <c r="A1212" s="61">
        <v>45589</v>
      </c>
      <c r="B1212" s="49" t="s">
        <v>786</v>
      </c>
      <c r="C1212" s="49" t="s">
        <v>814</v>
      </c>
      <c r="D1212" s="50">
        <v>65796</v>
      </c>
      <c r="E1212" s="50">
        <v>23066</v>
      </c>
      <c r="F1212" s="51">
        <v>0.350568423612378</v>
      </c>
      <c r="G1212" s="50">
        <v>105</v>
      </c>
      <c r="H1212" s="51">
        <v>4.5521546865516299E-3</v>
      </c>
      <c r="I1212" s="51">
        <v>1.5958416925041E-3</v>
      </c>
      <c r="J1212" s="109" t="s">
        <v>1055</v>
      </c>
      <c r="K1212" s="109" t="s">
        <v>1056</v>
      </c>
    </row>
    <row r="1213" spans="1:11" x14ac:dyDescent="0.35">
      <c r="A1213" s="61">
        <v>45589</v>
      </c>
      <c r="B1213" s="49" t="s">
        <v>786</v>
      </c>
      <c r="C1213" s="49" t="s">
        <v>455</v>
      </c>
      <c r="D1213" s="50">
        <v>590995</v>
      </c>
      <c r="E1213" s="50">
        <v>217912</v>
      </c>
      <c r="F1213" s="51">
        <v>0.36899999999999999</v>
      </c>
      <c r="G1213" s="50">
        <v>744</v>
      </c>
      <c r="H1213" s="51">
        <v>3.3999999999999998E-3</v>
      </c>
      <c r="I1213" s="51">
        <v>1.2999999999999999E-3</v>
      </c>
      <c r="J1213" s="109" t="s">
        <v>1055</v>
      </c>
      <c r="K1213" s="109" t="s">
        <v>1056</v>
      </c>
    </row>
    <row r="1214" spans="1:11" x14ac:dyDescent="0.35">
      <c r="A1214" s="61">
        <v>45589</v>
      </c>
      <c r="B1214" s="49" t="s">
        <v>787</v>
      </c>
      <c r="C1214" s="49" t="s">
        <v>456</v>
      </c>
      <c r="D1214" s="50">
        <v>21137</v>
      </c>
      <c r="E1214" s="50">
        <v>5944</v>
      </c>
      <c r="F1214" s="51">
        <v>0.28121303874722098</v>
      </c>
      <c r="G1214" s="50">
        <v>39</v>
      </c>
      <c r="H1214" s="51">
        <v>6.5612382234185697E-3</v>
      </c>
      <c r="I1214" s="51">
        <v>1.8451057387519499E-3</v>
      </c>
      <c r="J1214" s="109" t="s">
        <v>1055</v>
      </c>
      <c r="K1214" s="109" t="s">
        <v>1056</v>
      </c>
    </row>
    <row r="1215" spans="1:11" x14ac:dyDescent="0.35">
      <c r="A1215" s="61">
        <v>45589</v>
      </c>
      <c r="B1215" s="49" t="s">
        <v>787</v>
      </c>
      <c r="C1215" s="49" t="s">
        <v>815</v>
      </c>
      <c r="D1215" s="50">
        <v>3740</v>
      </c>
      <c r="E1215" s="50">
        <v>1350</v>
      </c>
      <c r="F1215" s="51">
        <v>0.36096256684492001</v>
      </c>
      <c r="G1215" s="50">
        <v>11</v>
      </c>
      <c r="H1215" s="51">
        <v>8.1481481481481492E-3</v>
      </c>
      <c r="I1215" s="51">
        <v>2.94117647058824E-3</v>
      </c>
      <c r="J1215" s="109" t="s">
        <v>1055</v>
      </c>
      <c r="K1215" s="109" t="s">
        <v>1056</v>
      </c>
    </row>
    <row r="1216" spans="1:11" x14ac:dyDescent="0.35">
      <c r="A1216" s="61">
        <v>45589</v>
      </c>
      <c r="B1216" s="49" t="s">
        <v>787</v>
      </c>
      <c r="C1216" s="49" t="s">
        <v>816</v>
      </c>
      <c r="D1216" s="50">
        <v>33396</v>
      </c>
      <c r="E1216" s="50">
        <v>12709</v>
      </c>
      <c r="F1216" s="51">
        <v>0.36070000000000002</v>
      </c>
      <c r="G1216" s="50">
        <v>38</v>
      </c>
      <c r="H1216" s="51">
        <v>3.0000000000000001E-3</v>
      </c>
      <c r="I1216" s="51">
        <v>1.1000000000000001E-3</v>
      </c>
      <c r="J1216" s="109" t="s">
        <v>1055</v>
      </c>
      <c r="K1216" s="109" t="s">
        <v>1056</v>
      </c>
    </row>
    <row r="1217" spans="1:11" x14ac:dyDescent="0.35">
      <c r="A1217" s="61">
        <v>45589</v>
      </c>
      <c r="B1217" s="49" t="s">
        <v>840</v>
      </c>
      <c r="C1217" s="49" t="s">
        <v>841</v>
      </c>
      <c r="D1217" s="50">
        <v>1826982</v>
      </c>
      <c r="E1217" s="50">
        <v>651299</v>
      </c>
      <c r="F1217" s="51">
        <v>0.356489007554535</v>
      </c>
      <c r="G1217" s="50">
        <v>3366</v>
      </c>
      <c r="H1217" s="51">
        <v>5.16813322298975E-3</v>
      </c>
      <c r="I1217" s="51">
        <v>1.8423826835732399E-3</v>
      </c>
      <c r="J1217" s="109" t="s">
        <v>1055</v>
      </c>
      <c r="K1217" s="109" t="s">
        <v>1056</v>
      </c>
    </row>
    <row r="1218" spans="1:11" x14ac:dyDescent="0.35">
      <c r="A1218" s="61">
        <v>45589</v>
      </c>
      <c r="B1218" s="49" t="s">
        <v>840</v>
      </c>
      <c r="C1218" s="49" t="s">
        <v>842</v>
      </c>
      <c r="D1218" s="50">
        <v>294217</v>
      </c>
      <c r="E1218" s="50">
        <v>102210</v>
      </c>
      <c r="F1218" s="51">
        <v>0.34739664941182902</v>
      </c>
      <c r="G1218" s="50">
        <v>489</v>
      </c>
      <c r="H1218" s="51">
        <v>4.7842676841796297E-3</v>
      </c>
      <c r="I1218" s="51">
        <v>1.6620385633732901E-3</v>
      </c>
      <c r="J1218" s="109" t="s">
        <v>1055</v>
      </c>
      <c r="K1218" s="109" t="s">
        <v>1056</v>
      </c>
    </row>
    <row r="1219" spans="1:11" x14ac:dyDescent="0.35">
      <c r="A1219" s="61">
        <v>45589</v>
      </c>
      <c r="B1219" s="49" t="s">
        <v>838</v>
      </c>
      <c r="C1219" s="49" t="s">
        <v>10</v>
      </c>
      <c r="D1219" s="50">
        <v>277664</v>
      </c>
      <c r="E1219" s="50">
        <v>97468</v>
      </c>
      <c r="F1219" s="51">
        <v>0.35102858130690301</v>
      </c>
      <c r="G1219" s="50">
        <v>1129</v>
      </c>
      <c r="H1219" s="51">
        <v>1.1583288874297199E-2</v>
      </c>
      <c r="I1219" s="51">
        <v>4.0660654604125802E-3</v>
      </c>
      <c r="J1219" s="109" t="s">
        <v>1057</v>
      </c>
      <c r="K1219" s="109" t="s">
        <v>1054</v>
      </c>
    </row>
    <row r="1220" spans="1:11" x14ac:dyDescent="0.35">
      <c r="A1220" s="61">
        <v>45589</v>
      </c>
      <c r="B1220" s="49" t="s">
        <v>838</v>
      </c>
      <c r="C1220" s="49" t="s">
        <v>11</v>
      </c>
      <c r="D1220" s="50">
        <v>16502</v>
      </c>
      <c r="E1220" s="50">
        <v>5603</v>
      </c>
      <c r="F1220" s="51">
        <v>0.33953460186644002</v>
      </c>
      <c r="G1220" s="50">
        <v>106</v>
      </c>
      <c r="H1220" s="51">
        <v>1.89184365518472E-2</v>
      </c>
      <c r="I1220" s="51">
        <v>6.4234638225669598E-3</v>
      </c>
      <c r="J1220" s="109" t="s">
        <v>1057</v>
      </c>
      <c r="K1220" s="109" t="s">
        <v>1054</v>
      </c>
    </row>
    <row r="1221" spans="1:11" x14ac:dyDescent="0.35">
      <c r="A1221" s="61">
        <v>45589</v>
      </c>
      <c r="B1221" s="49" t="s">
        <v>839</v>
      </c>
      <c r="C1221" s="49" t="s">
        <v>10</v>
      </c>
      <c r="D1221" s="50">
        <v>252586</v>
      </c>
      <c r="E1221" s="50">
        <v>82783</v>
      </c>
      <c r="F1221" s="51">
        <v>0.32774183842334897</v>
      </c>
      <c r="G1221" s="50">
        <v>787</v>
      </c>
      <c r="H1221" s="51">
        <v>9.5067827935687299E-3</v>
      </c>
      <c r="I1221" s="51">
        <v>3.1157704702556798E-3</v>
      </c>
      <c r="J1221" s="109" t="s">
        <v>1061</v>
      </c>
      <c r="K1221" s="109" t="s">
        <v>1054</v>
      </c>
    </row>
    <row r="1222" spans="1:11" x14ac:dyDescent="0.35">
      <c r="A1222" s="61">
        <v>45589</v>
      </c>
      <c r="B1222" s="49" t="s">
        <v>840</v>
      </c>
      <c r="C1222" s="49" t="s">
        <v>843</v>
      </c>
      <c r="D1222" s="50">
        <v>158127</v>
      </c>
      <c r="E1222" s="50">
        <v>46777</v>
      </c>
      <c r="F1222" s="51">
        <v>0.29581918331467699</v>
      </c>
      <c r="G1222" s="50">
        <v>340</v>
      </c>
      <c r="H1222" s="51">
        <v>7.2685294054770496E-3</v>
      </c>
      <c r="I1222" s="51">
        <v>2.1501704326269402E-3</v>
      </c>
      <c r="J1222" s="109" t="s">
        <v>1055</v>
      </c>
      <c r="K1222" s="109" t="s">
        <v>1056</v>
      </c>
    </row>
    <row r="1223" spans="1:11" x14ac:dyDescent="0.35">
      <c r="A1223" s="61">
        <v>45589</v>
      </c>
      <c r="B1223" s="49" t="s">
        <v>844</v>
      </c>
      <c r="C1223" s="49" t="s">
        <v>10</v>
      </c>
      <c r="D1223" s="50">
        <v>141546</v>
      </c>
      <c r="E1223" s="50">
        <v>56204</v>
      </c>
      <c r="F1223" s="51">
        <v>0.39707232984330199</v>
      </c>
      <c r="G1223" s="50">
        <v>728</v>
      </c>
      <c r="H1223" s="51">
        <v>1.29528147462814E-2</v>
      </c>
      <c r="I1223" s="51">
        <v>5.1432043293346301E-3</v>
      </c>
      <c r="J1223" s="109" t="s">
        <v>1055</v>
      </c>
      <c r="K1223" s="109" t="s">
        <v>1056</v>
      </c>
    </row>
    <row r="1224" spans="1:11" x14ac:dyDescent="0.35">
      <c r="A1224" s="61">
        <v>45589</v>
      </c>
      <c r="B1224" s="49" t="s">
        <v>844</v>
      </c>
      <c r="C1224" s="49" t="s">
        <v>11</v>
      </c>
      <c r="D1224" s="50">
        <v>7251</v>
      </c>
      <c r="E1224" s="50">
        <v>2646</v>
      </c>
      <c r="F1224" s="51">
        <v>0.36491518411253598</v>
      </c>
      <c r="G1224" s="50">
        <v>35</v>
      </c>
      <c r="H1224" s="51">
        <v>1.3227513227513201E-2</v>
      </c>
      <c r="I1224" s="51">
        <v>4.8269204247689997E-3</v>
      </c>
      <c r="J1224" s="109" t="s">
        <v>1055</v>
      </c>
      <c r="K1224" s="109" t="s">
        <v>1056</v>
      </c>
    </row>
    <row r="1225" spans="1:11" x14ac:dyDescent="0.35">
      <c r="A1225" s="61">
        <v>45590</v>
      </c>
      <c r="B1225" s="49" t="s">
        <v>846</v>
      </c>
      <c r="C1225" s="49" t="s">
        <v>10</v>
      </c>
      <c r="D1225" s="50">
        <v>4613092</v>
      </c>
      <c r="E1225" s="50">
        <v>1469551</v>
      </c>
      <c r="F1225" s="51">
        <v>0.31856095651246502</v>
      </c>
      <c r="G1225" s="50">
        <v>17724</v>
      </c>
      <c r="H1225" s="51">
        <v>1.20608267423179E-2</v>
      </c>
      <c r="I1225" s="51">
        <v>3.8421085033638999E-3</v>
      </c>
      <c r="J1225" s="109" t="s">
        <v>1055</v>
      </c>
      <c r="K1225" s="109" t="s">
        <v>1056</v>
      </c>
    </row>
    <row r="1226" spans="1:11" x14ac:dyDescent="0.35">
      <c r="A1226" s="61">
        <v>45590</v>
      </c>
      <c r="B1226" s="49" t="s">
        <v>846</v>
      </c>
      <c r="C1226" s="49" t="s">
        <v>11</v>
      </c>
      <c r="D1226" s="50">
        <v>298631</v>
      </c>
      <c r="E1226" s="50">
        <v>87699</v>
      </c>
      <c r="F1226" s="51">
        <v>0.29367011462306303</v>
      </c>
      <c r="G1226" s="50">
        <v>1361</v>
      </c>
      <c r="H1226" s="51">
        <v>1.5518991094539299E-2</v>
      </c>
      <c r="I1226" s="51">
        <v>4.5574638935676499E-3</v>
      </c>
      <c r="J1226" s="109" t="s">
        <v>1055</v>
      </c>
      <c r="K1226" s="109" t="s">
        <v>1056</v>
      </c>
    </row>
    <row r="1227" spans="1:11" x14ac:dyDescent="0.35">
      <c r="A1227" s="61">
        <v>45590</v>
      </c>
      <c r="B1227" s="49" t="s">
        <v>845</v>
      </c>
      <c r="C1227" s="49" t="s">
        <v>10</v>
      </c>
      <c r="D1227" s="50">
        <v>376486</v>
      </c>
      <c r="E1227" s="50">
        <v>132632</v>
      </c>
      <c r="F1227" s="51">
        <v>0.35228932815562902</v>
      </c>
      <c r="G1227" s="50">
        <v>2441</v>
      </c>
      <c r="H1227" s="51">
        <v>1.8404306652994799E-2</v>
      </c>
      <c r="I1227" s="51">
        <v>6.4836408259536897E-3</v>
      </c>
      <c r="J1227" s="109" t="s">
        <v>1057</v>
      </c>
      <c r="K1227" s="109" t="s">
        <v>1054</v>
      </c>
    </row>
    <row r="1228" spans="1:11" x14ac:dyDescent="0.35">
      <c r="A1228" s="61">
        <v>45590</v>
      </c>
      <c r="B1228" s="49" t="s">
        <v>845</v>
      </c>
      <c r="C1228" s="49" t="s">
        <v>11</v>
      </c>
      <c r="D1228" s="50">
        <v>21298</v>
      </c>
      <c r="E1228" s="50">
        <v>7207</v>
      </c>
      <c r="F1228" s="51">
        <v>0.33838858108742598</v>
      </c>
      <c r="G1228" s="50">
        <v>192</v>
      </c>
      <c r="H1228" s="51">
        <v>2.6640765922020301E-2</v>
      </c>
      <c r="I1228" s="51">
        <v>9.0149309794346905E-3</v>
      </c>
      <c r="J1228" s="109" t="s">
        <v>1057</v>
      </c>
      <c r="K1228" s="109" t="s">
        <v>1054</v>
      </c>
    </row>
    <row r="1229" spans="1:11" x14ac:dyDescent="0.35">
      <c r="A1229" s="61">
        <v>45593</v>
      </c>
      <c r="B1229" s="49" t="s">
        <v>847</v>
      </c>
      <c r="C1229" s="49" t="s">
        <v>10</v>
      </c>
      <c r="D1229" s="50">
        <v>54333</v>
      </c>
      <c r="E1229" s="50">
        <v>18612</v>
      </c>
      <c r="F1229" s="51">
        <v>0.34255424879907198</v>
      </c>
      <c r="G1229" s="50">
        <v>300</v>
      </c>
      <c r="H1229" s="51">
        <v>1.6118633139909699E-2</v>
      </c>
      <c r="I1229" s="51">
        <v>5.5215062669096097E-3</v>
      </c>
      <c r="J1229" s="109" t="s">
        <v>1060</v>
      </c>
      <c r="K1229" s="109" t="s">
        <v>1054</v>
      </c>
    </row>
    <row r="1230" spans="1:11" x14ac:dyDescent="0.35">
      <c r="A1230" s="61">
        <v>45594</v>
      </c>
      <c r="B1230" s="49" t="s">
        <v>848</v>
      </c>
      <c r="C1230" s="49" t="s">
        <v>10</v>
      </c>
      <c r="D1230" s="50">
        <v>1349771</v>
      </c>
      <c r="E1230" s="50">
        <v>362723</v>
      </c>
      <c r="F1230" s="51">
        <v>0.26872928815332398</v>
      </c>
      <c r="G1230" s="50">
        <v>8561</v>
      </c>
      <c r="H1230" s="51">
        <v>2.3602032404893E-2</v>
      </c>
      <c r="I1230" s="51">
        <v>6.3425573671385699E-3</v>
      </c>
      <c r="J1230" s="109" t="s">
        <v>1055</v>
      </c>
      <c r="K1230" s="109" t="s">
        <v>1056</v>
      </c>
    </row>
    <row r="1231" spans="1:11" x14ac:dyDescent="0.35">
      <c r="A1231" s="61">
        <v>45594</v>
      </c>
      <c r="B1231" s="49" t="s">
        <v>848</v>
      </c>
      <c r="C1231" s="49" t="s">
        <v>11</v>
      </c>
      <c r="D1231" s="50">
        <v>92026</v>
      </c>
      <c r="E1231" s="50">
        <v>27083</v>
      </c>
      <c r="F1231" s="51">
        <v>0.29429726381674698</v>
      </c>
      <c r="G1231" s="50">
        <v>693</v>
      </c>
      <c r="H1231" s="51">
        <v>2.55880072370121E-2</v>
      </c>
      <c r="I1231" s="51">
        <v>7.5304805163758102E-3</v>
      </c>
      <c r="J1231" s="109" t="s">
        <v>1055</v>
      </c>
      <c r="K1231" s="109" t="s">
        <v>1056</v>
      </c>
    </row>
    <row r="1232" spans="1:11" x14ac:dyDescent="0.35">
      <c r="A1232" s="61">
        <v>45595</v>
      </c>
      <c r="B1232" s="49" t="s">
        <v>849</v>
      </c>
      <c r="C1232" s="49" t="s">
        <v>850</v>
      </c>
      <c r="D1232" s="50">
        <v>45332</v>
      </c>
      <c r="E1232" s="50">
        <v>19437</v>
      </c>
      <c r="F1232" s="51">
        <v>0.42876996382246502</v>
      </c>
      <c r="G1232" s="50">
        <v>369</v>
      </c>
      <c r="H1232" s="51">
        <v>1.8984411174563998E-2</v>
      </c>
      <c r="I1232" s="51">
        <v>8.1399452925085998E-3</v>
      </c>
      <c r="J1232" s="109" t="s">
        <v>1055</v>
      </c>
      <c r="K1232" s="109" t="s">
        <v>1056</v>
      </c>
    </row>
    <row r="1233" spans="1:11" x14ac:dyDescent="0.35">
      <c r="A1233" s="61">
        <v>45595</v>
      </c>
      <c r="B1233" s="49" t="s">
        <v>849</v>
      </c>
      <c r="C1233" s="49" t="s">
        <v>763</v>
      </c>
      <c r="D1233" s="50">
        <v>45215</v>
      </c>
      <c r="E1233" s="50">
        <v>20182</v>
      </c>
      <c r="F1233" s="51">
        <v>0.44635629768882001</v>
      </c>
      <c r="G1233" s="50">
        <v>334</v>
      </c>
      <c r="H1233" s="51">
        <v>1.6549400455851699E-2</v>
      </c>
      <c r="I1233" s="51">
        <v>7.3869291164436598E-3</v>
      </c>
      <c r="J1233" s="109" t="s">
        <v>1055</v>
      </c>
      <c r="K1233" s="109" t="s">
        <v>1056</v>
      </c>
    </row>
    <row r="1234" spans="1:11" x14ac:dyDescent="0.35">
      <c r="A1234" s="61">
        <v>45595</v>
      </c>
      <c r="B1234" s="49" t="s">
        <v>851</v>
      </c>
      <c r="C1234" s="49" t="s">
        <v>10</v>
      </c>
      <c r="D1234" s="50">
        <v>675150</v>
      </c>
      <c r="E1234" s="50">
        <v>240726</v>
      </c>
      <c r="F1234" s="51">
        <v>0.35655187736058702</v>
      </c>
      <c r="G1234" s="50">
        <v>2370</v>
      </c>
      <c r="H1234" s="51">
        <v>9.8452182148999305E-3</v>
      </c>
      <c r="I1234" s="51">
        <v>3.5103310375472099E-3</v>
      </c>
      <c r="J1234" s="109" t="s">
        <v>1055</v>
      </c>
      <c r="K1234" s="109" t="s">
        <v>1056</v>
      </c>
    </row>
    <row r="1235" spans="1:11" x14ac:dyDescent="0.35">
      <c r="A1235" s="61">
        <v>45595</v>
      </c>
      <c r="B1235" s="49" t="s">
        <v>851</v>
      </c>
      <c r="C1235" s="49" t="s">
        <v>11</v>
      </c>
      <c r="D1235" s="50">
        <v>38606</v>
      </c>
      <c r="E1235" s="50">
        <v>12693</v>
      </c>
      <c r="F1235" s="51">
        <v>0.32878309071128797</v>
      </c>
      <c r="G1235" s="50">
        <v>174</v>
      </c>
      <c r="H1235" s="51">
        <v>1.3708343181281E-2</v>
      </c>
      <c r="I1235" s="51">
        <v>4.5070714396725896E-3</v>
      </c>
      <c r="J1235" s="109" t="s">
        <v>1055</v>
      </c>
      <c r="K1235" s="109" t="s">
        <v>1056</v>
      </c>
    </row>
    <row r="1236" spans="1:11" x14ac:dyDescent="0.35">
      <c r="A1236" s="61">
        <v>45595</v>
      </c>
      <c r="B1236" s="49" t="s">
        <v>852</v>
      </c>
      <c r="C1236" s="49" t="s">
        <v>10</v>
      </c>
      <c r="D1236" s="50">
        <v>132861</v>
      </c>
      <c r="E1236" s="50">
        <v>45502</v>
      </c>
      <c r="F1236" s="51">
        <v>0.34247822912668102</v>
      </c>
      <c r="G1236" s="50">
        <v>527</v>
      </c>
      <c r="H1236" s="51">
        <v>1.1581908487539001E-2</v>
      </c>
      <c r="I1236" s="51">
        <v>3.9665515087196398E-3</v>
      </c>
      <c r="J1236" s="109" t="s">
        <v>1055</v>
      </c>
      <c r="K1236" s="109" t="s">
        <v>1056</v>
      </c>
    </row>
    <row r="1237" spans="1:11" x14ac:dyDescent="0.35">
      <c r="A1237" s="61">
        <v>45595</v>
      </c>
      <c r="B1237" s="49" t="s">
        <v>853</v>
      </c>
      <c r="C1237" s="49" t="s">
        <v>10</v>
      </c>
      <c r="D1237" s="50">
        <v>1444992</v>
      </c>
      <c r="E1237" s="50">
        <v>499112</v>
      </c>
      <c r="F1237" s="51">
        <v>0.34540814066790698</v>
      </c>
      <c r="G1237" s="50">
        <v>5455</v>
      </c>
      <c r="H1237" s="51">
        <v>1.09294106332847E-2</v>
      </c>
      <c r="I1237" s="51">
        <v>3.7751074054389201E-3</v>
      </c>
      <c r="J1237" s="109" t="s">
        <v>1055</v>
      </c>
      <c r="K1237" s="109" t="s">
        <v>1056</v>
      </c>
    </row>
    <row r="1238" spans="1:11" x14ac:dyDescent="0.35">
      <c r="A1238" s="61">
        <v>45595</v>
      </c>
      <c r="B1238" s="49" t="s">
        <v>853</v>
      </c>
      <c r="C1238" s="49" t="s">
        <v>11</v>
      </c>
      <c r="D1238" s="50">
        <v>88357</v>
      </c>
      <c r="E1238" s="50">
        <v>27925</v>
      </c>
      <c r="F1238" s="51">
        <v>0.316047398621501</v>
      </c>
      <c r="G1238" s="50">
        <v>332</v>
      </c>
      <c r="H1238" s="51">
        <v>1.18889883616831E-2</v>
      </c>
      <c r="I1238" s="51">
        <v>3.7574838439512399E-3</v>
      </c>
      <c r="J1238" s="109" t="s">
        <v>1055</v>
      </c>
      <c r="K1238" s="109" t="s">
        <v>1056</v>
      </c>
    </row>
    <row r="1239" spans="1:11" x14ac:dyDescent="0.35">
      <c r="A1239" s="61">
        <v>45596</v>
      </c>
      <c r="B1239" s="49" t="s">
        <v>854</v>
      </c>
      <c r="C1239" s="49" t="s">
        <v>811</v>
      </c>
      <c r="D1239" s="50">
        <v>97833</v>
      </c>
      <c r="E1239" s="50">
        <v>27772</v>
      </c>
      <c r="F1239" s="51">
        <v>0.28387149530322098</v>
      </c>
      <c r="G1239" s="50">
        <v>65</v>
      </c>
      <c r="H1239" s="51">
        <v>2.3404868212588202E-3</v>
      </c>
      <c r="I1239" s="51">
        <v>6.6439749368822404E-4</v>
      </c>
      <c r="J1239" s="109" t="s">
        <v>1055</v>
      </c>
      <c r="K1239" s="109" t="s">
        <v>1056</v>
      </c>
    </row>
    <row r="1240" spans="1:11" x14ac:dyDescent="0.35">
      <c r="A1240" s="61">
        <v>45596</v>
      </c>
      <c r="B1240" s="49" t="s">
        <v>854</v>
      </c>
      <c r="C1240" s="49" t="s">
        <v>812</v>
      </c>
      <c r="D1240" s="50">
        <v>29398</v>
      </c>
      <c r="E1240" s="50">
        <v>9280</v>
      </c>
      <c r="F1240" s="51">
        <v>0.31566773249880897</v>
      </c>
      <c r="G1240" s="50">
        <v>31</v>
      </c>
      <c r="H1240" s="51">
        <v>3.3405172413793101E-3</v>
      </c>
      <c r="I1240" s="51">
        <v>1.05449350295938E-3</v>
      </c>
      <c r="J1240" s="109" t="s">
        <v>1055</v>
      </c>
      <c r="K1240" s="109" t="s">
        <v>1056</v>
      </c>
    </row>
    <row r="1241" spans="1:11" x14ac:dyDescent="0.35">
      <c r="A1241" s="61">
        <v>45596</v>
      </c>
      <c r="B1241" s="49" t="s">
        <v>854</v>
      </c>
      <c r="C1241" s="49" t="s">
        <v>813</v>
      </c>
      <c r="D1241" s="50">
        <v>265460</v>
      </c>
      <c r="E1241" s="50">
        <v>84080</v>
      </c>
      <c r="F1241" s="51">
        <f>E1241/D1241</f>
        <v>0.31673321781059294</v>
      </c>
      <c r="G1241" s="49">
        <v>173</v>
      </c>
      <c r="H1241" s="51">
        <f>G1241/E1241</f>
        <v>2.0575642245480494E-3</v>
      </c>
      <c r="I1241" s="51">
        <f>G1241/D1241</f>
        <v>6.5169893769306114E-4</v>
      </c>
      <c r="J1241" s="109" t="s">
        <v>1055</v>
      </c>
      <c r="K1241" s="109" t="s">
        <v>1056</v>
      </c>
    </row>
    <row r="1242" spans="1:11" x14ac:dyDescent="0.35">
      <c r="A1242" s="61">
        <v>45596</v>
      </c>
      <c r="B1242" s="49" t="s">
        <v>855</v>
      </c>
      <c r="C1242" s="49" t="s">
        <v>813</v>
      </c>
      <c r="D1242" s="50">
        <v>11448</v>
      </c>
      <c r="E1242" s="50">
        <v>3342</v>
      </c>
      <c r="F1242" s="51">
        <f>E1242/D1242</f>
        <v>0.2919287211740042</v>
      </c>
      <c r="G1242" s="49">
        <v>11</v>
      </c>
      <c r="H1242" s="51">
        <f>G1242/E1242</f>
        <v>3.291442250149611E-3</v>
      </c>
      <c r="I1242" s="51">
        <f>G1242/D1242</f>
        <v>9.6086652690426273E-4</v>
      </c>
      <c r="J1242" s="109" t="s">
        <v>1055</v>
      </c>
      <c r="K1242" s="109" t="s">
        <v>1056</v>
      </c>
    </row>
    <row r="1243" spans="1:11" x14ac:dyDescent="0.35">
      <c r="A1243" s="61">
        <v>45596</v>
      </c>
      <c r="B1243" s="49" t="s">
        <v>855</v>
      </c>
      <c r="C1243" s="49" t="s">
        <v>811</v>
      </c>
      <c r="D1243" s="50">
        <v>4748</v>
      </c>
      <c r="E1243" s="50">
        <v>1207</v>
      </c>
      <c r="F1243" s="51">
        <v>0.254212299915754</v>
      </c>
      <c r="G1243" s="50">
        <v>3</v>
      </c>
      <c r="H1243" s="51">
        <v>2.4855012427506202E-3</v>
      </c>
      <c r="I1243" s="51">
        <v>6.3184498736310003E-4</v>
      </c>
      <c r="J1243" s="109" t="s">
        <v>1055</v>
      </c>
      <c r="K1243" s="109" t="s">
        <v>1056</v>
      </c>
    </row>
    <row r="1244" spans="1:11" x14ac:dyDescent="0.35">
      <c r="A1244" s="61">
        <v>45596</v>
      </c>
      <c r="B1244" s="49" t="s">
        <v>855</v>
      </c>
      <c r="C1244" s="49" t="s">
        <v>812</v>
      </c>
      <c r="D1244" s="50">
        <v>1393</v>
      </c>
      <c r="E1244" s="50">
        <v>394</v>
      </c>
      <c r="F1244" s="51">
        <v>0.28284278535534801</v>
      </c>
      <c r="G1244" s="50">
        <v>1</v>
      </c>
      <c r="H1244" s="51">
        <v>2.5380710659898501E-3</v>
      </c>
      <c r="I1244" s="51">
        <v>7.1787508973438603E-4</v>
      </c>
      <c r="J1244" s="109" t="s">
        <v>1055</v>
      </c>
      <c r="K1244" s="109" t="s">
        <v>1056</v>
      </c>
    </row>
    <row r="1245" spans="1:11" x14ac:dyDescent="0.35">
      <c r="A1245" s="61">
        <v>45596</v>
      </c>
      <c r="B1245" s="49" t="s">
        <v>856</v>
      </c>
      <c r="C1245" s="49" t="s">
        <v>841</v>
      </c>
      <c r="D1245" s="50">
        <v>403721</v>
      </c>
      <c r="E1245" s="50">
        <v>136314</v>
      </c>
      <c r="F1245" s="51">
        <v>0.33764406607533398</v>
      </c>
      <c r="G1245" s="50">
        <v>773</v>
      </c>
      <c r="H1245" s="51">
        <v>5.67073081268248E-3</v>
      </c>
      <c r="I1245" s="51">
        <v>1.9146886092127999E-3</v>
      </c>
      <c r="J1245" s="109" t="s">
        <v>1055</v>
      </c>
      <c r="K1245" s="109" t="s">
        <v>1056</v>
      </c>
    </row>
    <row r="1246" spans="1:11" x14ac:dyDescent="0.35">
      <c r="A1246" s="61">
        <v>45596</v>
      </c>
      <c r="B1246" s="49" t="s">
        <v>856</v>
      </c>
      <c r="C1246" s="49" t="s">
        <v>842</v>
      </c>
      <c r="D1246" s="50">
        <v>313691</v>
      </c>
      <c r="E1246" s="50">
        <v>106762</v>
      </c>
      <c r="F1246" s="51">
        <v>0.340341291270709</v>
      </c>
      <c r="G1246" s="50">
        <v>573</v>
      </c>
      <c r="H1246" s="51">
        <v>5.3670781738820901E-3</v>
      </c>
      <c r="I1246" s="51">
        <v>1.8266383160498701E-3</v>
      </c>
      <c r="J1246" s="109" t="s">
        <v>1055</v>
      </c>
      <c r="K1246" s="109" t="s">
        <v>1056</v>
      </c>
    </row>
    <row r="1247" spans="1:11" x14ac:dyDescent="0.35">
      <c r="A1247" s="61">
        <v>45596</v>
      </c>
      <c r="B1247" s="49" t="s">
        <v>856</v>
      </c>
      <c r="C1247" s="49" t="s">
        <v>843</v>
      </c>
      <c r="D1247" s="50">
        <v>662434</v>
      </c>
      <c r="E1247" s="50">
        <v>199653</v>
      </c>
      <c r="F1247" s="51">
        <v>0.301393044439144</v>
      </c>
      <c r="G1247" s="50">
        <v>1018</v>
      </c>
      <c r="H1247" s="51">
        <v>5.0988464986751999E-3</v>
      </c>
      <c r="I1247" s="51">
        <v>1.53675686936359E-3</v>
      </c>
      <c r="J1247" s="109" t="s">
        <v>1055</v>
      </c>
      <c r="K1247" s="109" t="s">
        <v>1056</v>
      </c>
    </row>
    <row r="1248" spans="1:11" x14ac:dyDescent="0.35">
      <c r="A1248" s="61">
        <v>45596</v>
      </c>
      <c r="B1248" s="49" t="s">
        <v>857</v>
      </c>
      <c r="C1248" s="49" t="s">
        <v>10</v>
      </c>
      <c r="D1248" s="50">
        <v>226946</v>
      </c>
      <c r="E1248" s="50">
        <v>75487</v>
      </c>
      <c r="F1248" s="51">
        <v>0.33262097591497503</v>
      </c>
      <c r="G1248" s="50">
        <v>701</v>
      </c>
      <c r="H1248" s="51">
        <v>9.2863671890524198E-3</v>
      </c>
      <c r="I1248" s="51">
        <v>3.0888405171274201E-3</v>
      </c>
      <c r="J1248" s="109" t="s">
        <v>1055</v>
      </c>
      <c r="K1248" s="109" t="s">
        <v>1056</v>
      </c>
    </row>
    <row r="1249" spans="1:11" x14ac:dyDescent="0.35">
      <c r="A1249" s="61">
        <v>45597</v>
      </c>
      <c r="B1249" s="49" t="s">
        <v>859</v>
      </c>
      <c r="C1249" s="49" t="s">
        <v>10</v>
      </c>
      <c r="D1249" s="50">
        <v>4805317</v>
      </c>
      <c r="E1249" s="50">
        <v>1489962</v>
      </c>
      <c r="F1249" s="51">
        <v>0.30449999999999999</v>
      </c>
      <c r="G1249" s="50">
        <v>12654</v>
      </c>
      <c r="H1249" s="51">
        <v>1.21E-2</v>
      </c>
      <c r="I1249" s="51">
        <v>4.0000000000000001E-3</v>
      </c>
      <c r="J1249" s="109" t="s">
        <v>1055</v>
      </c>
      <c r="K1249" s="109" t="s">
        <v>1056</v>
      </c>
    </row>
    <row r="1250" spans="1:11" x14ac:dyDescent="0.35">
      <c r="A1250" s="61">
        <v>45597</v>
      </c>
      <c r="B1250" s="49" t="s">
        <v>859</v>
      </c>
      <c r="C1250" s="49" t="s">
        <v>11</v>
      </c>
      <c r="D1250" s="50">
        <v>305403</v>
      </c>
      <c r="E1250" s="50">
        <v>87744</v>
      </c>
      <c r="F1250" s="51">
        <v>0.28899999999999998</v>
      </c>
      <c r="G1250" s="50">
        <v>1138</v>
      </c>
      <c r="H1250" s="51">
        <v>1.6299999999999999E-2</v>
      </c>
      <c r="I1250" s="51">
        <v>5.0000000000000001E-3</v>
      </c>
      <c r="J1250" s="109" t="s">
        <v>1055</v>
      </c>
      <c r="K1250" s="109" t="s">
        <v>1056</v>
      </c>
    </row>
    <row r="1251" spans="1:11" x14ac:dyDescent="0.35">
      <c r="A1251" s="61">
        <v>45597</v>
      </c>
      <c r="B1251" s="49" t="s">
        <v>858</v>
      </c>
      <c r="C1251" s="49" t="s">
        <v>10</v>
      </c>
      <c r="D1251" s="50">
        <v>380975</v>
      </c>
      <c r="E1251" s="50">
        <v>134579</v>
      </c>
      <c r="F1251" s="51">
        <v>0.35399999999999998</v>
      </c>
      <c r="G1251" s="50">
        <v>1713</v>
      </c>
      <c r="H1251" s="51">
        <v>1.7018982319789999E-2</v>
      </c>
      <c r="I1251" s="51">
        <v>4.3913642627468998E-3</v>
      </c>
      <c r="J1251" s="109" t="s">
        <v>1057</v>
      </c>
      <c r="K1251" s="109" t="s">
        <v>1054</v>
      </c>
    </row>
    <row r="1252" spans="1:11" x14ac:dyDescent="0.35">
      <c r="A1252" s="61">
        <v>45597</v>
      </c>
      <c r="B1252" s="49" t="s">
        <v>860</v>
      </c>
      <c r="C1252" s="49" t="s">
        <v>10</v>
      </c>
      <c r="D1252" s="50">
        <v>13898</v>
      </c>
      <c r="E1252" s="50">
        <v>5705</v>
      </c>
      <c r="F1252" s="51">
        <v>0.410490718088934</v>
      </c>
      <c r="G1252" s="50">
        <v>169</v>
      </c>
      <c r="H1252" s="51">
        <v>2.96231375985977E-2</v>
      </c>
      <c r="I1252" s="51">
        <v>1.2160023024895701E-2</v>
      </c>
      <c r="J1252" s="109" t="s">
        <v>1055</v>
      </c>
      <c r="K1252" s="109" t="s">
        <v>1056</v>
      </c>
    </row>
    <row r="1253" spans="1:11" x14ac:dyDescent="0.35">
      <c r="A1253" s="61">
        <v>45598</v>
      </c>
      <c r="B1253" s="49" t="s">
        <v>861</v>
      </c>
      <c r="C1253" s="49" t="s">
        <v>10</v>
      </c>
      <c r="D1253" s="50">
        <v>66582</v>
      </c>
      <c r="E1253" s="50">
        <v>28886</v>
      </c>
      <c r="F1253" s="119">
        <v>0.43380000000000002</v>
      </c>
      <c r="G1253" s="50">
        <v>2277</v>
      </c>
      <c r="H1253" s="60">
        <v>7.8799999999999995E-2</v>
      </c>
      <c r="I1253" s="60">
        <v>3.4200000000000001E-2</v>
      </c>
      <c r="J1253" s="109" t="s">
        <v>1055</v>
      </c>
      <c r="K1253" s="109" t="s">
        <v>1056</v>
      </c>
    </row>
    <row r="1254" spans="1:11" x14ac:dyDescent="0.35">
      <c r="A1254" s="61">
        <v>45598</v>
      </c>
      <c r="B1254" s="49" t="s">
        <v>861</v>
      </c>
      <c r="C1254" s="49" t="s">
        <v>11</v>
      </c>
      <c r="D1254" s="50">
        <v>7583</v>
      </c>
      <c r="E1254" s="50">
        <v>3665</v>
      </c>
      <c r="F1254" s="119">
        <v>0.48330000000000001</v>
      </c>
      <c r="G1254" s="50">
        <v>392</v>
      </c>
      <c r="H1254" s="60">
        <v>0.107</v>
      </c>
      <c r="I1254" s="60">
        <v>5.1700000000000003E-2</v>
      </c>
      <c r="J1254" s="109" t="s">
        <v>1055</v>
      </c>
      <c r="K1254" s="109" t="s">
        <v>1056</v>
      </c>
    </row>
    <row r="1255" spans="1:11" x14ac:dyDescent="0.35">
      <c r="A1255" s="61">
        <v>45598</v>
      </c>
      <c r="B1255" s="49" t="s">
        <v>862</v>
      </c>
      <c r="C1255" s="49" t="s">
        <v>10</v>
      </c>
      <c r="D1255" s="50">
        <v>55998</v>
      </c>
      <c r="E1255" s="50">
        <v>17802</v>
      </c>
      <c r="F1255" s="119">
        <v>0.31790000000000002</v>
      </c>
      <c r="G1255" s="50">
        <v>347</v>
      </c>
      <c r="H1255" s="60">
        <v>1.95E-2</v>
      </c>
      <c r="I1255" s="60">
        <v>6.1999999999999998E-3</v>
      </c>
      <c r="J1255" s="109" t="s">
        <v>1060</v>
      </c>
      <c r="K1255" s="109" t="s">
        <v>1054</v>
      </c>
    </row>
    <row r="1256" spans="1:11" x14ac:dyDescent="0.35">
      <c r="A1256" s="61">
        <v>45598</v>
      </c>
      <c r="B1256" s="49" t="s">
        <v>863</v>
      </c>
      <c r="C1256" s="49" t="s">
        <v>10</v>
      </c>
      <c r="D1256" s="50">
        <v>253857</v>
      </c>
      <c r="E1256" s="50">
        <v>94806</v>
      </c>
      <c r="F1256" s="119">
        <v>0.3735</v>
      </c>
      <c r="G1256" s="50">
        <v>1872</v>
      </c>
      <c r="H1256" s="60">
        <v>1.9699999999999999E-2</v>
      </c>
      <c r="I1256" s="60">
        <v>7.4000000000000003E-3</v>
      </c>
      <c r="J1256" s="109" t="s">
        <v>1060</v>
      </c>
      <c r="K1256" s="109" t="s">
        <v>1054</v>
      </c>
    </row>
    <row r="1257" spans="1:11" x14ac:dyDescent="0.35">
      <c r="A1257" s="61">
        <v>45600</v>
      </c>
      <c r="B1257" s="49" t="s">
        <v>864</v>
      </c>
      <c r="C1257" s="49" t="s">
        <v>10</v>
      </c>
      <c r="D1257" s="50">
        <v>1453384</v>
      </c>
      <c r="E1257" s="50">
        <v>550578</v>
      </c>
      <c r="F1257" s="51">
        <v>0.37880000000000003</v>
      </c>
      <c r="G1257" s="50">
        <v>13459</v>
      </c>
      <c r="H1257" s="51">
        <v>2.4400000000000002E-2</v>
      </c>
      <c r="I1257" s="51">
        <v>1.1900000000000001E-2</v>
      </c>
      <c r="J1257" s="109" t="s">
        <v>1063</v>
      </c>
      <c r="K1257" s="109" t="s">
        <v>1054</v>
      </c>
    </row>
    <row r="1258" spans="1:11" x14ac:dyDescent="0.35">
      <c r="A1258" s="61">
        <v>45600</v>
      </c>
      <c r="B1258" s="49" t="s">
        <v>865</v>
      </c>
      <c r="C1258" s="49" t="s">
        <v>10</v>
      </c>
      <c r="D1258" s="50">
        <v>39704</v>
      </c>
      <c r="E1258" s="50">
        <v>15095</v>
      </c>
      <c r="F1258" s="119">
        <v>0.38019999999999998</v>
      </c>
      <c r="G1258" s="50">
        <v>301</v>
      </c>
      <c r="H1258" s="60">
        <v>1.9900000000000001E-2</v>
      </c>
      <c r="I1258" s="60">
        <v>7.6E-3</v>
      </c>
      <c r="J1258" s="109" t="s">
        <v>1060</v>
      </c>
      <c r="K1258" s="109" t="s">
        <v>1054</v>
      </c>
    </row>
    <row r="1259" spans="1:11" x14ac:dyDescent="0.35">
      <c r="A1259" s="61">
        <v>45601</v>
      </c>
      <c r="B1259" s="49" t="s">
        <v>866</v>
      </c>
      <c r="C1259" s="49" t="s">
        <v>10</v>
      </c>
      <c r="D1259" s="50">
        <v>1387587</v>
      </c>
      <c r="E1259" s="50">
        <v>403039</v>
      </c>
      <c r="F1259" s="51">
        <v>0.29046034590984199</v>
      </c>
      <c r="G1259" s="50">
        <v>9692</v>
      </c>
      <c r="H1259" s="51">
        <v>2.4047300633437501E-2</v>
      </c>
      <c r="I1259" s="51">
        <v>6.9847872601862104E-3</v>
      </c>
      <c r="J1259" s="109" t="s">
        <v>1055</v>
      </c>
      <c r="K1259" s="109" t="s">
        <v>1056</v>
      </c>
    </row>
    <row r="1260" spans="1:11" x14ac:dyDescent="0.35">
      <c r="A1260" s="61">
        <v>45601</v>
      </c>
      <c r="B1260" s="49" t="s">
        <v>866</v>
      </c>
      <c r="C1260" s="49" t="s">
        <v>11</v>
      </c>
      <c r="D1260" s="50">
        <v>93814</v>
      </c>
      <c r="E1260" s="50">
        <v>28475</v>
      </c>
      <c r="F1260" s="51">
        <v>0.303526126164538</v>
      </c>
      <c r="G1260" s="50">
        <v>901</v>
      </c>
      <c r="H1260" s="51">
        <v>3.1641791044776102E-2</v>
      </c>
      <c r="I1260" s="51">
        <v>9.6041102607286807E-3</v>
      </c>
      <c r="J1260" s="109" t="s">
        <v>1055</v>
      </c>
      <c r="K1260" s="109" t="s">
        <v>1056</v>
      </c>
    </row>
    <row r="1261" spans="1:11" x14ac:dyDescent="0.35">
      <c r="A1261" s="61">
        <v>45601</v>
      </c>
      <c r="B1261" s="49" t="s">
        <v>867</v>
      </c>
      <c r="C1261" s="49" t="s">
        <v>623</v>
      </c>
      <c r="D1261" s="50">
        <v>6722</v>
      </c>
      <c r="E1261" s="50">
        <v>2104</v>
      </c>
      <c r="F1261" s="119">
        <v>0.313</v>
      </c>
      <c r="G1261" s="50">
        <v>170</v>
      </c>
      <c r="H1261" s="60">
        <v>8.0799999999999997E-2</v>
      </c>
      <c r="I1261" s="60">
        <v>2.53E-2</v>
      </c>
      <c r="J1261" s="109" t="s">
        <v>1061</v>
      </c>
      <c r="K1261" s="109" t="s">
        <v>1054</v>
      </c>
    </row>
    <row r="1262" spans="1:11" x14ac:dyDescent="0.35">
      <c r="A1262" s="61">
        <v>45601</v>
      </c>
      <c r="B1262" s="49" t="s">
        <v>867</v>
      </c>
      <c r="C1262" s="49" t="s">
        <v>625</v>
      </c>
      <c r="D1262" s="50">
        <v>420</v>
      </c>
      <c r="E1262" s="50">
        <v>124</v>
      </c>
      <c r="F1262" s="119">
        <v>0.29520000000000002</v>
      </c>
      <c r="G1262" s="50">
        <v>9</v>
      </c>
      <c r="H1262" s="60">
        <v>7.2599999999999998E-2</v>
      </c>
      <c r="I1262" s="60">
        <v>2.1399999999999999E-2</v>
      </c>
      <c r="J1262" s="109" t="s">
        <v>1061</v>
      </c>
      <c r="K1262" s="109" t="s">
        <v>1054</v>
      </c>
    </row>
    <row r="1263" spans="1:11" x14ac:dyDescent="0.35">
      <c r="A1263" s="61">
        <v>45602</v>
      </c>
      <c r="B1263" s="49" t="s">
        <v>871</v>
      </c>
      <c r="C1263" s="49" t="s">
        <v>10</v>
      </c>
      <c r="D1263" s="50">
        <v>512519</v>
      </c>
      <c r="E1263" s="50">
        <v>180111</v>
      </c>
      <c r="F1263" s="119">
        <v>0.35139999999999999</v>
      </c>
      <c r="G1263" s="50">
        <v>1527</v>
      </c>
      <c r="H1263" s="60">
        <v>8.5000000000000006E-3</v>
      </c>
      <c r="I1263" s="60">
        <v>3.0000000000000001E-3</v>
      </c>
      <c r="J1263" s="109" t="s">
        <v>1055</v>
      </c>
      <c r="K1263" s="109" t="s">
        <v>1056</v>
      </c>
    </row>
    <row r="1264" spans="1:11" x14ac:dyDescent="0.35">
      <c r="A1264" s="61">
        <v>45602</v>
      </c>
      <c r="B1264" s="49" t="s">
        <v>871</v>
      </c>
      <c r="C1264" s="49" t="s">
        <v>11</v>
      </c>
      <c r="D1264" s="50">
        <v>28247</v>
      </c>
      <c r="E1264" s="50">
        <v>9602</v>
      </c>
      <c r="F1264" s="119">
        <v>0.33989999999999998</v>
      </c>
      <c r="G1264" s="50">
        <v>115</v>
      </c>
      <c r="H1264" s="60">
        <v>1.2E-2</v>
      </c>
      <c r="I1264" s="60">
        <v>4.0000000000000001E-3</v>
      </c>
      <c r="J1264" s="109" t="s">
        <v>1055</v>
      </c>
      <c r="K1264" s="109" t="s">
        <v>1056</v>
      </c>
    </row>
    <row r="1265" spans="1:11" x14ac:dyDescent="0.35">
      <c r="A1265" s="61">
        <v>45602</v>
      </c>
      <c r="B1265" s="49" t="s">
        <v>868</v>
      </c>
      <c r="C1265" s="49" t="s">
        <v>623</v>
      </c>
      <c r="D1265" s="50">
        <v>13850</v>
      </c>
      <c r="E1265" s="50">
        <v>2985</v>
      </c>
      <c r="F1265" s="51">
        <v>0.21552346570397099</v>
      </c>
      <c r="G1265" s="50">
        <v>529</v>
      </c>
      <c r="H1265" s="51">
        <v>0.177219430485762</v>
      </c>
      <c r="I1265" s="51">
        <v>3.8194945848375503E-2</v>
      </c>
      <c r="J1265" s="109" t="s">
        <v>1061</v>
      </c>
      <c r="K1265" s="109" t="s">
        <v>1054</v>
      </c>
    </row>
    <row r="1266" spans="1:11" x14ac:dyDescent="0.35">
      <c r="A1266" s="61">
        <v>45602</v>
      </c>
      <c r="B1266" s="49" t="s">
        <v>869</v>
      </c>
      <c r="C1266" s="49" t="s">
        <v>625</v>
      </c>
      <c r="D1266" s="50">
        <v>3515</v>
      </c>
      <c r="E1266" s="50">
        <v>449</v>
      </c>
      <c r="F1266" s="51">
        <v>0.13189999999999999</v>
      </c>
      <c r="G1266" s="50">
        <v>97</v>
      </c>
      <c r="H1266" s="51">
        <v>0.216</v>
      </c>
      <c r="I1266" s="51">
        <v>2.8500000000000001E-2</v>
      </c>
      <c r="J1266" s="109" t="s">
        <v>1061</v>
      </c>
      <c r="K1266" s="109" t="s">
        <v>1054</v>
      </c>
    </row>
    <row r="1267" spans="1:11" x14ac:dyDescent="0.35">
      <c r="A1267" s="61">
        <v>45602</v>
      </c>
      <c r="B1267" s="49" t="s">
        <v>870</v>
      </c>
      <c r="C1267" s="49" t="s">
        <v>10</v>
      </c>
      <c r="D1267" s="50">
        <v>2611711</v>
      </c>
      <c r="E1267" s="50">
        <v>954872</v>
      </c>
      <c r="F1267" s="119">
        <v>0.36559999999999998</v>
      </c>
      <c r="G1267" s="50">
        <v>11165</v>
      </c>
      <c r="H1267" s="60">
        <v>1.17E-2</v>
      </c>
      <c r="I1267" s="60">
        <v>4.3E-3</v>
      </c>
      <c r="J1267" s="109" t="s">
        <v>1059</v>
      </c>
      <c r="K1267" s="109" t="s">
        <v>1056</v>
      </c>
    </row>
    <row r="1268" spans="1:11" x14ac:dyDescent="0.35">
      <c r="A1268" s="61">
        <v>45602</v>
      </c>
      <c r="B1268" s="49" t="s">
        <v>870</v>
      </c>
      <c r="C1268" s="49" t="s">
        <v>11</v>
      </c>
      <c r="D1268" s="50">
        <v>144536</v>
      </c>
      <c r="E1268" s="50">
        <v>52950</v>
      </c>
      <c r="F1268" s="119">
        <v>0.36630000000000001</v>
      </c>
      <c r="G1268" s="50">
        <v>1019</v>
      </c>
      <c r="H1268" s="60">
        <v>1.9199999999999998E-2</v>
      </c>
      <c r="I1268" s="60">
        <v>7.1000000000000004E-3</v>
      </c>
      <c r="J1268" s="109" t="s">
        <v>1059</v>
      </c>
      <c r="K1268" s="109" t="s">
        <v>1056</v>
      </c>
    </row>
    <row r="1269" spans="1:11" x14ac:dyDescent="0.35">
      <c r="A1269" s="61">
        <v>45602</v>
      </c>
      <c r="B1269" s="49" t="s">
        <v>872</v>
      </c>
      <c r="C1269" s="49" t="s">
        <v>10</v>
      </c>
      <c r="D1269" s="50">
        <v>311386</v>
      </c>
      <c r="E1269" s="50">
        <v>128455</v>
      </c>
      <c r="F1269" s="120">
        <v>0.41249999999999998</v>
      </c>
      <c r="G1269" s="50">
        <v>2222</v>
      </c>
      <c r="H1269" s="120">
        <v>1.2800000000000001E-2</v>
      </c>
      <c r="I1269" s="120">
        <v>5.3E-3</v>
      </c>
      <c r="J1269" s="109" t="s">
        <v>1055</v>
      </c>
      <c r="K1269" s="109" t="s">
        <v>1056</v>
      </c>
    </row>
    <row r="1270" spans="1:11" x14ac:dyDescent="0.35">
      <c r="A1270" s="61">
        <v>45603</v>
      </c>
      <c r="B1270" s="49" t="s">
        <v>873</v>
      </c>
      <c r="C1270" s="49" t="s">
        <v>234</v>
      </c>
      <c r="D1270" s="50">
        <v>869420</v>
      </c>
      <c r="E1270" s="50">
        <v>288040</v>
      </c>
      <c r="F1270" s="60">
        <v>0.33129999999999998</v>
      </c>
      <c r="G1270" s="49">
        <v>661</v>
      </c>
      <c r="H1270" s="60">
        <v>2.3E-3</v>
      </c>
      <c r="I1270" s="60">
        <v>8.0000000000000004E-4</v>
      </c>
      <c r="J1270" s="109" t="s">
        <v>1055</v>
      </c>
      <c r="K1270" s="109" t="s">
        <v>1056</v>
      </c>
    </row>
    <row r="1271" spans="1:11" x14ac:dyDescent="0.35">
      <c r="A1271" s="61">
        <v>45603</v>
      </c>
      <c r="B1271" s="49" t="s">
        <v>874</v>
      </c>
      <c r="C1271" s="49" t="s">
        <v>235</v>
      </c>
      <c r="D1271" s="50">
        <v>41463</v>
      </c>
      <c r="E1271" s="50">
        <v>12644</v>
      </c>
      <c r="F1271" s="60">
        <v>0.3049</v>
      </c>
      <c r="G1271" s="49">
        <v>43</v>
      </c>
      <c r="H1271" s="60">
        <v>3.3999999999999998E-3</v>
      </c>
      <c r="I1271" s="60">
        <v>1E-3</v>
      </c>
      <c r="J1271" s="109" t="s">
        <v>1055</v>
      </c>
      <c r="K1271" s="109" t="s">
        <v>1056</v>
      </c>
    </row>
    <row r="1272" spans="1:11" x14ac:dyDescent="0.35">
      <c r="A1272" s="61">
        <v>45603</v>
      </c>
      <c r="B1272" s="49" t="s">
        <v>854</v>
      </c>
      <c r="C1272" s="49" t="s">
        <v>403</v>
      </c>
      <c r="D1272" s="50">
        <v>387391</v>
      </c>
      <c r="E1272" s="50">
        <v>128276</v>
      </c>
      <c r="F1272" s="60">
        <v>0.33110000000000001</v>
      </c>
      <c r="G1272" s="49">
        <v>316</v>
      </c>
      <c r="H1272" s="60">
        <v>2.5000000000000001E-3</v>
      </c>
      <c r="I1272" s="60">
        <v>8.0000000000000004E-4</v>
      </c>
      <c r="J1272" s="109" t="s">
        <v>1055</v>
      </c>
      <c r="K1272" s="109" t="s">
        <v>1056</v>
      </c>
    </row>
    <row r="1273" spans="1:11" x14ac:dyDescent="0.35">
      <c r="A1273" s="61">
        <v>45603</v>
      </c>
      <c r="B1273" s="49" t="s">
        <v>855</v>
      </c>
      <c r="C1273" s="49" t="s">
        <v>404</v>
      </c>
      <c r="D1273" s="50">
        <v>17393</v>
      </c>
      <c r="E1273" s="50">
        <v>5288</v>
      </c>
      <c r="F1273" s="60">
        <v>0.30399999999999999</v>
      </c>
      <c r="G1273" s="49">
        <v>26</v>
      </c>
      <c r="H1273" s="60">
        <v>4.8999999999999998E-3</v>
      </c>
      <c r="I1273" s="60">
        <v>1.5E-3</v>
      </c>
      <c r="J1273" s="109" t="s">
        <v>1055</v>
      </c>
      <c r="K1273" s="109" t="s">
        <v>1056</v>
      </c>
    </row>
    <row r="1274" spans="1:11" x14ac:dyDescent="0.35">
      <c r="A1274" s="61">
        <v>45603</v>
      </c>
      <c r="B1274" s="49" t="s">
        <v>875</v>
      </c>
      <c r="C1274" s="49" t="s">
        <v>10</v>
      </c>
      <c r="D1274" s="50">
        <v>1242427</v>
      </c>
      <c r="E1274" s="50">
        <v>421794</v>
      </c>
      <c r="F1274" s="51">
        <v>0.33949197820073101</v>
      </c>
      <c r="G1274" s="50">
        <v>2901</v>
      </c>
      <c r="H1274" s="51">
        <v>6.8777649753197102E-3</v>
      </c>
      <c r="I1274" s="51">
        <v>2.33494603707099E-3</v>
      </c>
      <c r="J1274" s="109" t="s">
        <v>1055</v>
      </c>
      <c r="K1274" s="109" t="s">
        <v>1056</v>
      </c>
    </row>
    <row r="1275" spans="1:11" x14ac:dyDescent="0.35">
      <c r="A1275" s="61">
        <v>45604</v>
      </c>
      <c r="B1275" s="49" t="s">
        <v>877</v>
      </c>
      <c r="C1275" s="49" t="s">
        <v>10</v>
      </c>
      <c r="D1275" s="50">
        <v>4790628</v>
      </c>
      <c r="E1275" s="50">
        <v>1534985</v>
      </c>
      <c r="F1275" s="51">
        <v>0.32041415029511799</v>
      </c>
      <c r="G1275" s="50">
        <v>16050</v>
      </c>
      <c r="H1275" s="51">
        <v>1.04561282357808E-2</v>
      </c>
      <c r="I1275" s="51">
        <v>3.3502914440445E-3</v>
      </c>
      <c r="J1275" s="109" t="s">
        <v>1055</v>
      </c>
      <c r="K1275" s="109" t="s">
        <v>1056</v>
      </c>
    </row>
    <row r="1276" spans="1:11" x14ac:dyDescent="0.35">
      <c r="A1276" s="61">
        <v>45604</v>
      </c>
      <c r="B1276" s="49" t="s">
        <v>877</v>
      </c>
      <c r="C1276" s="49" t="s">
        <v>11</v>
      </c>
      <c r="D1276" s="50">
        <v>304790</v>
      </c>
      <c r="E1276" s="50">
        <v>90133</v>
      </c>
      <c r="F1276" s="51">
        <v>0.29572164441090598</v>
      </c>
      <c r="G1276" s="50">
        <v>1015</v>
      </c>
      <c r="H1276" s="51">
        <v>1.12611363207704E-2</v>
      </c>
      <c r="I1276" s="51">
        <v>3.3301617507136101E-3</v>
      </c>
      <c r="J1276" s="109" t="s">
        <v>1055</v>
      </c>
      <c r="K1276" s="109" t="s">
        <v>1056</v>
      </c>
    </row>
    <row r="1277" spans="1:11" x14ac:dyDescent="0.35">
      <c r="A1277" s="61">
        <v>45604</v>
      </c>
      <c r="B1277" s="49" t="s">
        <v>876</v>
      </c>
      <c r="C1277" s="49" t="s">
        <v>10</v>
      </c>
      <c r="D1277" s="50">
        <v>379892</v>
      </c>
      <c r="E1277" s="50">
        <v>139910</v>
      </c>
      <c r="F1277" s="51">
        <v>0.36828888210333499</v>
      </c>
      <c r="G1277" s="50">
        <v>2807</v>
      </c>
      <c r="H1277" s="51">
        <v>2.0062897577013801E-2</v>
      </c>
      <c r="I1277" s="51">
        <v>7.3889421203921102E-3</v>
      </c>
      <c r="J1277" s="109" t="s">
        <v>1057</v>
      </c>
      <c r="K1277" s="109" t="s">
        <v>1054</v>
      </c>
    </row>
    <row r="1278" spans="1:11" x14ac:dyDescent="0.35">
      <c r="A1278" s="61">
        <v>45604</v>
      </c>
      <c r="B1278" s="49" t="s">
        <v>876</v>
      </c>
      <c r="C1278" s="49" t="s">
        <v>11</v>
      </c>
      <c r="D1278" s="50">
        <v>21581</v>
      </c>
      <c r="E1278" s="50">
        <v>7523</v>
      </c>
      <c r="F1278" s="51">
        <v>0.348593670358185</v>
      </c>
      <c r="G1278" s="50">
        <v>230</v>
      </c>
      <c r="H1278" s="51">
        <v>3.0572909743453398E-2</v>
      </c>
      <c r="I1278" s="51">
        <v>1.0657522821E-2</v>
      </c>
      <c r="J1278" s="109" t="s">
        <v>1057</v>
      </c>
      <c r="K1278" s="109" t="s">
        <v>1054</v>
      </c>
    </row>
    <row r="1279" spans="1:11" x14ac:dyDescent="0.35">
      <c r="A1279" s="61">
        <v>45605</v>
      </c>
      <c r="B1279" s="49" t="s">
        <v>878</v>
      </c>
      <c r="C1279" s="49" t="s">
        <v>10</v>
      </c>
      <c r="D1279" s="50">
        <v>6474429</v>
      </c>
      <c r="E1279" s="50">
        <v>2218573</v>
      </c>
      <c r="F1279" s="51">
        <v>0.34266697495640203</v>
      </c>
      <c r="G1279" s="50">
        <v>29003</v>
      </c>
      <c r="H1279" s="51">
        <v>1.3072817527302501E-2</v>
      </c>
      <c r="I1279" s="51">
        <v>4.4796228362377604E-3</v>
      </c>
      <c r="J1279" s="109" t="s">
        <v>1061</v>
      </c>
      <c r="K1279" s="109" t="s">
        <v>1054</v>
      </c>
    </row>
    <row r="1280" spans="1:11" x14ac:dyDescent="0.35">
      <c r="A1280" s="61">
        <v>45605</v>
      </c>
      <c r="B1280" s="49" t="s">
        <v>878</v>
      </c>
      <c r="C1280" s="49" t="s">
        <v>11</v>
      </c>
      <c r="D1280" s="50">
        <v>414664</v>
      </c>
      <c r="E1280" s="50">
        <v>133593</v>
      </c>
      <c r="F1280" s="51">
        <v>0.32217168599154999</v>
      </c>
      <c r="G1280" s="50">
        <v>2521</v>
      </c>
      <c r="H1280" s="51">
        <v>1.8870749215902E-2</v>
      </c>
      <c r="I1280" s="51">
        <v>6.0796210908108696E-3</v>
      </c>
      <c r="J1280" s="109" t="s">
        <v>1061</v>
      </c>
      <c r="K1280" s="109" t="s">
        <v>1054</v>
      </c>
    </row>
    <row r="1281" spans="1:11" x14ac:dyDescent="0.35">
      <c r="A1281" s="61">
        <v>45606</v>
      </c>
      <c r="B1281" s="49" t="s">
        <v>879</v>
      </c>
      <c r="C1281" s="49" t="s">
        <v>10</v>
      </c>
      <c r="D1281" s="50">
        <v>56386</v>
      </c>
      <c r="E1281" s="50">
        <v>19744</v>
      </c>
      <c r="F1281" s="51">
        <v>0.35015784059873001</v>
      </c>
      <c r="G1281" s="50">
        <v>350</v>
      </c>
      <c r="H1281" s="51">
        <v>1.7726904376013E-2</v>
      </c>
      <c r="I1281" s="51">
        <v>6.2072145568048799E-3</v>
      </c>
      <c r="J1281" s="109" t="s">
        <v>1060</v>
      </c>
      <c r="K1281" s="109" t="s">
        <v>1054</v>
      </c>
    </row>
    <row r="1282" spans="1:11" x14ac:dyDescent="0.35">
      <c r="A1282" s="61">
        <v>45607</v>
      </c>
      <c r="B1282" s="49" t="s">
        <v>880</v>
      </c>
      <c r="C1282" s="49" t="s">
        <v>10</v>
      </c>
      <c r="D1282" s="50">
        <v>258746</v>
      </c>
      <c r="E1282" s="50">
        <v>92474</v>
      </c>
      <c r="F1282" s="51">
        <v>0.35739296452892</v>
      </c>
      <c r="G1282" s="50">
        <v>1349</v>
      </c>
      <c r="H1282" s="51">
        <v>1.4587884162034701E-2</v>
      </c>
      <c r="I1282" s="51">
        <v>5.21360716687408E-3</v>
      </c>
      <c r="J1282" s="109" t="s">
        <v>1060</v>
      </c>
      <c r="K1282" s="109" t="s">
        <v>1054</v>
      </c>
    </row>
    <row r="1283" spans="1:11" x14ac:dyDescent="0.35">
      <c r="A1283" s="61">
        <v>45608</v>
      </c>
      <c r="B1283" s="49" t="s">
        <v>881</v>
      </c>
      <c r="C1283" s="49" t="s">
        <v>10</v>
      </c>
      <c r="D1283" s="50">
        <v>1385460</v>
      </c>
      <c r="E1283" s="50">
        <v>395964</v>
      </c>
      <c r="F1283" s="51">
        <v>0.28579966220605402</v>
      </c>
      <c r="G1283" s="50">
        <v>7873</v>
      </c>
      <c r="H1283" s="51">
        <v>1.98831206877393E-2</v>
      </c>
      <c r="I1283" s="51">
        <v>5.6825891761581003E-3</v>
      </c>
      <c r="J1283" s="109" t="s">
        <v>1055</v>
      </c>
      <c r="K1283" s="109" t="s">
        <v>1056</v>
      </c>
    </row>
    <row r="1284" spans="1:11" x14ac:dyDescent="0.35">
      <c r="A1284" s="61">
        <v>45608</v>
      </c>
      <c r="B1284" s="49" t="s">
        <v>881</v>
      </c>
      <c r="C1284" s="49" t="s">
        <v>11</v>
      </c>
      <c r="D1284" s="50">
        <v>93571</v>
      </c>
      <c r="E1284" s="50">
        <v>28542</v>
      </c>
      <c r="F1284" s="51">
        <v>0.30503040471941101</v>
      </c>
      <c r="G1284" s="50">
        <v>1033</v>
      </c>
      <c r="H1284" s="51">
        <v>3.6192278046387798E-2</v>
      </c>
      <c r="I1284" s="51">
        <v>1.1039745220207099E-2</v>
      </c>
      <c r="J1284" s="109" t="s">
        <v>1055</v>
      </c>
      <c r="K1284" s="109" t="s">
        <v>1056</v>
      </c>
    </row>
    <row r="1285" spans="1:11" x14ac:dyDescent="0.35">
      <c r="A1285" s="61">
        <v>45608</v>
      </c>
      <c r="B1285" s="49" t="s">
        <v>882</v>
      </c>
      <c r="C1285" s="49" t="s">
        <v>10</v>
      </c>
      <c r="D1285" s="50">
        <v>204149</v>
      </c>
      <c r="E1285" s="50">
        <v>68191</v>
      </c>
      <c r="F1285" s="51">
        <v>0.33402563813685099</v>
      </c>
      <c r="G1285" s="50">
        <v>1450</v>
      </c>
      <c r="H1285" s="51">
        <v>2.1263803141176998E-2</v>
      </c>
      <c r="I1285" s="51">
        <v>7.10265541344802E-3</v>
      </c>
      <c r="J1285" s="109" t="s">
        <v>1061</v>
      </c>
      <c r="K1285" s="109" t="s">
        <v>1054</v>
      </c>
    </row>
    <row r="1286" spans="1:11" x14ac:dyDescent="0.35">
      <c r="A1286" s="61">
        <v>45608</v>
      </c>
      <c r="B1286" s="49" t="s">
        <v>883</v>
      </c>
      <c r="C1286" s="49" t="s">
        <v>10</v>
      </c>
      <c r="D1286" s="50">
        <v>56048</v>
      </c>
      <c r="E1286" s="50">
        <v>19272</v>
      </c>
      <c r="F1286" s="51">
        <v>0.34384813017413601</v>
      </c>
      <c r="G1286" s="50">
        <v>242</v>
      </c>
      <c r="H1286" s="51">
        <v>1.25570776255708E-2</v>
      </c>
      <c r="I1286" s="51">
        <v>4.3177276620039997E-3</v>
      </c>
      <c r="J1286" s="109" t="s">
        <v>1060</v>
      </c>
      <c r="K1286" s="109" t="s">
        <v>1054</v>
      </c>
    </row>
    <row r="1287" spans="1:11" x14ac:dyDescent="0.35">
      <c r="A1287" s="61">
        <v>45608</v>
      </c>
      <c r="B1287" s="49" t="s">
        <v>884</v>
      </c>
      <c r="C1287" s="49" t="s">
        <v>10</v>
      </c>
      <c r="D1287" s="50">
        <v>534589</v>
      </c>
      <c r="E1287" s="50">
        <v>186751</v>
      </c>
      <c r="F1287" s="51">
        <v>0.34933565786052501</v>
      </c>
      <c r="G1287" s="50">
        <v>1204</v>
      </c>
      <c r="H1287" s="51">
        <v>6.4470872980599801E-3</v>
      </c>
      <c r="I1287" s="51">
        <v>2.2521974825520201E-3</v>
      </c>
      <c r="J1287" s="109" t="s">
        <v>1059</v>
      </c>
      <c r="K1287" s="109" t="s">
        <v>1056</v>
      </c>
    </row>
    <row r="1288" spans="1:11" x14ac:dyDescent="0.35">
      <c r="A1288" s="61">
        <v>45608</v>
      </c>
      <c r="B1288" s="49" t="s">
        <v>885</v>
      </c>
      <c r="C1288" s="49" t="s">
        <v>10</v>
      </c>
      <c r="D1288" s="50">
        <v>229556</v>
      </c>
      <c r="E1288" s="50">
        <v>82425</v>
      </c>
      <c r="F1288" s="51">
        <v>0.35906271236648102</v>
      </c>
      <c r="G1288" s="50">
        <v>581</v>
      </c>
      <c r="H1288" s="51">
        <v>7.0488322717622096E-3</v>
      </c>
      <c r="I1288" s="51">
        <v>2.5309728345153299E-3</v>
      </c>
      <c r="J1288" s="109" t="s">
        <v>1059</v>
      </c>
      <c r="K1288" s="109" t="s">
        <v>1056</v>
      </c>
    </row>
    <row r="1289" spans="1:11" x14ac:dyDescent="0.35">
      <c r="A1289" s="61">
        <v>45609</v>
      </c>
      <c r="B1289" s="49" t="s">
        <v>887</v>
      </c>
      <c r="C1289" s="49" t="s">
        <v>10</v>
      </c>
      <c r="D1289" s="50">
        <v>217861</v>
      </c>
      <c r="E1289" s="50">
        <v>93493</v>
      </c>
      <c r="F1289" s="51">
        <v>0.42914059882218503</v>
      </c>
      <c r="G1289" s="50">
        <v>1861</v>
      </c>
      <c r="H1289" s="51">
        <v>1.9905233546896599E-2</v>
      </c>
      <c r="I1289" s="51">
        <v>8.5421438440106308E-3</v>
      </c>
      <c r="J1289" s="109" t="s">
        <v>1055</v>
      </c>
      <c r="K1289" s="109" t="s">
        <v>1056</v>
      </c>
    </row>
    <row r="1290" spans="1:11" x14ac:dyDescent="0.35">
      <c r="A1290" s="61">
        <v>45609</v>
      </c>
      <c r="B1290" s="49" t="s">
        <v>887</v>
      </c>
      <c r="C1290" s="49" t="s">
        <v>11</v>
      </c>
      <c r="D1290" s="50">
        <v>13109</v>
      </c>
      <c r="E1290" s="50">
        <v>5889</v>
      </c>
      <c r="F1290" s="51">
        <v>0.44923335113280999</v>
      </c>
      <c r="G1290" s="50">
        <v>218</v>
      </c>
      <c r="H1290" s="51">
        <v>3.7018169468500603E-2</v>
      </c>
      <c r="I1290" s="51">
        <v>1.6629796323136801E-2</v>
      </c>
      <c r="J1290" s="109" t="s">
        <v>1055</v>
      </c>
      <c r="K1290" s="109" t="s">
        <v>1056</v>
      </c>
    </row>
    <row r="1291" spans="1:11" x14ac:dyDescent="0.35">
      <c r="A1291" s="61">
        <v>45609</v>
      </c>
      <c r="B1291" s="49" t="s">
        <v>886</v>
      </c>
      <c r="C1291" s="49" t="s">
        <v>10</v>
      </c>
      <c r="D1291" s="50">
        <v>56045</v>
      </c>
      <c r="E1291" s="50">
        <v>18952</v>
      </c>
      <c r="F1291" s="51">
        <v>0.338156838254974</v>
      </c>
      <c r="G1291" s="50">
        <v>324</v>
      </c>
      <c r="H1291" s="51">
        <v>1.7095821021528099E-2</v>
      </c>
      <c r="I1291" s="51">
        <v>5.7810687840128498E-3</v>
      </c>
      <c r="J1291" s="109" t="s">
        <v>1060</v>
      </c>
      <c r="K1291" s="109" t="s">
        <v>1054</v>
      </c>
    </row>
    <row r="1292" spans="1:11" x14ac:dyDescent="0.35">
      <c r="A1292" s="61">
        <v>45610</v>
      </c>
      <c r="B1292" s="49" t="s">
        <v>873</v>
      </c>
      <c r="C1292" s="49" t="s">
        <v>403</v>
      </c>
      <c r="D1292" s="50">
        <v>856380</v>
      </c>
      <c r="E1292" s="50">
        <v>278294</v>
      </c>
      <c r="F1292" s="60">
        <v>0.32500000000000001</v>
      </c>
      <c r="G1292" s="49">
        <v>612</v>
      </c>
      <c r="H1292" s="60">
        <v>2.2000000000000001E-3</v>
      </c>
      <c r="I1292" s="60">
        <v>6.9999999999999999E-4</v>
      </c>
      <c r="J1292" s="109" t="s">
        <v>1055</v>
      </c>
      <c r="K1292" s="109" t="s">
        <v>1056</v>
      </c>
    </row>
    <row r="1293" spans="1:11" x14ac:dyDescent="0.35">
      <c r="A1293" s="61">
        <v>45610</v>
      </c>
      <c r="B1293" s="49" t="s">
        <v>874</v>
      </c>
      <c r="C1293" s="49" t="s">
        <v>404</v>
      </c>
      <c r="D1293" s="50">
        <v>40862</v>
      </c>
      <c r="E1293" s="50">
        <v>12592</v>
      </c>
      <c r="F1293" s="60">
        <v>0.30819999999999997</v>
      </c>
      <c r="G1293" s="49">
        <v>53</v>
      </c>
      <c r="H1293" s="60">
        <v>4.1999999999999997E-3</v>
      </c>
      <c r="I1293" s="60">
        <v>1.2999999999999999E-3</v>
      </c>
      <c r="J1293" s="109" t="s">
        <v>1055</v>
      </c>
      <c r="K1293" s="109" t="s">
        <v>1056</v>
      </c>
    </row>
    <row r="1294" spans="1:11" x14ac:dyDescent="0.35">
      <c r="A1294" s="61">
        <v>45610</v>
      </c>
      <c r="B1294" s="49" t="s">
        <v>888</v>
      </c>
      <c r="C1294" s="49" t="s">
        <v>841</v>
      </c>
      <c r="D1294" s="50">
        <v>940795</v>
      </c>
      <c r="E1294" s="50">
        <v>347133</v>
      </c>
      <c r="F1294" s="51">
        <v>0.36897836404317602</v>
      </c>
      <c r="G1294" s="50">
        <v>2810</v>
      </c>
      <c r="H1294" s="51">
        <v>8.0948800603803193E-3</v>
      </c>
      <c r="I1294" s="51">
        <v>2.98683560180486E-3</v>
      </c>
      <c r="J1294" s="109" t="s">
        <v>1055</v>
      </c>
      <c r="K1294" s="109" t="s">
        <v>1056</v>
      </c>
    </row>
    <row r="1295" spans="1:11" x14ac:dyDescent="0.35">
      <c r="A1295" s="61">
        <v>45610</v>
      </c>
      <c r="B1295" s="49" t="s">
        <v>888</v>
      </c>
      <c r="C1295" s="49" t="s">
        <v>842</v>
      </c>
      <c r="D1295" s="50">
        <v>135118</v>
      </c>
      <c r="E1295" s="50">
        <v>50267</v>
      </c>
      <c r="F1295" s="51">
        <v>0.372022972512915</v>
      </c>
      <c r="G1295" s="50">
        <v>591</v>
      </c>
      <c r="H1295" s="51">
        <v>1.17572164640818E-2</v>
      </c>
      <c r="I1295" s="51">
        <v>4.3739546174454899E-3</v>
      </c>
      <c r="J1295" s="109" t="s">
        <v>1055</v>
      </c>
      <c r="K1295" s="109" t="s">
        <v>1056</v>
      </c>
    </row>
    <row r="1296" spans="1:11" x14ac:dyDescent="0.35">
      <c r="A1296" s="61">
        <v>45610</v>
      </c>
      <c r="B1296" s="49" t="s">
        <v>888</v>
      </c>
      <c r="C1296" s="49" t="s">
        <v>843</v>
      </c>
      <c r="D1296" s="50">
        <v>117708</v>
      </c>
      <c r="E1296" s="50">
        <v>37984</v>
      </c>
      <c r="F1296" s="51">
        <v>0.32269684303530799</v>
      </c>
      <c r="G1296" s="50">
        <v>427</v>
      </c>
      <c r="H1296" s="51">
        <v>1.1241575400168499E-2</v>
      </c>
      <c r="I1296" s="51">
        <v>3.6276208923777501E-3</v>
      </c>
      <c r="J1296" s="109" t="s">
        <v>1055</v>
      </c>
      <c r="K1296" s="109" t="s">
        <v>1056</v>
      </c>
    </row>
    <row r="1297" spans="1:11" x14ac:dyDescent="0.35">
      <c r="A1297" s="61">
        <v>45611</v>
      </c>
      <c r="B1297" s="49" t="s">
        <v>890</v>
      </c>
      <c r="C1297" s="49" t="s">
        <v>10</v>
      </c>
      <c r="D1297" s="50">
        <v>4284487</v>
      </c>
      <c r="E1297" s="50">
        <v>1353314</v>
      </c>
      <c r="F1297" s="51">
        <v>0.31586371950714298</v>
      </c>
      <c r="G1297" s="50">
        <v>19054</v>
      </c>
      <c r="H1297" s="51">
        <v>1.40795114807059E-2</v>
      </c>
      <c r="I1297" s="51">
        <v>4.4472068651392801E-3</v>
      </c>
      <c r="J1297" s="109" t="s">
        <v>1055</v>
      </c>
      <c r="K1297" s="109" t="s">
        <v>1056</v>
      </c>
    </row>
    <row r="1298" spans="1:11" x14ac:dyDescent="0.35">
      <c r="A1298" s="61">
        <v>45611</v>
      </c>
      <c r="B1298" s="49" t="s">
        <v>890</v>
      </c>
      <c r="C1298" s="49" t="s">
        <v>11</v>
      </c>
      <c r="D1298" s="50">
        <v>282020</v>
      </c>
      <c r="E1298" s="50">
        <v>77408</v>
      </c>
      <c r="F1298" s="51">
        <v>0.27447698744769899</v>
      </c>
      <c r="G1298" s="50">
        <v>1287</v>
      </c>
      <c r="H1298" s="51">
        <v>1.6626188507647799E-2</v>
      </c>
      <c r="I1298" s="51">
        <v>4.5635061343167202E-3</v>
      </c>
      <c r="J1298" s="109" t="s">
        <v>1055</v>
      </c>
      <c r="K1298" s="109" t="s">
        <v>1056</v>
      </c>
    </row>
    <row r="1299" spans="1:11" x14ac:dyDescent="0.35">
      <c r="A1299" s="61">
        <v>45611</v>
      </c>
      <c r="B1299" s="49" t="s">
        <v>889</v>
      </c>
      <c r="C1299" s="49" t="s">
        <v>10</v>
      </c>
      <c r="D1299" s="50">
        <v>287668</v>
      </c>
      <c r="E1299" s="50">
        <v>100107</v>
      </c>
      <c r="F1299" s="51">
        <v>0.34799491079994999</v>
      </c>
      <c r="G1299" s="50">
        <v>1741</v>
      </c>
      <c r="H1299" s="51">
        <v>1.73913912114038E-2</v>
      </c>
      <c r="I1299" s="51">
        <v>6.0521156332994999E-3</v>
      </c>
      <c r="J1299" s="109" t="s">
        <v>1057</v>
      </c>
      <c r="K1299" s="109" t="s">
        <v>1054</v>
      </c>
    </row>
    <row r="1300" spans="1:11" x14ac:dyDescent="0.35">
      <c r="A1300" s="121">
        <v>45611</v>
      </c>
      <c r="B1300" s="49" t="s">
        <v>891</v>
      </c>
      <c r="C1300" s="49" t="s">
        <v>10</v>
      </c>
      <c r="D1300" s="50">
        <v>695100</v>
      </c>
      <c r="E1300" s="50">
        <v>285062</v>
      </c>
      <c r="F1300" s="51">
        <v>0.41010214357646402</v>
      </c>
      <c r="G1300" s="50">
        <v>4450</v>
      </c>
      <c r="H1300" s="51">
        <v>1.56106390890403E-2</v>
      </c>
      <c r="I1300" s="51">
        <v>6.4019565530139596E-3</v>
      </c>
      <c r="J1300" s="109" t="s">
        <v>1055</v>
      </c>
      <c r="K1300" s="109" t="s">
        <v>1056</v>
      </c>
    </row>
    <row r="1301" spans="1:11" x14ac:dyDescent="0.35">
      <c r="A1301" s="61">
        <v>45611</v>
      </c>
      <c r="B1301" s="49" t="s">
        <v>891</v>
      </c>
      <c r="C1301" s="49" t="s">
        <v>11</v>
      </c>
      <c r="D1301" s="50">
        <v>35241</v>
      </c>
      <c r="E1301" s="50">
        <v>14296</v>
      </c>
      <c r="F1301" s="51">
        <v>0.40566385743877897</v>
      </c>
      <c r="G1301" s="50">
        <v>207</v>
      </c>
      <c r="H1301" s="51">
        <v>1.4479574706211499E-2</v>
      </c>
      <c r="I1301" s="51">
        <v>5.8738401293947397E-3</v>
      </c>
      <c r="J1301" s="109" t="s">
        <v>1055</v>
      </c>
      <c r="K1301" s="109" t="s">
        <v>1056</v>
      </c>
    </row>
    <row r="1302" spans="1:11" x14ac:dyDescent="0.35">
      <c r="A1302" s="61">
        <v>45611</v>
      </c>
      <c r="B1302" s="49" t="s">
        <v>892</v>
      </c>
      <c r="C1302" s="49" t="s">
        <v>75</v>
      </c>
      <c r="D1302" s="50">
        <v>595</v>
      </c>
      <c r="E1302" s="50">
        <v>294</v>
      </c>
      <c r="F1302" s="51">
        <v>0.49411764705882399</v>
      </c>
      <c r="G1302" s="50">
        <v>20</v>
      </c>
      <c r="H1302" s="51">
        <v>6.8027210884353706E-2</v>
      </c>
      <c r="I1302" s="51">
        <v>3.3613445378151301E-2</v>
      </c>
      <c r="J1302" s="109" t="s">
        <v>1055</v>
      </c>
      <c r="K1302" s="109" t="s">
        <v>1056</v>
      </c>
    </row>
    <row r="1303" spans="1:11" x14ac:dyDescent="0.35">
      <c r="A1303" s="61">
        <v>45611</v>
      </c>
      <c r="B1303" s="49" t="s">
        <v>892</v>
      </c>
      <c r="C1303" s="49" t="s">
        <v>73</v>
      </c>
      <c r="D1303" s="50">
        <v>11010</v>
      </c>
      <c r="E1303" s="50">
        <v>5831</v>
      </c>
      <c r="F1303" s="51">
        <v>0.52960944595822002</v>
      </c>
      <c r="G1303" s="50">
        <v>315</v>
      </c>
      <c r="H1303" s="51">
        <v>5.4021608643457397E-2</v>
      </c>
      <c r="I1303" s="51">
        <v>2.86103542234332E-2</v>
      </c>
      <c r="J1303" s="109" t="s">
        <v>1055</v>
      </c>
      <c r="K1303" s="109" t="s">
        <v>1056</v>
      </c>
    </row>
    <row r="1304" spans="1:11" x14ac:dyDescent="0.35">
      <c r="A1304" s="61">
        <v>45611</v>
      </c>
      <c r="B1304" s="49" t="s">
        <v>893</v>
      </c>
      <c r="C1304" s="49" t="s">
        <v>10</v>
      </c>
      <c r="D1304" s="50">
        <v>779063</v>
      </c>
      <c r="E1304" s="50">
        <v>294197</v>
      </c>
      <c r="F1304" s="51">
        <v>0.37762928030210702</v>
      </c>
      <c r="G1304" s="50">
        <v>5292</v>
      </c>
      <c r="H1304" s="51">
        <v>1.7987946851939302E-2</v>
      </c>
      <c r="I1304" s="51">
        <v>6.7927754238104E-3</v>
      </c>
      <c r="J1304" s="109" t="s">
        <v>1055</v>
      </c>
      <c r="K1304" s="109" t="s">
        <v>1056</v>
      </c>
    </row>
    <row r="1305" spans="1:11" x14ac:dyDescent="0.35">
      <c r="A1305" s="61">
        <v>45611</v>
      </c>
      <c r="B1305" s="49" t="s">
        <v>893</v>
      </c>
      <c r="C1305" s="49" t="s">
        <v>11</v>
      </c>
      <c r="D1305" s="50">
        <v>27636</v>
      </c>
      <c r="E1305" s="50">
        <v>9654</v>
      </c>
      <c r="F1305" s="51">
        <v>0.34932696482848502</v>
      </c>
      <c r="G1305" s="50">
        <v>200</v>
      </c>
      <c r="H1305" s="51">
        <v>2.0716801325875299E-2</v>
      </c>
      <c r="I1305" s="51">
        <v>7.2369373281227396E-3</v>
      </c>
      <c r="J1305" s="109" t="s">
        <v>1055</v>
      </c>
      <c r="K1305" s="109" t="s">
        <v>1056</v>
      </c>
    </row>
    <row r="1306" spans="1:11" x14ac:dyDescent="0.35">
      <c r="A1306" s="61">
        <v>45611</v>
      </c>
      <c r="B1306" s="49" t="s">
        <v>894</v>
      </c>
      <c r="C1306" s="49" t="s">
        <v>10</v>
      </c>
      <c r="D1306" s="50">
        <v>70742</v>
      </c>
      <c r="E1306" s="50">
        <v>30561</v>
      </c>
      <c r="F1306" s="51">
        <v>0.43200644595855398</v>
      </c>
      <c r="G1306" s="50">
        <v>822</v>
      </c>
      <c r="H1306" s="51">
        <v>2.68970256208894E-2</v>
      </c>
      <c r="I1306" s="51">
        <v>1.16196884453366E-2</v>
      </c>
      <c r="J1306" s="109" t="s">
        <v>1055</v>
      </c>
      <c r="K1306" s="109" t="s">
        <v>1056</v>
      </c>
    </row>
    <row r="1307" spans="1:11" x14ac:dyDescent="0.35">
      <c r="A1307" s="61">
        <v>45611</v>
      </c>
      <c r="B1307" s="49" t="s">
        <v>895</v>
      </c>
      <c r="C1307" s="49" t="s">
        <v>10</v>
      </c>
      <c r="D1307" s="50">
        <v>120399</v>
      </c>
      <c r="E1307" s="50">
        <v>46060</v>
      </c>
      <c r="F1307" s="51">
        <v>0.38256131695446</v>
      </c>
      <c r="G1307" s="50">
        <v>922</v>
      </c>
      <c r="H1307" s="51">
        <v>2.0017368649587499E-2</v>
      </c>
      <c r="I1307" s="51">
        <v>7.6578709125491098E-3</v>
      </c>
      <c r="J1307" s="109" t="s">
        <v>1055</v>
      </c>
      <c r="K1307" s="109" t="s">
        <v>1056</v>
      </c>
    </row>
    <row r="1308" spans="1:11" x14ac:dyDescent="0.35">
      <c r="A1308" s="61">
        <v>45611</v>
      </c>
      <c r="B1308" s="49" t="s">
        <v>895</v>
      </c>
      <c r="C1308" s="49" t="s">
        <v>11</v>
      </c>
      <c r="D1308" s="50">
        <v>13958</v>
      </c>
      <c r="E1308" s="50">
        <v>5147</v>
      </c>
      <c r="F1308" s="51">
        <v>0.368749104456226</v>
      </c>
      <c r="G1308" s="50">
        <v>123</v>
      </c>
      <c r="H1308" s="51">
        <v>2.3897415970468201E-2</v>
      </c>
      <c r="I1308" s="51">
        <v>8.8121507379280706E-3</v>
      </c>
      <c r="J1308" s="109" t="s">
        <v>1055</v>
      </c>
      <c r="K1308" s="109" t="s">
        <v>1056</v>
      </c>
    </row>
    <row r="1309" spans="1:11" x14ac:dyDescent="0.35">
      <c r="A1309" s="61">
        <v>45612</v>
      </c>
      <c r="B1309" s="49" t="s">
        <v>896</v>
      </c>
      <c r="C1309" s="49" t="s">
        <v>10</v>
      </c>
      <c r="D1309" s="50">
        <v>1285130</v>
      </c>
      <c r="E1309" s="50">
        <v>386174</v>
      </c>
      <c r="F1309" s="51">
        <v>0.30049411343599502</v>
      </c>
      <c r="G1309" s="50">
        <v>8804</v>
      </c>
      <c r="H1309" s="51">
        <v>2.27980133307784E-2</v>
      </c>
      <c r="I1309" s="51">
        <v>6.8506688039342298E-3</v>
      </c>
      <c r="J1309" s="109" t="s">
        <v>1055</v>
      </c>
      <c r="K1309" s="109" t="s">
        <v>1056</v>
      </c>
    </row>
    <row r="1310" spans="1:11" x14ac:dyDescent="0.35">
      <c r="A1310" s="61">
        <v>45612</v>
      </c>
      <c r="B1310" s="49" t="s">
        <v>896</v>
      </c>
      <c r="C1310" s="49" t="s">
        <v>11</v>
      </c>
      <c r="D1310" s="50">
        <v>93865</v>
      </c>
      <c r="E1310" s="50">
        <v>26448</v>
      </c>
      <c r="F1310" s="51">
        <v>0.28176636659031601</v>
      </c>
      <c r="G1310" s="50">
        <v>883</v>
      </c>
      <c r="H1310" s="51">
        <v>3.3386267392619497E-2</v>
      </c>
      <c r="I1310" s="51">
        <v>9.40712725723113E-3</v>
      </c>
      <c r="J1310" s="109" t="s">
        <v>1055</v>
      </c>
      <c r="K1310" s="109" t="s">
        <v>1056</v>
      </c>
    </row>
    <row r="1311" spans="1:11" x14ac:dyDescent="0.35">
      <c r="A1311" s="61">
        <v>45613</v>
      </c>
      <c r="B1311" s="49" t="s">
        <v>897</v>
      </c>
      <c r="C1311" s="49" t="s">
        <v>10</v>
      </c>
      <c r="D1311" s="50">
        <v>40551</v>
      </c>
      <c r="E1311" s="50">
        <v>15244</v>
      </c>
      <c r="F1311" s="51">
        <v>0.37592167887351702</v>
      </c>
      <c r="G1311" s="50">
        <v>309</v>
      </c>
      <c r="H1311" s="51">
        <v>2.0270270270270299E-2</v>
      </c>
      <c r="I1311" s="51">
        <v>7.6200340312199497E-3</v>
      </c>
      <c r="J1311" s="109" t="s">
        <v>1060</v>
      </c>
      <c r="K1311" s="109" t="s">
        <v>1054</v>
      </c>
    </row>
    <row r="1312" spans="1:11" x14ac:dyDescent="0.35">
      <c r="A1312" s="61">
        <v>45614</v>
      </c>
      <c r="B1312" s="49" t="s">
        <v>898</v>
      </c>
      <c r="C1312" s="49" t="s">
        <v>10</v>
      </c>
      <c r="D1312" s="50">
        <v>3873</v>
      </c>
      <c r="E1312" s="50">
        <v>1907</v>
      </c>
      <c r="F1312" s="51">
        <v>0.49238316550477701</v>
      </c>
      <c r="G1312" s="50">
        <v>232</v>
      </c>
      <c r="H1312" s="51">
        <v>0.12165705296276901</v>
      </c>
      <c r="I1312" s="51">
        <v>5.9901884843790297E-2</v>
      </c>
      <c r="J1312" s="109" t="s">
        <v>1059</v>
      </c>
      <c r="K1312" s="109" t="s">
        <v>1054</v>
      </c>
    </row>
    <row r="1313" spans="1:11" x14ac:dyDescent="0.35">
      <c r="A1313" s="61">
        <v>45614</v>
      </c>
      <c r="B1313" s="49" t="s">
        <v>898</v>
      </c>
      <c r="C1313" s="49" t="s">
        <v>11</v>
      </c>
      <c r="D1313" s="50">
        <v>1428</v>
      </c>
      <c r="E1313" s="50">
        <v>777</v>
      </c>
      <c r="F1313" s="51">
        <v>0.54411764705882304</v>
      </c>
      <c r="G1313" s="50">
        <v>115</v>
      </c>
      <c r="H1313" s="51">
        <v>0.148005148005148</v>
      </c>
      <c r="I1313" s="51">
        <v>8.0532212885154095E-2</v>
      </c>
      <c r="J1313" s="109" t="s">
        <v>1059</v>
      </c>
      <c r="K1313" s="109" t="s">
        <v>1054</v>
      </c>
    </row>
    <row r="1314" spans="1:11" x14ac:dyDescent="0.35">
      <c r="A1314" s="61">
        <v>45614</v>
      </c>
      <c r="B1314" s="49" t="s">
        <v>899</v>
      </c>
      <c r="C1314" s="49" t="s">
        <v>10</v>
      </c>
      <c r="D1314" s="50">
        <v>38279</v>
      </c>
      <c r="E1314" s="50">
        <v>15460</v>
      </c>
      <c r="F1314" s="51">
        <v>0.40387679928942799</v>
      </c>
      <c r="G1314" s="50">
        <v>585</v>
      </c>
      <c r="H1314" s="51">
        <v>3.7839586028460499E-2</v>
      </c>
      <c r="I1314" s="51">
        <v>1.52825308916116E-2</v>
      </c>
      <c r="J1314" s="109" t="s">
        <v>1059</v>
      </c>
      <c r="K1314" s="109" t="s">
        <v>1054</v>
      </c>
    </row>
    <row r="1315" spans="1:11" x14ac:dyDescent="0.35">
      <c r="A1315" s="61">
        <v>45614</v>
      </c>
      <c r="B1315" s="49" t="s">
        <v>899</v>
      </c>
      <c r="C1315" s="49" t="s">
        <v>11</v>
      </c>
      <c r="D1315" s="50">
        <v>15727</v>
      </c>
      <c r="E1315" s="50">
        <v>7099</v>
      </c>
      <c r="F1315" s="51">
        <v>0.45138933045081697</v>
      </c>
      <c r="G1315" s="50">
        <v>320</v>
      </c>
      <c r="H1315" s="51">
        <v>4.5076771376250199E-2</v>
      </c>
      <c r="I1315" s="51">
        <v>2.03471736504101E-2</v>
      </c>
      <c r="J1315" s="109" t="s">
        <v>1059</v>
      </c>
      <c r="K1315" s="109" t="s">
        <v>1054</v>
      </c>
    </row>
    <row r="1316" spans="1:11" x14ac:dyDescent="0.35">
      <c r="A1316" s="61">
        <v>45614</v>
      </c>
      <c r="B1316" s="49" t="s">
        <v>900</v>
      </c>
      <c r="C1316" s="49" t="s">
        <v>10</v>
      </c>
      <c r="D1316" s="50">
        <v>37229</v>
      </c>
      <c r="E1316" s="50">
        <v>14980</v>
      </c>
      <c r="F1316" s="51">
        <v>0.40237449300276701</v>
      </c>
      <c r="G1316" s="50">
        <v>1746</v>
      </c>
      <c r="H1316" s="51">
        <v>0.11655540720961299</v>
      </c>
      <c r="I1316" s="51">
        <v>4.6898922882699E-2</v>
      </c>
      <c r="J1316" s="109" t="s">
        <v>1053</v>
      </c>
      <c r="K1316" s="109" t="s">
        <v>1054</v>
      </c>
    </row>
    <row r="1317" spans="1:11" x14ac:dyDescent="0.35">
      <c r="A1317" s="61">
        <v>45615</v>
      </c>
      <c r="B1317" s="49" t="s">
        <v>901</v>
      </c>
      <c r="C1317" s="49" t="s">
        <v>10</v>
      </c>
      <c r="D1317" s="50">
        <v>1405047</v>
      </c>
      <c r="E1317" s="50">
        <v>405661</v>
      </c>
      <c r="F1317" s="51">
        <v>0.28871703224162598</v>
      </c>
      <c r="G1317" s="50">
        <v>11817</v>
      </c>
      <c r="H1317" s="51">
        <v>2.91302343582449E-2</v>
      </c>
      <c r="I1317" s="51">
        <v>8.4103948124155305E-3</v>
      </c>
      <c r="J1317" s="109" t="s">
        <v>1055</v>
      </c>
      <c r="K1317" s="109" t="s">
        <v>1056</v>
      </c>
    </row>
    <row r="1318" spans="1:11" x14ac:dyDescent="0.35">
      <c r="A1318" s="61">
        <v>45615</v>
      </c>
      <c r="B1318" s="49" t="s">
        <v>901</v>
      </c>
      <c r="C1318" s="49" t="s">
        <v>11</v>
      </c>
      <c r="D1318" s="50">
        <v>94445</v>
      </c>
      <c r="E1318" s="50">
        <v>29204</v>
      </c>
      <c r="F1318" s="51">
        <v>0.30922027868366397</v>
      </c>
      <c r="G1318" s="50">
        <v>1282</v>
      </c>
      <c r="H1318" s="51">
        <v>4.38980961512122E-2</v>
      </c>
      <c r="I1318" s="51">
        <v>1.35741815255601E-2</v>
      </c>
      <c r="J1318" s="109" t="s">
        <v>1055</v>
      </c>
      <c r="K1318" s="109" t="s">
        <v>1056</v>
      </c>
    </row>
    <row r="1319" spans="1:11" x14ac:dyDescent="0.35">
      <c r="A1319" s="61">
        <v>45615</v>
      </c>
      <c r="B1319" s="49" t="s">
        <v>902</v>
      </c>
      <c r="C1319" s="49" t="s">
        <v>11</v>
      </c>
      <c r="D1319" s="50">
        <v>29661</v>
      </c>
      <c r="E1319" s="50">
        <v>10486</v>
      </c>
      <c r="F1319" s="51">
        <v>0.35352820201611501</v>
      </c>
      <c r="G1319" s="50">
        <v>263</v>
      </c>
      <c r="H1319" s="51">
        <v>2.50810604615678E-2</v>
      </c>
      <c r="I1319" s="51">
        <v>8.8668622096355499E-3</v>
      </c>
      <c r="J1319" s="109" t="s">
        <v>1059</v>
      </c>
      <c r="K1319" s="109" t="s">
        <v>1054</v>
      </c>
    </row>
    <row r="1320" spans="1:11" x14ac:dyDescent="0.35">
      <c r="A1320" s="61">
        <v>45616</v>
      </c>
      <c r="B1320" s="49" t="s">
        <v>903</v>
      </c>
      <c r="C1320" s="49" t="s">
        <v>10</v>
      </c>
      <c r="D1320" s="50">
        <v>93532</v>
      </c>
      <c r="E1320" s="50">
        <v>42048</v>
      </c>
      <c r="F1320" s="51">
        <v>0.44955737073942598</v>
      </c>
      <c r="G1320" s="50">
        <v>1199</v>
      </c>
      <c r="H1320" s="51">
        <v>2.8515030441400298E-2</v>
      </c>
      <c r="I1320" s="51">
        <v>1.28191421117906E-2</v>
      </c>
      <c r="J1320" s="109" t="s">
        <v>1055</v>
      </c>
      <c r="K1320" s="109" t="s">
        <v>1056</v>
      </c>
    </row>
    <row r="1321" spans="1:11" x14ac:dyDescent="0.35">
      <c r="A1321" s="61">
        <v>45616</v>
      </c>
      <c r="B1321" s="49" t="s">
        <v>903</v>
      </c>
      <c r="C1321" s="49" t="s">
        <v>11</v>
      </c>
      <c r="D1321" s="50">
        <v>5406</v>
      </c>
      <c r="E1321" s="50">
        <v>2788</v>
      </c>
      <c r="F1321" s="51">
        <v>0.51572327044025201</v>
      </c>
      <c r="G1321" s="50">
        <v>126</v>
      </c>
      <c r="H1321" s="51">
        <v>4.5193687230990001E-2</v>
      </c>
      <c r="I1321" s="51">
        <v>2.3307436182020001E-2</v>
      </c>
      <c r="J1321" s="109" t="s">
        <v>1055</v>
      </c>
      <c r="K1321" s="109" t="s">
        <v>1056</v>
      </c>
    </row>
    <row r="1322" spans="1:11" x14ac:dyDescent="0.35">
      <c r="A1322" s="61">
        <v>45616</v>
      </c>
      <c r="B1322" s="49" t="s">
        <v>905</v>
      </c>
      <c r="C1322" s="49" t="s">
        <v>10</v>
      </c>
      <c r="D1322" s="50">
        <v>7948</v>
      </c>
      <c r="E1322" s="50">
        <v>4511</v>
      </c>
      <c r="F1322" s="51">
        <v>0.56756416708605895</v>
      </c>
      <c r="G1322" s="50">
        <v>658</v>
      </c>
      <c r="H1322" s="51">
        <v>0.14586566171580601</v>
      </c>
      <c r="I1322" s="51">
        <v>8.2788122798188202E-2</v>
      </c>
      <c r="J1322" s="109" t="s">
        <v>1055</v>
      </c>
      <c r="K1322" s="109" t="s">
        <v>1056</v>
      </c>
    </row>
    <row r="1323" spans="1:11" x14ac:dyDescent="0.35">
      <c r="A1323" s="61">
        <v>45616</v>
      </c>
      <c r="B1323" s="49" t="s">
        <v>905</v>
      </c>
      <c r="C1323" s="49" t="s">
        <v>11</v>
      </c>
      <c r="D1323" s="50">
        <v>172</v>
      </c>
      <c r="E1323" s="50">
        <v>101</v>
      </c>
      <c r="F1323" s="51">
        <v>0.587209302325581</v>
      </c>
      <c r="G1323" s="50">
        <v>16</v>
      </c>
      <c r="H1323" s="51">
        <v>0.158415841584158</v>
      </c>
      <c r="I1323" s="51">
        <v>9.3023255813953501E-2</v>
      </c>
      <c r="J1323" s="109" t="s">
        <v>1055</v>
      </c>
      <c r="K1323" s="109" t="s">
        <v>1056</v>
      </c>
    </row>
    <row r="1324" spans="1:11" x14ac:dyDescent="0.35">
      <c r="A1324" s="61">
        <v>45616</v>
      </c>
      <c r="B1324" s="49" t="s">
        <v>904</v>
      </c>
      <c r="C1324" s="49" t="s">
        <v>503</v>
      </c>
      <c r="D1324" s="50">
        <v>44723</v>
      </c>
      <c r="E1324" s="50">
        <v>14801</v>
      </c>
      <c r="F1324" s="51">
        <v>0.33094828164479101</v>
      </c>
      <c r="G1324" s="50">
        <v>281</v>
      </c>
      <c r="H1324" s="51">
        <v>1.8985203702452502E-2</v>
      </c>
      <c r="I1324" s="51">
        <v>6.2831205420030003E-3</v>
      </c>
      <c r="J1324" s="109" t="s">
        <v>1059</v>
      </c>
      <c r="K1324" s="109" t="s">
        <v>1056</v>
      </c>
    </row>
    <row r="1325" spans="1:11" x14ac:dyDescent="0.35">
      <c r="A1325" s="61">
        <v>45617</v>
      </c>
      <c r="B1325" s="49" t="s">
        <v>907</v>
      </c>
      <c r="C1325" s="49" t="s">
        <v>234</v>
      </c>
      <c r="D1325" s="50">
        <v>407717</v>
      </c>
      <c r="E1325" s="50">
        <v>147334</v>
      </c>
      <c r="F1325" s="60">
        <v>0.3614</v>
      </c>
      <c r="G1325" s="49">
        <v>380</v>
      </c>
      <c r="H1325" s="60">
        <v>2.5999999999999999E-3</v>
      </c>
      <c r="I1325" s="60">
        <v>8.9999999999999998E-4</v>
      </c>
      <c r="J1325" s="109" t="s">
        <v>1055</v>
      </c>
      <c r="K1325" s="109" t="s">
        <v>1056</v>
      </c>
    </row>
    <row r="1326" spans="1:11" x14ac:dyDescent="0.35">
      <c r="A1326" s="61">
        <v>45617</v>
      </c>
      <c r="B1326" s="49" t="s">
        <v>908</v>
      </c>
      <c r="C1326" s="49" t="s">
        <v>235</v>
      </c>
      <c r="D1326" s="50">
        <v>8257</v>
      </c>
      <c r="E1326" s="50">
        <v>2959</v>
      </c>
      <c r="F1326" s="60">
        <v>0.3584</v>
      </c>
      <c r="G1326" s="49">
        <v>15</v>
      </c>
      <c r="H1326" s="60">
        <v>5.1000000000000004E-3</v>
      </c>
      <c r="I1326" s="60">
        <v>1.8E-3</v>
      </c>
      <c r="J1326" s="109" t="s">
        <v>1055</v>
      </c>
      <c r="K1326" s="109" t="s">
        <v>1056</v>
      </c>
    </row>
    <row r="1327" spans="1:11" x14ac:dyDescent="0.35">
      <c r="A1327" s="61">
        <v>45617</v>
      </c>
      <c r="B1327" s="49" t="s">
        <v>906</v>
      </c>
      <c r="C1327" s="49" t="s">
        <v>10</v>
      </c>
      <c r="D1327" s="50">
        <v>6019639</v>
      </c>
      <c r="E1327" s="50">
        <v>1959225</v>
      </c>
      <c r="F1327" s="51">
        <v>0.325472175324799</v>
      </c>
      <c r="G1327" s="50">
        <v>22238</v>
      </c>
      <c r="H1327" s="51">
        <v>1.1350406410698099E-2</v>
      </c>
      <c r="I1327" s="51">
        <v>3.6942414653104599E-3</v>
      </c>
      <c r="J1327" s="109" t="s">
        <v>1061</v>
      </c>
      <c r="K1327" s="109" t="s">
        <v>1054</v>
      </c>
    </row>
    <row r="1328" spans="1:11" x14ac:dyDescent="0.35">
      <c r="A1328" s="61">
        <v>45617</v>
      </c>
      <c r="B1328" s="49" t="s">
        <v>906</v>
      </c>
      <c r="C1328" s="49" t="s">
        <v>11</v>
      </c>
      <c r="D1328" s="50">
        <v>404580</v>
      </c>
      <c r="E1328" s="50">
        <v>124179</v>
      </c>
      <c r="F1328" s="51">
        <v>0.30693311582381699</v>
      </c>
      <c r="G1328" s="50">
        <v>2174</v>
      </c>
      <c r="H1328" s="51">
        <v>1.7506985883281399E-2</v>
      </c>
      <c r="I1328" s="51">
        <v>5.3734737258391398E-3</v>
      </c>
      <c r="J1328" s="109" t="s">
        <v>1061</v>
      </c>
      <c r="K1328" s="109" t="s">
        <v>1054</v>
      </c>
    </row>
    <row r="1329" spans="1:11" x14ac:dyDescent="0.35">
      <c r="A1329" s="61">
        <v>45617</v>
      </c>
      <c r="B1329" s="49" t="s">
        <v>909</v>
      </c>
      <c r="C1329" s="49" t="s">
        <v>74</v>
      </c>
      <c r="D1329" s="50">
        <v>10700</v>
      </c>
      <c r="E1329" s="50">
        <v>3914</v>
      </c>
      <c r="F1329" s="51">
        <v>0.36579439252336399</v>
      </c>
      <c r="G1329" s="50">
        <v>59</v>
      </c>
      <c r="H1329" s="51">
        <v>1.5074092999488999E-2</v>
      </c>
      <c r="I1329" s="51">
        <v>5.5140186915887896E-3</v>
      </c>
      <c r="J1329" s="109" t="s">
        <v>1055</v>
      </c>
      <c r="K1329" s="109" t="s">
        <v>1056</v>
      </c>
    </row>
    <row r="1330" spans="1:11" x14ac:dyDescent="0.35">
      <c r="A1330" s="61">
        <v>45617</v>
      </c>
      <c r="B1330" s="49" t="s">
        <v>909</v>
      </c>
      <c r="C1330" s="49" t="s">
        <v>72</v>
      </c>
      <c r="D1330" s="50">
        <v>201750</v>
      </c>
      <c r="E1330" s="50">
        <v>75029</v>
      </c>
      <c r="F1330" s="51">
        <v>0.37189095415117701</v>
      </c>
      <c r="G1330" s="50">
        <v>859</v>
      </c>
      <c r="H1330" s="51">
        <v>1.14489064228498E-2</v>
      </c>
      <c r="I1330" s="51">
        <v>4.2577447335811602E-3</v>
      </c>
      <c r="J1330" s="109" t="s">
        <v>1055</v>
      </c>
      <c r="K1330" s="109" t="s">
        <v>1056</v>
      </c>
    </row>
    <row r="1331" spans="1:11" x14ac:dyDescent="0.35">
      <c r="A1331" s="61">
        <v>45617</v>
      </c>
      <c r="B1331" s="49" t="s">
        <v>909</v>
      </c>
      <c r="C1331" s="49" t="s">
        <v>75</v>
      </c>
      <c r="D1331" s="50">
        <v>933</v>
      </c>
      <c r="E1331" s="50">
        <v>358</v>
      </c>
      <c r="F1331" s="51">
        <v>0.383708467309753</v>
      </c>
      <c r="G1331" s="50">
        <v>5</v>
      </c>
      <c r="H1331" s="51">
        <v>1.3966480446927399E-2</v>
      </c>
      <c r="I1331" s="51">
        <v>5.3590568060021401E-3</v>
      </c>
      <c r="J1331" s="109" t="s">
        <v>1055</v>
      </c>
      <c r="K1331" s="109" t="s">
        <v>1056</v>
      </c>
    </row>
    <row r="1332" spans="1:11" x14ac:dyDescent="0.35">
      <c r="A1332" s="61">
        <v>45617</v>
      </c>
      <c r="B1332" s="49" t="s">
        <v>909</v>
      </c>
      <c r="C1332" s="49" t="s">
        <v>73</v>
      </c>
      <c r="D1332" s="50">
        <v>17694</v>
      </c>
      <c r="E1332" s="50">
        <v>7023</v>
      </c>
      <c r="F1332" s="51">
        <v>0.39691420820617201</v>
      </c>
      <c r="G1332" s="50">
        <v>109</v>
      </c>
      <c r="H1332" s="51">
        <v>1.55204328634487E-2</v>
      </c>
      <c r="I1332" s="51">
        <v>6.1602803210127699E-3</v>
      </c>
      <c r="J1332" s="109" t="s">
        <v>1055</v>
      </c>
      <c r="K1332" s="109" t="s">
        <v>1056</v>
      </c>
    </row>
    <row r="1333" spans="1:11" x14ac:dyDescent="0.35">
      <c r="A1333" s="61">
        <v>45618</v>
      </c>
      <c r="B1333" s="49" t="s">
        <v>911</v>
      </c>
      <c r="C1333" s="49" t="s">
        <v>10</v>
      </c>
      <c r="D1333" s="50">
        <v>4611282</v>
      </c>
      <c r="E1333" s="50">
        <v>1457443</v>
      </c>
      <c r="F1333" s="51">
        <v>0.31606026263412201</v>
      </c>
      <c r="G1333" s="50">
        <v>20847</v>
      </c>
      <c r="H1333" s="51">
        <v>1.4303818399759E-2</v>
      </c>
      <c r="I1333" s="51">
        <v>4.5208686000986296E-3</v>
      </c>
      <c r="J1333" s="109" t="s">
        <v>1055</v>
      </c>
      <c r="K1333" s="109" t="s">
        <v>1056</v>
      </c>
    </row>
    <row r="1334" spans="1:11" x14ac:dyDescent="0.35">
      <c r="A1334" s="61">
        <v>45618</v>
      </c>
      <c r="B1334" s="49" t="s">
        <v>911</v>
      </c>
      <c r="C1334" s="49" t="s">
        <v>11</v>
      </c>
      <c r="D1334" s="50">
        <v>304438</v>
      </c>
      <c r="E1334" s="50">
        <v>87258</v>
      </c>
      <c r="F1334" s="51">
        <v>0.28661993575046502</v>
      </c>
      <c r="G1334" s="50">
        <v>1425</v>
      </c>
      <c r="H1334" s="51">
        <v>1.63308808361411E-2</v>
      </c>
      <c r="I1334" s="51">
        <v>4.6807560160032598E-3</v>
      </c>
      <c r="J1334" s="109" t="s">
        <v>1055</v>
      </c>
      <c r="K1334" s="109" t="s">
        <v>1056</v>
      </c>
    </row>
    <row r="1335" spans="1:11" x14ac:dyDescent="0.35">
      <c r="A1335" s="61">
        <v>45618</v>
      </c>
      <c r="B1335" s="49" t="s">
        <v>910</v>
      </c>
      <c r="C1335" s="49" t="s">
        <v>10</v>
      </c>
      <c r="D1335" s="50">
        <v>349232</v>
      </c>
      <c r="E1335" s="50">
        <v>124598</v>
      </c>
      <c r="F1335" s="51">
        <v>0.356777156732487</v>
      </c>
      <c r="G1335" s="50">
        <v>2236</v>
      </c>
      <c r="H1335" s="51">
        <v>1.7945713414340501E-2</v>
      </c>
      <c r="I1335" s="51">
        <v>6.4026206075044698E-3</v>
      </c>
      <c r="J1335" s="109" t="s">
        <v>1057</v>
      </c>
      <c r="K1335" s="109" t="s">
        <v>1054</v>
      </c>
    </row>
    <row r="1336" spans="1:11" x14ac:dyDescent="0.35">
      <c r="A1336" s="61">
        <v>45618</v>
      </c>
      <c r="B1336" s="49" t="s">
        <v>910</v>
      </c>
      <c r="C1336" s="49" t="s">
        <v>11</v>
      </c>
      <c r="D1336" s="50">
        <v>21823</v>
      </c>
      <c r="E1336" s="50">
        <v>7619</v>
      </c>
      <c r="F1336" s="51">
        <v>0.34912706777253399</v>
      </c>
      <c r="G1336" s="50">
        <v>230</v>
      </c>
      <c r="H1336" s="51">
        <v>3.01876886730542E-2</v>
      </c>
      <c r="I1336" s="51">
        <v>1.05393392292535E-2</v>
      </c>
      <c r="J1336" s="109" t="s">
        <v>1057</v>
      </c>
      <c r="K1336" s="109" t="s">
        <v>1054</v>
      </c>
    </row>
    <row r="1337" spans="1:11" x14ac:dyDescent="0.35">
      <c r="A1337" s="61">
        <v>45618</v>
      </c>
      <c r="B1337" s="49" t="s">
        <v>915</v>
      </c>
      <c r="C1337" s="49" t="s">
        <v>10</v>
      </c>
      <c r="D1337" s="50">
        <v>82226</v>
      </c>
      <c r="E1337" s="50">
        <v>27553</v>
      </c>
      <c r="F1337" s="51">
        <v>0.33508865808868199</v>
      </c>
      <c r="G1337" s="50">
        <v>762</v>
      </c>
      <c r="H1337" s="51">
        <v>2.7655790658004602E-2</v>
      </c>
      <c r="I1337" s="51">
        <v>9.2671417799722704E-3</v>
      </c>
      <c r="J1337" s="109" t="s">
        <v>1055</v>
      </c>
      <c r="K1337" s="109" t="s">
        <v>1056</v>
      </c>
    </row>
    <row r="1338" spans="1:11" x14ac:dyDescent="0.35">
      <c r="A1338" s="61">
        <v>45618</v>
      </c>
      <c r="B1338" s="49" t="s">
        <v>915</v>
      </c>
      <c r="C1338" s="49" t="s">
        <v>11</v>
      </c>
      <c r="D1338" s="50">
        <v>1292</v>
      </c>
      <c r="E1338" s="50">
        <v>507</v>
      </c>
      <c r="F1338" s="51">
        <v>0.39241486068111497</v>
      </c>
      <c r="G1338" s="50">
        <v>19</v>
      </c>
      <c r="H1338" s="51">
        <v>3.7475345167652899E-2</v>
      </c>
      <c r="I1338" s="51">
        <v>1.4705882352941201E-2</v>
      </c>
      <c r="J1338" s="109" t="s">
        <v>1055</v>
      </c>
      <c r="K1338" s="109" t="s">
        <v>1056</v>
      </c>
    </row>
    <row r="1339" spans="1:11" x14ac:dyDescent="0.35">
      <c r="A1339" s="61">
        <v>45618</v>
      </c>
      <c r="B1339" s="49" t="s">
        <v>912</v>
      </c>
      <c r="C1339" s="49" t="s">
        <v>10</v>
      </c>
      <c r="D1339" s="50">
        <v>263332</v>
      </c>
      <c r="E1339" s="50">
        <v>95050</v>
      </c>
      <c r="F1339" s="51">
        <v>0.36095119468959302</v>
      </c>
      <c r="G1339" s="50">
        <v>1566</v>
      </c>
      <c r="H1339" s="51">
        <v>1.64755391899001E-2</v>
      </c>
      <c r="I1339" s="51">
        <v>5.9468655537496399E-3</v>
      </c>
      <c r="J1339" s="109" t="s">
        <v>1060</v>
      </c>
      <c r="K1339" s="109" t="s">
        <v>1054</v>
      </c>
    </row>
    <row r="1340" spans="1:11" x14ac:dyDescent="0.35">
      <c r="A1340" s="61">
        <v>45618</v>
      </c>
      <c r="B1340" s="49" t="s">
        <v>913</v>
      </c>
      <c r="C1340" s="49" t="s">
        <v>10</v>
      </c>
      <c r="D1340" s="50">
        <v>11552</v>
      </c>
      <c r="E1340" s="50">
        <v>5481</v>
      </c>
      <c r="F1340" s="51">
        <v>0.47446329639889201</v>
      </c>
      <c r="G1340" s="50">
        <v>237</v>
      </c>
      <c r="H1340" s="51">
        <v>4.3240284619594997E-2</v>
      </c>
      <c r="I1340" s="51">
        <v>2.0515927977839299E-2</v>
      </c>
      <c r="J1340" s="109" t="s">
        <v>1059</v>
      </c>
      <c r="K1340" s="109" t="s">
        <v>1056</v>
      </c>
    </row>
    <row r="1341" spans="1:11" x14ac:dyDescent="0.35">
      <c r="A1341" s="61">
        <v>45618</v>
      </c>
      <c r="B1341" s="49" t="s">
        <v>913</v>
      </c>
      <c r="C1341" s="49" t="s">
        <v>11</v>
      </c>
      <c r="D1341" s="50">
        <v>529</v>
      </c>
      <c r="E1341" s="50">
        <v>251</v>
      </c>
      <c r="F1341" s="51">
        <v>0.47448015122873299</v>
      </c>
      <c r="G1341" s="50">
        <v>11</v>
      </c>
      <c r="H1341" s="51">
        <v>4.3824701195219098E-2</v>
      </c>
      <c r="I1341" s="51">
        <v>2.0793950850661599E-2</v>
      </c>
      <c r="J1341" s="109" t="s">
        <v>1059</v>
      </c>
      <c r="K1341" s="109" t="s">
        <v>1056</v>
      </c>
    </row>
    <row r="1342" spans="1:11" x14ac:dyDescent="0.35">
      <c r="A1342" s="61">
        <v>45618</v>
      </c>
      <c r="B1342" s="49" t="s">
        <v>914</v>
      </c>
      <c r="C1342" s="49" t="s">
        <v>10</v>
      </c>
      <c r="D1342" s="50">
        <v>20405</v>
      </c>
      <c r="E1342" s="50">
        <v>9977</v>
      </c>
      <c r="F1342" s="51">
        <v>0.48894878706199502</v>
      </c>
      <c r="G1342" s="50">
        <v>634</v>
      </c>
      <c r="H1342" s="51">
        <v>6.3546156159166103E-2</v>
      </c>
      <c r="I1342" s="51">
        <v>3.1070815976476401E-2</v>
      </c>
      <c r="J1342" s="109" t="s">
        <v>1059</v>
      </c>
      <c r="K1342" s="109" t="s">
        <v>1056</v>
      </c>
    </row>
    <row r="1343" spans="1:11" x14ac:dyDescent="0.35">
      <c r="A1343" s="61">
        <v>45618</v>
      </c>
      <c r="B1343" s="49" t="s">
        <v>914</v>
      </c>
      <c r="C1343" s="49" t="s">
        <v>11</v>
      </c>
      <c r="D1343" s="50">
        <v>344</v>
      </c>
      <c r="E1343" s="50">
        <v>183</v>
      </c>
      <c r="F1343" s="51">
        <v>0.53197674418604601</v>
      </c>
      <c r="G1343" s="50">
        <v>13</v>
      </c>
      <c r="H1343" s="51">
        <v>7.10382513661202E-2</v>
      </c>
      <c r="I1343" s="51">
        <v>3.7790697674418602E-2</v>
      </c>
      <c r="J1343" s="109" t="s">
        <v>1059</v>
      </c>
      <c r="K1343" s="109" t="s">
        <v>1056</v>
      </c>
    </row>
    <row r="1344" spans="1:11" x14ac:dyDescent="0.35">
      <c r="A1344" s="61">
        <v>45619</v>
      </c>
      <c r="B1344" s="49" t="s">
        <v>917</v>
      </c>
      <c r="C1344" s="49" t="s">
        <v>10</v>
      </c>
      <c r="D1344" s="50">
        <v>516940</v>
      </c>
      <c r="E1344" s="50">
        <v>206542</v>
      </c>
      <c r="F1344" s="51">
        <v>0.39954733624791999</v>
      </c>
      <c r="G1344" s="50">
        <v>4103</v>
      </c>
      <c r="H1344" s="51">
        <v>1.9865209013178901E-2</v>
      </c>
      <c r="I1344" s="51">
        <v>7.9370913452238203E-3</v>
      </c>
      <c r="J1344" s="109" t="s">
        <v>1055</v>
      </c>
      <c r="K1344" s="109" t="s">
        <v>1056</v>
      </c>
    </row>
    <row r="1345" spans="1:11" x14ac:dyDescent="0.35">
      <c r="A1345" s="61">
        <v>45619</v>
      </c>
      <c r="B1345" s="49" t="s">
        <v>916</v>
      </c>
      <c r="C1345" s="49" t="s">
        <v>10</v>
      </c>
      <c r="D1345" s="50">
        <v>1752497</v>
      </c>
      <c r="E1345" s="50">
        <v>613106</v>
      </c>
      <c r="F1345" s="51">
        <v>0.349847103875214</v>
      </c>
      <c r="G1345" s="50">
        <v>5384</v>
      </c>
      <c r="H1345" s="51">
        <v>8.7815157574709698E-3</v>
      </c>
      <c r="I1345" s="51">
        <v>3.0721878553857701E-3</v>
      </c>
      <c r="J1345" s="109" t="s">
        <v>1059</v>
      </c>
      <c r="K1345" s="109" t="s">
        <v>1056</v>
      </c>
    </row>
    <row r="1346" spans="1:11" x14ac:dyDescent="0.35">
      <c r="A1346" s="61">
        <v>45621</v>
      </c>
      <c r="B1346" s="49" t="s">
        <v>918</v>
      </c>
      <c r="C1346" s="49" t="s">
        <v>10</v>
      </c>
      <c r="D1346" s="50">
        <v>57023</v>
      </c>
      <c r="E1346" s="50">
        <v>19748</v>
      </c>
      <c r="F1346" s="51">
        <v>0.34631639864615998</v>
      </c>
      <c r="G1346" s="50">
        <v>338</v>
      </c>
      <c r="H1346" s="51">
        <v>1.7115657281750001E-2</v>
      </c>
      <c r="I1346" s="51">
        <v>5.9274327902776097E-3</v>
      </c>
      <c r="J1346" s="109" t="s">
        <v>1060</v>
      </c>
      <c r="K1346" s="109" t="s">
        <v>1054</v>
      </c>
    </row>
    <row r="1347" spans="1:11" x14ac:dyDescent="0.35">
      <c r="A1347" s="61">
        <v>45621</v>
      </c>
      <c r="B1347" s="49" t="s">
        <v>919</v>
      </c>
      <c r="C1347" s="49" t="s">
        <v>10</v>
      </c>
      <c r="D1347" s="50">
        <v>43834</v>
      </c>
      <c r="E1347" s="50">
        <v>19490</v>
      </c>
      <c r="F1347" s="51">
        <v>0.44463202080576703</v>
      </c>
      <c r="G1347" s="50">
        <v>795</v>
      </c>
      <c r="H1347" s="51">
        <v>4.0790148794253502E-2</v>
      </c>
      <c r="I1347" s="51">
        <v>1.8136606287356801E-2</v>
      </c>
      <c r="J1347" s="109" t="s">
        <v>1058</v>
      </c>
      <c r="K1347" s="109" t="s">
        <v>1054</v>
      </c>
    </row>
    <row r="1348" spans="1:11" x14ac:dyDescent="0.35">
      <c r="A1348" s="61">
        <v>45622</v>
      </c>
      <c r="B1348" s="49" t="s">
        <v>920</v>
      </c>
      <c r="C1348" s="49" t="s">
        <v>10</v>
      </c>
      <c r="D1348" s="50">
        <v>1399580</v>
      </c>
      <c r="E1348" s="50">
        <v>397834</v>
      </c>
      <c r="F1348" s="51">
        <v>0.28425241858271799</v>
      </c>
      <c r="G1348" s="50">
        <v>10383</v>
      </c>
      <c r="H1348" s="51">
        <v>2.6098825138122901E-2</v>
      </c>
      <c r="I1348" s="51">
        <v>7.4186541676788797E-3</v>
      </c>
      <c r="J1348" s="109" t="s">
        <v>1055</v>
      </c>
      <c r="K1348" s="109" t="s">
        <v>1056</v>
      </c>
    </row>
    <row r="1349" spans="1:11" x14ac:dyDescent="0.35">
      <c r="A1349" s="61">
        <v>45622</v>
      </c>
      <c r="B1349" s="49" t="s">
        <v>920</v>
      </c>
      <c r="C1349" s="49" t="s">
        <v>11</v>
      </c>
      <c r="D1349" s="50">
        <v>94198</v>
      </c>
      <c r="E1349" s="50">
        <v>29134</v>
      </c>
      <c r="F1349" s="51">
        <v>0.30928469818892101</v>
      </c>
      <c r="G1349" s="50">
        <v>1009</v>
      </c>
      <c r="H1349" s="51">
        <v>3.4633074758014699E-2</v>
      </c>
      <c r="I1349" s="51">
        <v>1.0711480073886901E-2</v>
      </c>
      <c r="J1349" s="109" t="s">
        <v>1055</v>
      </c>
      <c r="K1349" s="109" t="s">
        <v>1056</v>
      </c>
    </row>
    <row r="1350" spans="1:11" x14ac:dyDescent="0.35">
      <c r="A1350" s="61">
        <v>45622</v>
      </c>
      <c r="B1350" s="49" t="s">
        <v>921</v>
      </c>
      <c r="C1350" s="49" t="s">
        <v>10</v>
      </c>
      <c r="D1350" s="50">
        <v>7754</v>
      </c>
      <c r="E1350" s="50">
        <v>3374</v>
      </c>
      <c r="F1350" s="51">
        <v>0.435130255352076</v>
      </c>
      <c r="G1350" s="50">
        <v>162</v>
      </c>
      <c r="H1350" s="51">
        <v>4.8014226437463003E-2</v>
      </c>
      <c r="I1350" s="51">
        <v>2.08924426102657E-2</v>
      </c>
      <c r="J1350" s="109" t="s">
        <v>1059</v>
      </c>
      <c r="K1350" s="109" t="s">
        <v>1056</v>
      </c>
    </row>
    <row r="1351" spans="1:11" x14ac:dyDescent="0.35">
      <c r="A1351" s="61">
        <v>45622</v>
      </c>
      <c r="B1351" s="49" t="s">
        <v>921</v>
      </c>
      <c r="C1351" s="49" t="s">
        <v>11</v>
      </c>
      <c r="D1351" s="50">
        <v>2320</v>
      </c>
      <c r="E1351" s="50">
        <v>999</v>
      </c>
      <c r="F1351" s="51">
        <v>0.430603448275862</v>
      </c>
      <c r="G1351" s="50">
        <v>55</v>
      </c>
      <c r="H1351" s="51">
        <v>5.5055055055055098E-2</v>
      </c>
      <c r="I1351" s="51">
        <v>2.3706896551724099E-2</v>
      </c>
      <c r="J1351" s="109" t="s">
        <v>1059</v>
      </c>
      <c r="K1351" s="109" t="s">
        <v>1056</v>
      </c>
    </row>
    <row r="1352" spans="1:11" x14ac:dyDescent="0.35">
      <c r="A1352" s="61">
        <v>45623</v>
      </c>
      <c r="B1352" s="49" t="s">
        <v>924</v>
      </c>
      <c r="C1352" s="49" t="s">
        <v>10</v>
      </c>
      <c r="D1352" s="50">
        <v>180024</v>
      </c>
      <c r="E1352" s="50">
        <v>80703</v>
      </c>
      <c r="F1352" s="51">
        <v>0.44829022796960399</v>
      </c>
      <c r="G1352" s="50">
        <v>1516</v>
      </c>
      <c r="H1352" s="51">
        <v>1.8784927450032799E-2</v>
      </c>
      <c r="I1352" s="51">
        <v>8.4210994089676892E-3</v>
      </c>
      <c r="J1352" s="109" t="s">
        <v>1055</v>
      </c>
      <c r="K1352" s="109" t="s">
        <v>1056</v>
      </c>
    </row>
    <row r="1353" spans="1:11" x14ac:dyDescent="0.35">
      <c r="A1353" s="61">
        <v>45623</v>
      </c>
      <c r="B1353" s="49" t="s">
        <v>924</v>
      </c>
      <c r="C1353" s="49" t="s">
        <v>11</v>
      </c>
      <c r="D1353" s="50">
        <v>12932</v>
      </c>
      <c r="E1353" s="50">
        <v>6046</v>
      </c>
      <c r="F1353" s="51">
        <v>0.46752242499226698</v>
      </c>
      <c r="G1353" s="50">
        <v>173</v>
      </c>
      <c r="H1353" s="51">
        <v>2.8613959642738999E-2</v>
      </c>
      <c r="I1353" s="51">
        <v>1.33776678008042E-2</v>
      </c>
      <c r="J1353" s="109" t="s">
        <v>1055</v>
      </c>
      <c r="K1353" s="109" t="s">
        <v>1056</v>
      </c>
    </row>
    <row r="1354" spans="1:11" x14ac:dyDescent="0.35">
      <c r="A1354" s="61">
        <v>45623</v>
      </c>
      <c r="B1354" s="49" t="s">
        <v>922</v>
      </c>
      <c r="C1354" s="49" t="s">
        <v>623</v>
      </c>
      <c r="D1354" s="50">
        <v>13295</v>
      </c>
      <c r="E1354" s="50">
        <v>3409</v>
      </c>
      <c r="F1354" s="51">
        <v>0.256412185031967</v>
      </c>
      <c r="G1354" s="50">
        <v>522</v>
      </c>
      <c r="H1354" s="51">
        <v>0.15312408330888799</v>
      </c>
      <c r="I1354" s="51">
        <v>3.9262880782249002E-2</v>
      </c>
      <c r="J1354" s="109" t="s">
        <v>1061</v>
      </c>
      <c r="K1354" s="109" t="s">
        <v>1054</v>
      </c>
    </row>
    <row r="1355" spans="1:11" x14ac:dyDescent="0.35">
      <c r="A1355" s="61">
        <v>45623</v>
      </c>
      <c r="B1355" s="49" t="s">
        <v>923</v>
      </c>
      <c r="C1355" s="49" t="s">
        <v>625</v>
      </c>
      <c r="D1355" s="50">
        <v>3403</v>
      </c>
      <c r="E1355" s="50">
        <v>528</v>
      </c>
      <c r="F1355" s="51">
        <v>0.155157214222745</v>
      </c>
      <c r="G1355" s="50">
        <v>84</v>
      </c>
      <c r="H1355" s="51">
        <v>0.15909090909090901</v>
      </c>
      <c r="I1355" s="51">
        <v>2.4684102262709399E-2</v>
      </c>
      <c r="J1355" s="109" t="s">
        <v>1061</v>
      </c>
      <c r="K1355" s="109" t="s">
        <v>1054</v>
      </c>
    </row>
    <row r="1356" spans="1:11" x14ac:dyDescent="0.35">
      <c r="A1356" s="61">
        <v>45623</v>
      </c>
      <c r="B1356" s="49" t="s">
        <v>904</v>
      </c>
      <c r="C1356" s="49" t="s">
        <v>925</v>
      </c>
      <c r="D1356" s="50">
        <v>44578</v>
      </c>
      <c r="E1356" s="50">
        <v>14895</v>
      </c>
      <c r="F1356" s="51">
        <v>0.33413342904571802</v>
      </c>
      <c r="G1356" s="50">
        <v>199</v>
      </c>
      <c r="H1356" s="51">
        <v>1.33601879825445E-2</v>
      </c>
      <c r="I1356" s="51">
        <v>4.4640854233029704E-3</v>
      </c>
      <c r="J1356" s="109" t="s">
        <v>1059</v>
      </c>
      <c r="K1356" s="109" t="s">
        <v>1056</v>
      </c>
    </row>
    <row r="1357" spans="1:11" x14ac:dyDescent="0.35">
      <c r="A1357" s="61">
        <v>45624</v>
      </c>
      <c r="B1357" s="49" t="s">
        <v>926</v>
      </c>
      <c r="C1357" s="49" t="s">
        <v>927</v>
      </c>
      <c r="D1357" s="50">
        <v>1048540</v>
      </c>
      <c r="E1357" s="50">
        <v>407424</v>
      </c>
      <c r="F1357" s="60">
        <v>0.3886</v>
      </c>
      <c r="G1357" s="50">
        <v>1598</v>
      </c>
      <c r="H1357" s="60">
        <v>3.8999999999999998E-3</v>
      </c>
      <c r="I1357" s="60">
        <v>1.5E-3</v>
      </c>
      <c r="J1357" s="109" t="s">
        <v>1055</v>
      </c>
      <c r="K1357" s="109" t="s">
        <v>1056</v>
      </c>
    </row>
    <row r="1358" spans="1:11" x14ac:dyDescent="0.35">
      <c r="A1358" s="61">
        <v>45624</v>
      </c>
      <c r="B1358" s="49" t="s">
        <v>928</v>
      </c>
      <c r="C1358" s="49" t="s">
        <v>927</v>
      </c>
      <c r="D1358" s="50">
        <v>655437</v>
      </c>
      <c r="E1358" s="50">
        <v>249074</v>
      </c>
      <c r="F1358" s="60">
        <v>0.38</v>
      </c>
      <c r="G1358" s="49">
        <v>831</v>
      </c>
      <c r="H1358" s="60">
        <v>3.3E-3</v>
      </c>
      <c r="I1358" s="60">
        <v>1.2999999999999999E-3</v>
      </c>
      <c r="J1358" s="109" t="s">
        <v>1055</v>
      </c>
      <c r="K1358" s="109" t="s">
        <v>1056</v>
      </c>
    </row>
    <row r="1359" spans="1:11" x14ac:dyDescent="0.35">
      <c r="A1359" s="61">
        <v>45624</v>
      </c>
      <c r="B1359" s="49" t="s">
        <v>929</v>
      </c>
      <c r="C1359" s="49" t="s">
        <v>930</v>
      </c>
      <c r="D1359" s="50">
        <v>4122</v>
      </c>
      <c r="E1359" s="50">
        <v>1497</v>
      </c>
      <c r="F1359" s="60">
        <v>0.36320000000000002</v>
      </c>
      <c r="G1359" s="49">
        <v>2</v>
      </c>
      <c r="H1359" s="60">
        <v>1.2999999999999999E-3</v>
      </c>
      <c r="I1359" s="60">
        <v>5.0000000000000001E-4</v>
      </c>
      <c r="J1359" s="109" t="s">
        <v>1055</v>
      </c>
      <c r="K1359" s="109" t="s">
        <v>1056</v>
      </c>
    </row>
    <row r="1360" spans="1:11" x14ac:dyDescent="0.35">
      <c r="A1360" s="61">
        <v>45625</v>
      </c>
      <c r="B1360" s="49" t="s">
        <v>932</v>
      </c>
      <c r="C1360" s="49" t="s">
        <v>10</v>
      </c>
      <c r="D1360" s="50">
        <v>4692399</v>
      </c>
      <c r="E1360" s="50">
        <v>1359935</v>
      </c>
      <c r="F1360" s="51">
        <v>0.28981657356929802</v>
      </c>
      <c r="G1360" s="50">
        <v>16929</v>
      </c>
      <c r="H1360" s="51">
        <v>1.24483890774191E-2</v>
      </c>
      <c r="I1360" s="51">
        <v>3.6077494688750902E-3</v>
      </c>
      <c r="J1360" s="109" t="s">
        <v>1055</v>
      </c>
      <c r="K1360" s="109" t="s">
        <v>1056</v>
      </c>
    </row>
    <row r="1361" spans="1:11" x14ac:dyDescent="0.35">
      <c r="A1361" s="61">
        <v>45625</v>
      </c>
      <c r="B1361" s="49" t="s">
        <v>932</v>
      </c>
      <c r="C1361" s="49" t="s">
        <v>11</v>
      </c>
      <c r="D1361" s="50">
        <v>269376</v>
      </c>
      <c r="E1361" s="50">
        <v>71802</v>
      </c>
      <c r="F1361" s="51">
        <v>0.26654935851746298</v>
      </c>
      <c r="G1361" s="50">
        <v>1574</v>
      </c>
      <c r="H1361" s="51">
        <v>2.1921394947216E-2</v>
      </c>
      <c r="I1361" s="51">
        <v>5.8431337609883604E-3</v>
      </c>
      <c r="J1361" s="109" t="s">
        <v>1055</v>
      </c>
      <c r="K1361" s="109" t="s">
        <v>1056</v>
      </c>
    </row>
    <row r="1362" spans="1:11" x14ac:dyDescent="0.35">
      <c r="A1362" s="61">
        <v>45625</v>
      </c>
      <c r="B1362" s="49" t="s">
        <v>931</v>
      </c>
      <c r="C1362" s="49" t="s">
        <v>10</v>
      </c>
      <c r="D1362" s="50">
        <v>373030</v>
      </c>
      <c r="E1362" s="50">
        <v>133645</v>
      </c>
      <c r="F1362" s="51">
        <v>0.35826877194863699</v>
      </c>
      <c r="G1362" s="50">
        <v>2772</v>
      </c>
      <c r="H1362" s="51">
        <v>2.0741516704702801E-2</v>
      </c>
      <c r="I1362" s="51">
        <v>7.4310377181459903E-3</v>
      </c>
      <c r="J1362" s="109" t="s">
        <v>1057</v>
      </c>
      <c r="K1362" s="109" t="s">
        <v>1054</v>
      </c>
    </row>
    <row r="1363" spans="1:11" x14ac:dyDescent="0.35">
      <c r="A1363" s="61">
        <v>45625</v>
      </c>
      <c r="B1363" s="49" t="s">
        <v>941</v>
      </c>
      <c r="C1363" s="49" t="s">
        <v>75</v>
      </c>
      <c r="D1363" s="50">
        <v>746</v>
      </c>
      <c r="E1363" s="50">
        <v>335</v>
      </c>
      <c r="F1363" s="51">
        <v>0.449061662198391</v>
      </c>
      <c r="G1363" s="50">
        <v>12</v>
      </c>
      <c r="H1363" s="51">
        <v>3.5820895522388103E-2</v>
      </c>
      <c r="I1363" s="51">
        <v>1.6085790884718499E-2</v>
      </c>
      <c r="J1363" s="109" t="s">
        <v>1055</v>
      </c>
      <c r="K1363" s="109" t="s">
        <v>1056</v>
      </c>
    </row>
    <row r="1364" spans="1:11" x14ac:dyDescent="0.35">
      <c r="A1364" s="61">
        <v>45625</v>
      </c>
      <c r="B1364" s="49" t="s">
        <v>941</v>
      </c>
      <c r="C1364" s="49" t="s">
        <v>73</v>
      </c>
      <c r="D1364" s="50">
        <v>15424</v>
      </c>
      <c r="E1364" s="50">
        <v>7300</v>
      </c>
      <c r="F1364" s="51">
        <v>0.47328838174273902</v>
      </c>
      <c r="G1364" s="50">
        <v>260</v>
      </c>
      <c r="H1364" s="51">
        <v>3.5616438356164397E-2</v>
      </c>
      <c r="I1364" s="51">
        <v>1.6856846473029E-2</v>
      </c>
      <c r="J1364" s="109" t="s">
        <v>1055</v>
      </c>
      <c r="K1364" s="109" t="s">
        <v>1056</v>
      </c>
    </row>
    <row r="1365" spans="1:11" x14ac:dyDescent="0.35">
      <c r="A1365" s="61">
        <v>45625</v>
      </c>
      <c r="B1365" s="49" t="s">
        <v>933</v>
      </c>
      <c r="C1365" s="49" t="s">
        <v>10</v>
      </c>
      <c r="D1365" s="50">
        <v>91110</v>
      </c>
      <c r="E1365" s="50">
        <v>33888</v>
      </c>
      <c r="F1365" s="51">
        <v>0.371945999341455</v>
      </c>
      <c r="G1365" s="50">
        <v>552</v>
      </c>
      <c r="H1365" s="51">
        <v>1.6288951841359801E-2</v>
      </c>
      <c r="I1365" s="51">
        <v>6.0586104708593999E-3</v>
      </c>
      <c r="J1365" s="109" t="s">
        <v>1059</v>
      </c>
      <c r="K1365" s="109" t="s">
        <v>1056</v>
      </c>
    </row>
    <row r="1366" spans="1:11" x14ac:dyDescent="0.35">
      <c r="A1366" s="61">
        <v>45625</v>
      </c>
      <c r="B1366" s="49" t="s">
        <v>933</v>
      </c>
      <c r="C1366" s="49" t="s">
        <v>11</v>
      </c>
      <c r="D1366" s="50">
        <v>29663</v>
      </c>
      <c r="E1366" s="50">
        <v>10584</v>
      </c>
      <c r="F1366" s="51">
        <v>0.356808144826889</v>
      </c>
      <c r="G1366" s="50">
        <v>204</v>
      </c>
      <c r="H1366" s="51">
        <v>1.9274376417233601E-2</v>
      </c>
      <c r="I1366" s="51">
        <v>6.8772544921282402E-3</v>
      </c>
      <c r="J1366" s="109" t="s">
        <v>1059</v>
      </c>
      <c r="K1366" s="109" t="s">
        <v>1056</v>
      </c>
    </row>
    <row r="1367" spans="1:11" x14ac:dyDescent="0.35">
      <c r="A1367" s="61">
        <v>45625</v>
      </c>
      <c r="B1367" s="49" t="s">
        <v>934</v>
      </c>
      <c r="C1367" s="49" t="s">
        <v>935</v>
      </c>
      <c r="D1367" s="50">
        <v>109947</v>
      </c>
      <c r="E1367" s="50">
        <v>48570</v>
      </c>
      <c r="F1367" s="51">
        <v>0.44175830172719599</v>
      </c>
      <c r="G1367" s="50">
        <v>3310</v>
      </c>
      <c r="H1367" s="51">
        <v>6.8149063207741403E-2</v>
      </c>
      <c r="I1367" s="51">
        <v>3.0105414426951201E-2</v>
      </c>
      <c r="J1367" s="109" t="s">
        <v>1058</v>
      </c>
      <c r="K1367" s="109" t="s">
        <v>1054</v>
      </c>
    </row>
    <row r="1368" spans="1:11" x14ac:dyDescent="0.35">
      <c r="A1368" s="61">
        <v>45625</v>
      </c>
      <c r="B1368" s="49" t="s">
        <v>934</v>
      </c>
      <c r="C1368" s="49" t="s">
        <v>936</v>
      </c>
      <c r="D1368" s="50">
        <v>2938158</v>
      </c>
      <c r="E1368" s="50">
        <v>929306</v>
      </c>
      <c r="F1368" s="51">
        <v>0.31628864070618401</v>
      </c>
      <c r="G1368" s="50">
        <v>9667</v>
      </c>
      <c r="H1368" s="51">
        <v>1.0402386296871E-2</v>
      </c>
      <c r="I1368" s="51">
        <v>3.2901566219379601E-3</v>
      </c>
      <c r="J1368" s="109" t="s">
        <v>1058</v>
      </c>
      <c r="K1368" s="109" t="s">
        <v>1054</v>
      </c>
    </row>
    <row r="1369" spans="1:11" x14ac:dyDescent="0.35">
      <c r="A1369" s="61">
        <v>45625</v>
      </c>
      <c r="B1369" s="49" t="s">
        <v>934</v>
      </c>
      <c r="C1369" s="49" t="s">
        <v>937</v>
      </c>
      <c r="D1369" s="50">
        <v>3429383</v>
      </c>
      <c r="E1369" s="50">
        <v>1258012</v>
      </c>
      <c r="F1369" s="51">
        <v>0.36683333415952701</v>
      </c>
      <c r="G1369" s="50">
        <v>27198</v>
      </c>
      <c r="H1369" s="51">
        <v>2.1619825566051801E-2</v>
      </c>
      <c r="I1369" s="51">
        <v>7.93087269634217E-3</v>
      </c>
      <c r="J1369" s="109" t="s">
        <v>1058</v>
      </c>
      <c r="K1369" s="109" t="s">
        <v>1054</v>
      </c>
    </row>
    <row r="1370" spans="1:11" x14ac:dyDescent="0.35">
      <c r="A1370" s="61">
        <v>45625</v>
      </c>
      <c r="B1370" s="49" t="s">
        <v>934</v>
      </c>
      <c r="C1370" s="49" t="s">
        <v>938</v>
      </c>
      <c r="D1370" s="50">
        <v>5138</v>
      </c>
      <c r="E1370" s="50">
        <v>2458</v>
      </c>
      <c r="F1370" s="51">
        <v>0.47839626313740802</v>
      </c>
      <c r="G1370" s="50">
        <v>360</v>
      </c>
      <c r="H1370" s="51">
        <v>0.14646053702196901</v>
      </c>
      <c r="I1370" s="51">
        <v>7.0066173608407903E-2</v>
      </c>
      <c r="J1370" s="109" t="s">
        <v>1058</v>
      </c>
      <c r="K1370" s="109" t="s">
        <v>1054</v>
      </c>
    </row>
    <row r="1371" spans="1:11" x14ac:dyDescent="0.35">
      <c r="A1371" s="61">
        <v>45625</v>
      </c>
      <c r="B1371" s="49" t="s">
        <v>934</v>
      </c>
      <c r="C1371" s="49" t="s">
        <v>939</v>
      </c>
      <c r="D1371" s="50">
        <v>230544</v>
      </c>
      <c r="E1371" s="50">
        <v>68529</v>
      </c>
      <c r="F1371" s="51">
        <v>0.29724911513637298</v>
      </c>
      <c r="G1371" s="50">
        <v>1016</v>
      </c>
      <c r="H1371" s="51">
        <v>1.48258401552627E-2</v>
      </c>
      <c r="I1371" s="51">
        <v>4.4069678673051603E-3</v>
      </c>
      <c r="J1371" s="109" t="s">
        <v>1058</v>
      </c>
      <c r="K1371" s="109" t="s">
        <v>1054</v>
      </c>
    </row>
    <row r="1372" spans="1:11" x14ac:dyDescent="0.35">
      <c r="A1372" s="61">
        <v>45625</v>
      </c>
      <c r="B1372" s="49" t="s">
        <v>934</v>
      </c>
      <c r="C1372" s="49" t="s">
        <v>940</v>
      </c>
      <c r="D1372" s="50">
        <v>178267</v>
      </c>
      <c r="E1372" s="50">
        <v>68617</v>
      </c>
      <c r="F1372" s="51">
        <v>0.38491139694951998</v>
      </c>
      <c r="G1372" s="50">
        <v>2213</v>
      </c>
      <c r="H1372" s="51">
        <v>3.2251482868676899E-2</v>
      </c>
      <c r="I1372" s="51">
        <v>1.2413963324675901E-2</v>
      </c>
      <c r="J1372" s="109" t="s">
        <v>1058</v>
      </c>
      <c r="K1372" s="109" t="s">
        <v>1054</v>
      </c>
    </row>
    <row r="1373" spans="1:11" x14ac:dyDescent="0.35">
      <c r="A1373" s="61">
        <v>45626</v>
      </c>
      <c r="B1373" s="49" t="s">
        <v>943</v>
      </c>
      <c r="C1373" s="49" t="s">
        <v>10</v>
      </c>
      <c r="D1373" s="50">
        <v>772690</v>
      </c>
      <c r="E1373" s="50">
        <v>303820</v>
      </c>
      <c r="F1373" s="51">
        <v>0.39319778954043699</v>
      </c>
      <c r="G1373" s="50">
        <v>4317</v>
      </c>
      <c r="H1373" s="51">
        <v>1.42090711605556E-2</v>
      </c>
      <c r="I1373" s="51">
        <v>5.5869753717532299E-3</v>
      </c>
      <c r="J1373" s="109" t="s">
        <v>1055</v>
      </c>
      <c r="K1373" s="109" t="s">
        <v>1056</v>
      </c>
    </row>
    <row r="1374" spans="1:11" x14ac:dyDescent="0.35">
      <c r="A1374" s="61">
        <v>45626</v>
      </c>
      <c r="B1374" s="49" t="s">
        <v>943</v>
      </c>
      <c r="C1374" s="49" t="s">
        <v>11</v>
      </c>
      <c r="D1374" s="50">
        <v>28985</v>
      </c>
      <c r="E1374" s="50">
        <v>11435</v>
      </c>
      <c r="F1374" s="51">
        <v>0.39451440400207</v>
      </c>
      <c r="G1374" s="50">
        <v>215</v>
      </c>
      <c r="H1374" s="51">
        <v>1.8801923917796198E-2</v>
      </c>
      <c r="I1374" s="51">
        <v>7.41762980852165E-3</v>
      </c>
      <c r="J1374" s="109" t="s">
        <v>1055</v>
      </c>
      <c r="K1374" s="109" t="s">
        <v>1056</v>
      </c>
    </row>
    <row r="1375" spans="1:11" x14ac:dyDescent="0.35">
      <c r="A1375" s="61">
        <v>45626</v>
      </c>
      <c r="B1375" s="49" t="s">
        <v>942</v>
      </c>
      <c r="C1375" s="49" t="s">
        <v>10</v>
      </c>
      <c r="D1375" s="50">
        <v>333914</v>
      </c>
      <c r="E1375" s="50">
        <v>137569</v>
      </c>
      <c r="F1375" s="51">
        <v>0.411989314613943</v>
      </c>
      <c r="G1375" s="50">
        <v>2475</v>
      </c>
      <c r="H1375" s="51">
        <v>1.79909718032406E-2</v>
      </c>
      <c r="I1375" s="51">
        <v>7.4120881424558404E-3</v>
      </c>
      <c r="J1375" s="109" t="s">
        <v>1057</v>
      </c>
      <c r="K1375" s="109" t="s">
        <v>1054</v>
      </c>
    </row>
    <row r="1376" spans="1:11" x14ac:dyDescent="0.35">
      <c r="A1376" s="61">
        <v>45626</v>
      </c>
      <c r="B1376" s="49" t="s">
        <v>944</v>
      </c>
      <c r="C1376" s="49" t="s">
        <v>10</v>
      </c>
      <c r="D1376" s="50">
        <v>120405</v>
      </c>
      <c r="E1376" s="50">
        <v>47432</v>
      </c>
      <c r="F1376" s="51">
        <v>0.39393712885677501</v>
      </c>
      <c r="G1376" s="50">
        <v>819</v>
      </c>
      <c r="H1376" s="51">
        <v>1.7266824085005902E-2</v>
      </c>
      <c r="I1376" s="51">
        <v>6.8020431045222396E-3</v>
      </c>
      <c r="J1376" s="109" t="s">
        <v>1055</v>
      </c>
      <c r="K1376" s="109" t="s">
        <v>1056</v>
      </c>
    </row>
    <row r="1377" spans="1:11" x14ac:dyDescent="0.35">
      <c r="A1377" s="61">
        <v>45626</v>
      </c>
      <c r="B1377" s="49" t="s">
        <v>944</v>
      </c>
      <c r="C1377" s="49" t="s">
        <v>11</v>
      </c>
      <c r="D1377" s="50">
        <v>14701</v>
      </c>
      <c r="E1377" s="50">
        <v>5955</v>
      </c>
      <c r="F1377" s="51">
        <v>0.40507448472892998</v>
      </c>
      <c r="G1377" s="50">
        <v>139</v>
      </c>
      <c r="H1377" s="51">
        <v>2.3341729638958902E-2</v>
      </c>
      <c r="I1377" s="51">
        <v>9.4551391061832493E-3</v>
      </c>
      <c r="J1377" s="109" t="s">
        <v>1055</v>
      </c>
      <c r="K1377" s="109" t="s">
        <v>1056</v>
      </c>
    </row>
    <row r="1378" spans="1:11" x14ac:dyDescent="0.35">
      <c r="A1378" s="61">
        <v>45627</v>
      </c>
      <c r="B1378" s="49" t="s">
        <v>945</v>
      </c>
      <c r="C1378" s="49" t="s">
        <v>946</v>
      </c>
      <c r="D1378" s="50">
        <v>257691</v>
      </c>
      <c r="E1378" s="50">
        <v>96069</v>
      </c>
      <c r="F1378" s="51">
        <v>0.37280696648311401</v>
      </c>
      <c r="G1378" s="50">
        <v>1548</v>
      </c>
      <c r="H1378" s="51">
        <v>1.6113418480467202E-2</v>
      </c>
      <c r="I1378" s="51">
        <v>6.0071946633758998E-3</v>
      </c>
      <c r="J1378" s="109" t="s">
        <v>1060</v>
      </c>
      <c r="K1378" s="109" t="s">
        <v>1054</v>
      </c>
    </row>
    <row r="1379" spans="1:11" x14ac:dyDescent="0.35">
      <c r="A1379" s="61">
        <v>45627</v>
      </c>
      <c r="B1379" s="49" t="s">
        <v>947</v>
      </c>
      <c r="C1379" s="49" t="s">
        <v>10</v>
      </c>
      <c r="D1379" s="50">
        <v>56756</v>
      </c>
      <c r="E1379" s="50">
        <v>17753</v>
      </c>
      <c r="F1379" s="51">
        <v>0.31279512298259199</v>
      </c>
      <c r="G1379" s="50">
        <v>272</v>
      </c>
      <c r="H1379" s="51">
        <v>1.5321354137328901E-2</v>
      </c>
      <c r="I1379" s="51">
        <v>4.7924448516456402E-3</v>
      </c>
      <c r="J1379" s="109" t="s">
        <v>1060</v>
      </c>
      <c r="K1379" s="109" t="s">
        <v>1054</v>
      </c>
    </row>
    <row r="1380" spans="1:11" x14ac:dyDescent="0.35">
      <c r="A1380" s="61">
        <v>45627</v>
      </c>
      <c r="B1380" s="49" t="s">
        <v>948</v>
      </c>
      <c r="C1380" s="49" t="s">
        <v>10</v>
      </c>
      <c r="D1380" s="50">
        <v>38529</v>
      </c>
      <c r="E1380" s="50">
        <v>15994</v>
      </c>
      <c r="F1380" s="51">
        <v>0.41511588673466698</v>
      </c>
      <c r="G1380" s="50">
        <v>217</v>
      </c>
      <c r="H1380" s="51">
        <v>1.3567587845442E-2</v>
      </c>
      <c r="I1380" s="51">
        <v>5.6321212593111701E-3</v>
      </c>
      <c r="J1380" s="109" t="s">
        <v>1059</v>
      </c>
      <c r="K1380" s="109" t="s">
        <v>1056</v>
      </c>
    </row>
    <row r="1381" spans="1:11" x14ac:dyDescent="0.35">
      <c r="A1381" s="61">
        <v>45627</v>
      </c>
      <c r="B1381" s="49" t="s">
        <v>948</v>
      </c>
      <c r="C1381" s="49" t="s">
        <v>11</v>
      </c>
      <c r="D1381" s="50">
        <v>54206</v>
      </c>
      <c r="E1381" s="50">
        <v>21674</v>
      </c>
      <c r="F1381" s="51">
        <v>0.39984503560491502</v>
      </c>
      <c r="G1381" s="50">
        <v>541</v>
      </c>
      <c r="H1381" s="51">
        <v>2.4960782504383099E-2</v>
      </c>
      <c r="I1381" s="51">
        <v>9.9804449691916E-3</v>
      </c>
      <c r="J1381" s="109" t="s">
        <v>1059</v>
      </c>
      <c r="K1381" s="109" t="s">
        <v>1056</v>
      </c>
    </row>
    <row r="1382" spans="1:11" x14ac:dyDescent="0.35">
      <c r="A1382" s="61">
        <v>45628</v>
      </c>
      <c r="B1382" s="49" t="s">
        <v>952</v>
      </c>
      <c r="C1382" s="49" t="s">
        <v>10</v>
      </c>
      <c r="D1382" s="50">
        <v>836235</v>
      </c>
      <c r="E1382" s="50">
        <v>327537</v>
      </c>
      <c r="F1382" s="51">
        <v>0.39168056826131398</v>
      </c>
      <c r="G1382" s="50">
        <v>2910</v>
      </c>
      <c r="H1382" s="51">
        <v>8.8844924390221597E-3</v>
      </c>
      <c r="I1382" s="51">
        <v>3.4798830472295502E-3</v>
      </c>
      <c r="J1382" s="109" t="s">
        <v>1055</v>
      </c>
      <c r="K1382" s="109" t="s">
        <v>1056</v>
      </c>
    </row>
    <row r="1383" spans="1:11" x14ac:dyDescent="0.35">
      <c r="A1383" s="61">
        <v>45628</v>
      </c>
      <c r="B1383" s="49" t="s">
        <v>952</v>
      </c>
      <c r="C1383" s="49" t="s">
        <v>11</v>
      </c>
      <c r="D1383" s="50">
        <v>48486</v>
      </c>
      <c r="E1383" s="50">
        <v>18865</v>
      </c>
      <c r="F1383" s="51">
        <v>0.38908138431712203</v>
      </c>
      <c r="G1383" s="50">
        <v>224</v>
      </c>
      <c r="H1383" s="51">
        <v>1.1873840445269001E-2</v>
      </c>
      <c r="I1383" s="51">
        <v>4.6198902776059102E-3</v>
      </c>
      <c r="J1383" s="109" t="s">
        <v>1055</v>
      </c>
      <c r="K1383" s="109" t="s">
        <v>1056</v>
      </c>
    </row>
    <row r="1384" spans="1:11" x14ac:dyDescent="0.35">
      <c r="A1384" s="61">
        <v>45628</v>
      </c>
      <c r="B1384" s="49" t="s">
        <v>949</v>
      </c>
      <c r="C1384" s="49" t="s">
        <v>10</v>
      </c>
      <c r="D1384" s="50">
        <v>3854</v>
      </c>
      <c r="E1384" s="50">
        <v>1570</v>
      </c>
      <c r="F1384" s="51">
        <v>0.40736896730669397</v>
      </c>
      <c r="G1384" s="50">
        <v>36</v>
      </c>
      <c r="H1384" s="51">
        <v>2.29299363057325E-2</v>
      </c>
      <c r="I1384" s="51">
        <v>9.3409444732745206E-3</v>
      </c>
      <c r="J1384" s="109" t="s">
        <v>1060</v>
      </c>
      <c r="K1384" s="109" t="s">
        <v>1054</v>
      </c>
    </row>
    <row r="1385" spans="1:11" x14ac:dyDescent="0.35">
      <c r="A1385" s="61">
        <v>45628</v>
      </c>
      <c r="B1385" s="49" t="s">
        <v>949</v>
      </c>
      <c r="C1385" s="49" t="s">
        <v>11</v>
      </c>
      <c r="D1385" s="50">
        <v>1415</v>
      </c>
      <c r="E1385" s="50">
        <v>604</v>
      </c>
      <c r="F1385" s="51">
        <v>0.42685512367491202</v>
      </c>
      <c r="G1385" s="50">
        <v>13</v>
      </c>
      <c r="H1385" s="51">
        <v>2.1523178807947001E-2</v>
      </c>
      <c r="I1385" s="51">
        <v>9.1872791519434591E-3</v>
      </c>
      <c r="J1385" s="109" t="s">
        <v>1060</v>
      </c>
      <c r="K1385" s="109" t="s">
        <v>1054</v>
      </c>
    </row>
    <row r="1386" spans="1:11" x14ac:dyDescent="0.35">
      <c r="A1386" s="61">
        <v>45628</v>
      </c>
      <c r="B1386" s="49" t="s">
        <v>950</v>
      </c>
      <c r="C1386" s="49" t="s">
        <v>623</v>
      </c>
      <c r="D1386" s="50">
        <v>897</v>
      </c>
      <c r="E1386" s="50">
        <v>287</v>
      </c>
      <c r="F1386" s="51">
        <v>0.31995540691192897</v>
      </c>
      <c r="G1386" s="50">
        <v>36</v>
      </c>
      <c r="H1386" s="51">
        <v>0.12543554006968599</v>
      </c>
      <c r="I1386" s="51">
        <v>4.0133779264213999E-2</v>
      </c>
      <c r="J1386" s="109" t="s">
        <v>1061</v>
      </c>
      <c r="K1386" s="109" t="s">
        <v>1054</v>
      </c>
    </row>
    <row r="1387" spans="1:11" x14ac:dyDescent="0.35">
      <c r="A1387" s="61">
        <v>45628</v>
      </c>
      <c r="B1387" s="49" t="s">
        <v>951</v>
      </c>
      <c r="C1387" s="49" t="s">
        <v>625</v>
      </c>
      <c r="D1387" s="50">
        <v>426</v>
      </c>
      <c r="E1387" s="50">
        <v>120</v>
      </c>
      <c r="F1387" s="51">
        <v>0.28169014084506999</v>
      </c>
      <c r="G1387" s="50">
        <v>11</v>
      </c>
      <c r="H1387" s="51">
        <v>9.1666666666666702E-2</v>
      </c>
      <c r="I1387" s="51">
        <v>2.5821596244131498E-2</v>
      </c>
      <c r="J1387" s="109" t="s">
        <v>1061</v>
      </c>
      <c r="K1387" s="109" t="s">
        <v>1054</v>
      </c>
    </row>
    <row r="1388" spans="1:11" x14ac:dyDescent="0.35">
      <c r="A1388" s="61">
        <v>45628</v>
      </c>
      <c r="B1388" s="49" t="s">
        <v>953</v>
      </c>
      <c r="C1388" s="49" t="s">
        <v>954</v>
      </c>
      <c r="D1388" s="50">
        <v>107491</v>
      </c>
      <c r="E1388" s="50">
        <v>44358</v>
      </c>
      <c r="F1388" s="51">
        <v>0.41266710701360998</v>
      </c>
      <c r="G1388" s="50">
        <v>1527</v>
      </c>
      <c r="H1388" s="51">
        <v>3.4424455566075998E-2</v>
      </c>
      <c r="I1388" s="51">
        <v>1.4205840488971199E-2</v>
      </c>
      <c r="J1388" s="109" t="s">
        <v>1058</v>
      </c>
      <c r="K1388" s="109" t="s">
        <v>1054</v>
      </c>
    </row>
    <row r="1389" spans="1:11" x14ac:dyDescent="0.35">
      <c r="A1389" s="61">
        <v>45628</v>
      </c>
      <c r="B1389" s="49" t="s">
        <v>953</v>
      </c>
      <c r="C1389" s="49" t="s">
        <v>955</v>
      </c>
      <c r="D1389" s="50">
        <v>3407309</v>
      </c>
      <c r="E1389" s="50">
        <v>1225749</v>
      </c>
      <c r="F1389" s="51">
        <v>0.35974107426124302</v>
      </c>
      <c r="G1389" s="50">
        <v>19049</v>
      </c>
      <c r="H1389" s="51">
        <v>1.55407020523778E-2</v>
      </c>
      <c r="I1389" s="51">
        <v>5.5906288510962797E-3</v>
      </c>
      <c r="J1389" s="109" t="s">
        <v>1058</v>
      </c>
      <c r="K1389" s="109" t="s">
        <v>1054</v>
      </c>
    </row>
    <row r="1390" spans="1:11" x14ac:dyDescent="0.35">
      <c r="A1390" s="61">
        <v>45628</v>
      </c>
      <c r="B1390" s="49" t="s">
        <v>953</v>
      </c>
      <c r="C1390" s="49" t="s">
        <v>956</v>
      </c>
      <c r="D1390" s="50">
        <v>5034</v>
      </c>
      <c r="E1390" s="50">
        <v>2160</v>
      </c>
      <c r="F1390" s="51">
        <v>0.42908224076281298</v>
      </c>
      <c r="G1390" s="50">
        <v>92</v>
      </c>
      <c r="H1390" s="51">
        <v>4.2592592592592599E-2</v>
      </c>
      <c r="I1390" s="51">
        <v>1.82757250695272E-2</v>
      </c>
      <c r="J1390" s="109" t="s">
        <v>1058</v>
      </c>
      <c r="K1390" s="109" t="s">
        <v>1054</v>
      </c>
    </row>
    <row r="1391" spans="1:11" x14ac:dyDescent="0.35">
      <c r="A1391" s="61">
        <v>45628</v>
      </c>
      <c r="B1391" s="49" t="s">
        <v>953</v>
      </c>
      <c r="C1391" s="49" t="s">
        <v>957</v>
      </c>
      <c r="D1391" s="50">
        <v>177218</v>
      </c>
      <c r="E1391" s="50">
        <v>66729</v>
      </c>
      <c r="F1391" s="51">
        <v>0.37653624349671</v>
      </c>
      <c r="G1391" s="50">
        <v>1982</v>
      </c>
      <c r="H1391" s="51">
        <v>2.9702228416430599E-2</v>
      </c>
      <c r="I1391" s="51">
        <v>1.1183965511404E-2</v>
      </c>
      <c r="J1391" s="109" t="s">
        <v>1058</v>
      </c>
      <c r="K1391" s="109" t="s">
        <v>1054</v>
      </c>
    </row>
    <row r="1392" spans="1:11" x14ac:dyDescent="0.35">
      <c r="A1392" s="61">
        <v>45629</v>
      </c>
      <c r="B1392" s="49" t="s">
        <v>958</v>
      </c>
      <c r="C1392" s="49" t="s">
        <v>10</v>
      </c>
      <c r="D1392" s="50">
        <v>1396810</v>
      </c>
      <c r="E1392" s="50">
        <v>382088</v>
      </c>
      <c r="F1392" s="51">
        <v>0.273543287920333</v>
      </c>
      <c r="G1392" s="50">
        <v>7447</v>
      </c>
      <c r="H1392" s="51">
        <v>1.9490274491740098E-2</v>
      </c>
      <c r="I1392" s="51">
        <v>5.3314337669403897E-3</v>
      </c>
      <c r="J1392" s="109" t="s">
        <v>1055</v>
      </c>
      <c r="K1392" s="109" t="s">
        <v>1056</v>
      </c>
    </row>
    <row r="1393" spans="1:11" x14ac:dyDescent="0.35">
      <c r="A1393" s="61">
        <v>45629</v>
      </c>
      <c r="B1393" s="49" t="s">
        <v>958</v>
      </c>
      <c r="C1393" s="49" t="s">
        <v>11</v>
      </c>
      <c r="D1393" s="50">
        <v>93956</v>
      </c>
      <c r="E1393" s="50">
        <v>29400</v>
      </c>
      <c r="F1393" s="51">
        <v>0.31291242709353301</v>
      </c>
      <c r="G1393" s="50">
        <v>883</v>
      </c>
      <c r="H1393" s="51">
        <v>3.0034013605442202E-2</v>
      </c>
      <c r="I1393" s="51">
        <v>9.3980160926391103E-3</v>
      </c>
      <c r="J1393" s="109" t="s">
        <v>1055</v>
      </c>
      <c r="K1393" s="109" t="s">
        <v>1056</v>
      </c>
    </row>
    <row r="1394" spans="1:11" x14ac:dyDescent="0.35">
      <c r="A1394" s="61">
        <v>45629</v>
      </c>
      <c r="B1394" s="49" t="s">
        <v>959</v>
      </c>
      <c r="C1394" s="49" t="s">
        <v>10</v>
      </c>
      <c r="D1394" s="50">
        <v>56484</v>
      </c>
      <c r="E1394" s="50">
        <v>20100</v>
      </c>
      <c r="F1394" s="51">
        <v>0.35585298491608203</v>
      </c>
      <c r="G1394" s="50">
        <v>282</v>
      </c>
      <c r="H1394" s="51">
        <v>1.40298507462687E-2</v>
      </c>
      <c r="I1394" s="51">
        <v>4.9925642659868303E-3</v>
      </c>
      <c r="J1394" s="109" t="s">
        <v>1061</v>
      </c>
      <c r="K1394" s="109" t="s">
        <v>1054</v>
      </c>
    </row>
    <row r="1395" spans="1:11" x14ac:dyDescent="0.35">
      <c r="A1395" s="61">
        <v>45630</v>
      </c>
      <c r="B1395" s="49" t="s">
        <v>962</v>
      </c>
      <c r="C1395" s="49" t="s">
        <v>10</v>
      </c>
      <c r="D1395" s="50">
        <v>135517</v>
      </c>
      <c r="E1395" s="50">
        <v>63970</v>
      </c>
      <c r="F1395" s="51">
        <v>0.47204409778846901</v>
      </c>
      <c r="G1395" s="50">
        <v>1910</v>
      </c>
      <c r="H1395" s="51">
        <v>2.9857745818352401E-2</v>
      </c>
      <c r="I1395" s="51">
        <v>1.40941726868216E-2</v>
      </c>
      <c r="J1395" s="109" t="s">
        <v>1055</v>
      </c>
      <c r="K1395" s="109" t="s">
        <v>1056</v>
      </c>
    </row>
    <row r="1396" spans="1:11" x14ac:dyDescent="0.35">
      <c r="A1396" s="61">
        <v>45630</v>
      </c>
      <c r="B1396" s="49" t="s">
        <v>962</v>
      </c>
      <c r="C1396" s="49" t="s">
        <v>11</v>
      </c>
      <c r="D1396" s="50">
        <v>7601</v>
      </c>
      <c r="E1396" s="50">
        <v>3935</v>
      </c>
      <c r="F1396" s="51">
        <v>0.51769504012629897</v>
      </c>
      <c r="G1396" s="50">
        <v>149</v>
      </c>
      <c r="H1396" s="51">
        <v>3.7865311308767503E-2</v>
      </c>
      <c r="I1396" s="51">
        <v>1.9602683857387199E-2</v>
      </c>
      <c r="J1396" s="109" t="s">
        <v>1055</v>
      </c>
      <c r="K1396" s="109" t="s">
        <v>1056</v>
      </c>
    </row>
    <row r="1397" spans="1:11" x14ac:dyDescent="0.35">
      <c r="A1397" s="61">
        <v>45630</v>
      </c>
      <c r="B1397" s="49" t="s">
        <v>960</v>
      </c>
      <c r="C1397" s="49" t="s">
        <v>10</v>
      </c>
      <c r="D1397" s="50">
        <v>6115957</v>
      </c>
      <c r="E1397" s="50">
        <v>2143403</v>
      </c>
      <c r="F1397" s="51">
        <v>0.35046077008062698</v>
      </c>
      <c r="G1397" s="50">
        <v>27115</v>
      </c>
      <c r="H1397" s="51">
        <v>1.26504441768533E-2</v>
      </c>
      <c r="I1397" s="51">
        <v>4.4334844080820097E-3</v>
      </c>
      <c r="J1397" s="109" t="s">
        <v>1061</v>
      </c>
      <c r="K1397" s="109" t="s">
        <v>1054</v>
      </c>
    </row>
    <row r="1398" spans="1:11" x14ac:dyDescent="0.35">
      <c r="A1398" s="61">
        <v>45630</v>
      </c>
      <c r="B1398" s="49" t="s">
        <v>960</v>
      </c>
      <c r="C1398" s="49" t="s">
        <v>11</v>
      </c>
      <c r="D1398" s="50">
        <v>409494</v>
      </c>
      <c r="E1398" s="50">
        <v>141669</v>
      </c>
      <c r="F1398" s="51">
        <v>0.34596111298333998</v>
      </c>
      <c r="G1398" s="50">
        <v>2454</v>
      </c>
      <c r="H1398" s="51">
        <v>1.7322067636533E-2</v>
      </c>
      <c r="I1398" s="51">
        <v>5.9927617987076704E-3</v>
      </c>
      <c r="J1398" s="109" t="s">
        <v>1061</v>
      </c>
      <c r="K1398" s="109" t="s">
        <v>1054</v>
      </c>
    </row>
    <row r="1399" spans="1:11" x14ac:dyDescent="0.35">
      <c r="A1399" s="61">
        <v>45630</v>
      </c>
      <c r="B1399" s="49" t="s">
        <v>961</v>
      </c>
      <c r="C1399" s="49" t="s">
        <v>10</v>
      </c>
      <c r="D1399" s="50">
        <v>260559</v>
      </c>
      <c r="E1399" s="50">
        <v>95731</v>
      </c>
      <c r="F1399" s="51">
        <v>0.36740623045068499</v>
      </c>
      <c r="G1399" s="50">
        <v>1733</v>
      </c>
      <c r="H1399" s="51">
        <v>1.8102808912473501E-2</v>
      </c>
      <c r="I1399" s="51">
        <v>6.6510847831009502E-3</v>
      </c>
      <c r="J1399" s="109" t="s">
        <v>1061</v>
      </c>
      <c r="K1399" s="109" t="s">
        <v>1054</v>
      </c>
    </row>
    <row r="1400" spans="1:11" x14ac:dyDescent="0.35">
      <c r="A1400" s="61">
        <v>45631</v>
      </c>
      <c r="B1400" s="49" t="s">
        <v>963</v>
      </c>
      <c r="C1400" s="49" t="s">
        <v>927</v>
      </c>
      <c r="D1400" s="50">
        <v>1455191</v>
      </c>
      <c r="E1400" s="50">
        <v>540347</v>
      </c>
      <c r="F1400" s="60">
        <v>0.37130000000000002</v>
      </c>
      <c r="G1400" s="50">
        <v>1827</v>
      </c>
      <c r="H1400" s="60">
        <v>3.3999999999999998E-3</v>
      </c>
      <c r="I1400" s="60">
        <v>1.2999999999999999E-3</v>
      </c>
      <c r="J1400" s="109" t="s">
        <v>1055</v>
      </c>
      <c r="K1400" s="109" t="s">
        <v>1056</v>
      </c>
    </row>
    <row r="1401" spans="1:11" x14ac:dyDescent="0.35">
      <c r="A1401" s="61">
        <v>45631</v>
      </c>
      <c r="B1401" s="49" t="s">
        <v>964</v>
      </c>
      <c r="C1401" s="49" t="s">
        <v>965</v>
      </c>
      <c r="D1401" s="50">
        <v>85049</v>
      </c>
      <c r="E1401" s="50">
        <v>30796</v>
      </c>
      <c r="F1401" s="60">
        <v>0.36209999999999998</v>
      </c>
      <c r="G1401" s="49">
        <v>168</v>
      </c>
      <c r="H1401" s="60">
        <v>5.4999999999999997E-3</v>
      </c>
      <c r="I1401" s="60">
        <v>2E-3</v>
      </c>
      <c r="J1401" s="109" t="s">
        <v>1055</v>
      </c>
      <c r="K1401" s="109" t="s">
        <v>1056</v>
      </c>
    </row>
    <row r="1402" spans="1:11" x14ac:dyDescent="0.35">
      <c r="A1402" s="61">
        <v>45631</v>
      </c>
      <c r="B1402" s="49" t="s">
        <v>966</v>
      </c>
      <c r="C1402" s="49" t="s">
        <v>967</v>
      </c>
      <c r="D1402" s="50">
        <v>149608</v>
      </c>
      <c r="E1402" s="50">
        <v>55462</v>
      </c>
      <c r="F1402" s="51">
        <v>0.37071546976097502</v>
      </c>
      <c r="G1402" s="50">
        <v>879</v>
      </c>
      <c r="H1402" s="51">
        <v>1.5848689192600299E-2</v>
      </c>
      <c r="I1402" s="51">
        <v>5.8753542591305297E-3</v>
      </c>
      <c r="J1402" s="109" t="s">
        <v>1055</v>
      </c>
      <c r="K1402" s="109" t="s">
        <v>1056</v>
      </c>
    </row>
    <row r="1403" spans="1:11" x14ac:dyDescent="0.35">
      <c r="A1403" s="61">
        <v>45631</v>
      </c>
      <c r="B1403" s="49" t="s">
        <v>968</v>
      </c>
      <c r="C1403" s="49" t="s">
        <v>969</v>
      </c>
      <c r="D1403" s="50">
        <v>251595</v>
      </c>
      <c r="E1403" s="50">
        <v>98314</v>
      </c>
      <c r="F1403" s="51">
        <v>0.39076293249070898</v>
      </c>
      <c r="G1403" s="50">
        <v>2689</v>
      </c>
      <c r="H1403" s="51">
        <v>2.7351140224179699E-2</v>
      </c>
      <c r="I1403" s="51">
        <v>1.0687811760965E-2</v>
      </c>
      <c r="J1403" s="109" t="s">
        <v>1055</v>
      </c>
      <c r="K1403" s="109" t="s">
        <v>1056</v>
      </c>
    </row>
    <row r="1404" spans="1:11" x14ac:dyDescent="0.35">
      <c r="A1404" s="61">
        <v>45631</v>
      </c>
      <c r="B1404" s="49" t="s">
        <v>968</v>
      </c>
      <c r="C1404" s="49" t="s">
        <v>970</v>
      </c>
      <c r="D1404" s="50">
        <v>14570</v>
      </c>
      <c r="E1404" s="50">
        <v>6042</v>
      </c>
      <c r="F1404" s="51">
        <v>0.41468771448181202</v>
      </c>
      <c r="G1404" s="50">
        <v>306</v>
      </c>
      <c r="H1404" s="51">
        <v>5.0645481628599803E-2</v>
      </c>
      <c r="I1404" s="51">
        <v>2.10020590253946E-2</v>
      </c>
      <c r="J1404" s="109" t="s">
        <v>1055</v>
      </c>
      <c r="K1404" s="109" t="s">
        <v>1056</v>
      </c>
    </row>
    <row r="1405" spans="1:11" x14ac:dyDescent="0.35">
      <c r="A1405" s="61">
        <v>45631</v>
      </c>
      <c r="B1405" s="49" t="s">
        <v>971</v>
      </c>
      <c r="C1405" s="49" t="s">
        <v>730</v>
      </c>
      <c r="D1405" s="50">
        <v>2402</v>
      </c>
      <c r="E1405" s="50">
        <v>961</v>
      </c>
      <c r="F1405" s="51">
        <v>0.40008326394671101</v>
      </c>
      <c r="G1405" s="50">
        <v>113</v>
      </c>
      <c r="H1405" s="51">
        <v>0.11758584807492201</v>
      </c>
      <c r="I1405" s="51">
        <v>4.7044129891756901E-2</v>
      </c>
      <c r="J1405" s="109" t="s">
        <v>1053</v>
      </c>
      <c r="K1405" s="109" t="s">
        <v>1054</v>
      </c>
    </row>
    <row r="1406" spans="1:11" x14ac:dyDescent="0.35">
      <c r="A1406" s="61">
        <v>45631</v>
      </c>
      <c r="B1406" s="49" t="s">
        <v>971</v>
      </c>
      <c r="C1406" s="49" t="s">
        <v>731</v>
      </c>
      <c r="D1406" s="50">
        <v>2459</v>
      </c>
      <c r="E1406" s="50">
        <v>1094</v>
      </c>
      <c r="F1406" s="51">
        <v>0.44489629930866198</v>
      </c>
      <c r="G1406" s="50">
        <v>181</v>
      </c>
      <c r="H1406" s="51">
        <v>0.16544789762340001</v>
      </c>
      <c r="I1406" s="51">
        <v>7.3607157381049199E-2</v>
      </c>
      <c r="J1406" s="109" t="s">
        <v>1053</v>
      </c>
      <c r="K1406" s="109" t="s">
        <v>1054</v>
      </c>
    </row>
    <row r="1407" spans="1:11" x14ac:dyDescent="0.35">
      <c r="A1407" s="61">
        <v>45632</v>
      </c>
      <c r="B1407" s="49" t="s">
        <v>973</v>
      </c>
      <c r="C1407" s="49" t="s">
        <v>974</v>
      </c>
      <c r="D1407" s="50">
        <v>183270</v>
      </c>
      <c r="E1407" s="50">
        <v>68688</v>
      </c>
      <c r="F1407" s="51">
        <v>0.37479129153707602</v>
      </c>
      <c r="G1407" s="50">
        <v>1649</v>
      </c>
      <c r="H1407" s="51">
        <v>2.40071045888656E-2</v>
      </c>
      <c r="I1407" s="51">
        <v>8.9976537349266104E-3</v>
      </c>
      <c r="J1407" s="109" t="s">
        <v>1055</v>
      </c>
      <c r="K1407" s="109" t="s">
        <v>1056</v>
      </c>
    </row>
    <row r="1408" spans="1:11" x14ac:dyDescent="0.35">
      <c r="A1408" s="61">
        <v>45632</v>
      </c>
      <c r="B1408" s="49" t="s">
        <v>973</v>
      </c>
      <c r="C1408" s="49" t="s">
        <v>975</v>
      </c>
      <c r="D1408" s="50">
        <v>183307</v>
      </c>
      <c r="E1408" s="50">
        <v>68266</v>
      </c>
      <c r="F1408" s="51">
        <v>0.37241349211977698</v>
      </c>
      <c r="G1408" s="50">
        <v>1204</v>
      </c>
      <c r="H1408" s="51">
        <v>1.7636890985263502E-2</v>
      </c>
      <c r="I1408" s="51">
        <v>6.56821616195781E-3</v>
      </c>
      <c r="J1408" s="109" t="s">
        <v>1055</v>
      </c>
      <c r="K1408" s="109" t="s">
        <v>1056</v>
      </c>
    </row>
    <row r="1409" spans="1:11" x14ac:dyDescent="0.35">
      <c r="A1409" s="61">
        <v>45632</v>
      </c>
      <c r="B1409" s="49" t="s">
        <v>973</v>
      </c>
      <c r="C1409" s="49" t="s">
        <v>976</v>
      </c>
      <c r="D1409" s="50">
        <v>183323</v>
      </c>
      <c r="E1409" s="50">
        <v>68097</v>
      </c>
      <c r="F1409" s="51">
        <v>0.37145911860486702</v>
      </c>
      <c r="G1409" s="50">
        <v>1149</v>
      </c>
      <c r="H1409" s="51">
        <v>1.6872989999559499E-2</v>
      </c>
      <c r="I1409" s="51">
        <v>6.2676259934650903E-3</v>
      </c>
      <c r="J1409" s="109" t="s">
        <v>1055</v>
      </c>
      <c r="K1409" s="109" t="s">
        <v>1056</v>
      </c>
    </row>
    <row r="1410" spans="1:11" x14ac:dyDescent="0.35">
      <c r="A1410" s="61">
        <v>45632</v>
      </c>
      <c r="B1410" s="49" t="s">
        <v>978</v>
      </c>
      <c r="C1410" s="49" t="s">
        <v>10</v>
      </c>
      <c r="D1410" s="50">
        <v>4627183</v>
      </c>
      <c r="E1410" s="50">
        <v>1312868</v>
      </c>
      <c r="F1410" s="51">
        <v>0.28372943105989101</v>
      </c>
      <c r="G1410" s="50">
        <v>15900</v>
      </c>
      <c r="H1410" s="51">
        <v>1.21108900513989E-2</v>
      </c>
      <c r="I1410" s="51">
        <v>3.4362159439123101E-3</v>
      </c>
      <c r="J1410" s="109" t="s">
        <v>1055</v>
      </c>
      <c r="K1410" s="109" t="s">
        <v>1056</v>
      </c>
    </row>
    <row r="1411" spans="1:11" x14ac:dyDescent="0.35">
      <c r="A1411" s="61">
        <v>45632</v>
      </c>
      <c r="B1411" s="49" t="s">
        <v>978</v>
      </c>
      <c r="C1411" s="49" t="s">
        <v>11</v>
      </c>
      <c r="D1411" s="50">
        <v>293731</v>
      </c>
      <c r="E1411" s="50">
        <v>85104</v>
      </c>
      <c r="F1411" s="51">
        <v>0.28973448495392001</v>
      </c>
      <c r="G1411" s="50">
        <v>1190</v>
      </c>
      <c r="H1411" s="51">
        <v>1.39828915209626E-2</v>
      </c>
      <c r="I1411" s="51">
        <v>4.0513258729926397E-3</v>
      </c>
      <c r="J1411" s="109" t="s">
        <v>1055</v>
      </c>
      <c r="K1411" s="109" t="s">
        <v>1056</v>
      </c>
    </row>
    <row r="1412" spans="1:11" x14ac:dyDescent="0.35">
      <c r="A1412" s="61">
        <v>45632</v>
      </c>
      <c r="B1412" s="49" t="s">
        <v>977</v>
      </c>
      <c r="C1412" s="49" t="s">
        <v>10</v>
      </c>
      <c r="D1412" s="50">
        <v>316182</v>
      </c>
      <c r="E1412" s="50">
        <v>116357</v>
      </c>
      <c r="F1412" s="51">
        <v>0.36800640137642199</v>
      </c>
      <c r="G1412" s="50">
        <v>2769</v>
      </c>
      <c r="H1412" s="51">
        <v>2.3797450948374401E-2</v>
      </c>
      <c r="I1412" s="51">
        <v>8.7576142854431903E-3</v>
      </c>
      <c r="J1412" s="109" t="s">
        <v>1057</v>
      </c>
      <c r="K1412" s="109" t="s">
        <v>1054</v>
      </c>
    </row>
    <row r="1413" spans="1:11" x14ac:dyDescent="0.35">
      <c r="A1413" s="61">
        <v>45632</v>
      </c>
      <c r="B1413" s="49" t="s">
        <v>977</v>
      </c>
      <c r="C1413" s="49" t="s">
        <v>11</v>
      </c>
      <c r="D1413" s="50">
        <v>18144</v>
      </c>
      <c r="E1413" s="50">
        <v>6670</v>
      </c>
      <c r="F1413" s="51">
        <v>0.36761463844797199</v>
      </c>
      <c r="G1413" s="50">
        <v>185</v>
      </c>
      <c r="H1413" s="51">
        <v>2.7736131934033001E-2</v>
      </c>
      <c r="I1413" s="51">
        <v>1.01962081128748E-2</v>
      </c>
      <c r="J1413" s="109" t="s">
        <v>1057</v>
      </c>
      <c r="K1413" s="109" t="s">
        <v>1054</v>
      </c>
    </row>
    <row r="1414" spans="1:11" x14ac:dyDescent="0.35">
      <c r="A1414" s="61">
        <v>45632</v>
      </c>
      <c r="B1414" s="49" t="s">
        <v>979</v>
      </c>
      <c r="C1414" s="49" t="s">
        <v>10</v>
      </c>
      <c r="D1414" s="50">
        <v>4706</v>
      </c>
      <c r="E1414" s="50">
        <v>2463</v>
      </c>
      <c r="F1414" s="51">
        <v>0.52337441563960896</v>
      </c>
      <c r="G1414" s="50">
        <v>54</v>
      </c>
      <c r="H1414" s="51">
        <v>2.1924482338611401E-2</v>
      </c>
      <c r="I1414" s="51">
        <v>1.14747131321717E-2</v>
      </c>
      <c r="J1414" s="109" t="s">
        <v>1055</v>
      </c>
      <c r="K1414" s="109" t="s">
        <v>1056</v>
      </c>
    </row>
    <row r="1415" spans="1:11" x14ac:dyDescent="0.35">
      <c r="A1415" s="61">
        <v>45632</v>
      </c>
      <c r="B1415" s="49" t="s">
        <v>979</v>
      </c>
      <c r="C1415" s="49" t="s">
        <v>11</v>
      </c>
      <c r="D1415" s="50">
        <v>95</v>
      </c>
      <c r="E1415" s="50">
        <v>48</v>
      </c>
      <c r="F1415" s="51">
        <v>0.50526315789473697</v>
      </c>
      <c r="G1415" s="50">
        <v>1</v>
      </c>
      <c r="H1415" s="51">
        <v>2.0833333333333301E-2</v>
      </c>
      <c r="I1415" s="51">
        <v>1.05263157894737E-2</v>
      </c>
      <c r="J1415" s="109" t="s">
        <v>1055</v>
      </c>
      <c r="K1415" s="109" t="s">
        <v>1056</v>
      </c>
    </row>
    <row r="1416" spans="1:11" x14ac:dyDescent="0.35">
      <c r="A1416" s="61">
        <v>45633</v>
      </c>
      <c r="B1416" s="49" t="s">
        <v>980</v>
      </c>
      <c r="C1416" s="49" t="s">
        <v>10</v>
      </c>
      <c r="D1416" s="50">
        <v>66775</v>
      </c>
      <c r="E1416" s="50">
        <v>29560</v>
      </c>
      <c r="F1416" s="51">
        <v>0.44268064395357498</v>
      </c>
      <c r="G1416" s="50">
        <v>1678</v>
      </c>
      <c r="H1416" s="51">
        <v>5.6765899864682001E-2</v>
      </c>
      <c r="I1416" s="51">
        <v>2.5129165106701601E-2</v>
      </c>
      <c r="J1416" s="109" t="s">
        <v>1055</v>
      </c>
      <c r="K1416" s="109" t="s">
        <v>1056</v>
      </c>
    </row>
    <row r="1417" spans="1:11" x14ac:dyDescent="0.35">
      <c r="A1417" s="61">
        <v>45633</v>
      </c>
      <c r="B1417" s="49" t="s">
        <v>980</v>
      </c>
      <c r="C1417" s="49" t="s">
        <v>11</v>
      </c>
      <c r="D1417" s="50">
        <v>7807</v>
      </c>
      <c r="E1417" s="50">
        <v>3873</v>
      </c>
      <c r="F1417" s="51">
        <v>0.49609324964775198</v>
      </c>
      <c r="G1417" s="50">
        <v>252</v>
      </c>
      <c r="H1417" s="51">
        <v>6.5065840433772296E-2</v>
      </c>
      <c r="I1417" s="51">
        <v>3.2278724221852198E-2</v>
      </c>
      <c r="J1417" s="109" t="s">
        <v>1055</v>
      </c>
      <c r="K1417" s="109" t="s">
        <v>1056</v>
      </c>
    </row>
    <row r="1418" spans="1:11" x14ac:dyDescent="0.35">
      <c r="A1418" s="61">
        <v>45633</v>
      </c>
      <c r="B1418" s="49" t="s">
        <v>981</v>
      </c>
      <c r="C1418" s="49" t="s">
        <v>10</v>
      </c>
      <c r="D1418" s="50">
        <v>1398</v>
      </c>
      <c r="E1418" s="50">
        <v>688</v>
      </c>
      <c r="F1418" s="51">
        <v>0.49213161659513599</v>
      </c>
      <c r="G1418" s="50">
        <v>49</v>
      </c>
      <c r="H1418" s="51">
        <v>7.12209302325581E-2</v>
      </c>
      <c r="I1418" s="51">
        <v>3.5050071530758203E-2</v>
      </c>
      <c r="J1418" s="109" t="s">
        <v>1055</v>
      </c>
      <c r="K1418" s="109" t="s">
        <v>1056</v>
      </c>
    </row>
    <row r="1419" spans="1:11" x14ac:dyDescent="0.35">
      <c r="A1419" s="61">
        <v>45633</v>
      </c>
      <c r="B1419" s="49" t="s">
        <v>981</v>
      </c>
      <c r="C1419" s="49" t="s">
        <v>11</v>
      </c>
      <c r="D1419" s="50">
        <v>547</v>
      </c>
      <c r="E1419" s="50">
        <v>233</v>
      </c>
      <c r="F1419" s="51">
        <v>0.42595978062157203</v>
      </c>
      <c r="G1419" s="50">
        <v>3</v>
      </c>
      <c r="H1419" s="51">
        <v>1.28755364806867E-2</v>
      </c>
      <c r="I1419" s="51">
        <v>5.4844606946983501E-3</v>
      </c>
      <c r="J1419" s="109" t="s">
        <v>1055</v>
      </c>
      <c r="K1419" s="109" t="s">
        <v>1056</v>
      </c>
    </row>
    <row r="1420" spans="1:11" x14ac:dyDescent="0.35">
      <c r="A1420" s="61">
        <v>45633</v>
      </c>
      <c r="B1420" s="49" t="s">
        <v>982</v>
      </c>
      <c r="C1420" s="49" t="s">
        <v>10</v>
      </c>
      <c r="D1420" s="50">
        <v>954082</v>
      </c>
      <c r="E1420" s="50">
        <v>373112</v>
      </c>
      <c r="F1420" s="51">
        <v>0.39106911146002099</v>
      </c>
      <c r="G1420" s="50">
        <v>4421</v>
      </c>
      <c r="H1420" s="51">
        <v>1.18489890435044E-2</v>
      </c>
      <c r="I1420" s="51">
        <v>4.6337736169427797E-3</v>
      </c>
      <c r="J1420" s="109" t="s">
        <v>1059</v>
      </c>
      <c r="K1420" s="109" t="s">
        <v>1056</v>
      </c>
    </row>
    <row r="1421" spans="1:11" x14ac:dyDescent="0.35">
      <c r="A1421" s="61">
        <v>45633</v>
      </c>
      <c r="B1421" s="49" t="s">
        <v>982</v>
      </c>
      <c r="C1421" s="49" t="s">
        <v>11</v>
      </c>
      <c r="D1421" s="50">
        <v>34606</v>
      </c>
      <c r="E1421" s="50">
        <v>13418</v>
      </c>
      <c r="F1421" s="51">
        <v>0.38773623071143698</v>
      </c>
      <c r="G1421" s="50">
        <v>194</v>
      </c>
      <c r="H1421" s="51">
        <v>1.4458190490386E-2</v>
      </c>
      <c r="I1421" s="51">
        <v>5.6059642836502298E-3</v>
      </c>
      <c r="J1421" s="109" t="s">
        <v>1059</v>
      </c>
      <c r="K1421" s="109" t="s">
        <v>1056</v>
      </c>
    </row>
    <row r="1422" spans="1:11" x14ac:dyDescent="0.35">
      <c r="A1422" s="61">
        <v>45636</v>
      </c>
      <c r="B1422" s="49" t="s">
        <v>983</v>
      </c>
      <c r="C1422" s="49" t="s">
        <v>10</v>
      </c>
      <c r="D1422" s="50">
        <v>1394915</v>
      </c>
      <c r="E1422" s="50">
        <v>388839</v>
      </c>
      <c r="F1422" s="51">
        <v>0.27875461945710001</v>
      </c>
      <c r="G1422" s="50">
        <v>8892</v>
      </c>
      <c r="H1422" s="51">
        <v>2.2868076504671601E-2</v>
      </c>
      <c r="I1422" s="51">
        <v>6.3745819637755696E-3</v>
      </c>
      <c r="J1422" s="109" t="s">
        <v>1055</v>
      </c>
      <c r="K1422" s="109" t="s">
        <v>1056</v>
      </c>
    </row>
    <row r="1423" spans="1:11" x14ac:dyDescent="0.35">
      <c r="A1423" s="61">
        <v>45636</v>
      </c>
      <c r="B1423" s="49" t="s">
        <v>983</v>
      </c>
      <c r="C1423" s="49" t="s">
        <v>11</v>
      </c>
      <c r="D1423" s="50">
        <v>93763</v>
      </c>
      <c r="E1423" s="50">
        <v>30625</v>
      </c>
      <c r="F1423" s="51">
        <v>0.32662137516931</v>
      </c>
      <c r="G1423" s="50">
        <v>880</v>
      </c>
      <c r="H1423" s="51">
        <v>2.8734693877550999E-2</v>
      </c>
      <c r="I1423" s="51">
        <v>9.3853652293548594E-3</v>
      </c>
      <c r="J1423" s="109" t="s">
        <v>1055</v>
      </c>
      <c r="K1423" s="109" t="s">
        <v>1056</v>
      </c>
    </row>
    <row r="1424" spans="1:11" x14ac:dyDescent="0.35">
      <c r="A1424" s="61">
        <v>45636</v>
      </c>
      <c r="B1424" s="49" t="s">
        <v>984</v>
      </c>
      <c r="C1424" s="49" t="s">
        <v>985</v>
      </c>
      <c r="D1424" s="50">
        <v>1320</v>
      </c>
      <c r="E1424" s="50">
        <v>834</v>
      </c>
      <c r="F1424" s="51">
        <v>0.63759999999999994</v>
      </c>
      <c r="G1424" s="50">
        <v>30</v>
      </c>
      <c r="H1424" s="51">
        <v>3.5971223021582698E-2</v>
      </c>
      <c r="I1424" s="51">
        <v>2.2700000000000001E-2</v>
      </c>
      <c r="J1424" s="109" t="s">
        <v>1058</v>
      </c>
      <c r="K1424" s="109" t="s">
        <v>1054</v>
      </c>
    </row>
    <row r="1425" spans="1:11" x14ac:dyDescent="0.35">
      <c r="A1425" s="61">
        <v>45636</v>
      </c>
      <c r="B1425" s="49" t="s">
        <v>984</v>
      </c>
      <c r="C1425" s="49" t="s">
        <v>986</v>
      </c>
      <c r="D1425" s="50">
        <v>20154</v>
      </c>
      <c r="E1425" s="50">
        <v>14680</v>
      </c>
      <c r="F1425" s="51">
        <v>0.72839138632529499</v>
      </c>
      <c r="G1425" s="50">
        <v>477</v>
      </c>
      <c r="H1425" s="51">
        <v>3.2493188010899197E-2</v>
      </c>
      <c r="I1425" s="51">
        <v>2.3667758261387301E-2</v>
      </c>
      <c r="J1425" s="109" t="s">
        <v>1058</v>
      </c>
      <c r="K1425" s="109" t="s">
        <v>1054</v>
      </c>
    </row>
    <row r="1426" spans="1:11" x14ac:dyDescent="0.35">
      <c r="A1426" s="61">
        <v>45636</v>
      </c>
      <c r="B1426" s="49" t="s">
        <v>984</v>
      </c>
      <c r="C1426" s="49" t="s">
        <v>987</v>
      </c>
      <c r="D1426" s="50">
        <v>164491</v>
      </c>
      <c r="E1426" s="50">
        <v>77282</v>
      </c>
      <c r="F1426" s="51">
        <v>0.46982509681380702</v>
      </c>
      <c r="G1426" s="50">
        <v>4737</v>
      </c>
      <c r="H1426" s="51">
        <v>6.1294997541471503E-2</v>
      </c>
      <c r="I1426" s="51">
        <v>2.8797928154123902E-2</v>
      </c>
      <c r="J1426" s="109" t="s">
        <v>1058</v>
      </c>
      <c r="K1426" s="109" t="s">
        <v>1054</v>
      </c>
    </row>
    <row r="1427" spans="1:11" x14ac:dyDescent="0.35">
      <c r="A1427" s="61">
        <v>45636</v>
      </c>
      <c r="B1427" s="49" t="s">
        <v>984</v>
      </c>
      <c r="C1427" s="49" t="s">
        <v>988</v>
      </c>
      <c r="D1427" s="50">
        <v>6757</v>
      </c>
      <c r="E1427" s="50">
        <v>3097</v>
      </c>
      <c r="F1427" s="51">
        <v>0.45833949977800797</v>
      </c>
      <c r="G1427" s="50">
        <v>277</v>
      </c>
      <c r="H1427" s="51">
        <v>8.9441394898288701E-2</v>
      </c>
      <c r="I1427" s="51">
        <v>4.0994524197128901E-2</v>
      </c>
      <c r="J1427" s="109" t="s">
        <v>1058</v>
      </c>
      <c r="K1427" s="109" t="s">
        <v>1054</v>
      </c>
    </row>
    <row r="1428" spans="1:11" x14ac:dyDescent="0.35">
      <c r="A1428" s="61">
        <v>45637</v>
      </c>
      <c r="B1428" s="49" t="s">
        <v>989</v>
      </c>
      <c r="C1428" s="49" t="s">
        <v>10</v>
      </c>
      <c r="D1428" s="50">
        <v>115079</v>
      </c>
      <c r="E1428" s="50">
        <v>51042</v>
      </c>
      <c r="F1428" s="51">
        <v>0.44353878639890898</v>
      </c>
      <c r="G1428" s="50">
        <v>961</v>
      </c>
      <c r="H1428" s="51">
        <v>1.8827632146075801E-2</v>
      </c>
      <c r="I1428" s="51">
        <v>8.3507851128355303E-3</v>
      </c>
      <c r="J1428" s="109" t="s">
        <v>1055</v>
      </c>
      <c r="K1428" s="109" t="s">
        <v>1056</v>
      </c>
    </row>
    <row r="1429" spans="1:11" x14ac:dyDescent="0.35">
      <c r="A1429" s="61">
        <v>45637</v>
      </c>
      <c r="B1429" s="49" t="s">
        <v>989</v>
      </c>
      <c r="C1429" s="49" t="s">
        <v>11</v>
      </c>
      <c r="D1429" s="50">
        <v>7800</v>
      </c>
      <c r="E1429" s="50">
        <v>3732</v>
      </c>
      <c r="F1429" s="51">
        <v>0.47846153846153799</v>
      </c>
      <c r="G1429" s="50">
        <v>80</v>
      </c>
      <c r="H1429" s="51">
        <v>2.1436227224008599E-2</v>
      </c>
      <c r="I1429" s="51">
        <v>1.02564102564103E-2</v>
      </c>
      <c r="J1429" s="109" t="s">
        <v>1055</v>
      </c>
      <c r="K1429" s="109" t="s">
        <v>1056</v>
      </c>
    </row>
    <row r="1430" spans="1:11" x14ac:dyDescent="0.35">
      <c r="A1430" s="61">
        <v>45637</v>
      </c>
      <c r="B1430" s="49" t="s">
        <v>904</v>
      </c>
      <c r="C1430" s="49" t="s">
        <v>990</v>
      </c>
      <c r="D1430" s="50">
        <v>44425</v>
      </c>
      <c r="E1430" s="50">
        <v>15568</v>
      </c>
      <c r="F1430" s="51">
        <v>0.350433314575127</v>
      </c>
      <c r="G1430" s="50">
        <v>187</v>
      </c>
      <c r="H1430" s="51">
        <v>1.20118191161357E-2</v>
      </c>
      <c r="I1430" s="51">
        <v>4.2093415869442902E-3</v>
      </c>
      <c r="J1430" s="109" t="s">
        <v>1059</v>
      </c>
      <c r="K1430" s="109" t="s">
        <v>1056</v>
      </c>
    </row>
    <row r="1431" spans="1:11" x14ac:dyDescent="0.35">
      <c r="A1431" s="61">
        <v>45638</v>
      </c>
      <c r="B1431" s="49" t="s">
        <v>926</v>
      </c>
      <c r="C1431" s="49" t="s">
        <v>991</v>
      </c>
      <c r="D1431" s="50">
        <v>1373903</v>
      </c>
      <c r="E1431" s="50">
        <v>551226</v>
      </c>
      <c r="F1431" s="60">
        <v>0.4012</v>
      </c>
      <c r="G1431" s="50">
        <v>1714</v>
      </c>
      <c r="H1431" s="60">
        <v>3.0999999999999999E-3</v>
      </c>
      <c r="I1431" s="60">
        <v>1.1999999999999999E-3</v>
      </c>
      <c r="J1431" s="109" t="s">
        <v>1055</v>
      </c>
      <c r="K1431" s="109" t="s">
        <v>1056</v>
      </c>
    </row>
    <row r="1432" spans="1:11" x14ac:dyDescent="0.35">
      <c r="A1432" s="61">
        <v>45638</v>
      </c>
      <c r="B1432" s="49" t="s">
        <v>928</v>
      </c>
      <c r="C1432" s="49" t="s">
        <v>991</v>
      </c>
      <c r="D1432" s="50">
        <v>952448</v>
      </c>
      <c r="E1432" s="50">
        <v>360811</v>
      </c>
      <c r="F1432" s="60">
        <v>0.37880000000000003</v>
      </c>
      <c r="G1432" s="50">
        <v>1308</v>
      </c>
      <c r="H1432" s="60">
        <v>3.5999999999999999E-3</v>
      </c>
      <c r="I1432" s="60">
        <v>1.4E-3</v>
      </c>
      <c r="J1432" s="109" t="s">
        <v>1055</v>
      </c>
      <c r="K1432" s="109" t="s">
        <v>1056</v>
      </c>
    </row>
    <row r="1433" spans="1:11" x14ac:dyDescent="0.35">
      <c r="A1433" s="61">
        <v>45638</v>
      </c>
      <c r="B1433" s="49" t="s">
        <v>929</v>
      </c>
      <c r="C1433" s="49" t="s">
        <v>992</v>
      </c>
      <c r="D1433" s="50">
        <v>80385</v>
      </c>
      <c r="E1433" s="50">
        <v>32339</v>
      </c>
      <c r="F1433" s="60">
        <v>0.40229999999999999</v>
      </c>
      <c r="G1433" s="49">
        <v>163</v>
      </c>
      <c r="H1433" s="60">
        <v>5.0000000000000001E-3</v>
      </c>
      <c r="I1433" s="60">
        <v>2E-3</v>
      </c>
      <c r="J1433" s="109" t="s">
        <v>1055</v>
      </c>
      <c r="K1433" s="109" t="s">
        <v>1056</v>
      </c>
    </row>
    <row r="1434" spans="1:11" x14ac:dyDescent="0.35">
      <c r="A1434" s="61">
        <v>45638</v>
      </c>
      <c r="B1434" s="49" t="s">
        <v>963</v>
      </c>
      <c r="C1434" s="49" t="s">
        <v>234</v>
      </c>
      <c r="D1434" s="50">
        <v>1368045</v>
      </c>
      <c r="E1434" s="50">
        <v>519342</v>
      </c>
      <c r="F1434" s="60">
        <v>0.37959999999999999</v>
      </c>
      <c r="G1434" s="50">
        <v>1504</v>
      </c>
      <c r="H1434" s="60">
        <v>2.8999999999999998E-3</v>
      </c>
      <c r="I1434" s="60">
        <v>1.1000000000000001E-3</v>
      </c>
      <c r="J1434" s="109" t="s">
        <v>1055</v>
      </c>
      <c r="K1434" s="109" t="s">
        <v>1056</v>
      </c>
    </row>
    <row r="1435" spans="1:11" x14ac:dyDescent="0.35">
      <c r="A1435" s="61">
        <v>45638</v>
      </c>
      <c r="B1435" s="49" t="s">
        <v>993</v>
      </c>
      <c r="C1435" s="49" t="s">
        <v>235</v>
      </c>
      <c r="D1435" s="50">
        <v>79787</v>
      </c>
      <c r="E1435" s="50">
        <v>29630</v>
      </c>
      <c r="F1435" s="60">
        <v>0.37140000000000001</v>
      </c>
      <c r="G1435" s="49">
        <v>125</v>
      </c>
      <c r="H1435" s="60">
        <v>4.1999999999999997E-3</v>
      </c>
      <c r="I1435" s="60">
        <v>1.6000000000000001E-3</v>
      </c>
      <c r="J1435" s="109" t="s">
        <v>1055</v>
      </c>
      <c r="K1435" s="109" t="s">
        <v>1056</v>
      </c>
    </row>
    <row r="1436" spans="1:11" x14ac:dyDescent="0.35">
      <c r="A1436" s="61">
        <v>45638</v>
      </c>
      <c r="B1436" s="49" t="s">
        <v>994</v>
      </c>
      <c r="C1436" s="49" t="s">
        <v>10</v>
      </c>
      <c r="D1436" s="50">
        <v>1067640</v>
      </c>
      <c r="E1436" s="50">
        <v>363076</v>
      </c>
      <c r="F1436" s="51">
        <v>0.34007343299239401</v>
      </c>
      <c r="G1436" s="50">
        <v>2591</v>
      </c>
      <c r="H1436" s="51">
        <v>7.1362469565600601E-3</v>
      </c>
      <c r="I1436" s="51">
        <v>2.42684800119891E-3</v>
      </c>
      <c r="J1436" s="109" t="s">
        <v>1055</v>
      </c>
      <c r="K1436" s="109" t="s">
        <v>1056</v>
      </c>
    </row>
    <row r="1437" spans="1:11" x14ac:dyDescent="0.35">
      <c r="A1437" s="61">
        <v>45638</v>
      </c>
      <c r="B1437" s="49" t="s">
        <v>995</v>
      </c>
      <c r="C1437" s="49" t="s">
        <v>72</v>
      </c>
      <c r="D1437" s="50">
        <v>133372</v>
      </c>
      <c r="E1437" s="50">
        <v>44834</v>
      </c>
      <c r="F1437" s="51">
        <v>0.33615751432084701</v>
      </c>
      <c r="G1437" s="50">
        <v>294</v>
      </c>
      <c r="H1437" s="51">
        <v>6.5575233082035998E-3</v>
      </c>
      <c r="I1437" s="51">
        <v>2.20436073538674E-3</v>
      </c>
      <c r="J1437" s="109" t="s">
        <v>1055</v>
      </c>
      <c r="K1437" s="109" t="s">
        <v>1056</v>
      </c>
    </row>
    <row r="1438" spans="1:11" x14ac:dyDescent="0.35">
      <c r="A1438" s="61">
        <v>45638</v>
      </c>
      <c r="B1438" s="49" t="s">
        <v>995</v>
      </c>
      <c r="C1438" s="49" t="s">
        <v>73</v>
      </c>
      <c r="D1438" s="50">
        <v>6481</v>
      </c>
      <c r="E1438" s="50">
        <v>1972</v>
      </c>
      <c r="F1438" s="51">
        <v>0.304274031785218</v>
      </c>
      <c r="G1438" s="50">
        <v>21</v>
      </c>
      <c r="H1438" s="51">
        <v>1.06490872210953E-2</v>
      </c>
      <c r="I1438" s="51">
        <v>3.2402407035951198E-3</v>
      </c>
      <c r="J1438" s="109" t="s">
        <v>1055</v>
      </c>
      <c r="K1438" s="109" t="s">
        <v>1056</v>
      </c>
    </row>
    <row r="1439" spans="1:11" x14ac:dyDescent="0.35">
      <c r="A1439" s="61">
        <v>45655</v>
      </c>
      <c r="B1439" s="49" t="s">
        <v>12</v>
      </c>
      <c r="C1439" s="49" t="s">
        <v>10</v>
      </c>
      <c r="D1439" s="50">
        <v>293018</v>
      </c>
      <c r="E1439" s="50">
        <v>71794</v>
      </c>
      <c r="F1439" s="51">
        <v>0.245015664566682</v>
      </c>
      <c r="G1439" s="50">
        <v>1086</v>
      </c>
      <c r="H1439" s="51">
        <v>1.51266122517202E-2</v>
      </c>
      <c r="I1439" s="51">
        <v>3.7062569534977402E-3</v>
      </c>
      <c r="J1439" s="52" t="s">
        <v>1057</v>
      </c>
      <c r="K1439" s="109" t="s">
        <v>1054</v>
      </c>
    </row>
    <row r="1440" spans="1:11" x14ac:dyDescent="0.35">
      <c r="A1440" s="61">
        <v>45655</v>
      </c>
      <c r="B1440" s="49" t="s">
        <v>9</v>
      </c>
      <c r="C1440" s="49" t="s">
        <v>10</v>
      </c>
      <c r="D1440" s="50">
        <v>4070697</v>
      </c>
      <c r="E1440" s="50">
        <v>1128162</v>
      </c>
      <c r="F1440" s="51">
        <v>0.27714221913347997</v>
      </c>
      <c r="G1440" s="50">
        <v>25678</v>
      </c>
      <c r="H1440" s="51">
        <v>2.2760915542271401E-2</v>
      </c>
      <c r="I1440" s="51">
        <v>6.30801064289482E-3</v>
      </c>
      <c r="J1440" s="52" t="s">
        <v>1055</v>
      </c>
      <c r="K1440" s="109" t="s">
        <v>1056</v>
      </c>
    </row>
    <row r="1441" spans="1:11" x14ac:dyDescent="0.35">
      <c r="A1441" s="61">
        <v>45655</v>
      </c>
      <c r="B1441" s="49" t="s">
        <v>9</v>
      </c>
      <c r="C1441" s="49" t="s">
        <v>11</v>
      </c>
      <c r="D1441" s="50">
        <v>237550</v>
      </c>
      <c r="E1441" s="50">
        <v>36601</v>
      </c>
      <c r="F1441" s="51">
        <v>0.15407703641338699</v>
      </c>
      <c r="G1441" s="50">
        <v>1260</v>
      </c>
      <c r="H1441" s="51">
        <v>3.4425288926532099E-2</v>
      </c>
      <c r="I1441" s="51">
        <v>5.3041464954746396E-3</v>
      </c>
      <c r="J1441" s="52" t="s">
        <v>1055</v>
      </c>
      <c r="K1441" s="109" t="s">
        <v>1056</v>
      </c>
    </row>
    <row r="1442" spans="1:11" x14ac:dyDescent="0.35">
      <c r="A1442" s="61">
        <v>45656</v>
      </c>
      <c r="B1442" s="49" t="s">
        <v>13</v>
      </c>
      <c r="C1442" s="49" t="s">
        <v>14</v>
      </c>
      <c r="D1442" s="50">
        <v>6111</v>
      </c>
      <c r="E1442" s="50">
        <v>1752</v>
      </c>
      <c r="F1442" s="51">
        <v>0.28669612174766801</v>
      </c>
      <c r="G1442" s="50">
        <v>93</v>
      </c>
      <c r="H1442" s="51">
        <v>5.3082191780821901E-2</v>
      </c>
      <c r="I1442" s="51">
        <v>1.52184585174276E-2</v>
      </c>
      <c r="J1442" s="52" t="s">
        <v>1058</v>
      </c>
      <c r="K1442" s="109" t="s">
        <v>1054</v>
      </c>
    </row>
    <row r="1443" spans="1:11" x14ac:dyDescent="0.35">
      <c r="A1443" s="61">
        <v>45989</v>
      </c>
      <c r="B1443" s="49" t="s">
        <v>1064</v>
      </c>
      <c r="C1443" s="49" t="s">
        <v>930</v>
      </c>
      <c r="D1443" s="50">
        <v>1049337</v>
      </c>
      <c r="E1443" s="50">
        <v>419250</v>
      </c>
      <c r="F1443" s="60">
        <v>0.39950000000000002</v>
      </c>
      <c r="G1443" s="50">
        <v>1326</v>
      </c>
      <c r="H1443" s="60">
        <v>3.2000000000000002E-3</v>
      </c>
      <c r="I1443" s="60">
        <v>1.2999999999999999E-3</v>
      </c>
      <c r="J1443" s="109" t="s">
        <v>1055</v>
      </c>
      <c r="K1443" s="109" t="s">
        <v>1056</v>
      </c>
    </row>
    <row r="1444" spans="1:11" x14ac:dyDescent="0.35">
      <c r="A1444" s="62">
        <v>46004</v>
      </c>
      <c r="B1444" s="53" t="s">
        <v>996</v>
      </c>
      <c r="C1444" s="53" t="s">
        <v>10</v>
      </c>
      <c r="D1444" s="54">
        <v>380820</v>
      </c>
      <c r="E1444" s="54">
        <v>137046</v>
      </c>
      <c r="F1444" s="55">
        <v>0.35987080510477398</v>
      </c>
      <c r="G1444" s="54">
        <v>2159</v>
      </c>
      <c r="H1444" s="55">
        <v>1.5753834478934099E-2</v>
      </c>
      <c r="I1444" s="55">
        <v>5.6693450974213497E-3</v>
      </c>
      <c r="J1444" s="136" t="s">
        <v>1057</v>
      </c>
      <c r="K1444" s="109" t="s">
        <v>1054</v>
      </c>
    </row>
    <row r="1445" spans="1:11" x14ac:dyDescent="0.35">
      <c r="A1445" s="62">
        <v>46004</v>
      </c>
      <c r="B1445" s="53" t="s">
        <v>998</v>
      </c>
      <c r="C1445" s="53" t="s">
        <v>10</v>
      </c>
      <c r="D1445" s="54">
        <v>3524</v>
      </c>
      <c r="E1445" s="54">
        <v>1631</v>
      </c>
      <c r="F1445" s="55">
        <v>0.46282633371169102</v>
      </c>
      <c r="G1445" s="54">
        <v>46</v>
      </c>
      <c r="H1445" s="55">
        <v>2.8203556100551801E-2</v>
      </c>
      <c r="I1445" s="55">
        <v>1.30533484676504E-2</v>
      </c>
      <c r="J1445" s="136" t="s">
        <v>1060</v>
      </c>
      <c r="K1445" s="109" t="s">
        <v>1054</v>
      </c>
    </row>
    <row r="1446" spans="1:11" x14ac:dyDescent="0.35">
      <c r="A1446" s="62">
        <v>46004</v>
      </c>
      <c r="B1446" s="53" t="s">
        <v>999</v>
      </c>
      <c r="C1446" s="53" t="s">
        <v>10</v>
      </c>
      <c r="D1446" s="54">
        <v>37972</v>
      </c>
      <c r="E1446" s="54">
        <v>15934</v>
      </c>
      <c r="F1446" s="55">
        <v>0.41962498683240301</v>
      </c>
      <c r="G1446" s="54">
        <v>325</v>
      </c>
      <c r="H1446" s="55">
        <v>2.0396636124011502E-2</v>
      </c>
      <c r="I1446" s="55">
        <v>8.5589381649636594E-3</v>
      </c>
      <c r="J1446" s="136" t="s">
        <v>1060</v>
      </c>
      <c r="K1446" s="109" t="s">
        <v>1054</v>
      </c>
    </row>
    <row r="1447" spans="1:11" x14ac:dyDescent="0.35">
      <c r="A1447" s="62">
        <v>46004</v>
      </c>
      <c r="B1447" s="53" t="s">
        <v>997</v>
      </c>
      <c r="C1447" s="53" t="s">
        <v>10</v>
      </c>
      <c r="D1447" s="54">
        <v>4710750</v>
      </c>
      <c r="E1447" s="54">
        <v>1264177</v>
      </c>
      <c r="F1447" s="55">
        <v>0.268360027596455</v>
      </c>
      <c r="G1447" s="54">
        <v>21851</v>
      </c>
      <c r="H1447" s="55">
        <v>1.72847631304794E-2</v>
      </c>
      <c r="I1447" s="55">
        <v>4.6385395106936303E-3</v>
      </c>
      <c r="J1447" s="136" t="s">
        <v>1055</v>
      </c>
      <c r="K1447" s="109" t="s">
        <v>1056</v>
      </c>
    </row>
    <row r="1448" spans="1:11" x14ac:dyDescent="0.35">
      <c r="A1448" s="62">
        <v>46004</v>
      </c>
      <c r="B1448" s="53" t="s">
        <v>997</v>
      </c>
      <c r="C1448" s="53" t="s">
        <v>11</v>
      </c>
      <c r="D1448" s="54">
        <v>300513</v>
      </c>
      <c r="E1448" s="54">
        <v>85644</v>
      </c>
      <c r="F1448" s="55">
        <v>0.28499266254704497</v>
      </c>
      <c r="G1448" s="54">
        <v>1781</v>
      </c>
      <c r="H1448" s="55">
        <v>2.0795385549483899E-2</v>
      </c>
      <c r="I1448" s="55">
        <v>5.9265322964397503E-3</v>
      </c>
      <c r="J1448" s="136" t="s">
        <v>1055</v>
      </c>
      <c r="K1448" s="109" t="s">
        <v>1056</v>
      </c>
    </row>
    <row r="1449" spans="1:11" x14ac:dyDescent="0.35">
      <c r="A1449" s="62">
        <v>46005</v>
      </c>
      <c r="B1449" s="53" t="s">
        <v>1000</v>
      </c>
      <c r="C1449" s="53" t="s">
        <v>10</v>
      </c>
      <c r="D1449" s="54">
        <v>3137181</v>
      </c>
      <c r="E1449" s="54">
        <v>1237416</v>
      </c>
      <c r="F1449" s="55">
        <v>0.39443564142457799</v>
      </c>
      <c r="G1449" s="54">
        <v>11995</v>
      </c>
      <c r="H1449" s="55">
        <v>9.6935872818841792E-3</v>
      </c>
      <c r="I1449" s="55">
        <v>3.8234963172351201E-3</v>
      </c>
      <c r="J1449" s="136" t="s">
        <v>1058</v>
      </c>
      <c r="K1449" s="109" t="s">
        <v>1054</v>
      </c>
    </row>
    <row r="1450" spans="1:11" x14ac:dyDescent="0.35">
      <c r="A1450" s="62">
        <v>46005</v>
      </c>
      <c r="B1450" s="53" t="s">
        <v>1000</v>
      </c>
      <c r="C1450" s="53" t="s">
        <v>11</v>
      </c>
      <c r="D1450" s="54">
        <v>165143</v>
      </c>
      <c r="E1450" s="54">
        <v>68059</v>
      </c>
      <c r="F1450" s="55">
        <v>0.412121615811751</v>
      </c>
      <c r="G1450" s="54">
        <v>1032</v>
      </c>
      <c r="H1450" s="55">
        <v>1.5163314183282201E-2</v>
      </c>
      <c r="I1450" s="55">
        <v>6.2491295422754797E-3</v>
      </c>
      <c r="J1450" s="136" t="s">
        <v>1058</v>
      </c>
      <c r="K1450" s="109" t="s">
        <v>1054</v>
      </c>
    </row>
    <row r="1451" spans="1:11" x14ac:dyDescent="0.35">
      <c r="A1451" s="62">
        <v>46007</v>
      </c>
      <c r="B1451" s="53" t="s">
        <v>1008</v>
      </c>
      <c r="C1451" s="53" t="s">
        <v>10</v>
      </c>
      <c r="D1451" s="54">
        <v>56932</v>
      </c>
      <c r="E1451" s="54">
        <v>21348</v>
      </c>
      <c r="F1451" s="55">
        <v>0.374973652778754</v>
      </c>
      <c r="G1451" s="54">
        <v>224</v>
      </c>
      <c r="H1451" s="55">
        <v>1.0492786209481001E-2</v>
      </c>
      <c r="I1451" s="55">
        <v>3.9345183727956196E-3</v>
      </c>
      <c r="J1451" s="136" t="s">
        <v>1061</v>
      </c>
      <c r="K1451" s="109" t="s">
        <v>1054</v>
      </c>
    </row>
    <row r="1452" spans="1:11" x14ac:dyDescent="0.35">
      <c r="A1452" s="62">
        <v>46007</v>
      </c>
      <c r="B1452" s="53" t="s">
        <v>1001</v>
      </c>
      <c r="C1452" s="53" t="s">
        <v>1002</v>
      </c>
      <c r="D1452" s="54">
        <v>169829</v>
      </c>
      <c r="E1452" s="54">
        <v>66973</v>
      </c>
      <c r="F1452" s="55">
        <v>0.39435549876640602</v>
      </c>
      <c r="G1452" s="54">
        <v>1395</v>
      </c>
      <c r="H1452" s="55">
        <v>2.0829289415137401E-2</v>
      </c>
      <c r="I1452" s="55">
        <v>8.2141448162563503E-3</v>
      </c>
      <c r="J1452" s="136" t="s">
        <v>1055</v>
      </c>
      <c r="K1452" s="109" t="s">
        <v>1056</v>
      </c>
    </row>
    <row r="1453" spans="1:11" x14ac:dyDescent="0.35">
      <c r="A1453" s="62">
        <v>46007</v>
      </c>
      <c r="B1453" s="53" t="s">
        <v>1001</v>
      </c>
      <c r="C1453" s="53" t="s">
        <v>1003</v>
      </c>
      <c r="D1453" s="54">
        <v>141</v>
      </c>
      <c r="E1453" s="54">
        <v>40</v>
      </c>
      <c r="F1453" s="55">
        <v>0.28368794326241098</v>
      </c>
      <c r="G1453" s="54">
        <v>1</v>
      </c>
      <c r="H1453" s="55">
        <v>2.5000000000000001E-2</v>
      </c>
      <c r="I1453" s="55">
        <v>7.09219858156028E-3</v>
      </c>
      <c r="J1453" s="136" t="s">
        <v>1055</v>
      </c>
      <c r="K1453" s="109" t="s">
        <v>1056</v>
      </c>
    </row>
    <row r="1454" spans="1:11" x14ac:dyDescent="0.35">
      <c r="A1454" s="62">
        <v>46007</v>
      </c>
      <c r="B1454" s="53" t="s">
        <v>1001</v>
      </c>
      <c r="C1454" s="53" t="s">
        <v>1004</v>
      </c>
      <c r="D1454" s="54">
        <v>169991</v>
      </c>
      <c r="E1454" s="54">
        <v>66349</v>
      </c>
      <c r="F1454" s="55">
        <v>0.39030889870640201</v>
      </c>
      <c r="G1454" s="54">
        <v>1097</v>
      </c>
      <c r="H1454" s="55">
        <v>1.6533783478274E-2</v>
      </c>
      <c r="I1454" s="55">
        <v>6.45328282085522E-3</v>
      </c>
      <c r="J1454" s="136" t="s">
        <v>1055</v>
      </c>
      <c r="K1454" s="109" t="s">
        <v>1056</v>
      </c>
    </row>
    <row r="1455" spans="1:11" x14ac:dyDescent="0.35">
      <c r="A1455" s="62">
        <v>46007</v>
      </c>
      <c r="B1455" s="53" t="s">
        <v>1001</v>
      </c>
      <c r="C1455" s="53" t="s">
        <v>1005</v>
      </c>
      <c r="D1455" s="54">
        <v>156</v>
      </c>
      <c r="E1455" s="54">
        <v>45</v>
      </c>
      <c r="F1455" s="55">
        <v>0.28846153846153799</v>
      </c>
      <c r="G1455" s="54">
        <v>0</v>
      </c>
      <c r="H1455" s="55">
        <v>0</v>
      </c>
      <c r="I1455" s="55">
        <v>0</v>
      </c>
      <c r="J1455" s="136" t="s">
        <v>1055</v>
      </c>
      <c r="K1455" s="109" t="s">
        <v>1056</v>
      </c>
    </row>
    <row r="1456" spans="1:11" x14ac:dyDescent="0.35">
      <c r="A1456" s="62">
        <v>46007</v>
      </c>
      <c r="B1456" s="53" t="s">
        <v>1001</v>
      </c>
      <c r="C1456" s="53" t="s">
        <v>1006</v>
      </c>
      <c r="D1456" s="54">
        <v>170136</v>
      </c>
      <c r="E1456" s="54">
        <v>66758</v>
      </c>
      <c r="F1456" s="55">
        <v>0.39238021347627799</v>
      </c>
      <c r="G1456" s="54">
        <v>958</v>
      </c>
      <c r="H1456" s="55">
        <v>1.4350340034153201E-2</v>
      </c>
      <c r="I1456" s="55">
        <v>5.6307894860582099E-3</v>
      </c>
      <c r="J1456" s="136" t="s">
        <v>1055</v>
      </c>
      <c r="K1456" s="109" t="s">
        <v>1056</v>
      </c>
    </row>
    <row r="1457" spans="1:11" x14ac:dyDescent="0.35">
      <c r="A1457" s="62">
        <v>46007</v>
      </c>
      <c r="B1457" s="53" t="s">
        <v>1001</v>
      </c>
      <c r="C1457" s="53" t="s">
        <v>1007</v>
      </c>
      <c r="D1457" s="54">
        <v>181</v>
      </c>
      <c r="E1457" s="54">
        <v>59</v>
      </c>
      <c r="F1457" s="55">
        <v>0.325966850828729</v>
      </c>
      <c r="G1457" s="54">
        <v>0</v>
      </c>
      <c r="H1457" s="55">
        <v>0</v>
      </c>
      <c r="I1457" s="55">
        <v>0</v>
      </c>
      <c r="J1457" s="136" t="s">
        <v>1055</v>
      </c>
      <c r="K1457" s="109" t="s">
        <v>1056</v>
      </c>
    </row>
    <row r="1458" spans="1:11" x14ac:dyDescent="0.35">
      <c r="A1458" s="62">
        <v>46008</v>
      </c>
      <c r="B1458" s="53" t="s">
        <v>1009</v>
      </c>
      <c r="C1458" s="53" t="s">
        <v>10</v>
      </c>
      <c r="D1458" s="54">
        <v>1408954</v>
      </c>
      <c r="E1458" s="54">
        <v>399259</v>
      </c>
      <c r="F1458" s="55">
        <v>0.28337262962453003</v>
      </c>
      <c r="G1458" s="54">
        <v>8393</v>
      </c>
      <c r="H1458" s="55">
        <v>2.1021442221715699E-2</v>
      </c>
      <c r="I1458" s="55">
        <v>5.9569013608677104E-3</v>
      </c>
      <c r="J1458" s="136" t="s">
        <v>1055</v>
      </c>
      <c r="K1458" s="109" t="s">
        <v>1056</v>
      </c>
    </row>
    <row r="1459" spans="1:11" x14ac:dyDescent="0.35">
      <c r="A1459" s="62">
        <v>46008</v>
      </c>
      <c r="B1459" s="53" t="s">
        <v>1009</v>
      </c>
      <c r="C1459" s="53" t="s">
        <v>11</v>
      </c>
      <c r="D1459" s="54">
        <v>94109</v>
      </c>
      <c r="E1459" s="54">
        <v>31418</v>
      </c>
      <c r="F1459" s="55">
        <v>0.333846922185976</v>
      </c>
      <c r="G1459" s="54">
        <v>1005</v>
      </c>
      <c r="H1459" s="55">
        <v>3.1988032338150098E-2</v>
      </c>
      <c r="I1459" s="55">
        <v>1.06791061428769E-2</v>
      </c>
      <c r="J1459" s="136" t="s">
        <v>1055</v>
      </c>
      <c r="K1459" s="109" t="s">
        <v>1056</v>
      </c>
    </row>
    <row r="1460" spans="1:11" x14ac:dyDescent="0.35">
      <c r="A1460" s="62">
        <v>46009</v>
      </c>
      <c r="B1460" s="53" t="s">
        <v>1010</v>
      </c>
      <c r="C1460" s="53" t="s">
        <v>10</v>
      </c>
      <c r="D1460" s="54">
        <v>6397171</v>
      </c>
      <c r="E1460" s="54">
        <v>2327431</v>
      </c>
      <c r="F1460" s="55">
        <v>0.36382191440560202</v>
      </c>
      <c r="G1460" s="54">
        <v>22969</v>
      </c>
      <c r="H1460" s="55">
        <v>9.8688210305697601E-3</v>
      </c>
      <c r="I1460" s="55">
        <v>3.5904933602681601E-3</v>
      </c>
      <c r="J1460" s="136" t="s">
        <v>1061</v>
      </c>
      <c r="K1460" s="109" t="s">
        <v>1054</v>
      </c>
    </row>
    <row r="1461" spans="1:11" x14ac:dyDescent="0.35">
      <c r="A1461" s="62">
        <v>46009</v>
      </c>
      <c r="B1461" s="53" t="s">
        <v>1010</v>
      </c>
      <c r="C1461" s="53" t="s">
        <v>11</v>
      </c>
      <c r="D1461" s="54">
        <v>408987</v>
      </c>
      <c r="E1461" s="54">
        <v>145055</v>
      </c>
      <c r="F1461" s="55">
        <v>0.35466897480849002</v>
      </c>
      <c r="G1461" s="54">
        <v>1875</v>
      </c>
      <c r="H1461" s="55">
        <v>1.29261314673744E-2</v>
      </c>
      <c r="I1461" s="55">
        <v>4.58449779577346E-3</v>
      </c>
      <c r="J1461" s="136" t="s">
        <v>1061</v>
      </c>
      <c r="K1461" s="109" t="s">
        <v>1054</v>
      </c>
    </row>
    <row r="1462" spans="1:11" x14ac:dyDescent="0.35">
      <c r="A1462" s="62">
        <v>46009</v>
      </c>
      <c r="B1462" s="53" t="s">
        <v>904</v>
      </c>
      <c r="C1462" s="53" t="s">
        <v>1011</v>
      </c>
      <c r="D1462" s="54">
        <v>44370</v>
      </c>
      <c r="E1462" s="54">
        <v>16232</v>
      </c>
      <c r="F1462" s="55">
        <v>0.36583276988956498</v>
      </c>
      <c r="G1462" s="54">
        <v>167</v>
      </c>
      <c r="H1462" s="55">
        <v>1.0288319369147401E-2</v>
      </c>
      <c r="I1462" s="55">
        <v>3.7638043723236402E-3</v>
      </c>
      <c r="J1462" s="136" t="s">
        <v>1059</v>
      </c>
      <c r="K1462" s="109" t="s">
        <v>1056</v>
      </c>
    </row>
    <row r="1463" spans="1:11" x14ac:dyDescent="0.35">
      <c r="A1463" s="62">
        <v>46010</v>
      </c>
      <c r="B1463" s="53" t="s">
        <v>1012</v>
      </c>
      <c r="C1463" s="53" t="s">
        <v>403</v>
      </c>
      <c r="D1463" s="54">
        <v>1418407</v>
      </c>
      <c r="E1463" s="54">
        <v>565895</v>
      </c>
      <c r="F1463" s="57">
        <v>0.39900000000000002</v>
      </c>
      <c r="G1463" s="54">
        <v>1844</v>
      </c>
      <c r="H1463" s="57">
        <v>3.3E-3</v>
      </c>
      <c r="I1463" s="57">
        <v>1.2999999999999999E-3</v>
      </c>
      <c r="J1463" s="136" t="s">
        <v>1055</v>
      </c>
      <c r="K1463" s="109" t="s">
        <v>1056</v>
      </c>
    </row>
    <row r="1464" spans="1:11" x14ac:dyDescent="0.35">
      <c r="A1464" s="62">
        <v>46010</v>
      </c>
      <c r="B1464" s="53" t="s">
        <v>993</v>
      </c>
      <c r="C1464" s="53" t="s">
        <v>404</v>
      </c>
      <c r="D1464" s="54">
        <v>82755</v>
      </c>
      <c r="E1464" s="54">
        <v>32576</v>
      </c>
      <c r="F1464" s="57">
        <v>0.39360000000000001</v>
      </c>
      <c r="G1464" s="53">
        <v>165</v>
      </c>
      <c r="H1464" s="57">
        <v>5.1000000000000004E-3</v>
      </c>
      <c r="I1464" s="57">
        <v>2E-3</v>
      </c>
      <c r="J1464" s="136" t="s">
        <v>1055</v>
      </c>
      <c r="K1464" s="109" t="s">
        <v>1056</v>
      </c>
    </row>
    <row r="1465" spans="1:11" x14ac:dyDescent="0.35">
      <c r="A1465" s="62">
        <v>46010</v>
      </c>
      <c r="B1465" s="53" t="s">
        <v>1013</v>
      </c>
      <c r="C1465" s="53" t="s">
        <v>10</v>
      </c>
      <c r="D1465" s="54">
        <v>776979</v>
      </c>
      <c r="E1465" s="54">
        <v>319030</v>
      </c>
      <c r="F1465" s="55">
        <v>0.41060311797358701</v>
      </c>
      <c r="G1465" s="54">
        <v>3939</v>
      </c>
      <c r="H1465" s="55">
        <v>1.2343666739805E-2</v>
      </c>
      <c r="I1465" s="55">
        <v>5.0683480505908096E-3</v>
      </c>
      <c r="J1465" s="136" t="s">
        <v>1055</v>
      </c>
      <c r="K1465" s="109" t="s">
        <v>1056</v>
      </c>
    </row>
    <row r="1466" spans="1:11" x14ac:dyDescent="0.35">
      <c r="A1466" s="62">
        <v>46010</v>
      </c>
      <c r="B1466" s="53" t="s">
        <v>1013</v>
      </c>
      <c r="C1466" s="53" t="s">
        <v>11</v>
      </c>
      <c r="D1466" s="54">
        <v>29110</v>
      </c>
      <c r="E1466" s="54">
        <v>12164</v>
      </c>
      <c r="F1466" s="55">
        <v>0.41786327722432198</v>
      </c>
      <c r="G1466" s="54">
        <v>151</v>
      </c>
      <c r="H1466" s="55">
        <v>1.24136797106215E-2</v>
      </c>
      <c r="I1466" s="55">
        <v>5.1872208862933696E-3</v>
      </c>
      <c r="J1466" s="136" t="s">
        <v>1055</v>
      </c>
      <c r="K1466" s="109" t="s">
        <v>1056</v>
      </c>
    </row>
    <row r="1467" spans="1:11" x14ac:dyDescent="0.35">
      <c r="A1467" s="62">
        <v>46010</v>
      </c>
      <c r="B1467" s="53" t="s">
        <v>1014</v>
      </c>
      <c r="C1467" s="53" t="s">
        <v>74</v>
      </c>
      <c r="D1467" s="54">
        <v>25256</v>
      </c>
      <c r="E1467" s="54">
        <v>9219</v>
      </c>
      <c r="F1467" s="55">
        <v>0.36502217294900202</v>
      </c>
      <c r="G1467" s="54">
        <v>71</v>
      </c>
      <c r="H1467" s="55">
        <v>7.7014860613949503E-3</v>
      </c>
      <c r="I1467" s="55">
        <v>2.8112131770668398E-3</v>
      </c>
      <c r="J1467" s="136" t="s">
        <v>1055</v>
      </c>
      <c r="K1467" s="109" t="s">
        <v>1056</v>
      </c>
    </row>
    <row r="1468" spans="1:11" x14ac:dyDescent="0.35">
      <c r="A1468" s="62">
        <v>46010</v>
      </c>
      <c r="B1468" s="53" t="s">
        <v>1014</v>
      </c>
      <c r="C1468" s="53" t="s">
        <v>72</v>
      </c>
      <c r="D1468" s="54">
        <v>479418</v>
      </c>
      <c r="E1468" s="54">
        <v>175630</v>
      </c>
      <c r="F1468" s="55">
        <v>0.36634002060832099</v>
      </c>
      <c r="G1468" s="54">
        <v>1381</v>
      </c>
      <c r="H1468" s="55">
        <v>7.8631213346239195E-3</v>
      </c>
      <c r="I1468" s="55">
        <v>2.88057603177186E-3</v>
      </c>
      <c r="J1468" s="136" t="s">
        <v>1055</v>
      </c>
      <c r="K1468" s="109" t="s">
        <v>1056</v>
      </c>
    </row>
    <row r="1469" spans="1:11" x14ac:dyDescent="0.35">
      <c r="A1469" s="62">
        <v>46010</v>
      </c>
      <c r="B1469" s="53" t="s">
        <v>1014</v>
      </c>
      <c r="C1469" s="53" t="s">
        <v>75</v>
      </c>
      <c r="D1469" s="54">
        <v>1508</v>
      </c>
      <c r="E1469" s="54">
        <v>526</v>
      </c>
      <c r="F1469" s="55">
        <v>0.34880636604774501</v>
      </c>
      <c r="G1469" s="54">
        <v>4</v>
      </c>
      <c r="H1469" s="55">
        <v>7.6045627376425898E-3</v>
      </c>
      <c r="I1469" s="55">
        <v>2.6525198938992002E-3</v>
      </c>
      <c r="J1469" s="136" t="s">
        <v>1055</v>
      </c>
      <c r="K1469" s="109" t="s">
        <v>1056</v>
      </c>
    </row>
    <row r="1470" spans="1:11" x14ac:dyDescent="0.35">
      <c r="A1470" s="62">
        <v>46010</v>
      </c>
      <c r="B1470" s="53" t="s">
        <v>1014</v>
      </c>
      <c r="C1470" s="53" t="s">
        <v>73</v>
      </c>
      <c r="D1470" s="54">
        <v>29366</v>
      </c>
      <c r="E1470" s="54">
        <v>10432</v>
      </c>
      <c r="F1470" s="55">
        <v>0.35524075461417998</v>
      </c>
      <c r="G1470" s="54">
        <v>131</v>
      </c>
      <c r="H1470" s="55">
        <v>1.2557515337423299E-2</v>
      </c>
      <c r="I1470" s="55">
        <v>4.4609412245453896E-3</v>
      </c>
      <c r="J1470" s="136" t="s">
        <v>1055</v>
      </c>
      <c r="K1470" s="109" t="s">
        <v>1056</v>
      </c>
    </row>
    <row r="1471" spans="1:11" x14ac:dyDescent="0.35">
      <c r="A1471" s="62">
        <v>46010</v>
      </c>
      <c r="B1471" s="53" t="s">
        <v>1015</v>
      </c>
      <c r="C1471" s="53" t="s">
        <v>10</v>
      </c>
      <c r="D1471" s="54">
        <v>123355</v>
      </c>
      <c r="E1471" s="54">
        <v>51638</v>
      </c>
      <c r="F1471" s="55">
        <v>0.41861294637428598</v>
      </c>
      <c r="G1471" s="54">
        <v>814</v>
      </c>
      <c r="H1471" s="55">
        <v>1.5763584956814701E-2</v>
      </c>
      <c r="I1471" s="55">
        <v>6.5988407441935903E-3</v>
      </c>
      <c r="J1471" s="136" t="s">
        <v>1055</v>
      </c>
      <c r="K1471" s="109" t="s">
        <v>1056</v>
      </c>
    </row>
    <row r="1472" spans="1:11" x14ac:dyDescent="0.35">
      <c r="A1472" s="62">
        <v>46010</v>
      </c>
      <c r="B1472" s="53" t="s">
        <v>1015</v>
      </c>
      <c r="C1472" s="53" t="s">
        <v>11</v>
      </c>
      <c r="D1472" s="54">
        <v>14743</v>
      </c>
      <c r="E1472" s="54">
        <v>6320</v>
      </c>
      <c r="F1472" s="55">
        <v>0.42867801668588501</v>
      </c>
      <c r="G1472" s="54">
        <v>92</v>
      </c>
      <c r="H1472" s="55">
        <v>1.45569620253165E-2</v>
      </c>
      <c r="I1472" s="55">
        <v>6.2402496099843996E-3</v>
      </c>
      <c r="J1472" s="136" t="s">
        <v>1055</v>
      </c>
      <c r="K1472" s="109" t="s">
        <v>1056</v>
      </c>
    </row>
    <row r="1473" spans="1:11" x14ac:dyDescent="0.35">
      <c r="A1473" s="61">
        <v>46011</v>
      </c>
      <c r="B1473" s="49" t="s">
        <v>1016</v>
      </c>
      <c r="C1473" s="49" t="s">
        <v>10</v>
      </c>
      <c r="D1473" s="50">
        <v>379256</v>
      </c>
      <c r="E1473" s="50">
        <v>149648</v>
      </c>
      <c r="F1473" s="51">
        <v>0.39458307844833002</v>
      </c>
      <c r="G1473" s="50">
        <v>1842</v>
      </c>
      <c r="H1473" s="51">
        <v>1.23088848497808E-2</v>
      </c>
      <c r="I1473" s="51">
        <v>4.8568776762925297E-3</v>
      </c>
      <c r="J1473" s="109" t="s">
        <v>1057</v>
      </c>
      <c r="K1473" s="109" t="s">
        <v>1054</v>
      </c>
    </row>
    <row r="1474" spans="1:11" x14ac:dyDescent="0.35">
      <c r="A1474" s="61">
        <v>46011</v>
      </c>
      <c r="B1474" s="49" t="s">
        <v>1016</v>
      </c>
      <c r="C1474" s="49" t="s">
        <v>11</v>
      </c>
      <c r="D1474" s="50">
        <v>21760</v>
      </c>
      <c r="E1474" s="50">
        <v>9039</v>
      </c>
      <c r="F1474" s="51">
        <v>0.41539522058823503</v>
      </c>
      <c r="G1474" s="50">
        <v>288</v>
      </c>
      <c r="H1474" s="51">
        <v>3.1861931629605003E-2</v>
      </c>
      <c r="I1474" s="51">
        <v>1.32352941176471E-2</v>
      </c>
      <c r="J1474" s="109" t="s">
        <v>1057</v>
      </c>
      <c r="K1474" s="109" t="s">
        <v>1054</v>
      </c>
    </row>
    <row r="1475" spans="1:11" x14ac:dyDescent="0.35">
      <c r="A1475" s="61">
        <v>46011</v>
      </c>
      <c r="B1475" s="49" t="s">
        <v>1018</v>
      </c>
      <c r="C1475" s="49" t="s">
        <v>10</v>
      </c>
      <c r="D1475" s="50">
        <v>33644</v>
      </c>
      <c r="E1475" s="50">
        <v>12310</v>
      </c>
      <c r="F1475" s="51">
        <v>0.36588990607537702</v>
      </c>
      <c r="G1475" s="50">
        <v>143</v>
      </c>
      <c r="H1475" s="51">
        <v>1.16165718927701E-2</v>
      </c>
      <c r="I1475" s="51">
        <v>4.2503863987635197E-3</v>
      </c>
      <c r="J1475" s="109" t="s">
        <v>1060</v>
      </c>
      <c r="K1475" s="109" t="s">
        <v>1054</v>
      </c>
    </row>
    <row r="1476" spans="1:11" x14ac:dyDescent="0.35">
      <c r="A1476" s="61">
        <v>46011</v>
      </c>
      <c r="B1476" s="49" t="s">
        <v>1019</v>
      </c>
      <c r="C1476" s="49" t="s">
        <v>10</v>
      </c>
      <c r="D1476" s="50">
        <v>262572</v>
      </c>
      <c r="E1476" s="50">
        <v>101739</v>
      </c>
      <c r="F1476" s="51">
        <v>0.38747086513413498</v>
      </c>
      <c r="G1476" s="50">
        <v>1408</v>
      </c>
      <c r="H1476" s="51">
        <v>1.38393339820521E-2</v>
      </c>
      <c r="I1476" s="51">
        <v>5.3623387109059603E-3</v>
      </c>
      <c r="J1476" s="109" t="s">
        <v>1061</v>
      </c>
      <c r="K1476" s="109" t="s">
        <v>1054</v>
      </c>
    </row>
    <row r="1477" spans="1:11" x14ac:dyDescent="0.35">
      <c r="A1477" s="61">
        <v>46011</v>
      </c>
      <c r="B1477" s="49" t="s">
        <v>1017</v>
      </c>
      <c r="C1477" s="49" t="s">
        <v>10</v>
      </c>
      <c r="D1477" s="50">
        <v>4721395</v>
      </c>
      <c r="E1477" s="50">
        <v>1232029</v>
      </c>
      <c r="F1477" s="51">
        <v>0.260945970417641</v>
      </c>
      <c r="G1477" s="50">
        <v>18903</v>
      </c>
      <c r="H1477" s="51">
        <v>1.5342982997965099E-2</v>
      </c>
      <c r="I1477" s="51">
        <v>4.0036895875053902E-3</v>
      </c>
      <c r="J1477" s="109" t="s">
        <v>1055</v>
      </c>
      <c r="K1477" s="109" t="s">
        <v>1056</v>
      </c>
    </row>
    <row r="1478" spans="1:11" x14ac:dyDescent="0.35">
      <c r="A1478" s="61">
        <v>46011</v>
      </c>
      <c r="B1478" s="49" t="s">
        <v>1017</v>
      </c>
      <c r="C1478" s="49" t="s">
        <v>11</v>
      </c>
      <c r="D1478" s="50">
        <v>299618</v>
      </c>
      <c r="E1478" s="50">
        <v>84348</v>
      </c>
      <c r="F1478" s="51">
        <v>0.28151846684778598</v>
      </c>
      <c r="G1478" s="50">
        <v>1592</v>
      </c>
      <c r="H1478" s="51">
        <v>1.8874187888272401E-2</v>
      </c>
      <c r="I1478" s="51">
        <v>5.3134324373034997E-3</v>
      </c>
      <c r="J1478" s="109" t="s">
        <v>1055</v>
      </c>
      <c r="K1478" s="109" t="s">
        <v>1056</v>
      </c>
    </row>
    <row r="1479" spans="1:11" x14ac:dyDescent="0.35">
      <c r="A1479" s="61">
        <v>46012</v>
      </c>
      <c r="B1479" s="49" t="s">
        <v>1020</v>
      </c>
      <c r="C1479" s="49" t="s">
        <v>10</v>
      </c>
      <c r="D1479" s="50">
        <v>1293747</v>
      </c>
      <c r="E1479" s="50">
        <v>478287</v>
      </c>
      <c r="F1479" s="51">
        <v>0.36969129203777901</v>
      </c>
      <c r="G1479" s="50">
        <v>5444</v>
      </c>
      <c r="H1479" s="51">
        <v>1.1382287204126399E-2</v>
      </c>
      <c r="I1479" s="51">
        <v>4.2079324628385602E-3</v>
      </c>
      <c r="J1479" s="109" t="s">
        <v>1055</v>
      </c>
      <c r="K1479" s="109" t="s">
        <v>1056</v>
      </c>
    </row>
    <row r="1480" spans="1:11" x14ac:dyDescent="0.35">
      <c r="A1480" s="61">
        <v>46012</v>
      </c>
      <c r="B1480" s="49" t="s">
        <v>1020</v>
      </c>
      <c r="C1480" s="49" t="s">
        <v>11</v>
      </c>
      <c r="D1480" s="50">
        <v>94069</v>
      </c>
      <c r="E1480" s="50">
        <v>33756</v>
      </c>
      <c r="F1480" s="51">
        <v>0.35884297696371797</v>
      </c>
      <c r="G1480" s="50">
        <v>552</v>
      </c>
      <c r="H1480" s="51">
        <v>1.6352648418059001E-2</v>
      </c>
      <c r="I1480" s="51">
        <v>5.8680330395773301E-3</v>
      </c>
      <c r="J1480" s="109" t="s">
        <v>1055</v>
      </c>
      <c r="K1480" s="109" t="s">
        <v>1056</v>
      </c>
    </row>
    <row r="1481" spans="1:11" x14ac:dyDescent="0.35">
      <c r="A1481" s="61">
        <v>46013</v>
      </c>
      <c r="B1481" s="49" t="s">
        <v>1021</v>
      </c>
      <c r="C1481" s="49" t="s">
        <v>10</v>
      </c>
      <c r="D1481" s="50">
        <v>47915</v>
      </c>
      <c r="E1481" s="50">
        <v>21702</v>
      </c>
      <c r="F1481" s="51">
        <v>0.45292705833246399</v>
      </c>
      <c r="G1481" s="50">
        <v>437</v>
      </c>
      <c r="H1481" s="51">
        <v>2.0136392959174299E-2</v>
      </c>
      <c r="I1481" s="51">
        <v>9.1203172284253405E-3</v>
      </c>
      <c r="J1481" s="109" t="s">
        <v>1060</v>
      </c>
      <c r="K1481" s="109" t="s">
        <v>1054</v>
      </c>
    </row>
    <row r="1482" spans="1:11" x14ac:dyDescent="0.35">
      <c r="A1482" s="61">
        <v>46013</v>
      </c>
      <c r="B1482" s="49" t="s">
        <v>1022</v>
      </c>
      <c r="C1482" s="49" t="s">
        <v>10</v>
      </c>
      <c r="D1482" s="50">
        <v>216806</v>
      </c>
      <c r="E1482" s="50">
        <v>82364</v>
      </c>
      <c r="F1482" s="51">
        <v>0.37989723531636599</v>
      </c>
      <c r="G1482" s="50">
        <v>1091</v>
      </c>
      <c r="H1482" s="51">
        <v>1.32460783837599E-2</v>
      </c>
      <c r="I1482" s="51">
        <v>5.0321485567742597E-3</v>
      </c>
      <c r="J1482" s="109" t="s">
        <v>1060</v>
      </c>
      <c r="K1482" s="109" t="s">
        <v>1054</v>
      </c>
    </row>
    <row r="1483" spans="1:11" x14ac:dyDescent="0.35">
      <c r="A1483" s="61">
        <v>46014</v>
      </c>
      <c r="B1483" s="49" t="s">
        <v>1023</v>
      </c>
      <c r="C1483" s="49" t="s">
        <v>10</v>
      </c>
      <c r="D1483" s="50">
        <v>5577715</v>
      </c>
      <c r="E1483" s="50">
        <v>2027469</v>
      </c>
      <c r="F1483" s="51">
        <v>0.36349454929124198</v>
      </c>
      <c r="G1483" s="50">
        <v>19099</v>
      </c>
      <c r="H1483" s="51">
        <v>9.4201193705057903E-3</v>
      </c>
      <c r="I1483" s="51">
        <v>3.4241620448517002E-3</v>
      </c>
      <c r="J1483" s="109" t="s">
        <v>1061</v>
      </c>
      <c r="K1483" s="109" t="s">
        <v>1054</v>
      </c>
    </row>
    <row r="1484" spans="1:11" x14ac:dyDescent="0.35">
      <c r="A1484" s="61">
        <v>46014</v>
      </c>
      <c r="B1484" s="49" t="s">
        <v>1023</v>
      </c>
      <c r="C1484" s="49" t="s">
        <v>11</v>
      </c>
      <c r="D1484" s="50">
        <v>368432</v>
      </c>
      <c r="E1484" s="50">
        <v>134441</v>
      </c>
      <c r="F1484" s="51">
        <v>0.36490044295826601</v>
      </c>
      <c r="G1484" s="50">
        <v>1907</v>
      </c>
      <c r="H1484" s="51">
        <v>1.4184660929329599E-2</v>
      </c>
      <c r="I1484" s="51">
        <v>5.1759890563251804E-3</v>
      </c>
      <c r="J1484" s="109" t="s">
        <v>1061</v>
      </c>
      <c r="K1484" s="109" t="s">
        <v>1054</v>
      </c>
    </row>
    <row r="1485" spans="1:11" x14ac:dyDescent="0.35">
      <c r="A1485" s="61">
        <v>46014</v>
      </c>
      <c r="B1485" s="49" t="s">
        <v>1025</v>
      </c>
      <c r="C1485" s="49" t="s">
        <v>10</v>
      </c>
      <c r="D1485" s="50">
        <v>56570</v>
      </c>
      <c r="E1485" s="50">
        <v>21157</v>
      </c>
      <c r="F1485" s="51">
        <v>0.37399681810146701</v>
      </c>
      <c r="G1485" s="50">
        <v>303</v>
      </c>
      <c r="H1485" s="51">
        <v>1.43215011580092E-2</v>
      </c>
      <c r="I1485" s="51">
        <v>5.3561958635319103E-3</v>
      </c>
      <c r="J1485" s="109" t="s">
        <v>1060</v>
      </c>
      <c r="K1485" s="109" t="s">
        <v>1054</v>
      </c>
    </row>
    <row r="1486" spans="1:11" x14ac:dyDescent="0.35">
      <c r="A1486" s="61">
        <v>46014</v>
      </c>
      <c r="B1486" s="49" t="s">
        <v>1024</v>
      </c>
      <c r="C1486" s="49" t="s">
        <v>10</v>
      </c>
      <c r="D1486" s="50">
        <v>747282</v>
      </c>
      <c r="E1486" s="50">
        <v>274847</v>
      </c>
      <c r="F1486" s="51">
        <v>0.36779555776801798</v>
      </c>
      <c r="G1486" s="50">
        <v>2630</v>
      </c>
      <c r="H1486" s="51">
        <v>9.5689601851211802E-3</v>
      </c>
      <c r="I1486" s="51">
        <v>3.5194210485465999E-3</v>
      </c>
      <c r="J1486" s="109" t="s">
        <v>1055</v>
      </c>
      <c r="K1486" s="109" t="s">
        <v>1056</v>
      </c>
    </row>
    <row r="1487" spans="1:11" x14ac:dyDescent="0.35">
      <c r="A1487" s="61">
        <v>46014</v>
      </c>
      <c r="B1487" s="49" t="s">
        <v>1024</v>
      </c>
      <c r="C1487" s="49" t="s">
        <v>11</v>
      </c>
      <c r="D1487" s="50">
        <v>38802</v>
      </c>
      <c r="E1487" s="50">
        <v>13827</v>
      </c>
      <c r="F1487" s="51">
        <v>0.35634761094788903</v>
      </c>
      <c r="G1487" s="50">
        <v>187</v>
      </c>
      <c r="H1487" s="51">
        <v>1.3524264120922801E-2</v>
      </c>
      <c r="I1487" s="51">
        <v>4.8193392093191104E-3</v>
      </c>
      <c r="J1487" s="109" t="s">
        <v>1055</v>
      </c>
      <c r="K1487" s="109" t="s">
        <v>1056</v>
      </c>
    </row>
    <row r="1488" spans="1:11" x14ac:dyDescent="0.35">
      <c r="A1488" s="61">
        <v>46015</v>
      </c>
      <c r="B1488" s="49" t="s">
        <v>1026</v>
      </c>
      <c r="C1488" s="49" t="s">
        <v>10</v>
      </c>
      <c r="D1488" s="50">
        <v>1407523</v>
      </c>
      <c r="E1488" s="50">
        <v>390588</v>
      </c>
      <c r="F1488" s="51">
        <v>0.27750026109697701</v>
      </c>
      <c r="G1488" s="50">
        <v>9669</v>
      </c>
      <c r="H1488" s="51">
        <v>2.4754984792159498E-2</v>
      </c>
      <c r="I1488" s="51">
        <v>6.8695147432759496E-3</v>
      </c>
      <c r="J1488" s="109" t="s">
        <v>1055</v>
      </c>
      <c r="K1488" s="109" t="s">
        <v>1056</v>
      </c>
    </row>
    <row r="1489" spans="1:11" x14ac:dyDescent="0.35">
      <c r="A1489" s="61">
        <v>46015</v>
      </c>
      <c r="B1489" s="49" t="s">
        <v>1026</v>
      </c>
      <c r="C1489" s="49" t="s">
        <v>11</v>
      </c>
      <c r="D1489" s="50">
        <v>93416</v>
      </c>
      <c r="E1489" s="50">
        <v>30174</v>
      </c>
      <c r="F1489" s="51">
        <v>0.323006765436328</v>
      </c>
      <c r="G1489" s="50">
        <v>835</v>
      </c>
      <c r="H1489" s="51">
        <v>2.7672830914031901E-2</v>
      </c>
      <c r="I1489" s="51">
        <v>8.9385116040078798E-3</v>
      </c>
      <c r="J1489" s="109" t="s">
        <v>1055</v>
      </c>
      <c r="K1489" s="109" t="s">
        <v>1056</v>
      </c>
    </row>
    <row r="1490" spans="1:11" x14ac:dyDescent="0.35">
      <c r="A1490" s="61">
        <v>46017</v>
      </c>
      <c r="B1490" s="49" t="s">
        <v>1027</v>
      </c>
      <c r="C1490" s="49" t="s">
        <v>1028</v>
      </c>
      <c r="D1490" s="50">
        <v>587142</v>
      </c>
      <c r="E1490" s="50">
        <v>205902</v>
      </c>
      <c r="F1490" s="60">
        <v>0.35070000000000001</v>
      </c>
      <c r="G1490" s="49">
        <v>641</v>
      </c>
      <c r="H1490" s="60">
        <v>3.0999999999999999E-3</v>
      </c>
      <c r="I1490" s="60">
        <v>1.1000000000000001E-3</v>
      </c>
      <c r="J1490" s="109" t="s">
        <v>1055</v>
      </c>
      <c r="K1490" s="109" t="s">
        <v>1056</v>
      </c>
    </row>
    <row r="1491" spans="1:11" x14ac:dyDescent="0.35">
      <c r="A1491" s="61">
        <v>46017</v>
      </c>
      <c r="B1491" s="49" t="s">
        <v>1029</v>
      </c>
      <c r="C1491" s="49" t="s">
        <v>1030</v>
      </c>
      <c r="D1491" s="50">
        <v>41390</v>
      </c>
      <c r="E1491" s="50">
        <v>13397</v>
      </c>
      <c r="F1491" s="60">
        <v>0.32369999999999999</v>
      </c>
      <c r="G1491" s="49">
        <v>71</v>
      </c>
      <c r="H1491" s="60">
        <v>5.3E-3</v>
      </c>
      <c r="I1491" s="60">
        <v>1.6999999999999999E-3</v>
      </c>
      <c r="J1491" s="109" t="s">
        <v>1055</v>
      </c>
      <c r="K1491" s="109" t="s">
        <v>1056</v>
      </c>
    </row>
    <row r="1492" spans="1:11" x14ac:dyDescent="0.35">
      <c r="A1492" s="61">
        <v>46017</v>
      </c>
      <c r="B1492" s="49" t="s">
        <v>1031</v>
      </c>
      <c r="C1492" s="49" t="s">
        <v>1028</v>
      </c>
      <c r="D1492" s="50">
        <v>771139</v>
      </c>
      <c r="E1492" s="50">
        <v>294554</v>
      </c>
      <c r="F1492" s="60">
        <v>0.38200000000000001</v>
      </c>
      <c r="G1492" s="49">
        <v>979</v>
      </c>
      <c r="H1492" s="60">
        <v>3.3E-3</v>
      </c>
      <c r="I1492" s="60">
        <v>1.2999999999999999E-3</v>
      </c>
      <c r="J1492" s="109" t="s">
        <v>1055</v>
      </c>
      <c r="K1492" s="109" t="s">
        <v>1056</v>
      </c>
    </row>
    <row r="1493" spans="1:11" x14ac:dyDescent="0.35">
      <c r="A1493" s="61">
        <v>46017</v>
      </c>
      <c r="B1493" s="49" t="s">
        <v>1032</v>
      </c>
      <c r="C1493" s="49" t="s">
        <v>1030</v>
      </c>
      <c r="D1493" s="50">
        <v>47136</v>
      </c>
      <c r="E1493" s="50">
        <v>17213</v>
      </c>
      <c r="F1493" s="60">
        <v>0.36520000000000002</v>
      </c>
      <c r="G1493" s="49">
        <v>92</v>
      </c>
      <c r="H1493" s="60">
        <v>5.3E-3</v>
      </c>
      <c r="I1493" s="60">
        <v>2E-3</v>
      </c>
      <c r="J1493" s="109" t="s">
        <v>1055</v>
      </c>
      <c r="K1493" s="109" t="s">
        <v>1056</v>
      </c>
    </row>
    <row r="1494" spans="1:11" x14ac:dyDescent="0.35">
      <c r="A1494" s="61">
        <v>46018</v>
      </c>
      <c r="B1494" s="49" t="s">
        <v>1033</v>
      </c>
      <c r="C1494" s="49" t="s">
        <v>10</v>
      </c>
      <c r="D1494" s="50">
        <v>373066</v>
      </c>
      <c r="E1494" s="50">
        <v>147595</v>
      </c>
      <c r="F1494" s="51">
        <v>0.39562704722488801</v>
      </c>
      <c r="G1494" s="50">
        <v>3640</v>
      </c>
      <c r="H1494" s="51">
        <v>2.4662082048849902E-2</v>
      </c>
      <c r="I1494" s="51">
        <v>9.7569866994043908E-3</v>
      </c>
      <c r="J1494" s="109" t="s">
        <v>1057</v>
      </c>
      <c r="K1494" s="109" t="s">
        <v>1054</v>
      </c>
    </row>
    <row r="1495" spans="1:11" x14ac:dyDescent="0.35">
      <c r="A1495" s="61">
        <v>46018</v>
      </c>
      <c r="B1495" s="49" t="s">
        <v>1035</v>
      </c>
      <c r="C1495" s="49" t="s">
        <v>10</v>
      </c>
      <c r="D1495" s="50">
        <v>263698</v>
      </c>
      <c r="E1495" s="50">
        <v>99092</v>
      </c>
      <c r="F1495" s="51">
        <v>0.37577835250931002</v>
      </c>
      <c r="G1495" s="50">
        <v>1411</v>
      </c>
      <c r="H1495" s="51">
        <v>1.42392927784281E-2</v>
      </c>
      <c r="I1495" s="51">
        <v>5.3508179811754403E-3</v>
      </c>
      <c r="J1495" s="109" t="s">
        <v>1061</v>
      </c>
      <c r="K1495" s="109" t="s">
        <v>1054</v>
      </c>
    </row>
    <row r="1496" spans="1:11" x14ac:dyDescent="0.35">
      <c r="A1496" s="61">
        <v>46018</v>
      </c>
      <c r="B1496" s="49" t="s">
        <v>1034</v>
      </c>
      <c r="C1496" s="49" t="s">
        <v>10</v>
      </c>
      <c r="D1496" s="50">
        <v>4689876</v>
      </c>
      <c r="E1496" s="50">
        <v>1192120</v>
      </c>
      <c r="F1496" s="51">
        <v>0.25419008946078703</v>
      </c>
      <c r="G1496" s="50">
        <v>25053</v>
      </c>
      <c r="H1496" s="51">
        <v>2.1015501795121301E-2</v>
      </c>
      <c r="I1496" s="51">
        <v>5.3419322813652199E-3</v>
      </c>
      <c r="J1496" s="109" t="s">
        <v>1055</v>
      </c>
      <c r="K1496" s="109" t="s">
        <v>1056</v>
      </c>
    </row>
    <row r="1497" spans="1:11" x14ac:dyDescent="0.35">
      <c r="A1497" s="61">
        <v>46018</v>
      </c>
      <c r="B1497" s="49" t="s">
        <v>1034</v>
      </c>
      <c r="C1497" s="49" t="s">
        <v>11</v>
      </c>
      <c r="D1497" s="50">
        <v>298743</v>
      </c>
      <c r="E1497" s="50">
        <v>81484</v>
      </c>
      <c r="F1497" s="51">
        <v>0.27275618173480198</v>
      </c>
      <c r="G1497" s="50">
        <v>1717</v>
      </c>
      <c r="H1497" s="51">
        <v>2.1071621422610601E-2</v>
      </c>
      <c r="I1497" s="51">
        <v>5.7474150021925201E-3</v>
      </c>
      <c r="J1497" s="109" t="s">
        <v>1055</v>
      </c>
      <c r="K1497" s="109" t="s">
        <v>1056</v>
      </c>
    </row>
    <row r="1498" spans="1:11" x14ac:dyDescent="0.35">
      <c r="A1498" s="61">
        <v>46019</v>
      </c>
      <c r="B1498" s="49" t="s">
        <v>1036</v>
      </c>
      <c r="C1498" s="49" t="s">
        <v>10</v>
      </c>
      <c r="D1498" s="50">
        <v>6306002</v>
      </c>
      <c r="E1498" s="50">
        <v>2256429</v>
      </c>
      <c r="F1498" s="51">
        <v>0.35782243646608403</v>
      </c>
      <c r="G1498" s="50">
        <v>30763</v>
      </c>
      <c r="H1498" s="51">
        <v>1.36334890218128E-2</v>
      </c>
      <c r="I1498" s="51">
        <v>4.8783682593186604E-3</v>
      </c>
      <c r="J1498" s="109" t="s">
        <v>1061</v>
      </c>
      <c r="K1498" s="109" t="s">
        <v>1054</v>
      </c>
    </row>
    <row r="1499" spans="1:11" x14ac:dyDescent="0.35">
      <c r="A1499" s="61">
        <v>46019</v>
      </c>
      <c r="B1499" s="49" t="s">
        <v>1036</v>
      </c>
      <c r="C1499" s="49" t="s">
        <v>11</v>
      </c>
      <c r="D1499" s="50">
        <v>406333</v>
      </c>
      <c r="E1499" s="50">
        <v>143042</v>
      </c>
      <c r="F1499" s="51">
        <v>0.35203146187978801</v>
      </c>
      <c r="G1499" s="50">
        <v>2291</v>
      </c>
      <c r="H1499" s="51">
        <v>1.6016274940227299E-2</v>
      </c>
      <c r="I1499" s="51">
        <v>5.6382326810768503E-3</v>
      </c>
      <c r="J1499" s="109" t="s">
        <v>1061</v>
      </c>
      <c r="K1499" s="109" t="s">
        <v>1054</v>
      </c>
    </row>
    <row r="1500" spans="1:11" x14ac:dyDescent="0.35">
      <c r="A1500" s="61">
        <v>46019</v>
      </c>
      <c r="B1500" s="49" t="s">
        <v>1037</v>
      </c>
      <c r="C1500" s="49" t="s">
        <v>10</v>
      </c>
      <c r="D1500" s="50">
        <v>56778</v>
      </c>
      <c r="E1500" s="50">
        <v>19535</v>
      </c>
      <c r="F1500" s="51">
        <v>0.34405931875022</v>
      </c>
      <c r="G1500" s="50">
        <v>257</v>
      </c>
      <c r="H1500" s="51">
        <v>1.31558740721781E-2</v>
      </c>
      <c r="I1500" s="51">
        <v>4.5264010708372998E-3</v>
      </c>
      <c r="J1500" s="109" t="s">
        <v>1061</v>
      </c>
      <c r="K1500" s="109" t="s">
        <v>1054</v>
      </c>
    </row>
    <row r="1501" spans="1:11" x14ac:dyDescent="0.35">
      <c r="A1501" s="61">
        <v>46019</v>
      </c>
      <c r="B1501" s="49" t="s">
        <v>904</v>
      </c>
      <c r="C1501" s="49" t="s">
        <v>1038</v>
      </c>
      <c r="D1501" s="50">
        <v>44237</v>
      </c>
      <c r="E1501" s="50">
        <v>15892</v>
      </c>
      <c r="F1501" s="51">
        <v>0.35924678436602803</v>
      </c>
      <c r="G1501" s="50">
        <v>240</v>
      </c>
      <c r="H1501" s="51">
        <v>1.5101938082053901E-2</v>
      </c>
      <c r="I1501" s="51">
        <v>5.4253226936727197E-3</v>
      </c>
      <c r="J1501" s="109" t="s">
        <v>1059</v>
      </c>
      <c r="K1501" s="109" t="s">
        <v>1056</v>
      </c>
    </row>
    <row r="1502" spans="1:11" x14ac:dyDescent="0.35">
      <c r="A1502" s="61">
        <v>46022</v>
      </c>
      <c r="B1502" s="49" t="s">
        <v>1039</v>
      </c>
      <c r="C1502" s="49" t="s">
        <v>10</v>
      </c>
      <c r="D1502" s="50">
        <v>541078</v>
      </c>
      <c r="E1502" s="50">
        <v>217353</v>
      </c>
      <c r="F1502" s="51">
        <v>0.40170363607465098</v>
      </c>
      <c r="G1502" s="50">
        <v>4122</v>
      </c>
      <c r="H1502" s="51">
        <v>1.8964541552221499E-2</v>
      </c>
      <c r="I1502" s="51">
        <v>7.6181252980161802E-3</v>
      </c>
      <c r="J1502" s="109" t="s">
        <v>1057</v>
      </c>
      <c r="K1502" s="109" t="s">
        <v>1054</v>
      </c>
    </row>
    <row r="1503" spans="1:11" x14ac:dyDescent="0.35">
      <c r="A1503" s="61">
        <v>46022</v>
      </c>
      <c r="B1503" s="49" t="s">
        <v>1039</v>
      </c>
      <c r="C1503" s="49" t="s">
        <v>11</v>
      </c>
      <c r="D1503" s="50">
        <v>25196</v>
      </c>
      <c r="E1503" s="50">
        <v>9765</v>
      </c>
      <c r="F1503" s="51">
        <v>0.38756151770122199</v>
      </c>
      <c r="G1503" s="50">
        <v>289</v>
      </c>
      <c r="H1503" s="51">
        <v>2.95954941116231E-2</v>
      </c>
      <c r="I1503" s="51">
        <v>1.14700746150183E-2</v>
      </c>
      <c r="J1503" s="109" t="s">
        <v>1057</v>
      </c>
      <c r="K1503" s="109" t="s">
        <v>1054</v>
      </c>
    </row>
    <row r="1504" spans="1:11" x14ac:dyDescent="0.35">
      <c r="A1504" s="61">
        <v>46022</v>
      </c>
      <c r="B1504" s="49" t="s">
        <v>1040</v>
      </c>
      <c r="C1504" s="49" t="s">
        <v>10</v>
      </c>
      <c r="D1504" s="50">
        <v>1393247</v>
      </c>
      <c r="E1504" s="50">
        <v>365756</v>
      </c>
      <c r="F1504" s="51">
        <v>0.26252057244695298</v>
      </c>
      <c r="G1504" s="50">
        <v>9624</v>
      </c>
      <c r="H1504" s="51">
        <v>2.6312623716357401E-2</v>
      </c>
      <c r="I1504" s="51">
        <v>6.9076050405994099E-3</v>
      </c>
      <c r="J1504" s="109" t="s">
        <v>1055</v>
      </c>
      <c r="K1504" s="109" t="s">
        <v>1056</v>
      </c>
    </row>
    <row r="1505" spans="1:11" x14ac:dyDescent="0.35">
      <c r="A1505" s="61">
        <v>46022</v>
      </c>
      <c r="B1505" s="49" t="s">
        <v>1040</v>
      </c>
      <c r="C1505" s="49" t="s">
        <v>11</v>
      </c>
      <c r="D1505" s="50">
        <v>91391</v>
      </c>
      <c r="E1505" s="50">
        <v>28481</v>
      </c>
      <c r="F1505" s="51">
        <v>0.31163900165224101</v>
      </c>
      <c r="G1505" s="50">
        <v>891</v>
      </c>
      <c r="H1505" s="51">
        <v>3.1284013904006203E-2</v>
      </c>
      <c r="I1505" s="51">
        <v>9.7493188607193308E-3</v>
      </c>
      <c r="J1505" s="109" t="s">
        <v>1055</v>
      </c>
      <c r="K1505" s="109" t="s">
        <v>1056</v>
      </c>
    </row>
    <row r="1506" spans="1:11" ht="16" thickBot="1" x14ac:dyDescent="0.4">
      <c r="A1506" s="144" t="s">
        <v>1065</v>
      </c>
      <c r="B1506" s="145"/>
      <c r="C1506" s="146"/>
      <c r="D1506" s="123">
        <f>SUBTOTAL(9,D2:D1505)</f>
        <v>786722411</v>
      </c>
      <c r="E1506" s="123">
        <f>SUBTOTAL(9,E2:E1505)</f>
        <v>266511927</v>
      </c>
      <c r="F1506" s="124">
        <f>_xlfn.AGGREGATE(1,7,F2:F1505)</f>
        <v>0.35816788149886142</v>
      </c>
      <c r="G1506" s="123">
        <f>SUBTOTAL(9,G2:G1505)</f>
        <v>4111624</v>
      </c>
      <c r="H1506" s="124">
        <f>_xlfn.AGGREGATE(1,7,H2:H1505)</f>
        <v>2.7619902319540465E-2</v>
      </c>
      <c r="I1506" s="124">
        <f>_xlfn.AGGREGATE(1,7,I2:I1505)</f>
        <v>1.0544918066178431E-2</v>
      </c>
    </row>
    <row r="1513" spans="1:11" x14ac:dyDescent="0.35">
      <c r="C1513" s="112"/>
    </row>
  </sheetData>
  <autoFilter ref="A1:K1505" xr:uid="{44D9B75B-0DED-4505-9872-7E39608551D1}">
    <sortState xmlns:xlrd2="http://schemas.microsoft.com/office/spreadsheetml/2017/richdata2" ref="A2:K1505">
      <sortCondition ref="A1:A1505"/>
    </sortState>
  </autoFilter>
  <mergeCells count="1">
    <mergeCell ref="A1506:C1506"/>
  </mergeCells>
  <pageMargins left="0.7" right="0.7" top="0.75" bottom="0.75" header="0.3" footer="0.3"/>
  <pageSetup orientation="portrait" r:id="rId1"/>
  <ignoredErrors>
    <ignoredError sqref="F1506" formula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F307-52D7-48D6-AB97-D5F2AD442100}">
  <sheetPr>
    <tabColor theme="7"/>
  </sheetPr>
  <dimension ref="A1:Q60"/>
  <sheetViews>
    <sheetView showGridLines="0" zoomScale="130" zoomScaleNormal="130" workbookViewId="0">
      <pane ySplit="1" topLeftCell="A26" activePane="bottomLeft" state="frozen"/>
      <selection pane="bottomLeft" activeCell="B55" sqref="B55"/>
    </sheetView>
  </sheetViews>
  <sheetFormatPr defaultRowHeight="14.5" x14ac:dyDescent="0.35"/>
  <cols>
    <col min="1" max="1" width="23.453125" bestFit="1" customWidth="1"/>
    <col min="2" max="7" width="19.54296875" customWidth="1"/>
    <col min="10" max="10" width="11" bestFit="1" customWidth="1"/>
    <col min="11" max="11" width="9.81640625" bestFit="1" customWidth="1"/>
    <col min="14" max="14" width="17" customWidth="1"/>
  </cols>
  <sheetData>
    <row r="1" spans="1:15" x14ac:dyDescent="0.35">
      <c r="A1" s="69" t="s">
        <v>1066</v>
      </c>
      <c r="B1" s="70" t="s">
        <v>1067</v>
      </c>
      <c r="C1" s="70" t="s">
        <v>4</v>
      </c>
      <c r="D1" s="71" t="s">
        <v>1068</v>
      </c>
      <c r="E1" s="70" t="s">
        <v>6</v>
      </c>
      <c r="F1" s="72" t="s">
        <v>7</v>
      </c>
      <c r="G1" s="71" t="s">
        <v>8</v>
      </c>
    </row>
    <row r="2" spans="1:15" x14ac:dyDescent="0.35">
      <c r="A2" s="66" t="s">
        <v>1069</v>
      </c>
      <c r="B2" s="64">
        <v>9249001</v>
      </c>
      <c r="C2" s="64">
        <v>2862099</v>
      </c>
      <c r="D2" s="65">
        <v>0.32718029116426944</v>
      </c>
      <c r="E2" s="64">
        <v>50363</v>
      </c>
      <c r="F2" s="67">
        <v>2.7760676385548716E-2</v>
      </c>
      <c r="G2" s="52">
        <v>9.6131656719195685E-3</v>
      </c>
    </row>
    <row r="3" spans="1:15" x14ac:dyDescent="0.35">
      <c r="A3" s="66" t="s">
        <v>1070</v>
      </c>
      <c r="B3" s="64">
        <v>9229881</v>
      </c>
      <c r="C3" s="64">
        <v>3331431</v>
      </c>
      <c r="D3" s="65">
        <v>0.3716583956730416</v>
      </c>
      <c r="E3" s="64">
        <v>57383</v>
      </c>
      <c r="F3" s="67">
        <v>2.0642258655801906E-2</v>
      </c>
      <c r="G3" s="52">
        <v>8.1549597043898067E-3</v>
      </c>
    </row>
    <row r="4" spans="1:15" x14ac:dyDescent="0.35">
      <c r="A4" s="66" t="s">
        <v>1071</v>
      </c>
      <c r="B4" s="64">
        <v>11220812</v>
      </c>
      <c r="C4" s="64">
        <v>4012701</v>
      </c>
      <c r="D4" s="52">
        <v>0.36847715605064385</v>
      </c>
      <c r="E4" s="64">
        <v>90642</v>
      </c>
      <c r="F4" s="67">
        <v>3.3740954002425917E-2</v>
      </c>
      <c r="G4" s="52">
        <v>1.36392245264164E-2</v>
      </c>
    </row>
    <row r="5" spans="1:15" x14ac:dyDescent="0.35">
      <c r="A5" s="66" t="s">
        <v>1072</v>
      </c>
      <c r="B5" s="64">
        <v>9180794</v>
      </c>
      <c r="C5" s="64">
        <v>3005320</v>
      </c>
      <c r="D5" s="52">
        <v>0.32148424704954354</v>
      </c>
      <c r="E5" s="64">
        <v>64407</v>
      </c>
      <c r="F5" s="67">
        <v>2.5134047581024475E-2</v>
      </c>
      <c r="G5" s="52">
        <v>7.9876204217803198E-3</v>
      </c>
    </row>
    <row r="6" spans="1:15" x14ac:dyDescent="0.35">
      <c r="A6" s="66" t="s">
        <v>1073</v>
      </c>
      <c r="B6" s="64">
        <v>21483921</v>
      </c>
      <c r="C6" s="64">
        <v>7599465</v>
      </c>
      <c r="D6" s="52">
        <v>0.35010833944718373</v>
      </c>
      <c r="E6" s="64">
        <v>280157</v>
      </c>
      <c r="F6" s="67">
        <v>3.5287688396148757E-2</v>
      </c>
      <c r="G6" s="52">
        <v>1.2669897139140076E-2</v>
      </c>
      <c r="J6" s="1"/>
      <c r="K6" s="1"/>
      <c r="L6" s="2"/>
      <c r="M6" s="1"/>
      <c r="N6" s="2"/>
      <c r="O6" s="2"/>
    </row>
    <row r="7" spans="1:15" x14ac:dyDescent="0.35">
      <c r="A7" s="66" t="s">
        <v>1074</v>
      </c>
      <c r="B7" s="64">
        <v>8745650</v>
      </c>
      <c r="C7" s="64">
        <v>3226303</v>
      </c>
      <c r="D7" s="52">
        <v>0.38610625024233652</v>
      </c>
      <c r="E7" s="64">
        <v>66739</v>
      </c>
      <c r="F7" s="67">
        <v>2.9496694087536482E-2</v>
      </c>
      <c r="G7" s="52">
        <v>1.154173341450997E-2</v>
      </c>
    </row>
    <row r="8" spans="1:15" x14ac:dyDescent="0.35">
      <c r="A8" s="66" t="s">
        <v>1075</v>
      </c>
      <c r="B8" s="64">
        <v>7779824</v>
      </c>
      <c r="C8" s="64">
        <v>2936180</v>
      </c>
      <c r="D8" s="52">
        <v>0.39906179570466233</v>
      </c>
      <c r="E8" s="64">
        <v>62277</v>
      </c>
      <c r="F8" s="67">
        <v>4.2142206174091236E-2</v>
      </c>
      <c r="G8" s="52">
        <v>1.5386004619991962E-2</v>
      </c>
    </row>
    <row r="9" spans="1:15" x14ac:dyDescent="0.35">
      <c r="A9" s="66" t="s">
        <v>1076</v>
      </c>
      <c r="B9" s="64">
        <v>21820100</v>
      </c>
      <c r="C9" s="64">
        <v>8373172</v>
      </c>
      <c r="D9" s="52">
        <v>0.38858991378787783</v>
      </c>
      <c r="E9" s="64">
        <v>240999</v>
      </c>
      <c r="F9" s="67">
        <v>2.6454318078583398E-2</v>
      </c>
      <c r="G9" s="52">
        <v>1.0326758731226545E-2</v>
      </c>
    </row>
    <row r="10" spans="1:15" x14ac:dyDescent="0.35">
      <c r="A10" s="66" t="s">
        <v>1077</v>
      </c>
      <c r="B10" s="64">
        <v>17354597</v>
      </c>
      <c r="C10" s="64">
        <v>6326701</v>
      </c>
      <c r="D10" s="52">
        <v>0.37875862198032451</v>
      </c>
      <c r="E10" s="64">
        <v>97828</v>
      </c>
      <c r="F10" s="67">
        <v>3.1185468127346124E-2</v>
      </c>
      <c r="G10" s="52">
        <v>1.2995429175115463E-2</v>
      </c>
    </row>
    <row r="11" spans="1:15" x14ac:dyDescent="0.35">
      <c r="A11" s="66" t="s">
        <v>1078</v>
      </c>
      <c r="B11" s="64">
        <v>20468123</v>
      </c>
      <c r="C11" s="64">
        <v>7269871</v>
      </c>
      <c r="D11" s="52">
        <v>0.36393991456154207</v>
      </c>
      <c r="E11" s="64">
        <v>111553</v>
      </c>
      <c r="F11" s="67">
        <v>3.1170894428248205E-2</v>
      </c>
      <c r="G11" s="52">
        <v>1.1833639731426086E-2</v>
      </c>
    </row>
    <row r="12" spans="1:15" x14ac:dyDescent="0.35">
      <c r="A12" s="66" t="s">
        <v>1079</v>
      </c>
      <c r="B12" s="64">
        <v>17759911</v>
      </c>
      <c r="C12" s="64">
        <v>6288414</v>
      </c>
      <c r="D12" s="52">
        <v>0.34237697009132478</v>
      </c>
      <c r="E12" s="64">
        <v>95983</v>
      </c>
      <c r="F12" s="67">
        <v>2.4998103821020745E-2</v>
      </c>
      <c r="G12" s="52">
        <v>8.2005944280803249E-3</v>
      </c>
    </row>
    <row r="13" spans="1:15" x14ac:dyDescent="0.35">
      <c r="A13" s="66" t="s">
        <v>1080</v>
      </c>
      <c r="B13" s="64">
        <v>23480995</v>
      </c>
      <c r="C13" s="64">
        <v>8300986</v>
      </c>
      <c r="D13" s="52">
        <v>0.38979410668464826</v>
      </c>
      <c r="E13" s="64">
        <v>113624</v>
      </c>
      <c r="F13" s="67">
        <v>2.1352073495863193E-2</v>
      </c>
      <c r="G13" s="52">
        <v>8.1359095101865547E-3</v>
      </c>
    </row>
    <row r="14" spans="1:15" x14ac:dyDescent="0.35">
      <c r="A14" s="66" t="s">
        <v>1081</v>
      </c>
      <c r="B14" s="64">
        <v>19816813</v>
      </c>
      <c r="C14" s="64">
        <v>7108103</v>
      </c>
      <c r="D14" s="52">
        <v>0.35985743878669429</v>
      </c>
      <c r="E14" s="64">
        <v>101841</v>
      </c>
      <c r="F14" s="67">
        <v>2.3814933466639376E-2</v>
      </c>
      <c r="G14" s="52">
        <v>8.8262700064755967E-3</v>
      </c>
    </row>
    <row r="15" spans="1:15" x14ac:dyDescent="0.35">
      <c r="A15" s="66" t="s">
        <v>1082</v>
      </c>
      <c r="B15" s="64">
        <v>9769543</v>
      </c>
      <c r="C15" s="64">
        <v>3497883</v>
      </c>
      <c r="D15" s="52">
        <v>0.36665361531304252</v>
      </c>
      <c r="E15" s="64">
        <v>53532</v>
      </c>
      <c r="F15" s="67">
        <v>3.0882625863127209E-2</v>
      </c>
      <c r="G15" s="52">
        <v>1.173272611065721E-2</v>
      </c>
    </row>
    <row r="16" spans="1:15" x14ac:dyDescent="0.35">
      <c r="A16" s="66" t="s">
        <v>1083</v>
      </c>
      <c r="B16" s="64">
        <v>11388442</v>
      </c>
      <c r="C16" s="64">
        <v>4020393</v>
      </c>
      <c r="D16" s="52">
        <v>0.3636125502583375</v>
      </c>
      <c r="E16" s="64">
        <v>53947</v>
      </c>
      <c r="F16" s="67">
        <v>5.1821104955612554E-2</v>
      </c>
      <c r="G16" s="52">
        <v>1.8402943544965425E-2</v>
      </c>
    </row>
    <row r="17" spans="1:16" x14ac:dyDescent="0.35">
      <c r="A17" s="66" t="s">
        <v>1084</v>
      </c>
      <c r="B17" s="64">
        <v>12003752</v>
      </c>
      <c r="C17" s="64">
        <v>4140969</v>
      </c>
      <c r="D17" s="52">
        <v>0.35812229514392846</v>
      </c>
      <c r="E17" s="64">
        <v>66721</v>
      </c>
      <c r="F17" s="67">
        <v>2.3756256359270044E-2</v>
      </c>
      <c r="G17" s="52">
        <v>9.4018055342163457E-3</v>
      </c>
    </row>
    <row r="18" spans="1:16" x14ac:dyDescent="0.35">
      <c r="A18" s="66" t="s">
        <v>1085</v>
      </c>
      <c r="B18" s="64">
        <v>11353363</v>
      </c>
      <c r="C18" s="64">
        <v>3908570</v>
      </c>
      <c r="D18" s="52">
        <v>0.35521602389254209</v>
      </c>
      <c r="E18" s="64">
        <v>61155</v>
      </c>
      <c r="F18" s="67">
        <v>2.2681032272656044E-2</v>
      </c>
      <c r="G18" s="52">
        <v>8.2997634844516315E-3</v>
      </c>
    </row>
    <row r="19" spans="1:16" x14ac:dyDescent="0.35">
      <c r="A19" s="66" t="s">
        <v>1086</v>
      </c>
      <c r="B19" s="64">
        <v>15919473</v>
      </c>
      <c r="C19" s="64">
        <v>5348800</v>
      </c>
      <c r="D19" s="52">
        <v>0.35655239408980494</v>
      </c>
      <c r="E19" s="64">
        <v>65206</v>
      </c>
      <c r="F19" s="67">
        <v>2.7742768076139211E-2</v>
      </c>
      <c r="G19" s="52">
        <v>1.0274144605834876E-2</v>
      </c>
    </row>
    <row r="20" spans="1:16" x14ac:dyDescent="0.35">
      <c r="A20" s="66" t="s">
        <v>1087</v>
      </c>
      <c r="B20" s="64">
        <v>17364671</v>
      </c>
      <c r="C20" s="64">
        <v>5497466</v>
      </c>
      <c r="D20" s="52">
        <v>0.34624207078317903</v>
      </c>
      <c r="E20" s="64">
        <v>59526</v>
      </c>
      <c r="F20" s="67">
        <v>2.6074890060280888E-2</v>
      </c>
      <c r="G20" s="52">
        <v>9.8759448332678013E-3</v>
      </c>
    </row>
    <row r="21" spans="1:16" x14ac:dyDescent="0.35">
      <c r="A21" s="66" t="s">
        <v>1088</v>
      </c>
      <c r="B21" s="64">
        <v>19799443</v>
      </c>
      <c r="C21" s="64">
        <v>6753013</v>
      </c>
      <c r="D21" s="52">
        <v>0.3417623548657342</v>
      </c>
      <c r="E21" s="64">
        <v>64321</v>
      </c>
      <c r="F21" s="67">
        <v>1.3175878649260881E-2</v>
      </c>
      <c r="G21" s="52">
        <v>4.6628537284252427E-3</v>
      </c>
    </row>
    <row r="22" spans="1:16" x14ac:dyDescent="0.35">
      <c r="A22" s="66" t="s">
        <v>1089</v>
      </c>
      <c r="B22" s="64">
        <v>13645631</v>
      </c>
      <c r="C22" s="64">
        <v>4718478</v>
      </c>
      <c r="D22" s="52">
        <v>0.36552245291289398</v>
      </c>
      <c r="E22" s="64">
        <v>60853</v>
      </c>
      <c r="F22" s="67">
        <v>2.2797388095353709E-2</v>
      </c>
      <c r="G22" s="52">
        <v>1.0676116408974812E-2</v>
      </c>
      <c r="J22" s="1"/>
      <c r="K22" s="1"/>
      <c r="L22" s="2"/>
      <c r="M22" s="1"/>
      <c r="N22" s="2"/>
      <c r="O22" s="2"/>
    </row>
    <row r="23" spans="1:16" x14ac:dyDescent="0.35">
      <c r="A23" s="66" t="s">
        <v>1090</v>
      </c>
      <c r="B23" s="64">
        <v>10792187</v>
      </c>
      <c r="C23" s="64">
        <v>3580406</v>
      </c>
      <c r="D23" s="52">
        <v>0.38418474195907426</v>
      </c>
      <c r="E23" s="64">
        <v>47465</v>
      </c>
      <c r="F23" s="67">
        <v>3.92161791272886E-2</v>
      </c>
      <c r="G23" s="52">
        <v>1.9714390008399824E-2</v>
      </c>
    </row>
    <row r="24" spans="1:16" x14ac:dyDescent="0.35">
      <c r="A24" s="66" t="s">
        <v>1091</v>
      </c>
      <c r="B24" s="64">
        <v>18501194</v>
      </c>
      <c r="C24" s="64">
        <v>6130564</v>
      </c>
      <c r="D24" s="52">
        <v>0.34408218125117285</v>
      </c>
      <c r="E24" s="64">
        <v>74214</v>
      </c>
      <c r="F24" s="67">
        <v>2.5502807583496722E-2</v>
      </c>
      <c r="G24" s="52">
        <v>9.5100490601980441E-3</v>
      </c>
    </row>
    <row r="25" spans="1:16" x14ac:dyDescent="0.35">
      <c r="A25" s="66" t="s">
        <v>1092</v>
      </c>
      <c r="B25" s="64">
        <v>12065786</v>
      </c>
      <c r="C25" s="64">
        <v>4024837</v>
      </c>
      <c r="D25" s="65">
        <v>0.33850000000000002</v>
      </c>
      <c r="E25" s="64">
        <v>42223</v>
      </c>
      <c r="F25" s="68">
        <v>1.66E-2</v>
      </c>
      <c r="G25" s="65">
        <v>5.7999999999999996E-3</v>
      </c>
    </row>
    <row r="26" spans="1:16" x14ac:dyDescent="0.35">
      <c r="A26" s="66" t="s">
        <v>1093</v>
      </c>
      <c r="B26" s="64">
        <v>17214228</v>
      </c>
      <c r="C26" s="64">
        <v>5638957</v>
      </c>
      <c r="D26" s="52">
        <v>0.33909487217856416</v>
      </c>
      <c r="E26" s="64">
        <v>65871</v>
      </c>
      <c r="F26" s="67">
        <v>1.891789342955991E-2</v>
      </c>
      <c r="G26" s="52">
        <v>6.3907451181766462E-3</v>
      </c>
    </row>
    <row r="27" spans="1:16" x14ac:dyDescent="0.35">
      <c r="A27" s="66" t="s">
        <v>1094</v>
      </c>
      <c r="B27" s="64">
        <v>18414790</v>
      </c>
      <c r="C27" s="64">
        <v>6202587</v>
      </c>
      <c r="D27" s="52">
        <v>0.3442459443136664</v>
      </c>
      <c r="E27" s="64">
        <v>80518</v>
      </c>
      <c r="F27" s="67">
        <v>1.7112537549602312E-2</v>
      </c>
      <c r="G27" s="52">
        <v>5.9197056709625207E-3</v>
      </c>
    </row>
    <row r="28" spans="1:16" x14ac:dyDescent="0.35">
      <c r="A28" s="66" t="s">
        <v>1095</v>
      </c>
      <c r="B28" s="64">
        <v>10389412</v>
      </c>
      <c r="C28" s="64">
        <v>3496751</v>
      </c>
      <c r="D28" s="65">
        <v>0.35189999999999999</v>
      </c>
      <c r="E28" s="64">
        <v>59917</v>
      </c>
      <c r="F28" s="68">
        <v>3.4000000000000002E-2</v>
      </c>
      <c r="G28" s="65">
        <v>1.3599999999999999E-2</v>
      </c>
      <c r="K28" s="1"/>
      <c r="L28" s="1"/>
      <c r="M28" s="2"/>
      <c r="N28" s="1"/>
      <c r="O28" s="2"/>
      <c r="P28" s="2"/>
    </row>
    <row r="29" spans="1:16" x14ac:dyDescent="0.35">
      <c r="A29" s="66" t="s">
        <v>1096</v>
      </c>
      <c r="B29" s="64">
        <v>19480295</v>
      </c>
      <c r="C29" s="64">
        <v>6809515</v>
      </c>
      <c r="D29" s="52">
        <v>0.35803097806075357</v>
      </c>
      <c r="E29" s="64">
        <v>107290</v>
      </c>
      <c r="F29" s="67">
        <v>3.0956280213844264E-2</v>
      </c>
      <c r="G29" s="52">
        <v>1.1928623700773237E-2</v>
      </c>
    </row>
    <row r="30" spans="1:16" x14ac:dyDescent="0.35">
      <c r="A30" s="66" t="s">
        <v>1097</v>
      </c>
      <c r="B30" s="64">
        <v>9576276</v>
      </c>
      <c r="C30" s="64">
        <v>3247382</v>
      </c>
      <c r="D30" s="52">
        <v>0.37643412307303031</v>
      </c>
      <c r="E30" s="64">
        <v>62177</v>
      </c>
      <c r="F30" s="67">
        <v>3.5144913725553978E-2</v>
      </c>
      <c r="G30" s="52">
        <v>1.5652175382457612E-2</v>
      </c>
      <c r="I30" s="1"/>
      <c r="J30" s="1"/>
      <c r="K30" s="2"/>
      <c r="L30" s="1"/>
      <c r="M30" s="2"/>
      <c r="N30" s="2"/>
    </row>
    <row r="31" spans="1:16" x14ac:dyDescent="0.35">
      <c r="A31" s="66" t="s">
        <v>1098</v>
      </c>
      <c r="B31" s="64">
        <v>11701244</v>
      </c>
      <c r="C31" s="64">
        <v>3561321</v>
      </c>
      <c r="D31" s="52">
        <v>0.30165909817517184</v>
      </c>
      <c r="E31" s="64">
        <v>63366</v>
      </c>
      <c r="F31" s="67">
        <v>2.8697870389426349E-2</v>
      </c>
      <c r="G31" s="52">
        <v>9.4072767760974996E-3</v>
      </c>
    </row>
    <row r="32" spans="1:16" x14ac:dyDescent="0.35">
      <c r="A32" s="66" t="s">
        <v>1099</v>
      </c>
      <c r="B32" s="64">
        <v>17084615</v>
      </c>
      <c r="C32" s="64">
        <v>5181259</v>
      </c>
      <c r="D32" s="52">
        <v>0.33316406830110862</v>
      </c>
      <c r="E32" s="64">
        <v>61829</v>
      </c>
      <c r="F32" s="67">
        <v>4.2303588739779602E-2</v>
      </c>
      <c r="G32" s="52">
        <v>1.7168809058115221E-2</v>
      </c>
      <c r="I32" s="1"/>
      <c r="J32" s="1"/>
      <c r="K32" s="2"/>
      <c r="L32" s="1"/>
      <c r="M32" s="2"/>
      <c r="N32" s="2"/>
    </row>
    <row r="33" spans="1:17" x14ac:dyDescent="0.35">
      <c r="A33" s="66" t="s">
        <v>1100</v>
      </c>
      <c r="B33" s="64">
        <v>11962303</v>
      </c>
      <c r="C33" s="64">
        <v>3806271</v>
      </c>
      <c r="D33" s="52">
        <v>0.34078006881345418</v>
      </c>
      <c r="E33" s="64">
        <v>49684</v>
      </c>
      <c r="F33" s="67">
        <v>2.7204639732326164E-2</v>
      </c>
      <c r="G33" s="52">
        <v>9.0445647444830028E-3</v>
      </c>
    </row>
    <row r="34" spans="1:17" x14ac:dyDescent="0.35">
      <c r="A34" s="66" t="s">
        <v>1101</v>
      </c>
      <c r="B34" s="64">
        <v>8763564</v>
      </c>
      <c r="C34" s="64">
        <v>2865114</v>
      </c>
      <c r="D34" s="52">
        <v>0.33727551826107599</v>
      </c>
      <c r="E34" s="64">
        <v>38631</v>
      </c>
      <c r="F34" s="67">
        <v>2.8100323995702035E-2</v>
      </c>
      <c r="G34" s="52">
        <v>8.9437175369475406E-3</v>
      </c>
    </row>
    <row r="35" spans="1:17" x14ac:dyDescent="0.35">
      <c r="A35" s="66" t="s">
        <v>1102</v>
      </c>
      <c r="B35" s="64">
        <v>24610405</v>
      </c>
      <c r="C35" s="64">
        <v>8223746</v>
      </c>
      <c r="D35" s="52">
        <v>0.3668945884048036</v>
      </c>
      <c r="E35" s="64">
        <v>95233</v>
      </c>
      <c r="F35" s="67">
        <v>3.1572355167703979E-2</v>
      </c>
      <c r="G35" s="52">
        <v>1.2876075815846889E-2</v>
      </c>
      <c r="I35" s="1"/>
      <c r="J35" s="1"/>
      <c r="K35" s="2"/>
      <c r="L35" s="1"/>
      <c r="M35" s="2"/>
      <c r="N35" s="2"/>
    </row>
    <row r="36" spans="1:17" x14ac:dyDescent="0.35">
      <c r="A36" s="66" t="s">
        <v>1103</v>
      </c>
      <c r="B36" s="64">
        <v>8011140</v>
      </c>
      <c r="C36" s="64">
        <v>2503296</v>
      </c>
      <c r="D36" s="52">
        <v>0.36258336513774891</v>
      </c>
      <c r="E36" s="64">
        <v>52296</v>
      </c>
      <c r="F36" s="67">
        <v>4.1064709798874291E-2</v>
      </c>
      <c r="G36" s="52">
        <v>1.462213349199396E-2</v>
      </c>
    </row>
    <row r="37" spans="1:17" x14ac:dyDescent="0.35">
      <c r="A37" s="66" t="s">
        <v>1104</v>
      </c>
      <c r="B37" s="64">
        <v>16329761</v>
      </c>
      <c r="C37" s="64">
        <v>5390784</v>
      </c>
      <c r="D37" s="52">
        <v>0.3488455097438431</v>
      </c>
      <c r="E37" s="64">
        <v>162568</v>
      </c>
      <c r="F37" s="67">
        <v>2.498467926805889E-2</v>
      </c>
      <c r="G37" s="52">
        <v>8.6552498945095483E-3</v>
      </c>
    </row>
    <row r="38" spans="1:17" x14ac:dyDescent="0.35">
      <c r="A38" s="66" t="s">
        <v>1105</v>
      </c>
      <c r="B38" s="64">
        <v>16845564</v>
      </c>
      <c r="C38" s="64">
        <v>5403655</v>
      </c>
      <c r="D38" s="52">
        <v>0.34132821194798496</v>
      </c>
      <c r="E38" s="64">
        <v>68791</v>
      </c>
      <c r="F38" s="67">
        <v>1.9894033111169312E-2</v>
      </c>
      <c r="G38" s="52">
        <v>7.3351528840793984E-3</v>
      </c>
    </row>
    <row r="39" spans="1:17" x14ac:dyDescent="0.35">
      <c r="A39" s="66" t="s">
        <v>1106</v>
      </c>
      <c r="B39" s="64">
        <v>9251521</v>
      </c>
      <c r="C39" s="64">
        <v>2967256</v>
      </c>
      <c r="D39" s="52">
        <v>0.34907293472130346</v>
      </c>
      <c r="E39" s="64">
        <v>38774</v>
      </c>
      <c r="F39" s="67">
        <v>9.3312259914060253E-3</v>
      </c>
      <c r="G39" s="52">
        <v>2.703180978677611E-2</v>
      </c>
    </row>
    <row r="40" spans="1:17" x14ac:dyDescent="0.35">
      <c r="A40" s="66" t="s">
        <v>1107</v>
      </c>
      <c r="B40" s="64">
        <v>11163472</v>
      </c>
      <c r="C40" s="64">
        <v>3684474</v>
      </c>
      <c r="D40" s="52">
        <v>0.37240364900870232</v>
      </c>
      <c r="E40" s="64">
        <v>46478</v>
      </c>
      <c r="F40" s="67">
        <v>1.2701983959334173E-2</v>
      </c>
      <c r="G40" s="52">
        <v>2.9803141135063868E-2</v>
      </c>
      <c r="K40" s="1"/>
      <c r="L40" s="1"/>
      <c r="M40" s="2"/>
      <c r="N40" s="1"/>
      <c r="O40" s="2"/>
      <c r="P40" s="2"/>
    </row>
    <row r="41" spans="1:17" x14ac:dyDescent="0.35">
      <c r="A41" s="76" t="s">
        <v>1108</v>
      </c>
      <c r="B41" s="77">
        <v>13159302</v>
      </c>
      <c r="C41" s="77">
        <v>4312135</v>
      </c>
      <c r="D41" s="78">
        <v>0.34493137370874699</v>
      </c>
      <c r="E41" s="77">
        <v>47969</v>
      </c>
      <c r="F41" s="79">
        <v>8.5890518545455145E-3</v>
      </c>
      <c r="G41" s="78">
        <v>2.0640055424705706E-2</v>
      </c>
      <c r="J41" s="1"/>
      <c r="K41" s="1"/>
      <c r="L41" s="2"/>
      <c r="M41" s="1"/>
      <c r="N41" s="2"/>
      <c r="O41" s="2"/>
      <c r="P41" s="2"/>
      <c r="Q41" s="2"/>
    </row>
    <row r="42" spans="1:17" ht="15.5" x14ac:dyDescent="0.35">
      <c r="A42" s="76" t="s">
        <v>1109</v>
      </c>
      <c r="B42" s="77">
        <v>14057948</v>
      </c>
      <c r="C42" s="77">
        <v>4712550</v>
      </c>
      <c r="D42" s="78">
        <v>0.33960827513252684</v>
      </c>
      <c r="E42" s="77">
        <v>53100</v>
      </c>
      <c r="F42" s="79">
        <v>4.4698118246780678E-3</v>
      </c>
      <c r="G42" s="78">
        <v>1.2333283063731791E-2</v>
      </c>
      <c r="J42" s="31"/>
      <c r="K42" s="31"/>
      <c r="L42" s="75"/>
      <c r="M42" s="31"/>
      <c r="N42" s="75"/>
      <c r="O42" s="75"/>
    </row>
    <row r="43" spans="1:17" x14ac:dyDescent="0.35">
      <c r="A43" s="76" t="s">
        <v>1110</v>
      </c>
      <c r="B43" s="77">
        <v>13610189</v>
      </c>
      <c r="C43" s="77">
        <v>4535656</v>
      </c>
      <c r="D43" s="78">
        <v>0.34006801732821268</v>
      </c>
      <c r="E43" s="77">
        <v>49030</v>
      </c>
      <c r="F43" s="79">
        <v>8.2819620131819732E-3</v>
      </c>
      <c r="G43" s="78">
        <v>2.6630744964787578E-2</v>
      </c>
      <c r="H43" s="1"/>
      <c r="I43" s="1"/>
      <c r="J43" s="2"/>
      <c r="K43" s="1"/>
      <c r="L43" s="2"/>
      <c r="M43" s="2"/>
    </row>
    <row r="44" spans="1:17" x14ac:dyDescent="0.35">
      <c r="A44" s="76" t="s">
        <v>1111</v>
      </c>
      <c r="B44" s="77">
        <v>16455979</v>
      </c>
      <c r="C44" s="77">
        <v>5442404</v>
      </c>
      <c r="D44" s="78">
        <v>0.35555861278578005</v>
      </c>
      <c r="E44" s="77">
        <v>57433</v>
      </c>
      <c r="F44" s="79">
        <v>1.0890024349226668E-2</v>
      </c>
      <c r="G44" s="78">
        <v>2.6167964215833922E-2</v>
      </c>
    </row>
    <row r="45" spans="1:17" x14ac:dyDescent="0.35">
      <c r="A45" s="76" t="s">
        <v>1112</v>
      </c>
      <c r="B45" s="77">
        <v>11293222</v>
      </c>
      <c r="C45" s="77">
        <v>3615375</v>
      </c>
      <c r="D45" s="78">
        <v>0.3262558503710361</v>
      </c>
      <c r="E45" s="77">
        <v>44182</v>
      </c>
      <c r="F45" s="79">
        <v>3.8076753686300774E-3</v>
      </c>
      <c r="G45" s="78">
        <v>1.1370743717631625E-2</v>
      </c>
      <c r="J45" s="1"/>
      <c r="K45" s="1"/>
      <c r="L45" s="2"/>
      <c r="M45" s="1"/>
      <c r="N45" s="2"/>
      <c r="O45" s="2"/>
    </row>
    <row r="46" spans="1:17" x14ac:dyDescent="0.35">
      <c r="A46" s="76" t="s">
        <v>1113</v>
      </c>
      <c r="B46" s="77">
        <v>15055102</v>
      </c>
      <c r="C46" s="77">
        <v>5048030</v>
      </c>
      <c r="D46" s="78">
        <v>0.3354458705410775</v>
      </c>
      <c r="E46" s="77">
        <v>65715</v>
      </c>
      <c r="F46" s="79">
        <v>1.1718083719000157E-2</v>
      </c>
      <c r="G46" s="78">
        <v>3.9647246425295497E-2</v>
      </c>
      <c r="H46" s="1"/>
      <c r="I46" s="1"/>
      <c r="J46" s="2"/>
      <c r="K46" s="1"/>
      <c r="L46" s="2"/>
      <c r="M46" s="2"/>
      <c r="N46" s="2"/>
      <c r="O46" s="2"/>
    </row>
    <row r="47" spans="1:17" x14ac:dyDescent="0.35">
      <c r="A47" s="76" t="s">
        <v>1114</v>
      </c>
      <c r="B47" s="77">
        <v>17582367</v>
      </c>
      <c r="C47" s="77">
        <v>5862684</v>
      </c>
      <c r="D47" s="78">
        <v>0.34526995393218057</v>
      </c>
      <c r="E47" s="77">
        <v>72604</v>
      </c>
      <c r="F47" s="79">
        <v>5.6170132562977622E-3</v>
      </c>
      <c r="G47" s="78">
        <v>1.5978023735932888E-2</v>
      </c>
    </row>
    <row r="48" spans="1:17" x14ac:dyDescent="0.35">
      <c r="A48" s="125" t="s">
        <v>1115</v>
      </c>
      <c r="B48" s="126">
        <v>16876205</v>
      </c>
      <c r="C48" s="126">
        <v>5519641</v>
      </c>
      <c r="D48" s="127">
        <v>0.39481685102805408</v>
      </c>
      <c r="E48" s="126">
        <v>88908</v>
      </c>
      <c r="F48" s="128">
        <v>1.8351492631929086E-2</v>
      </c>
      <c r="G48" s="127">
        <v>4.0083147783055974E-2</v>
      </c>
    </row>
    <row r="49" spans="1:15" x14ac:dyDescent="0.35">
      <c r="A49" s="109" t="s">
        <v>1116</v>
      </c>
      <c r="B49" s="77">
        <v>11502932</v>
      </c>
      <c r="C49" s="77">
        <v>3869723</v>
      </c>
      <c r="D49" s="78">
        <v>0.37629026949857802</v>
      </c>
      <c r="E49" s="77">
        <v>55134</v>
      </c>
      <c r="F49" s="79">
        <v>1.3242499776990803E-2</v>
      </c>
      <c r="G49" s="78">
        <v>3.7550072199606495E-2</v>
      </c>
      <c r="J49" s="1"/>
      <c r="K49" s="1"/>
      <c r="L49" s="2"/>
      <c r="M49" s="1"/>
      <c r="N49" s="2"/>
      <c r="O49" s="2"/>
    </row>
    <row r="50" spans="1:15" x14ac:dyDescent="0.35">
      <c r="A50" s="109" t="s">
        <v>1117</v>
      </c>
      <c r="B50" s="77">
        <v>29066679</v>
      </c>
      <c r="C50" s="77">
        <v>9951973</v>
      </c>
      <c r="D50" s="78">
        <v>0.38075599927038672</v>
      </c>
      <c r="E50" s="77">
        <v>150626</v>
      </c>
      <c r="F50" s="79">
        <v>3.3768084433152504E-2</v>
      </c>
      <c r="G50" s="78">
        <v>1.3359836158482659E-2</v>
      </c>
      <c r="J50" s="1"/>
      <c r="K50" s="1"/>
      <c r="L50" s="2"/>
      <c r="M50" s="1"/>
      <c r="N50" s="2"/>
      <c r="O50" s="2"/>
    </row>
    <row r="51" spans="1:15" x14ac:dyDescent="0.35">
      <c r="A51" s="132" t="s">
        <v>1118</v>
      </c>
      <c r="B51" s="126">
        <v>13785921</v>
      </c>
      <c r="C51" s="126">
        <v>4638374</v>
      </c>
      <c r="D51" s="127">
        <v>0.41180711439691614</v>
      </c>
      <c r="E51" s="126">
        <v>54939</v>
      </c>
      <c r="F51" s="128">
        <v>2.4292489439766734E-2</v>
      </c>
      <c r="G51" s="127">
        <v>1.0886443521373834E-2</v>
      </c>
    </row>
    <row r="52" spans="1:15" x14ac:dyDescent="0.35">
      <c r="A52" s="132" t="s">
        <v>1119</v>
      </c>
      <c r="B52" s="126">
        <v>20637757</v>
      </c>
      <c r="C52" s="126">
        <v>7134304</v>
      </c>
      <c r="D52" s="127">
        <v>0.36750608802416224</v>
      </c>
      <c r="E52" s="126">
        <v>85865</v>
      </c>
      <c r="F52" s="128">
        <v>1.3786020735043879E-2</v>
      </c>
      <c r="G52" s="127">
        <v>5.0696198663675992E-3</v>
      </c>
    </row>
    <row r="53" spans="1:15" x14ac:dyDescent="0.35">
      <c r="A53" s="122" t="s">
        <v>1120</v>
      </c>
      <c r="B53" s="77">
        <v>17107329</v>
      </c>
      <c r="C53" s="77">
        <v>5628791</v>
      </c>
      <c r="D53" s="78">
        <v>0.35789543217914366</v>
      </c>
      <c r="E53" s="77">
        <v>68113</v>
      </c>
      <c r="F53" s="79">
        <v>1.4067077222649767E-2</v>
      </c>
      <c r="G53" s="78">
        <v>5.0215992278996105E-3</v>
      </c>
    </row>
    <row r="54" spans="1:15" x14ac:dyDescent="0.35">
      <c r="A54" s="131" t="s">
        <v>1121</v>
      </c>
      <c r="B54" s="116">
        <v>17840667</v>
      </c>
      <c r="C54" s="116">
        <v>5765892</v>
      </c>
      <c r="D54" s="117">
        <v>0.35527041104982016</v>
      </c>
      <c r="E54" s="116">
        <v>88613</v>
      </c>
      <c r="F54" s="118">
        <v>1.6499880749422102E-2</v>
      </c>
      <c r="G54" s="117">
        <v>5.9173827954484915E-3</v>
      </c>
    </row>
    <row r="55" spans="1:15" ht="15" thickBot="1" x14ac:dyDescent="0.4">
      <c r="A55" s="80" t="s">
        <v>1065</v>
      </c>
      <c r="B55" s="73">
        <f>SUBTOTAL(9,B2:B54)</f>
        <v>789024096</v>
      </c>
      <c r="C55" s="73">
        <f>SUBTOTAL(9,C2:C54)</f>
        <v>267282025</v>
      </c>
      <c r="D55" s="74">
        <f>_xlfn.AGGREGATE(1,7,D2:D54)</f>
        <v>0.35703843719021955</v>
      </c>
      <c r="E55" s="73">
        <f>SUBTOTAL(9,E2:E54)</f>
        <v>4118613</v>
      </c>
      <c r="F55" s="74">
        <f>_xlfn.AGGREGATE(1,7,F2:F54)</f>
        <v>2.3826404720558868E-2</v>
      </c>
      <c r="G55" s="74">
        <f>_xlfn.AGGREGATE(1,7,G2:G54)</f>
        <v>1.371126959427333E-2</v>
      </c>
      <c r="I55" s="1"/>
      <c r="J55" s="1"/>
      <c r="K55" s="2"/>
      <c r="L55" s="1"/>
      <c r="M55" s="2"/>
      <c r="N55" s="2"/>
    </row>
    <row r="59" spans="1:15" x14ac:dyDescent="0.35">
      <c r="D59" s="112"/>
    </row>
    <row r="60" spans="1:15" x14ac:dyDescent="0.35">
      <c r="D60" s="112"/>
    </row>
  </sheetData>
  <phoneticPr fontId="6" type="noConversion"/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C4FD-2B55-4256-99A4-F5B773E24811}">
  <sheetPr>
    <tabColor rgb="FF92D050"/>
  </sheetPr>
  <dimension ref="B1:O23"/>
  <sheetViews>
    <sheetView showGridLines="0" zoomScaleNormal="100" workbookViewId="0">
      <selection activeCell="L24" sqref="L24"/>
    </sheetView>
  </sheetViews>
  <sheetFormatPr defaultColWidth="12.453125" defaultRowHeight="14.5" x14ac:dyDescent="0.35"/>
  <cols>
    <col min="1" max="1" width="7.1796875" customWidth="1"/>
    <col min="2" max="2" width="17.1796875" bestFit="1" customWidth="1"/>
    <col min="3" max="3" width="10.54296875" customWidth="1"/>
    <col min="4" max="4" width="18" customWidth="1"/>
    <col min="6" max="7" width="13.81640625" customWidth="1"/>
    <col min="9" max="9" width="23.54296875" customWidth="1"/>
    <col min="10" max="10" width="15.54296875" bestFit="1" customWidth="1"/>
    <col min="11" max="11" width="11.1796875" customWidth="1"/>
    <col min="12" max="12" width="11.81640625" customWidth="1"/>
  </cols>
  <sheetData>
    <row r="1" spans="2:12" ht="15" thickBot="1" x14ac:dyDescent="0.4"/>
    <row r="2" spans="2:12" ht="26.5" thickBot="1" x14ac:dyDescent="0.65">
      <c r="B2" s="157" t="s">
        <v>1122</v>
      </c>
      <c r="C2" s="158"/>
      <c r="D2" s="158"/>
      <c r="E2" s="158"/>
      <c r="F2" s="158"/>
      <c r="G2" s="159"/>
      <c r="J2" s="160" t="s">
        <v>1123</v>
      </c>
      <c r="K2" s="161"/>
      <c r="L2" s="162"/>
    </row>
    <row r="3" spans="2:12" ht="26.5" thickBot="1" x14ac:dyDescent="0.65">
      <c r="B3" s="163" t="s">
        <v>1124</v>
      </c>
      <c r="C3" s="164"/>
      <c r="D3" s="164"/>
      <c r="E3" s="164"/>
      <c r="F3" s="164"/>
      <c r="G3" s="165"/>
      <c r="J3" s="129" t="s">
        <v>1125</v>
      </c>
      <c r="K3" s="129" t="s">
        <v>1126</v>
      </c>
      <c r="L3" s="129" t="s">
        <v>1127</v>
      </c>
    </row>
    <row r="4" spans="2:12" ht="21.5" thickBot="1" x14ac:dyDescent="0.55000000000000004">
      <c r="B4" s="81" t="s">
        <v>3</v>
      </c>
      <c r="C4" s="82" t="s">
        <v>1128</v>
      </c>
      <c r="D4" s="83" t="s">
        <v>1068</v>
      </c>
      <c r="E4" s="84" t="s">
        <v>1128</v>
      </c>
      <c r="F4" s="85" t="s">
        <v>7</v>
      </c>
      <c r="G4" s="86" t="s">
        <v>1128</v>
      </c>
      <c r="J4" s="133">
        <v>17107329</v>
      </c>
      <c r="K4" s="134">
        <v>0.3579</v>
      </c>
      <c r="L4" s="134">
        <v>1.41E-2</v>
      </c>
    </row>
    <row r="5" spans="2:12" ht="21.5" thickBot="1" x14ac:dyDescent="0.4">
      <c r="B5" s="96">
        <v>17847660</v>
      </c>
      <c r="C5" s="95">
        <f>(B5-J4)/J4</f>
        <v>4.3275662729114518E-2</v>
      </c>
      <c r="D5" s="104">
        <v>0.3553</v>
      </c>
      <c r="E5" s="95">
        <f>(D5-K4)/K4</f>
        <v>-7.2645990500139462E-3</v>
      </c>
      <c r="F5" s="104">
        <v>1.6500000000000001E-2</v>
      </c>
      <c r="G5" s="95">
        <f>(F5-L4)/L4</f>
        <v>0.17021276595744689</v>
      </c>
    </row>
    <row r="7" spans="2:12" ht="15" thickBot="1" x14ac:dyDescent="0.4"/>
    <row r="8" spans="2:12" ht="26.5" thickBot="1" x14ac:dyDescent="0.65">
      <c r="B8" s="166" t="s">
        <v>1129</v>
      </c>
      <c r="C8" s="167"/>
      <c r="D8" s="167"/>
      <c r="E8" s="167"/>
      <c r="F8" s="167"/>
      <c r="G8" s="168"/>
      <c r="J8" s="108" t="s">
        <v>1130</v>
      </c>
      <c r="K8" s="108" t="s">
        <v>1131</v>
      </c>
      <c r="L8" s="108" t="s">
        <v>1132</v>
      </c>
    </row>
    <row r="9" spans="2:12" ht="21.5" thickBot="1" x14ac:dyDescent="0.55000000000000004">
      <c r="B9" s="87" t="s">
        <v>1133</v>
      </c>
      <c r="C9" s="88" t="s">
        <v>1128</v>
      </c>
      <c r="D9" s="89" t="s">
        <v>1134</v>
      </c>
      <c r="E9" s="90" t="s">
        <v>1128</v>
      </c>
      <c r="F9" s="91" t="s">
        <v>1135</v>
      </c>
      <c r="G9" s="92" t="s">
        <v>1128</v>
      </c>
      <c r="J9" s="135">
        <v>106206</v>
      </c>
      <c r="K9" s="133">
        <v>2883</v>
      </c>
      <c r="L9" s="133">
        <v>7946</v>
      </c>
    </row>
    <row r="10" spans="2:12" ht="21.5" thickBot="1" x14ac:dyDescent="0.4">
      <c r="B10" s="94">
        <v>116840</v>
      </c>
      <c r="C10" s="95">
        <f>(B10-J9)/J9</f>
        <v>0.10012616989623939</v>
      </c>
      <c r="D10" s="96">
        <v>3336</v>
      </c>
      <c r="E10" s="95">
        <f>(D10-K9)/K9</f>
        <v>0.1571279916753382</v>
      </c>
      <c r="F10" s="96">
        <v>9378</v>
      </c>
      <c r="G10" s="95">
        <f>(F10-L9)/L9</f>
        <v>0.18021646111250944</v>
      </c>
    </row>
    <row r="11" spans="2:12" ht="15" thickBot="1" x14ac:dyDescent="0.4">
      <c r="B11" s="97"/>
      <c r="C11" s="97"/>
      <c r="D11" s="97"/>
      <c r="E11" s="97"/>
      <c r="F11" s="97"/>
      <c r="G11" s="97"/>
    </row>
    <row r="12" spans="2:12" ht="26.5" thickBot="1" x14ac:dyDescent="0.4">
      <c r="B12" s="169" t="s">
        <v>1136</v>
      </c>
      <c r="C12" s="170"/>
      <c r="D12" s="170"/>
      <c r="E12" s="170"/>
      <c r="F12" s="170"/>
      <c r="G12" s="171"/>
    </row>
    <row r="13" spans="2:12" ht="21.5" thickBot="1" x14ac:dyDescent="0.4">
      <c r="B13" s="98" t="s">
        <v>1133</v>
      </c>
      <c r="C13" s="99" t="s">
        <v>1128</v>
      </c>
      <c r="D13" s="100" t="s">
        <v>1134</v>
      </c>
      <c r="E13" s="101" t="s">
        <v>1128</v>
      </c>
      <c r="F13" s="102" t="s">
        <v>1135</v>
      </c>
      <c r="G13" s="103" t="s">
        <v>1128</v>
      </c>
    </row>
    <row r="14" spans="2:12" ht="21.5" thickBot="1" x14ac:dyDescent="0.4">
      <c r="B14" s="172" t="s">
        <v>1137</v>
      </c>
      <c r="C14" s="173"/>
      <c r="D14" s="173"/>
      <c r="E14" s="173"/>
      <c r="F14" s="173"/>
      <c r="G14" s="174"/>
      <c r="J14" s="130" t="s">
        <v>1130</v>
      </c>
      <c r="K14" s="130" t="s">
        <v>1131</v>
      </c>
      <c r="L14" s="130" t="s">
        <v>1132</v>
      </c>
    </row>
    <row r="15" spans="2:12" ht="21.5" thickBot="1" x14ac:dyDescent="0.4">
      <c r="B15" s="94">
        <v>17123</v>
      </c>
      <c r="C15" s="95">
        <f>(B15-J15)/J15</f>
        <v>0.42894099974964534</v>
      </c>
      <c r="D15" s="96">
        <v>438</v>
      </c>
      <c r="E15" s="95">
        <f>(D15-K15)/K15</f>
        <v>0.47972972972972971</v>
      </c>
      <c r="F15" s="96">
        <v>1241</v>
      </c>
      <c r="G15" s="95">
        <f>(F15-L15)/L15</f>
        <v>0.48090692124105011</v>
      </c>
      <c r="J15" s="135">
        <v>11983</v>
      </c>
      <c r="K15" s="133">
        <v>296</v>
      </c>
      <c r="L15" s="133">
        <v>838</v>
      </c>
    </row>
    <row r="16" spans="2:12" ht="21.5" thickBot="1" x14ac:dyDescent="0.4">
      <c r="B16" s="148" t="s">
        <v>1138</v>
      </c>
      <c r="C16" s="149"/>
      <c r="D16" s="149"/>
      <c r="E16" s="149"/>
      <c r="F16" s="149"/>
      <c r="G16" s="150"/>
      <c r="J16" s="105" t="s">
        <v>1130</v>
      </c>
      <c r="K16" s="105" t="s">
        <v>1131</v>
      </c>
      <c r="L16" s="105" t="s">
        <v>1132</v>
      </c>
    </row>
    <row r="17" spans="2:15" ht="21.5" thickBot="1" x14ac:dyDescent="0.4">
      <c r="B17" s="94">
        <v>3358</v>
      </c>
      <c r="C17" s="95">
        <f>(B17-J17)/J17</f>
        <v>-0.41549173194081812</v>
      </c>
      <c r="D17" s="96">
        <v>120</v>
      </c>
      <c r="E17" s="95">
        <f>(D17-K17)/K17</f>
        <v>-0.27710843373493976</v>
      </c>
      <c r="F17" s="96">
        <v>287</v>
      </c>
      <c r="G17" s="95">
        <f>(F17-L17)/L17</f>
        <v>-0.35650224215246634</v>
      </c>
      <c r="J17" s="135">
        <v>5745</v>
      </c>
      <c r="K17" s="133">
        <v>166</v>
      </c>
      <c r="L17" s="133">
        <v>446</v>
      </c>
      <c r="M17" s="93"/>
      <c r="N17" s="93"/>
      <c r="O17" s="93"/>
    </row>
    <row r="18" spans="2:15" ht="21.5" thickBot="1" x14ac:dyDescent="0.4">
      <c r="B18" s="151" t="s">
        <v>38</v>
      </c>
      <c r="C18" s="152"/>
      <c r="D18" s="152"/>
      <c r="E18" s="152"/>
      <c r="F18" s="152"/>
      <c r="G18" s="153"/>
      <c r="J18" s="106" t="s">
        <v>1130</v>
      </c>
      <c r="K18" s="106" t="s">
        <v>1131</v>
      </c>
      <c r="L18" s="106">
        <v>19142</v>
      </c>
    </row>
    <row r="19" spans="2:15" ht="21.5" thickBot="1" x14ac:dyDescent="0.4">
      <c r="B19" s="94">
        <v>19025</v>
      </c>
      <c r="C19" s="95">
        <f>(B19-J19)/J19</f>
        <v>-6.1122139797304357E-3</v>
      </c>
      <c r="D19" s="96">
        <v>509</v>
      </c>
      <c r="E19" s="95">
        <f>(D19-K19)/K19</f>
        <v>-9.5914742451154528E-2</v>
      </c>
      <c r="F19" s="96">
        <v>1527</v>
      </c>
      <c r="G19" s="95">
        <f>(F19-L19)/L19</f>
        <v>-4.6221111805121798E-2</v>
      </c>
      <c r="J19" s="135">
        <v>19142</v>
      </c>
      <c r="K19" s="133">
        <v>563</v>
      </c>
      <c r="L19" s="133">
        <v>1601</v>
      </c>
      <c r="M19" s="93"/>
      <c r="N19" s="93"/>
      <c r="O19" s="93"/>
    </row>
    <row r="20" spans="2:15" ht="21.5" thickBot="1" x14ac:dyDescent="0.4">
      <c r="B20" s="154" t="s">
        <v>1139</v>
      </c>
      <c r="C20" s="155"/>
      <c r="D20" s="155"/>
      <c r="E20" s="155"/>
      <c r="F20" s="155"/>
      <c r="G20" s="156"/>
      <c r="J20" s="107" t="s">
        <v>1130</v>
      </c>
      <c r="K20" s="107" t="s">
        <v>1131</v>
      </c>
      <c r="L20" s="107" t="s">
        <v>1132</v>
      </c>
    </row>
    <row r="21" spans="2:15" ht="21.5" thickBot="1" x14ac:dyDescent="0.4">
      <c r="B21" s="94">
        <v>21433</v>
      </c>
      <c r="C21" s="95">
        <f>(B21-J21)/J21</f>
        <v>0.10542059930888648</v>
      </c>
      <c r="D21" s="96">
        <v>551</v>
      </c>
      <c r="E21" s="95">
        <f>(D21-K21)/K21</f>
        <v>0.19006479481641469</v>
      </c>
      <c r="F21" s="96">
        <v>1617</v>
      </c>
      <c r="G21" s="95">
        <f>(F21-L21)/L21</f>
        <v>0.19335793357933578</v>
      </c>
      <c r="J21" s="135">
        <v>19389</v>
      </c>
      <c r="K21" s="133">
        <v>463</v>
      </c>
      <c r="L21" s="133">
        <v>1355</v>
      </c>
    </row>
    <row r="22" spans="2:15" s="110" customFormat="1" ht="49.75" customHeight="1" x14ac:dyDescent="0.35">
      <c r="B22" s="147" t="s">
        <v>1140</v>
      </c>
      <c r="C22" s="147"/>
      <c r="D22" s="147"/>
      <c r="E22" s="147"/>
      <c r="F22" s="147"/>
      <c r="G22" s="147"/>
      <c r="H22" s="147"/>
      <c r="I22" s="147"/>
    </row>
    <row r="23" spans="2:15" s="110" customFormat="1" ht="14.5" customHeight="1" x14ac:dyDescent="0.35"/>
  </sheetData>
  <mergeCells count="10">
    <mergeCell ref="J2:L2"/>
    <mergeCell ref="B3:G3"/>
    <mergeCell ref="B8:G8"/>
    <mergeCell ref="B12:G12"/>
    <mergeCell ref="B14:G14"/>
    <mergeCell ref="B22:I22"/>
    <mergeCell ref="B16:G16"/>
    <mergeCell ref="B18:G18"/>
    <mergeCell ref="B20:G20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Week of Dec 29-Jan 4</vt:lpstr>
      <vt:lpstr>Week of Jan 5-Jan 11</vt:lpstr>
      <vt:lpstr>Week of Jan 12-Jan 18</vt:lpstr>
      <vt:lpstr>Week of Jan 19-Jan 25</vt:lpstr>
      <vt:lpstr>Week of Jan 26-Feb 1</vt:lpstr>
      <vt:lpstr>Week of Feb 2-Feb 8</vt:lpstr>
      <vt:lpstr>Week of Feb 9-Feb 15</vt:lpstr>
      <vt:lpstr>Week of Feb 16-Feb 22</vt:lpstr>
      <vt:lpstr>Week of Feb 23-Feb 29</vt:lpstr>
      <vt:lpstr>Week of Mar 1-Mar 7</vt:lpstr>
      <vt:lpstr>Week of Mar 8-Mar 14</vt:lpstr>
      <vt:lpstr>Week of Mar 15-Mar 21</vt:lpstr>
      <vt:lpstr>Week of Mar 22-Mar 28</vt:lpstr>
      <vt:lpstr>Week of Mar 29-Apr 4</vt:lpstr>
      <vt:lpstr>Week of Apr 5-Apr 11</vt:lpstr>
      <vt:lpstr>Week of Apr 12-Apr 18</vt:lpstr>
      <vt:lpstr>Week of Apr 19-Apr 25</vt:lpstr>
      <vt:lpstr>Week of Apr 26-May 2</vt:lpstr>
      <vt:lpstr>Week of May 3-May 9</vt:lpstr>
      <vt:lpstr>Week of May 10-May 16</vt:lpstr>
      <vt:lpstr>Week of May 17-May 23</vt:lpstr>
      <vt:lpstr>Week of May 24-May 30</vt:lpstr>
      <vt:lpstr>Week of May 31-June 6</vt:lpstr>
      <vt:lpstr>Week of June 7-June 13</vt:lpstr>
      <vt:lpstr>Week of June 14-June 20</vt:lpstr>
      <vt:lpstr>Week of June 21-June 27</vt:lpstr>
      <vt:lpstr>Week of June 28-July 4</vt:lpstr>
      <vt:lpstr>Week of July 5-July 11</vt:lpstr>
      <vt:lpstr>Week of July 12-July 18</vt:lpstr>
      <vt:lpstr>Week of July 19-July 25</vt:lpstr>
      <vt:lpstr>Week of July 26-Aug 1</vt:lpstr>
      <vt:lpstr>Week of Aug 2-Aug 8</vt:lpstr>
      <vt:lpstr>Week of Aug 9-Aug 15</vt:lpstr>
      <vt:lpstr>Week of Aug 16-Aug 22</vt:lpstr>
      <vt:lpstr>Week of Aug 23-Aug 29</vt:lpstr>
      <vt:lpstr>Week of Aug 30-Sept 5</vt:lpstr>
      <vt:lpstr>Week of Sept 6-Sept 12</vt:lpstr>
      <vt:lpstr>Week of Sept 13-Sept 19</vt:lpstr>
      <vt:lpstr>Week of Sept 20-Sept 26</vt:lpstr>
      <vt:lpstr>Week of Sept 27-Oct 3</vt:lpstr>
      <vt:lpstr>Week of Oct 4-Oct 10</vt:lpstr>
      <vt:lpstr>Week of Oct 11-Oct 17</vt:lpstr>
      <vt:lpstr>Week of Oct 18-Oct 24</vt:lpstr>
      <vt:lpstr>Week of Oct 25-Oct 31</vt:lpstr>
      <vt:lpstr>Week of Nov 1-Nov 7</vt:lpstr>
      <vt:lpstr>Week of Nov 8-Nov 14</vt:lpstr>
      <vt:lpstr>Week of Nov 15-Nov 21</vt:lpstr>
      <vt:lpstr>Week of Nov 22-Nov 28</vt:lpstr>
      <vt:lpstr>Week of Nov 29-Dec 5</vt:lpstr>
      <vt:lpstr>Week of Dec 6-Dec 12</vt:lpstr>
      <vt:lpstr>Week of Dec 13-Dec 19</vt:lpstr>
      <vt:lpstr>Week of Dec 20-Dec 26</vt:lpstr>
      <vt:lpstr>Week of Dec 27-Jan 2</vt:lpstr>
      <vt:lpstr>All AJO Emails</vt:lpstr>
      <vt:lpstr>YTD Weekly Metrics</vt:lpstr>
      <vt:lpstr>WOW 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Patrick Dixon</cp:lastModifiedBy>
  <cp:revision/>
  <dcterms:created xsi:type="dcterms:W3CDTF">2016-07-06T08:22:49Z</dcterms:created>
  <dcterms:modified xsi:type="dcterms:W3CDTF">2025-05-28T15:28:42Z</dcterms:modified>
  <cp:category/>
  <cp:contentStatus/>
</cp:coreProperties>
</file>