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Bhatia\Downloads\"/>
    </mc:Choice>
  </mc:AlternateContent>
  <xr:revisionPtr revIDLastSave="0" documentId="13_ncr:1_{A16ED4C9-5739-4B36-AF49-788BB0D84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2 2023 - All AJO Emails" sheetId="16" r:id="rId1"/>
    <sheet name="Salesforce Emails" sheetId="17" state="hidden" r:id="rId2"/>
    <sheet name="CineClub" sheetId="19" state="hidden" r:id="rId3"/>
    <sheet name="YTD Metrics" sheetId="4" state="hidden" r:id="rId4"/>
    <sheet name="Week of July 21-July 27" sheetId="3" state="hidden" r:id="rId5"/>
    <sheet name="Week of July 28-Aug 3" sheetId="5" state="hidden" r:id="rId6"/>
    <sheet name="Week of Aug 4-10" sheetId="6" state="hidden" r:id="rId7"/>
    <sheet name="Week of Aug 11-17" sheetId="7" state="hidden" r:id="rId8"/>
    <sheet name="Week of Aug 18-24" sheetId="8" state="hidden" r:id="rId9"/>
    <sheet name="Week of Aug 25-31" sheetId="9" state="hidden" r:id="rId10"/>
    <sheet name="Week of Sept 1-7" sheetId="10" state="hidden" r:id="rId11"/>
    <sheet name="Week of Sept 22-28" sheetId="13" state="hidden" r:id="rId12"/>
    <sheet name="Week of Sept 29-Oct 5" sheetId="14" state="hidden" r:id="rId13"/>
    <sheet name="Week of Oct 6-12" sheetId="18" state="hidden" r:id="rId14"/>
    <sheet name="Week of Oct 13-19" sheetId="20" state="hidden" r:id="rId15"/>
    <sheet name="Week of Oct 20-26" sheetId="21" state="hidden" r:id="rId16"/>
    <sheet name="Week of Oct 27-Nov 2" sheetId="22" state="hidden" r:id="rId17"/>
    <sheet name="Week of Nov 3-Nov 9" sheetId="23" state="hidden" r:id="rId18"/>
    <sheet name="Week of Nov 10-Nov 16" sheetId="24" state="hidden" r:id="rId19"/>
    <sheet name="Week of Nov 17-Nov 23" sheetId="25" state="hidden" r:id="rId20"/>
    <sheet name="Week of Nov 24-Nov 30" sheetId="26" state="hidden" r:id="rId21"/>
    <sheet name="Week of Dec 1-Dec 7" sheetId="27" state="hidden" r:id="rId22"/>
    <sheet name="Week of Dec 8-Dec 14" sheetId="28" state="hidden" r:id="rId23"/>
    <sheet name="Week of Dec 15-Dec 21" sheetId="29" state="hidden" r:id="rId24"/>
    <sheet name="Week of Dec 22-Dec 28" sheetId="30" state="hidden" r:id="rId25"/>
    <sheet name="Week of Dec 29-Jan 4" sheetId="31" state="hidden" r:id="rId26"/>
    <sheet name="Store Q4 2023" sheetId="32" state="hidden" r:id="rId27"/>
    <sheet name="Sheet2" sheetId="34" state="hidden" r:id="rId28"/>
    <sheet name="Store Q4 2022" sheetId="33" state="hidden" r:id="rId29"/>
  </sheets>
  <definedNames>
    <definedName name="_xlnm._FilterDatabase" localSheetId="0" hidden="1">'H2 2023 - All AJO Emails'!$A$1:$I$631</definedName>
    <definedName name="_xlnm._FilterDatabase" localSheetId="1" hidden="1">'Salesforce Emails'!$A$1:$O$846</definedName>
    <definedName name="_xlnm._FilterDatabase" localSheetId="28" hidden="1">'Store Q4 2022'!$A$1:$O$63</definedName>
    <definedName name="_xlnm._FilterDatabase" localSheetId="26" hidden="1">'Store Q4 2023'!$A$3:$I$38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1" i="16" l="1"/>
  <c r="H54" i="34" l="1"/>
  <c r="H55" i="34"/>
  <c r="H56" i="34"/>
  <c r="H57" i="34"/>
  <c r="H58" i="34"/>
  <c r="H59" i="34"/>
  <c r="H60" i="34"/>
  <c r="H61" i="34"/>
  <c r="H62" i="34"/>
  <c r="H63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2" i="34"/>
  <c r="K2" i="33"/>
  <c r="G55" i="34"/>
  <c r="G56" i="34"/>
  <c r="G57" i="34"/>
  <c r="G58" i="34"/>
  <c r="G59" i="34"/>
  <c r="G60" i="34"/>
  <c r="G61" i="34"/>
  <c r="G62" i="34"/>
  <c r="G63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2" i="34"/>
  <c r="L2" i="33"/>
  <c r="E63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" i="34"/>
  <c r="F38" i="32"/>
  <c r="F64" i="34"/>
  <c r="D64" i="34"/>
  <c r="C64" i="34"/>
  <c r="F13" i="33"/>
  <c r="I13" i="33"/>
  <c r="K13" i="33"/>
  <c r="L13" i="33"/>
  <c r="N13" i="33"/>
  <c r="N63" i="33"/>
  <c r="L63" i="33"/>
  <c r="K63" i="33"/>
  <c r="I63" i="33"/>
  <c r="F63" i="33"/>
  <c r="N62" i="33"/>
  <c r="L62" i="33"/>
  <c r="K62" i="33"/>
  <c r="I62" i="33"/>
  <c r="F62" i="33"/>
  <c r="N61" i="33"/>
  <c r="L61" i="33"/>
  <c r="K61" i="33"/>
  <c r="I61" i="33"/>
  <c r="F61" i="33"/>
  <c r="N60" i="33"/>
  <c r="L60" i="33"/>
  <c r="K60" i="33"/>
  <c r="I60" i="33"/>
  <c r="F60" i="33"/>
  <c r="N59" i="33"/>
  <c r="L59" i="33"/>
  <c r="K59" i="33"/>
  <c r="I59" i="33"/>
  <c r="F59" i="33"/>
  <c r="N58" i="33"/>
  <c r="L58" i="33"/>
  <c r="K58" i="33"/>
  <c r="I58" i="33"/>
  <c r="F58" i="33"/>
  <c r="N57" i="33"/>
  <c r="L57" i="33"/>
  <c r="K57" i="33"/>
  <c r="I57" i="33"/>
  <c r="F57" i="33"/>
  <c r="N56" i="33"/>
  <c r="L56" i="33"/>
  <c r="K56" i="33"/>
  <c r="I56" i="33"/>
  <c r="F56" i="33"/>
  <c r="N55" i="33"/>
  <c r="L55" i="33"/>
  <c r="K55" i="33"/>
  <c r="I55" i="33"/>
  <c r="F55" i="33"/>
  <c r="N54" i="33"/>
  <c r="L54" i="33"/>
  <c r="K54" i="33"/>
  <c r="I54" i="33"/>
  <c r="F54" i="33"/>
  <c r="N53" i="33"/>
  <c r="L53" i="33"/>
  <c r="K53" i="33"/>
  <c r="I53" i="33"/>
  <c r="F53" i="33"/>
  <c r="N52" i="33"/>
  <c r="L52" i="33"/>
  <c r="K52" i="33"/>
  <c r="I52" i="33"/>
  <c r="F52" i="33"/>
  <c r="N51" i="33"/>
  <c r="L51" i="33"/>
  <c r="K51" i="33"/>
  <c r="I51" i="33"/>
  <c r="F51" i="33"/>
  <c r="N50" i="33"/>
  <c r="L50" i="33"/>
  <c r="K50" i="33"/>
  <c r="I50" i="33"/>
  <c r="F50" i="33"/>
  <c r="N49" i="33"/>
  <c r="L49" i="33"/>
  <c r="K49" i="33"/>
  <c r="I49" i="33"/>
  <c r="F49" i="33"/>
  <c r="N48" i="33"/>
  <c r="L48" i="33"/>
  <c r="K48" i="33"/>
  <c r="I48" i="33"/>
  <c r="F48" i="33"/>
  <c r="N47" i="33"/>
  <c r="L47" i="33"/>
  <c r="K47" i="33"/>
  <c r="I47" i="33"/>
  <c r="F47" i="33"/>
  <c r="N46" i="33"/>
  <c r="L46" i="33"/>
  <c r="K46" i="33"/>
  <c r="I46" i="33"/>
  <c r="F46" i="33"/>
  <c r="N45" i="33"/>
  <c r="L45" i="33"/>
  <c r="K45" i="33"/>
  <c r="I45" i="33"/>
  <c r="F45" i="33"/>
  <c r="N44" i="33"/>
  <c r="L44" i="33"/>
  <c r="K44" i="33"/>
  <c r="I44" i="33"/>
  <c r="F44" i="33"/>
  <c r="N43" i="33"/>
  <c r="L43" i="33"/>
  <c r="K43" i="33"/>
  <c r="I43" i="33"/>
  <c r="F43" i="33"/>
  <c r="N42" i="33"/>
  <c r="L42" i="33"/>
  <c r="K42" i="33"/>
  <c r="I42" i="33"/>
  <c r="F42" i="33"/>
  <c r="N41" i="33"/>
  <c r="L41" i="33"/>
  <c r="K41" i="33"/>
  <c r="I41" i="33"/>
  <c r="F41" i="33"/>
  <c r="N40" i="33"/>
  <c r="L40" i="33"/>
  <c r="K40" i="33"/>
  <c r="I40" i="33"/>
  <c r="F40" i="33"/>
  <c r="N39" i="33"/>
  <c r="L39" i="33"/>
  <c r="K39" i="33"/>
  <c r="I39" i="33"/>
  <c r="F39" i="33"/>
  <c r="N38" i="33"/>
  <c r="L38" i="33"/>
  <c r="K38" i="33"/>
  <c r="I38" i="33"/>
  <c r="F38" i="33"/>
  <c r="N37" i="33"/>
  <c r="L37" i="33"/>
  <c r="K37" i="33"/>
  <c r="I37" i="33"/>
  <c r="F37" i="33"/>
  <c r="N36" i="33"/>
  <c r="L36" i="33"/>
  <c r="K36" i="33"/>
  <c r="I36" i="33"/>
  <c r="F36" i="33"/>
  <c r="N35" i="33"/>
  <c r="L35" i="33"/>
  <c r="K35" i="33"/>
  <c r="I35" i="33"/>
  <c r="F35" i="33"/>
  <c r="N34" i="33"/>
  <c r="L34" i="33"/>
  <c r="K34" i="33"/>
  <c r="I34" i="33"/>
  <c r="F34" i="33"/>
  <c r="N33" i="33"/>
  <c r="L33" i="33"/>
  <c r="K33" i="33"/>
  <c r="I33" i="33"/>
  <c r="F33" i="33"/>
  <c r="N32" i="33"/>
  <c r="L32" i="33"/>
  <c r="K32" i="33"/>
  <c r="I32" i="33"/>
  <c r="F32" i="33"/>
  <c r="N31" i="33"/>
  <c r="L31" i="33"/>
  <c r="K31" i="33"/>
  <c r="I31" i="33"/>
  <c r="F31" i="33"/>
  <c r="N30" i="33"/>
  <c r="L30" i="33"/>
  <c r="K30" i="33"/>
  <c r="I30" i="33"/>
  <c r="F30" i="33"/>
  <c r="N29" i="33"/>
  <c r="L29" i="33"/>
  <c r="K29" i="33"/>
  <c r="I29" i="33"/>
  <c r="F29" i="33"/>
  <c r="N28" i="33"/>
  <c r="L28" i="33"/>
  <c r="K28" i="33"/>
  <c r="I28" i="33"/>
  <c r="F28" i="33"/>
  <c r="N27" i="33"/>
  <c r="L27" i="33"/>
  <c r="K27" i="33"/>
  <c r="I27" i="33"/>
  <c r="F27" i="33"/>
  <c r="N26" i="33"/>
  <c r="L26" i="33"/>
  <c r="K26" i="33"/>
  <c r="I26" i="33"/>
  <c r="F26" i="33"/>
  <c r="N25" i="33"/>
  <c r="L25" i="33"/>
  <c r="K25" i="33"/>
  <c r="I25" i="33"/>
  <c r="F25" i="33"/>
  <c r="N24" i="33"/>
  <c r="L24" i="33"/>
  <c r="K24" i="33"/>
  <c r="I24" i="33"/>
  <c r="F24" i="33"/>
  <c r="N23" i="33"/>
  <c r="L23" i="33"/>
  <c r="K23" i="33"/>
  <c r="I23" i="33"/>
  <c r="F23" i="33"/>
  <c r="N22" i="33"/>
  <c r="L22" i="33"/>
  <c r="K22" i="33"/>
  <c r="I22" i="33"/>
  <c r="F22" i="33"/>
  <c r="N21" i="33"/>
  <c r="L21" i="33"/>
  <c r="K21" i="33"/>
  <c r="I21" i="33"/>
  <c r="F21" i="33"/>
  <c r="N20" i="33"/>
  <c r="L20" i="33"/>
  <c r="K20" i="33"/>
  <c r="I20" i="33"/>
  <c r="F20" i="33"/>
  <c r="N19" i="33"/>
  <c r="L19" i="33"/>
  <c r="K19" i="33"/>
  <c r="I19" i="33"/>
  <c r="F19" i="33"/>
  <c r="N18" i="33"/>
  <c r="L18" i="33"/>
  <c r="K18" i="33"/>
  <c r="I18" i="33"/>
  <c r="F18" i="33"/>
  <c r="N17" i="33"/>
  <c r="L17" i="33"/>
  <c r="K17" i="33"/>
  <c r="I17" i="33"/>
  <c r="F17" i="33"/>
  <c r="N16" i="33"/>
  <c r="L16" i="33"/>
  <c r="K16" i="33"/>
  <c r="I16" i="33"/>
  <c r="F16" i="33"/>
  <c r="N15" i="33"/>
  <c r="L15" i="33"/>
  <c r="K15" i="33"/>
  <c r="I15" i="33"/>
  <c r="F15" i="33"/>
  <c r="N14" i="33"/>
  <c r="L14" i="33"/>
  <c r="K14" i="33"/>
  <c r="I14" i="33"/>
  <c r="F14" i="33"/>
  <c r="N12" i="33"/>
  <c r="L12" i="33"/>
  <c r="K12" i="33"/>
  <c r="I12" i="33"/>
  <c r="F12" i="33"/>
  <c r="N11" i="33"/>
  <c r="L11" i="33"/>
  <c r="K11" i="33"/>
  <c r="I11" i="33"/>
  <c r="F11" i="33"/>
  <c r="N10" i="33"/>
  <c r="L10" i="33"/>
  <c r="K10" i="33"/>
  <c r="I10" i="33"/>
  <c r="F10" i="33"/>
  <c r="N9" i="33"/>
  <c r="L9" i="33"/>
  <c r="K9" i="33"/>
  <c r="I9" i="33"/>
  <c r="F9" i="33"/>
  <c r="N8" i="33"/>
  <c r="L8" i="33"/>
  <c r="K8" i="33"/>
  <c r="I8" i="33"/>
  <c r="F8" i="33"/>
  <c r="N7" i="33"/>
  <c r="L7" i="33"/>
  <c r="K7" i="33"/>
  <c r="I7" i="33"/>
  <c r="F7" i="33"/>
  <c r="N6" i="33"/>
  <c r="L6" i="33"/>
  <c r="K6" i="33"/>
  <c r="I6" i="33"/>
  <c r="F6" i="33"/>
  <c r="N5" i="33"/>
  <c r="L5" i="33"/>
  <c r="K5" i="33"/>
  <c r="I5" i="33"/>
  <c r="F5" i="33"/>
  <c r="N4" i="33"/>
  <c r="L4" i="33"/>
  <c r="K4" i="33"/>
  <c r="I4" i="33"/>
  <c r="F4" i="33"/>
  <c r="N3" i="33"/>
  <c r="L3" i="33"/>
  <c r="K3" i="33"/>
  <c r="I3" i="33"/>
  <c r="F3" i="33"/>
  <c r="N2" i="33"/>
  <c r="I2" i="33"/>
  <c r="F2" i="33"/>
  <c r="H64" i="34" l="1"/>
  <c r="G64" i="34"/>
  <c r="E64" i="34"/>
  <c r="I38" i="32" l="1"/>
  <c r="H38" i="32"/>
  <c r="G38" i="32"/>
  <c r="E38" i="32"/>
  <c r="D38" i="32"/>
  <c r="G631" i="16"/>
  <c r="E631" i="16"/>
  <c r="F28" i="4"/>
  <c r="J28" i="4"/>
  <c r="I28" i="4"/>
  <c r="H28" i="4"/>
  <c r="G28" i="4"/>
  <c r="E28" i="4"/>
  <c r="D28" i="4"/>
  <c r="B28" i="4"/>
  <c r="D25" i="31"/>
  <c r="E25" i="31"/>
  <c r="I25" i="31"/>
  <c r="H25" i="31"/>
  <c r="G25" i="31"/>
  <c r="F25" i="31"/>
  <c r="I58" i="31"/>
  <c r="H58" i="31"/>
  <c r="G58" i="31"/>
  <c r="F58" i="31"/>
  <c r="E58" i="31"/>
  <c r="D58" i="31"/>
  <c r="I42" i="31"/>
  <c r="H42" i="31"/>
  <c r="G42" i="31"/>
  <c r="F42" i="31"/>
  <c r="E42" i="31"/>
  <c r="D42" i="31"/>
  <c r="I34" i="31"/>
  <c r="H34" i="31"/>
  <c r="G34" i="31"/>
  <c r="F34" i="31"/>
  <c r="E34" i="31"/>
  <c r="D34" i="31"/>
  <c r="F80" i="30"/>
  <c r="I80" i="30"/>
  <c r="H80" i="30"/>
  <c r="G80" i="30"/>
  <c r="E80" i="30"/>
  <c r="D80" i="30"/>
  <c r="I68" i="30"/>
  <c r="H68" i="30"/>
  <c r="G68" i="30"/>
  <c r="F68" i="30"/>
  <c r="E68" i="30"/>
  <c r="D68" i="30"/>
  <c r="I46" i="30"/>
  <c r="H46" i="30"/>
  <c r="G46" i="30"/>
  <c r="F46" i="30"/>
  <c r="E46" i="30"/>
  <c r="D46" i="30"/>
  <c r="I36" i="30"/>
  <c r="H36" i="30"/>
  <c r="G36" i="30"/>
  <c r="F36" i="30"/>
  <c r="E36" i="30"/>
  <c r="D36" i="30"/>
  <c r="D64" i="29"/>
  <c r="E64" i="29"/>
  <c r="F64" i="29"/>
  <c r="G64" i="29"/>
  <c r="H64" i="29"/>
  <c r="I64" i="29"/>
  <c r="I70" i="29"/>
  <c r="H70" i="29"/>
  <c r="G70" i="29"/>
  <c r="F70" i="29"/>
  <c r="E70" i="29"/>
  <c r="D70" i="29"/>
  <c r="I40" i="29"/>
  <c r="H40" i="29"/>
  <c r="G40" i="29"/>
  <c r="F40" i="29"/>
  <c r="E40" i="29"/>
  <c r="D40" i="29"/>
  <c r="I31" i="29"/>
  <c r="H31" i="29"/>
  <c r="G31" i="29"/>
  <c r="F31" i="29"/>
  <c r="E31" i="29"/>
  <c r="D31" i="29"/>
  <c r="I45" i="28"/>
  <c r="H45" i="28"/>
  <c r="G45" i="28"/>
  <c r="F45" i="28"/>
  <c r="E45" i="28"/>
  <c r="D45" i="28"/>
  <c r="I74" i="28"/>
  <c r="H74" i="28"/>
  <c r="G74" i="28"/>
  <c r="F74" i="28"/>
  <c r="E74" i="28"/>
  <c r="D74" i="28"/>
  <c r="I66" i="28"/>
  <c r="H66" i="28"/>
  <c r="G66" i="28"/>
  <c r="F66" i="28"/>
  <c r="E66" i="28"/>
  <c r="D66" i="28"/>
  <c r="I33" i="28"/>
  <c r="H33" i="28"/>
  <c r="G33" i="28"/>
  <c r="F33" i="28"/>
  <c r="E33" i="28"/>
  <c r="D33" i="28"/>
  <c r="D36" i="27"/>
  <c r="E36" i="27"/>
  <c r="F36" i="27"/>
  <c r="G36" i="27"/>
  <c r="H36" i="27"/>
  <c r="I36" i="27"/>
  <c r="I80" i="27"/>
  <c r="H80" i="27"/>
  <c r="G80" i="27"/>
  <c r="F80" i="27"/>
  <c r="E80" i="27"/>
  <c r="D80" i="27"/>
  <c r="I68" i="27"/>
  <c r="H68" i="27"/>
  <c r="G68" i="27"/>
  <c r="F68" i="27"/>
  <c r="E68" i="27"/>
  <c r="D68" i="27"/>
  <c r="I45" i="27"/>
  <c r="H45" i="27"/>
  <c r="G45" i="27"/>
  <c r="F45" i="27"/>
  <c r="E45" i="27"/>
  <c r="D45" i="27"/>
  <c r="D77" i="26"/>
  <c r="E77" i="26"/>
  <c r="F77" i="26"/>
  <c r="G77" i="26"/>
  <c r="H77" i="26"/>
  <c r="I77" i="26"/>
  <c r="I64" i="26"/>
  <c r="H64" i="26"/>
  <c r="G64" i="26"/>
  <c r="F64" i="26"/>
  <c r="E64" i="26"/>
  <c r="D64" i="26"/>
  <c r="I45" i="26"/>
  <c r="H45" i="26"/>
  <c r="G45" i="26"/>
  <c r="F45" i="26"/>
  <c r="E45" i="26"/>
  <c r="D45" i="26"/>
  <c r="I35" i="26"/>
  <c r="H35" i="26"/>
  <c r="G35" i="26"/>
  <c r="F35" i="26"/>
  <c r="E35" i="26"/>
  <c r="D35" i="26"/>
  <c r="D61" i="25"/>
  <c r="E61" i="25"/>
  <c r="F61" i="25"/>
  <c r="G61" i="25"/>
  <c r="H61" i="25"/>
  <c r="I61" i="25"/>
  <c r="I70" i="25"/>
  <c r="H70" i="25"/>
  <c r="G70" i="25"/>
  <c r="F70" i="25"/>
  <c r="E70" i="25"/>
  <c r="D70" i="25"/>
  <c r="I40" i="25"/>
  <c r="H40" i="25"/>
  <c r="G40" i="25"/>
  <c r="F40" i="25"/>
  <c r="E40" i="25"/>
  <c r="D40" i="25"/>
  <c r="I31" i="25"/>
  <c r="H31" i="25"/>
  <c r="G31" i="25"/>
  <c r="F31" i="25"/>
  <c r="E31" i="25"/>
  <c r="D31" i="25"/>
  <c r="I60" i="24"/>
  <c r="H60" i="24"/>
  <c r="G60" i="24"/>
  <c r="F60" i="24"/>
  <c r="E60" i="24"/>
  <c r="D60" i="24"/>
  <c r="D26" i="24"/>
  <c r="E26" i="24"/>
  <c r="F26" i="24"/>
  <c r="G26" i="24"/>
  <c r="H26" i="24"/>
  <c r="I26" i="24"/>
  <c r="I53" i="24"/>
  <c r="H53" i="24"/>
  <c r="G53" i="24"/>
  <c r="F53" i="24"/>
  <c r="E53" i="24"/>
  <c r="D53" i="24"/>
  <c r="I36" i="24"/>
  <c r="H36" i="24"/>
  <c r="G36" i="24"/>
  <c r="F36" i="24"/>
  <c r="E36" i="24"/>
  <c r="D36" i="24"/>
  <c r="I58" i="23"/>
  <c r="H58" i="23"/>
  <c r="G58" i="23"/>
  <c r="F58" i="23"/>
  <c r="E58" i="23"/>
  <c r="D58" i="23"/>
  <c r="I53" i="23"/>
  <c r="H53" i="23"/>
  <c r="G53" i="23"/>
  <c r="F53" i="23"/>
  <c r="E53" i="23"/>
  <c r="D53" i="23"/>
  <c r="I34" i="23"/>
  <c r="H34" i="23"/>
  <c r="G34" i="23"/>
  <c r="F34" i="23"/>
  <c r="E34" i="23"/>
  <c r="D34" i="23"/>
  <c r="I25" i="23"/>
  <c r="H25" i="23"/>
  <c r="G25" i="23"/>
  <c r="F25" i="23"/>
  <c r="E25" i="23"/>
  <c r="D25" i="23"/>
  <c r="I41" i="22"/>
  <c r="D31" i="22"/>
  <c r="E31" i="22"/>
  <c r="F31" i="22"/>
  <c r="G31" i="22"/>
  <c r="H31" i="22"/>
  <c r="I31" i="22"/>
  <c r="I70" i="22"/>
  <c r="H70" i="22"/>
  <c r="G70" i="22"/>
  <c r="F70" i="22"/>
  <c r="E70" i="22"/>
  <c r="D70" i="22"/>
  <c r="I65" i="22"/>
  <c r="H65" i="22"/>
  <c r="G65" i="22"/>
  <c r="F65" i="22"/>
  <c r="E65" i="22"/>
  <c r="D65" i="22"/>
  <c r="H41" i="22"/>
  <c r="G41" i="22"/>
  <c r="F41" i="22"/>
  <c r="E41" i="22"/>
  <c r="D41" i="22"/>
  <c r="D57" i="21"/>
  <c r="E57" i="21"/>
  <c r="F57" i="21"/>
  <c r="G57" i="21"/>
  <c r="H57" i="21"/>
  <c r="I57" i="21"/>
  <c r="I62" i="21"/>
  <c r="H62" i="21"/>
  <c r="G62" i="21"/>
  <c r="F62" i="21"/>
  <c r="E62" i="21"/>
  <c r="D62" i="21"/>
  <c r="I36" i="21"/>
  <c r="H36" i="21"/>
  <c r="G36" i="21"/>
  <c r="F36" i="21"/>
  <c r="E36" i="21"/>
  <c r="D36" i="21"/>
  <c r="I27" i="21"/>
  <c r="H27" i="21"/>
  <c r="G27" i="21"/>
  <c r="F27" i="21"/>
  <c r="E27" i="21"/>
  <c r="D27" i="21"/>
  <c r="I74" i="20"/>
  <c r="H74" i="20"/>
  <c r="G74" i="20"/>
  <c r="F74" i="20"/>
  <c r="E74" i="20"/>
  <c r="D74" i="20"/>
  <c r="I63" i="20"/>
  <c r="H63" i="20"/>
  <c r="G63" i="20"/>
  <c r="F63" i="20"/>
  <c r="E63" i="20"/>
  <c r="D63" i="20"/>
  <c r="I43" i="20"/>
  <c r="H43" i="20"/>
  <c r="G43" i="20"/>
  <c r="F43" i="20"/>
  <c r="E43" i="20"/>
  <c r="D43" i="20"/>
  <c r="I33" i="20"/>
  <c r="H33" i="20"/>
  <c r="G33" i="20"/>
  <c r="F33" i="20"/>
  <c r="E33" i="20"/>
  <c r="D33" i="20"/>
  <c r="I58" i="18"/>
  <c r="H58" i="18"/>
  <c r="G58" i="18"/>
  <c r="F58" i="18"/>
  <c r="E58" i="18"/>
  <c r="D58" i="18"/>
  <c r="I45" i="18"/>
  <c r="H45" i="18"/>
  <c r="G45" i="18"/>
  <c r="F45" i="18"/>
  <c r="E45" i="18"/>
  <c r="D45" i="18"/>
  <c r="I34" i="18"/>
  <c r="H34" i="18"/>
  <c r="G34" i="18"/>
  <c r="F34" i="18"/>
  <c r="E34" i="18"/>
  <c r="D34" i="18"/>
  <c r="I25" i="18"/>
  <c r="H25" i="18"/>
  <c r="G25" i="18"/>
  <c r="F25" i="18"/>
  <c r="E25" i="18"/>
  <c r="D25" i="18"/>
  <c r="I60" i="14"/>
  <c r="H60" i="14"/>
  <c r="G60" i="14"/>
  <c r="F60" i="14"/>
  <c r="E60" i="14"/>
  <c r="D60" i="14"/>
  <c r="I49" i="14"/>
  <c r="H49" i="14"/>
  <c r="G49" i="14"/>
  <c r="F49" i="14"/>
  <c r="E49" i="14"/>
  <c r="D49" i="14"/>
  <c r="I36" i="14"/>
  <c r="H36" i="14"/>
  <c r="G36" i="14"/>
  <c r="F36" i="14"/>
  <c r="E36" i="14"/>
  <c r="D36" i="14"/>
  <c r="I26" i="14"/>
  <c r="H26" i="14"/>
  <c r="G26" i="14"/>
  <c r="F26" i="14"/>
  <c r="E26" i="14"/>
  <c r="D26" i="14"/>
  <c r="I66" i="13"/>
  <c r="H66" i="13"/>
  <c r="G66" i="13"/>
  <c r="F66" i="13"/>
  <c r="E66" i="13"/>
  <c r="D66" i="13"/>
  <c r="I56" i="13"/>
  <c r="H56" i="13"/>
  <c r="G56" i="13"/>
  <c r="F56" i="13"/>
  <c r="E56" i="13"/>
  <c r="D56" i="13"/>
  <c r="I38" i="13"/>
  <c r="H38" i="13"/>
  <c r="G38" i="13"/>
  <c r="F38" i="13"/>
  <c r="E38" i="13"/>
  <c r="D38" i="13"/>
  <c r="I29" i="13"/>
  <c r="H29" i="13"/>
  <c r="G29" i="13"/>
  <c r="F29" i="13"/>
  <c r="E29" i="13"/>
  <c r="D29" i="13"/>
  <c r="I68" i="10"/>
  <c r="H68" i="10"/>
  <c r="G68" i="10"/>
  <c r="F68" i="10"/>
  <c r="E68" i="10"/>
  <c r="D68" i="10"/>
  <c r="I57" i="10"/>
  <c r="H57" i="10"/>
  <c r="G57" i="10"/>
  <c r="F57" i="10"/>
  <c r="E57" i="10"/>
  <c r="D57" i="10"/>
  <c r="I40" i="10"/>
  <c r="H40" i="10"/>
  <c r="G40" i="10"/>
  <c r="F40" i="10"/>
  <c r="E40" i="10"/>
  <c r="D40" i="10"/>
  <c r="I30" i="10"/>
  <c r="H30" i="10"/>
  <c r="G30" i="10"/>
  <c r="F30" i="10"/>
  <c r="E30" i="10"/>
  <c r="D30" i="10"/>
  <c r="I46" i="9"/>
  <c r="H46" i="9"/>
  <c r="G46" i="9"/>
  <c r="F46" i="9"/>
  <c r="E46" i="9"/>
  <c r="D46" i="9"/>
  <c r="I37" i="9"/>
  <c r="H37" i="9"/>
  <c r="G37" i="9"/>
  <c r="F37" i="9"/>
  <c r="E37" i="9"/>
  <c r="D37" i="9"/>
  <c r="I28" i="9"/>
  <c r="H28" i="9"/>
  <c r="G28" i="9"/>
  <c r="F28" i="9"/>
  <c r="E28" i="9"/>
  <c r="D28" i="9"/>
  <c r="I19" i="9"/>
  <c r="H19" i="9"/>
  <c r="G19" i="9"/>
  <c r="F19" i="9"/>
  <c r="E19" i="9"/>
  <c r="D19" i="9"/>
  <c r="I60" i="8"/>
  <c r="H60" i="8"/>
  <c r="G60" i="8"/>
  <c r="F60" i="8"/>
  <c r="E60" i="8"/>
  <c r="D60" i="8"/>
  <c r="I49" i="8"/>
  <c r="H49" i="8"/>
  <c r="G49" i="8"/>
  <c r="F49" i="8"/>
  <c r="E49" i="8"/>
  <c r="D49" i="8"/>
  <c r="I36" i="8"/>
  <c r="H36" i="8"/>
  <c r="G36" i="8"/>
  <c r="F36" i="8"/>
  <c r="E36" i="8"/>
  <c r="D36" i="8"/>
  <c r="I26" i="8"/>
  <c r="H26" i="8"/>
  <c r="G26" i="8"/>
  <c r="F26" i="8"/>
  <c r="E26" i="8"/>
  <c r="D26" i="8"/>
  <c r="I44" i="7"/>
  <c r="H44" i="7"/>
  <c r="G44" i="7"/>
  <c r="F44" i="7"/>
  <c r="E44" i="7"/>
  <c r="D44" i="7"/>
  <c r="I35" i="7"/>
  <c r="H35" i="7"/>
  <c r="G35" i="7"/>
  <c r="F35" i="7"/>
  <c r="E35" i="7"/>
  <c r="D35" i="7"/>
  <c r="I27" i="7"/>
  <c r="H27" i="7"/>
  <c r="G27" i="7"/>
  <c r="F27" i="7"/>
  <c r="E27" i="7"/>
  <c r="D27" i="7"/>
  <c r="I18" i="7"/>
  <c r="H18" i="7"/>
  <c r="G18" i="7"/>
  <c r="F18" i="7"/>
  <c r="E18" i="7"/>
  <c r="D18" i="7"/>
  <c r="I68" i="6"/>
  <c r="H68" i="6"/>
  <c r="G68" i="6"/>
  <c r="F68" i="6"/>
  <c r="E68" i="6"/>
  <c r="D68" i="6"/>
  <c r="I53" i="6"/>
  <c r="H53" i="6"/>
  <c r="G53" i="6"/>
  <c r="F53" i="6"/>
  <c r="E53" i="6"/>
  <c r="D53" i="6"/>
  <c r="I40" i="6"/>
  <c r="H40" i="6"/>
  <c r="G40" i="6"/>
  <c r="F40" i="6"/>
  <c r="E40" i="6"/>
  <c r="D40" i="6"/>
  <c r="I30" i="6"/>
  <c r="H30" i="6"/>
  <c r="G30" i="6"/>
  <c r="F30" i="6"/>
  <c r="E30" i="6"/>
  <c r="D30" i="6"/>
  <c r="I54" i="5"/>
  <c r="H54" i="5"/>
  <c r="G54" i="5"/>
  <c r="F54" i="5"/>
  <c r="E54" i="5"/>
  <c r="D54" i="5"/>
  <c r="I43" i="5"/>
  <c r="H43" i="5"/>
  <c r="G43" i="5"/>
  <c r="F43" i="5"/>
  <c r="E43" i="5"/>
  <c r="D43" i="5"/>
  <c r="I32" i="5"/>
  <c r="H32" i="5"/>
  <c r="G32" i="5"/>
  <c r="F32" i="5"/>
  <c r="E32" i="5"/>
  <c r="D32" i="5"/>
  <c r="I46" i="3"/>
  <c r="H46" i="3"/>
  <c r="G46" i="3"/>
  <c r="F46" i="3"/>
  <c r="E46" i="3"/>
  <c r="D46" i="3"/>
  <c r="I37" i="3"/>
  <c r="H37" i="3"/>
  <c r="G37" i="3"/>
  <c r="F37" i="3"/>
  <c r="E37" i="3"/>
  <c r="D37" i="3"/>
  <c r="I29" i="3"/>
  <c r="H29" i="3"/>
  <c r="G29" i="3"/>
  <c r="F29" i="3"/>
  <c r="E29" i="3"/>
  <c r="D29" i="3"/>
  <c r="I19" i="3"/>
  <c r="H19" i="3"/>
  <c r="G19" i="3"/>
  <c r="F19" i="3"/>
  <c r="E19" i="3"/>
  <c r="D19" i="3"/>
  <c r="B13" i="4"/>
  <c r="K2" i="4"/>
  <c r="F2" i="4"/>
  <c r="C2" i="4"/>
  <c r="I38" i="19"/>
  <c r="H38" i="19"/>
  <c r="G38" i="19"/>
  <c r="F38" i="19"/>
  <c r="E38" i="19"/>
  <c r="D38" i="19"/>
  <c r="I24" i="19"/>
  <c r="H24" i="19"/>
  <c r="F24" i="19"/>
  <c r="I23" i="19"/>
  <c r="H23" i="19"/>
  <c r="F23" i="19"/>
  <c r="I22" i="19"/>
  <c r="H22" i="19"/>
  <c r="F22" i="19"/>
  <c r="I21" i="19"/>
  <c r="H21" i="19"/>
  <c r="F21" i="19"/>
  <c r="I20" i="19"/>
  <c r="H20" i="19"/>
  <c r="F20" i="19"/>
  <c r="I19" i="19"/>
  <c r="H19" i="19"/>
  <c r="F19" i="19"/>
  <c r="I18" i="19"/>
  <c r="H18" i="19"/>
  <c r="F18" i="19"/>
  <c r="I17" i="19"/>
  <c r="H17" i="19"/>
  <c r="F17" i="19"/>
  <c r="I16" i="19"/>
  <c r="H16" i="19"/>
  <c r="F16" i="19"/>
  <c r="I15" i="19"/>
  <c r="H15" i="19"/>
  <c r="F15" i="19"/>
  <c r="I14" i="19"/>
  <c r="H14" i="19"/>
  <c r="F14" i="19"/>
  <c r="I13" i="19"/>
  <c r="H13" i="19"/>
  <c r="F13" i="19"/>
  <c r="I12" i="19"/>
  <c r="H12" i="19"/>
  <c r="F12" i="19"/>
  <c r="I11" i="19"/>
  <c r="H11" i="19"/>
  <c r="F11" i="19"/>
  <c r="I10" i="19"/>
  <c r="H10" i="19"/>
  <c r="F10" i="19"/>
  <c r="I9" i="19"/>
  <c r="H9" i="19"/>
  <c r="F9" i="19"/>
  <c r="I8" i="19"/>
  <c r="H8" i="19"/>
  <c r="F8" i="19"/>
  <c r="I7" i="19"/>
  <c r="H7" i="19"/>
  <c r="F7" i="19"/>
  <c r="I6" i="19"/>
  <c r="H6" i="19"/>
  <c r="F6" i="19"/>
  <c r="I5" i="19"/>
  <c r="H5" i="19"/>
  <c r="F5" i="19"/>
  <c r="I4" i="19"/>
  <c r="H4" i="19"/>
  <c r="F4" i="19"/>
  <c r="I3" i="19"/>
  <c r="H3" i="19"/>
  <c r="F3" i="19"/>
  <c r="I2" i="19"/>
  <c r="H2" i="19"/>
  <c r="F2" i="19"/>
  <c r="N846" i="17"/>
  <c r="L846" i="17"/>
  <c r="K846" i="17"/>
  <c r="I846" i="17"/>
  <c r="F846" i="17"/>
  <c r="N845" i="17"/>
  <c r="L845" i="17"/>
  <c r="K845" i="17"/>
  <c r="I845" i="17"/>
  <c r="F845" i="17"/>
  <c r="N844" i="17"/>
  <c r="L844" i="17"/>
  <c r="K844" i="17"/>
  <c r="I844" i="17"/>
  <c r="F844" i="17"/>
  <c r="N843" i="17"/>
  <c r="L843" i="17"/>
  <c r="K843" i="17"/>
  <c r="I843" i="17"/>
  <c r="F843" i="17"/>
  <c r="N842" i="17"/>
  <c r="L842" i="17"/>
  <c r="K842" i="17"/>
  <c r="I842" i="17"/>
  <c r="F842" i="17"/>
  <c r="N841" i="17"/>
  <c r="L841" i="17"/>
  <c r="K841" i="17"/>
  <c r="I841" i="17"/>
  <c r="F841" i="17"/>
  <c r="N840" i="17"/>
  <c r="L840" i="17"/>
  <c r="K840" i="17"/>
  <c r="I840" i="17"/>
  <c r="F840" i="17"/>
  <c r="N839" i="17"/>
  <c r="L839" i="17"/>
  <c r="K839" i="17"/>
  <c r="I839" i="17"/>
  <c r="F839" i="17"/>
  <c r="N838" i="17"/>
  <c r="L838" i="17"/>
  <c r="K838" i="17"/>
  <c r="I838" i="17"/>
  <c r="F838" i="17"/>
  <c r="N837" i="17"/>
  <c r="L837" i="17"/>
  <c r="K837" i="17"/>
  <c r="I837" i="17"/>
  <c r="F837" i="17"/>
  <c r="N836" i="17"/>
  <c r="L836" i="17"/>
  <c r="K836" i="17"/>
  <c r="I836" i="17"/>
  <c r="F836" i="17"/>
  <c r="N835" i="17"/>
  <c r="L835" i="17"/>
  <c r="K835" i="17"/>
  <c r="I835" i="17"/>
  <c r="F835" i="17"/>
  <c r="N834" i="17"/>
  <c r="L834" i="17"/>
  <c r="K834" i="17"/>
  <c r="I834" i="17"/>
  <c r="F834" i="17"/>
  <c r="N833" i="17"/>
  <c r="L833" i="17"/>
  <c r="K833" i="17"/>
  <c r="I833" i="17"/>
  <c r="F833" i="17"/>
  <c r="N832" i="17"/>
  <c r="L832" i="17"/>
  <c r="K832" i="17"/>
  <c r="I832" i="17"/>
  <c r="F832" i="17"/>
  <c r="N831" i="17"/>
  <c r="L831" i="17"/>
  <c r="K831" i="17"/>
  <c r="I831" i="17"/>
  <c r="F831" i="17"/>
  <c r="N830" i="17"/>
  <c r="L830" i="17"/>
  <c r="K830" i="17"/>
  <c r="I830" i="17"/>
  <c r="F830" i="17"/>
  <c r="N829" i="17"/>
  <c r="L829" i="17"/>
  <c r="K829" i="17"/>
  <c r="I829" i="17"/>
  <c r="F829" i="17"/>
  <c r="N828" i="17"/>
  <c r="L828" i="17"/>
  <c r="K828" i="17"/>
  <c r="I828" i="17"/>
  <c r="F828" i="17"/>
  <c r="N827" i="17"/>
  <c r="L827" i="17"/>
  <c r="K827" i="17"/>
  <c r="I827" i="17"/>
  <c r="F827" i="17"/>
  <c r="N826" i="17"/>
  <c r="L826" i="17"/>
  <c r="K826" i="17"/>
  <c r="I826" i="17"/>
  <c r="F826" i="17"/>
  <c r="N825" i="17"/>
  <c r="L825" i="17"/>
  <c r="K825" i="17"/>
  <c r="I825" i="17"/>
  <c r="F825" i="17"/>
  <c r="N824" i="17"/>
  <c r="L824" i="17"/>
  <c r="K824" i="17"/>
  <c r="I824" i="17"/>
  <c r="F824" i="17"/>
  <c r="N823" i="17"/>
  <c r="L823" i="17"/>
  <c r="K823" i="17"/>
  <c r="I823" i="17"/>
  <c r="F823" i="17"/>
  <c r="N822" i="17"/>
  <c r="L822" i="17"/>
  <c r="K822" i="17"/>
  <c r="I822" i="17"/>
  <c r="F822" i="17"/>
  <c r="N821" i="17"/>
  <c r="L821" i="17"/>
  <c r="K821" i="17"/>
  <c r="I821" i="17"/>
  <c r="F821" i="17"/>
  <c r="N820" i="17"/>
  <c r="L820" i="17"/>
  <c r="K820" i="17"/>
  <c r="I820" i="17"/>
  <c r="F820" i="17"/>
  <c r="N819" i="17"/>
  <c r="L819" i="17"/>
  <c r="K819" i="17"/>
  <c r="I819" i="17"/>
  <c r="F819" i="17"/>
  <c r="N818" i="17"/>
  <c r="L818" i="17"/>
  <c r="K818" i="17"/>
  <c r="I818" i="17"/>
  <c r="F818" i="17"/>
  <c r="N817" i="17"/>
  <c r="L817" i="17"/>
  <c r="K817" i="17"/>
  <c r="I817" i="17"/>
  <c r="F817" i="17"/>
  <c r="N816" i="17"/>
  <c r="L816" i="17"/>
  <c r="K816" i="17"/>
  <c r="I816" i="17"/>
  <c r="F816" i="17"/>
  <c r="N815" i="17"/>
  <c r="L815" i="17"/>
  <c r="K815" i="17"/>
  <c r="I815" i="17"/>
  <c r="F815" i="17"/>
  <c r="N814" i="17"/>
  <c r="L814" i="17"/>
  <c r="K814" i="17"/>
  <c r="I814" i="17"/>
  <c r="F814" i="17"/>
  <c r="N813" i="17"/>
  <c r="L813" i="17"/>
  <c r="K813" i="17"/>
  <c r="I813" i="17"/>
  <c r="F813" i="17"/>
  <c r="N812" i="17"/>
  <c r="L812" i="17"/>
  <c r="K812" i="17"/>
  <c r="I812" i="17"/>
  <c r="F812" i="17"/>
  <c r="N811" i="17"/>
  <c r="L811" i="17"/>
  <c r="K811" i="17"/>
  <c r="I811" i="17"/>
  <c r="F811" i="17"/>
  <c r="N810" i="17"/>
  <c r="L810" i="17"/>
  <c r="K810" i="17"/>
  <c r="I810" i="17"/>
  <c r="F810" i="17"/>
  <c r="N809" i="17"/>
  <c r="L809" i="17"/>
  <c r="K809" i="17"/>
  <c r="I809" i="17"/>
  <c r="F809" i="17"/>
  <c r="N808" i="17"/>
  <c r="L808" i="17"/>
  <c r="K808" i="17"/>
  <c r="I808" i="17"/>
  <c r="F808" i="17"/>
  <c r="N807" i="17"/>
  <c r="L807" i="17"/>
  <c r="K807" i="17"/>
  <c r="I807" i="17"/>
  <c r="F807" i="17"/>
  <c r="N806" i="17"/>
  <c r="L806" i="17"/>
  <c r="K806" i="17"/>
  <c r="I806" i="17"/>
  <c r="F806" i="17"/>
  <c r="N805" i="17"/>
  <c r="L805" i="17"/>
  <c r="K805" i="17"/>
  <c r="I805" i="17"/>
  <c r="F805" i="17"/>
  <c r="N804" i="17"/>
  <c r="L804" i="17"/>
  <c r="K804" i="17"/>
  <c r="I804" i="17"/>
  <c r="F804" i="17"/>
  <c r="N803" i="17"/>
  <c r="L803" i="17"/>
  <c r="K803" i="17"/>
  <c r="I803" i="17"/>
  <c r="F803" i="17"/>
  <c r="N802" i="17"/>
  <c r="L802" i="17"/>
  <c r="K802" i="17"/>
  <c r="I802" i="17"/>
  <c r="F802" i="17"/>
  <c r="N801" i="17"/>
  <c r="L801" i="17"/>
  <c r="K801" i="17"/>
  <c r="I801" i="17"/>
  <c r="F801" i="17"/>
  <c r="N800" i="17"/>
  <c r="L800" i="17"/>
  <c r="K800" i="17"/>
  <c r="I800" i="17"/>
  <c r="F800" i="17"/>
  <c r="N799" i="17"/>
  <c r="L799" i="17"/>
  <c r="K799" i="17"/>
  <c r="I799" i="17"/>
  <c r="F799" i="17"/>
  <c r="N798" i="17"/>
  <c r="L798" i="17"/>
  <c r="K798" i="17"/>
  <c r="I798" i="17"/>
  <c r="F798" i="17"/>
  <c r="N797" i="17"/>
  <c r="L797" i="17"/>
  <c r="K797" i="17"/>
  <c r="I797" i="17"/>
  <c r="F797" i="17"/>
  <c r="N796" i="17"/>
  <c r="L796" i="17"/>
  <c r="K796" i="17"/>
  <c r="I796" i="17"/>
  <c r="F796" i="17"/>
  <c r="N795" i="17"/>
  <c r="L795" i="17"/>
  <c r="K795" i="17"/>
  <c r="I795" i="17"/>
  <c r="F795" i="17"/>
  <c r="N794" i="17"/>
  <c r="L794" i="17"/>
  <c r="K794" i="17"/>
  <c r="I794" i="17"/>
  <c r="F794" i="17"/>
  <c r="N793" i="17"/>
  <c r="L793" i="17"/>
  <c r="K793" i="17"/>
  <c r="I793" i="17"/>
  <c r="F793" i="17"/>
  <c r="N792" i="17"/>
  <c r="L792" i="17"/>
  <c r="K792" i="17"/>
  <c r="I792" i="17"/>
  <c r="F792" i="17"/>
  <c r="N791" i="17"/>
  <c r="L791" i="17"/>
  <c r="K791" i="17"/>
  <c r="I791" i="17"/>
  <c r="F791" i="17"/>
  <c r="N790" i="17"/>
  <c r="L790" i="17"/>
  <c r="K790" i="17"/>
  <c r="I790" i="17"/>
  <c r="F790" i="17"/>
  <c r="N789" i="17"/>
  <c r="L789" i="17"/>
  <c r="K789" i="17"/>
  <c r="I789" i="17"/>
  <c r="F789" i="17"/>
  <c r="N788" i="17"/>
  <c r="L788" i="17"/>
  <c r="K788" i="17"/>
  <c r="I788" i="17"/>
  <c r="F788" i="17"/>
  <c r="N787" i="17"/>
  <c r="L787" i="17"/>
  <c r="K787" i="17"/>
  <c r="I787" i="17"/>
  <c r="F787" i="17"/>
  <c r="N786" i="17"/>
  <c r="L786" i="17"/>
  <c r="K786" i="17"/>
  <c r="I786" i="17"/>
  <c r="F786" i="17"/>
  <c r="N785" i="17"/>
  <c r="L785" i="17"/>
  <c r="K785" i="17"/>
  <c r="I785" i="17"/>
  <c r="F785" i="17"/>
  <c r="N784" i="17"/>
  <c r="L784" i="17"/>
  <c r="K784" i="17"/>
  <c r="I784" i="17"/>
  <c r="F784" i="17"/>
  <c r="N783" i="17"/>
  <c r="L783" i="17"/>
  <c r="K783" i="17"/>
  <c r="I783" i="17"/>
  <c r="F783" i="17"/>
  <c r="N782" i="17"/>
  <c r="L782" i="17"/>
  <c r="K782" i="17"/>
  <c r="I782" i="17"/>
  <c r="F782" i="17"/>
  <c r="N781" i="17"/>
  <c r="L781" i="17"/>
  <c r="K781" i="17"/>
  <c r="I781" i="17"/>
  <c r="F781" i="17"/>
  <c r="N780" i="17"/>
  <c r="L780" i="17"/>
  <c r="K780" i="17"/>
  <c r="I780" i="17"/>
  <c r="F780" i="17"/>
  <c r="N779" i="17"/>
  <c r="L779" i="17"/>
  <c r="K779" i="17"/>
  <c r="I779" i="17"/>
  <c r="F779" i="17"/>
  <c r="N778" i="17"/>
  <c r="L778" i="17"/>
  <c r="K778" i="17"/>
  <c r="I778" i="17"/>
  <c r="F778" i="17"/>
  <c r="N777" i="17"/>
  <c r="L777" i="17"/>
  <c r="K777" i="17"/>
  <c r="I777" i="17"/>
  <c r="F777" i="17"/>
  <c r="N776" i="17"/>
  <c r="L776" i="17"/>
  <c r="K776" i="17"/>
  <c r="I776" i="17"/>
  <c r="F776" i="17"/>
  <c r="N775" i="17"/>
  <c r="L775" i="17"/>
  <c r="K775" i="17"/>
  <c r="I775" i="17"/>
  <c r="F775" i="17"/>
  <c r="N774" i="17"/>
  <c r="L774" i="17"/>
  <c r="K774" i="17"/>
  <c r="I774" i="17"/>
  <c r="F774" i="17"/>
  <c r="N773" i="17"/>
  <c r="L773" i="17"/>
  <c r="K773" i="17"/>
  <c r="I773" i="17"/>
  <c r="F773" i="17"/>
  <c r="N772" i="17"/>
  <c r="L772" i="17"/>
  <c r="K772" i="17"/>
  <c r="I772" i="17"/>
  <c r="F772" i="17"/>
  <c r="N771" i="17"/>
  <c r="L771" i="17"/>
  <c r="K771" i="17"/>
  <c r="I771" i="17"/>
  <c r="F771" i="17"/>
  <c r="N770" i="17"/>
  <c r="L770" i="17"/>
  <c r="K770" i="17"/>
  <c r="I770" i="17"/>
  <c r="F770" i="17"/>
  <c r="N769" i="17"/>
  <c r="L769" i="17"/>
  <c r="K769" i="17"/>
  <c r="I769" i="17"/>
  <c r="F769" i="17"/>
  <c r="N768" i="17"/>
  <c r="L768" i="17"/>
  <c r="K768" i="17"/>
  <c r="I768" i="17"/>
  <c r="F768" i="17"/>
  <c r="N767" i="17"/>
  <c r="L767" i="17"/>
  <c r="K767" i="17"/>
  <c r="I767" i="17"/>
  <c r="F767" i="17"/>
  <c r="N766" i="17"/>
  <c r="L766" i="17"/>
  <c r="K766" i="17"/>
  <c r="I766" i="17"/>
  <c r="F766" i="17"/>
  <c r="N765" i="17"/>
  <c r="L765" i="17"/>
  <c r="K765" i="17"/>
  <c r="I765" i="17"/>
  <c r="F765" i="17"/>
  <c r="N764" i="17"/>
  <c r="L764" i="17"/>
  <c r="K764" i="17"/>
  <c r="I764" i="17"/>
  <c r="F764" i="17"/>
  <c r="N763" i="17"/>
  <c r="L763" i="17"/>
  <c r="K763" i="17"/>
  <c r="I763" i="17"/>
  <c r="F763" i="17"/>
  <c r="N762" i="17"/>
  <c r="L762" i="17"/>
  <c r="K762" i="17"/>
  <c r="I762" i="17"/>
  <c r="F762" i="17"/>
  <c r="N761" i="17"/>
  <c r="L761" i="17"/>
  <c r="K761" i="17"/>
  <c r="I761" i="17"/>
  <c r="F761" i="17"/>
  <c r="N760" i="17"/>
  <c r="L760" i="17"/>
  <c r="K760" i="17"/>
  <c r="I760" i="17"/>
  <c r="F760" i="17"/>
  <c r="N759" i="17"/>
  <c r="L759" i="17"/>
  <c r="K759" i="17"/>
  <c r="I759" i="17"/>
  <c r="F759" i="17"/>
  <c r="N758" i="17"/>
  <c r="L758" i="17"/>
  <c r="K758" i="17"/>
  <c r="I758" i="17"/>
  <c r="F758" i="17"/>
  <c r="N757" i="17"/>
  <c r="L757" i="17"/>
  <c r="K757" i="17"/>
  <c r="I757" i="17"/>
  <c r="F757" i="17"/>
  <c r="N756" i="17"/>
  <c r="L756" i="17"/>
  <c r="K756" i="17"/>
  <c r="I756" i="17"/>
  <c r="F756" i="17"/>
  <c r="N755" i="17"/>
  <c r="L755" i="17"/>
  <c r="K755" i="17"/>
  <c r="I755" i="17"/>
  <c r="F755" i="17"/>
  <c r="N754" i="17"/>
  <c r="L754" i="17"/>
  <c r="K754" i="17"/>
  <c r="I754" i="17"/>
  <c r="F754" i="17"/>
  <c r="N753" i="17"/>
  <c r="L753" i="17"/>
  <c r="K753" i="17"/>
  <c r="I753" i="17"/>
  <c r="F753" i="17"/>
  <c r="N752" i="17"/>
  <c r="L752" i="17"/>
  <c r="K752" i="17"/>
  <c r="I752" i="17"/>
  <c r="F752" i="17"/>
  <c r="N751" i="17"/>
  <c r="L751" i="17"/>
  <c r="K751" i="17"/>
  <c r="I751" i="17"/>
  <c r="F751" i="17"/>
  <c r="N750" i="17"/>
  <c r="L750" i="17"/>
  <c r="K750" i="17"/>
  <c r="I750" i="17"/>
  <c r="F750" i="17"/>
  <c r="N749" i="17"/>
  <c r="L749" i="17"/>
  <c r="K749" i="17"/>
  <c r="I749" i="17"/>
  <c r="F749" i="17"/>
  <c r="N748" i="17"/>
  <c r="L748" i="17"/>
  <c r="K748" i="17"/>
  <c r="I748" i="17"/>
  <c r="F748" i="17"/>
  <c r="N747" i="17"/>
  <c r="L747" i="17"/>
  <c r="K747" i="17"/>
  <c r="I747" i="17"/>
  <c r="F747" i="17"/>
  <c r="N746" i="17"/>
  <c r="L746" i="17"/>
  <c r="K746" i="17"/>
  <c r="I746" i="17"/>
  <c r="F746" i="17"/>
  <c r="N745" i="17"/>
  <c r="L745" i="17"/>
  <c r="K745" i="17"/>
  <c r="I745" i="17"/>
  <c r="F745" i="17"/>
  <c r="N744" i="17"/>
  <c r="L744" i="17"/>
  <c r="K744" i="17"/>
  <c r="I744" i="17"/>
  <c r="F744" i="17"/>
  <c r="N743" i="17"/>
  <c r="L743" i="17"/>
  <c r="K743" i="17"/>
  <c r="I743" i="17"/>
  <c r="F743" i="17"/>
  <c r="N742" i="17"/>
  <c r="L742" i="17"/>
  <c r="K742" i="17"/>
  <c r="I742" i="17"/>
  <c r="F742" i="17"/>
  <c r="N741" i="17"/>
  <c r="L741" i="17"/>
  <c r="K741" i="17"/>
  <c r="I741" i="17"/>
  <c r="F741" i="17"/>
  <c r="N740" i="17"/>
  <c r="L740" i="17"/>
  <c r="K740" i="17"/>
  <c r="I740" i="17"/>
  <c r="F740" i="17"/>
  <c r="N739" i="17"/>
  <c r="L739" i="17"/>
  <c r="K739" i="17"/>
  <c r="I739" i="17"/>
  <c r="F739" i="17"/>
  <c r="N738" i="17"/>
  <c r="L738" i="17"/>
  <c r="K738" i="17"/>
  <c r="I738" i="17"/>
  <c r="F738" i="17"/>
  <c r="N737" i="17"/>
  <c r="L737" i="17"/>
  <c r="K737" i="17"/>
  <c r="I737" i="17"/>
  <c r="F737" i="17"/>
  <c r="N736" i="17"/>
  <c r="L736" i="17"/>
  <c r="K736" i="17"/>
  <c r="I736" i="17"/>
  <c r="F736" i="17"/>
  <c r="N735" i="17"/>
  <c r="L735" i="17"/>
  <c r="K735" i="17"/>
  <c r="I735" i="17"/>
  <c r="F735" i="17"/>
  <c r="N734" i="17"/>
  <c r="L734" i="17"/>
  <c r="K734" i="17"/>
  <c r="I734" i="17"/>
  <c r="F734" i="17"/>
  <c r="N733" i="17"/>
  <c r="L733" i="17"/>
  <c r="K733" i="17"/>
  <c r="I733" i="17"/>
  <c r="F733" i="17"/>
  <c r="N732" i="17"/>
  <c r="L732" i="17"/>
  <c r="K732" i="17"/>
  <c r="I732" i="17"/>
  <c r="F732" i="17"/>
  <c r="N731" i="17"/>
  <c r="L731" i="17"/>
  <c r="K731" i="17"/>
  <c r="I731" i="17"/>
  <c r="F731" i="17"/>
  <c r="N730" i="17"/>
  <c r="L730" i="17"/>
  <c r="K730" i="17"/>
  <c r="I730" i="17"/>
  <c r="F730" i="17"/>
  <c r="N729" i="17"/>
  <c r="L729" i="17"/>
  <c r="K729" i="17"/>
  <c r="I729" i="17"/>
  <c r="F729" i="17"/>
  <c r="N728" i="17"/>
  <c r="L728" i="17"/>
  <c r="K728" i="17"/>
  <c r="I728" i="17"/>
  <c r="F728" i="17"/>
  <c r="N727" i="17"/>
  <c r="L727" i="17"/>
  <c r="K727" i="17"/>
  <c r="I727" i="17"/>
  <c r="F727" i="17"/>
  <c r="N726" i="17"/>
  <c r="L726" i="17"/>
  <c r="K726" i="17"/>
  <c r="I726" i="17"/>
  <c r="F726" i="17"/>
  <c r="N725" i="17"/>
  <c r="L725" i="17"/>
  <c r="K725" i="17"/>
  <c r="I725" i="17"/>
  <c r="F725" i="17"/>
  <c r="N724" i="17"/>
  <c r="L724" i="17"/>
  <c r="K724" i="17"/>
  <c r="I724" i="17"/>
  <c r="F724" i="17"/>
  <c r="N723" i="17"/>
  <c r="L723" i="17"/>
  <c r="K723" i="17"/>
  <c r="I723" i="17"/>
  <c r="F723" i="17"/>
  <c r="N722" i="17"/>
  <c r="L722" i="17"/>
  <c r="K722" i="17"/>
  <c r="I722" i="17"/>
  <c r="F722" i="17"/>
  <c r="N721" i="17"/>
  <c r="L721" i="17"/>
  <c r="K721" i="17"/>
  <c r="I721" i="17"/>
  <c r="F721" i="17"/>
  <c r="N720" i="17"/>
  <c r="L720" i="17"/>
  <c r="K720" i="17"/>
  <c r="I720" i="17"/>
  <c r="F720" i="17"/>
  <c r="N719" i="17"/>
  <c r="L719" i="17"/>
  <c r="K719" i="17"/>
  <c r="I719" i="17"/>
  <c r="F719" i="17"/>
  <c r="N718" i="17"/>
  <c r="L718" i="17"/>
  <c r="K718" i="17"/>
  <c r="I718" i="17"/>
  <c r="F718" i="17"/>
  <c r="N717" i="17"/>
  <c r="L717" i="17"/>
  <c r="K717" i="17"/>
  <c r="I717" i="17"/>
  <c r="F717" i="17"/>
  <c r="N716" i="17"/>
  <c r="L716" i="17"/>
  <c r="K716" i="17"/>
  <c r="I716" i="17"/>
  <c r="F716" i="17"/>
  <c r="N715" i="17"/>
  <c r="L715" i="17"/>
  <c r="K715" i="17"/>
  <c r="I715" i="17"/>
  <c r="F715" i="17"/>
  <c r="N714" i="17"/>
  <c r="L714" i="17"/>
  <c r="K714" i="17"/>
  <c r="I714" i="17"/>
  <c r="F714" i="17"/>
  <c r="N713" i="17"/>
  <c r="L713" i="17"/>
  <c r="K713" i="17"/>
  <c r="I713" i="17"/>
  <c r="F713" i="17"/>
  <c r="N712" i="17"/>
  <c r="L712" i="17"/>
  <c r="K712" i="17"/>
  <c r="I712" i="17"/>
  <c r="F712" i="17"/>
  <c r="N711" i="17"/>
  <c r="L711" i="17"/>
  <c r="K711" i="17"/>
  <c r="I711" i="17"/>
  <c r="F711" i="17"/>
  <c r="N710" i="17"/>
  <c r="L710" i="17"/>
  <c r="K710" i="17"/>
  <c r="I710" i="17"/>
  <c r="F710" i="17"/>
  <c r="N709" i="17"/>
  <c r="L709" i="17"/>
  <c r="K709" i="17"/>
  <c r="I709" i="17"/>
  <c r="F709" i="17"/>
  <c r="N708" i="17"/>
  <c r="L708" i="17"/>
  <c r="K708" i="17"/>
  <c r="I708" i="17"/>
  <c r="F708" i="17"/>
  <c r="N707" i="17"/>
  <c r="L707" i="17"/>
  <c r="K707" i="17"/>
  <c r="I707" i="17"/>
  <c r="F707" i="17"/>
  <c r="N706" i="17"/>
  <c r="L706" i="17"/>
  <c r="K706" i="17"/>
  <c r="I706" i="17"/>
  <c r="F706" i="17"/>
  <c r="N705" i="17"/>
  <c r="L705" i="17"/>
  <c r="K705" i="17"/>
  <c r="I705" i="17"/>
  <c r="F705" i="17"/>
  <c r="N704" i="17"/>
  <c r="L704" i="17"/>
  <c r="K704" i="17"/>
  <c r="I704" i="17"/>
  <c r="F704" i="17"/>
  <c r="N703" i="17"/>
  <c r="L703" i="17"/>
  <c r="K703" i="17"/>
  <c r="I703" i="17"/>
  <c r="F703" i="17"/>
  <c r="N702" i="17"/>
  <c r="L702" i="17"/>
  <c r="K702" i="17"/>
  <c r="I702" i="17"/>
  <c r="F702" i="17"/>
  <c r="N701" i="17"/>
  <c r="L701" i="17"/>
  <c r="K701" i="17"/>
  <c r="I701" i="17"/>
  <c r="F701" i="17"/>
  <c r="N700" i="17"/>
  <c r="L700" i="17"/>
  <c r="K700" i="17"/>
  <c r="I700" i="17"/>
  <c r="F700" i="17"/>
  <c r="N699" i="17"/>
  <c r="L699" i="17"/>
  <c r="K699" i="17"/>
  <c r="I699" i="17"/>
  <c r="F699" i="17"/>
  <c r="N698" i="17"/>
  <c r="L698" i="17"/>
  <c r="K698" i="17"/>
  <c r="I698" i="17"/>
  <c r="F698" i="17"/>
  <c r="N697" i="17"/>
  <c r="L697" i="17"/>
  <c r="K697" i="17"/>
  <c r="I697" i="17"/>
  <c r="F697" i="17"/>
  <c r="N696" i="17"/>
  <c r="L696" i="17"/>
  <c r="K696" i="17"/>
  <c r="I696" i="17"/>
  <c r="F696" i="17"/>
  <c r="N695" i="17"/>
  <c r="L695" i="17"/>
  <c r="K695" i="17"/>
  <c r="I695" i="17"/>
  <c r="F695" i="17"/>
  <c r="N694" i="17"/>
  <c r="L694" i="17"/>
  <c r="K694" i="17"/>
  <c r="I694" i="17"/>
  <c r="F694" i="17"/>
  <c r="N693" i="17"/>
  <c r="L693" i="17"/>
  <c r="K693" i="17"/>
  <c r="I693" i="17"/>
  <c r="F693" i="17"/>
  <c r="N692" i="17"/>
  <c r="L692" i="17"/>
  <c r="K692" i="17"/>
  <c r="I692" i="17"/>
  <c r="F692" i="17"/>
  <c r="N691" i="17"/>
  <c r="L691" i="17"/>
  <c r="K691" i="17"/>
  <c r="I691" i="17"/>
  <c r="F691" i="17"/>
  <c r="N690" i="17"/>
  <c r="L690" i="17"/>
  <c r="K690" i="17"/>
  <c r="I690" i="17"/>
  <c r="F690" i="17"/>
  <c r="N689" i="17"/>
  <c r="L689" i="17"/>
  <c r="K689" i="17"/>
  <c r="I689" i="17"/>
  <c r="F689" i="17"/>
  <c r="N688" i="17"/>
  <c r="L688" i="17"/>
  <c r="K688" i="17"/>
  <c r="I688" i="17"/>
  <c r="F688" i="17"/>
  <c r="N687" i="17"/>
  <c r="L687" i="17"/>
  <c r="K687" i="17"/>
  <c r="I687" i="17"/>
  <c r="F687" i="17"/>
  <c r="N686" i="17"/>
  <c r="L686" i="17"/>
  <c r="K686" i="17"/>
  <c r="I686" i="17"/>
  <c r="F686" i="17"/>
  <c r="N685" i="17"/>
  <c r="L685" i="17"/>
  <c r="K685" i="17"/>
  <c r="I685" i="17"/>
  <c r="F685" i="17"/>
  <c r="N684" i="17"/>
  <c r="L684" i="17"/>
  <c r="K684" i="17"/>
  <c r="I684" i="17"/>
  <c r="F684" i="17"/>
  <c r="N683" i="17"/>
  <c r="L683" i="17"/>
  <c r="K683" i="17"/>
  <c r="I683" i="17"/>
  <c r="F683" i="17"/>
  <c r="N682" i="17"/>
  <c r="L682" i="17"/>
  <c r="K682" i="17"/>
  <c r="I682" i="17"/>
  <c r="F682" i="17"/>
  <c r="N681" i="17"/>
  <c r="L681" i="17"/>
  <c r="K681" i="17"/>
  <c r="I681" i="17"/>
  <c r="F681" i="17"/>
  <c r="N680" i="17"/>
  <c r="L680" i="17"/>
  <c r="K680" i="17"/>
  <c r="I680" i="17"/>
  <c r="F680" i="17"/>
  <c r="N679" i="17"/>
  <c r="L679" i="17"/>
  <c r="K679" i="17"/>
  <c r="I679" i="17"/>
  <c r="F679" i="17"/>
  <c r="N678" i="17"/>
  <c r="L678" i="17"/>
  <c r="K678" i="17"/>
  <c r="I678" i="17"/>
  <c r="F678" i="17"/>
  <c r="N677" i="17"/>
  <c r="L677" i="17"/>
  <c r="K677" i="17"/>
  <c r="I677" i="17"/>
  <c r="F677" i="17"/>
  <c r="N676" i="17"/>
  <c r="L676" i="17"/>
  <c r="K676" i="17"/>
  <c r="I676" i="17"/>
  <c r="F676" i="17"/>
  <c r="N675" i="17"/>
  <c r="L675" i="17"/>
  <c r="K675" i="17"/>
  <c r="I675" i="17"/>
  <c r="F675" i="17"/>
  <c r="N674" i="17"/>
  <c r="L674" i="17"/>
  <c r="K674" i="17"/>
  <c r="I674" i="17"/>
  <c r="F674" i="17"/>
  <c r="N673" i="17"/>
  <c r="L673" i="17"/>
  <c r="K673" i="17"/>
  <c r="I673" i="17"/>
  <c r="F673" i="17"/>
  <c r="N672" i="17"/>
  <c r="L672" i="17"/>
  <c r="K672" i="17"/>
  <c r="I672" i="17"/>
  <c r="F672" i="17"/>
  <c r="N671" i="17"/>
  <c r="L671" i="17"/>
  <c r="K671" i="17"/>
  <c r="I671" i="17"/>
  <c r="F671" i="17"/>
  <c r="N670" i="17"/>
  <c r="L670" i="17"/>
  <c r="K670" i="17"/>
  <c r="I670" i="17"/>
  <c r="F670" i="17"/>
  <c r="N669" i="17"/>
  <c r="L669" i="17"/>
  <c r="K669" i="17"/>
  <c r="I669" i="17"/>
  <c r="F669" i="17"/>
  <c r="N668" i="17"/>
  <c r="L668" i="17"/>
  <c r="K668" i="17"/>
  <c r="I668" i="17"/>
  <c r="F668" i="17"/>
  <c r="N667" i="17"/>
  <c r="L667" i="17"/>
  <c r="K667" i="17"/>
  <c r="I667" i="17"/>
  <c r="F667" i="17"/>
  <c r="N666" i="17"/>
  <c r="L666" i="17"/>
  <c r="K666" i="17"/>
  <c r="I666" i="17"/>
  <c r="F666" i="17"/>
  <c r="N665" i="17"/>
  <c r="L665" i="17"/>
  <c r="K665" i="17"/>
  <c r="I665" i="17"/>
  <c r="F665" i="17"/>
  <c r="N664" i="17"/>
  <c r="L664" i="17"/>
  <c r="K664" i="17"/>
  <c r="I664" i="17"/>
  <c r="F664" i="17"/>
  <c r="N663" i="17"/>
  <c r="L663" i="17"/>
  <c r="K663" i="17"/>
  <c r="I663" i="17"/>
  <c r="F663" i="17"/>
  <c r="N662" i="17"/>
  <c r="L662" i="17"/>
  <c r="K662" i="17"/>
  <c r="I662" i="17"/>
  <c r="F662" i="17"/>
  <c r="N661" i="17"/>
  <c r="L661" i="17"/>
  <c r="K661" i="17"/>
  <c r="I661" i="17"/>
  <c r="F661" i="17"/>
  <c r="N660" i="17"/>
  <c r="L660" i="17"/>
  <c r="K660" i="17"/>
  <c r="I660" i="17"/>
  <c r="F660" i="17"/>
  <c r="N659" i="17"/>
  <c r="L659" i="17"/>
  <c r="K659" i="17"/>
  <c r="I659" i="17"/>
  <c r="F659" i="17"/>
  <c r="N658" i="17"/>
  <c r="L658" i="17"/>
  <c r="K658" i="17"/>
  <c r="I658" i="17"/>
  <c r="F658" i="17"/>
  <c r="N657" i="17"/>
  <c r="L657" i="17"/>
  <c r="K657" i="17"/>
  <c r="I657" i="17"/>
  <c r="F657" i="17"/>
  <c r="N656" i="17"/>
  <c r="L656" i="17"/>
  <c r="K656" i="17"/>
  <c r="I656" i="17"/>
  <c r="F656" i="17"/>
  <c r="N655" i="17"/>
  <c r="L655" i="17"/>
  <c r="K655" i="17"/>
  <c r="I655" i="17"/>
  <c r="F655" i="17"/>
  <c r="N654" i="17"/>
  <c r="L654" i="17"/>
  <c r="K654" i="17"/>
  <c r="I654" i="17"/>
  <c r="F654" i="17"/>
  <c r="N653" i="17"/>
  <c r="L653" i="17"/>
  <c r="K653" i="17"/>
  <c r="I653" i="17"/>
  <c r="F653" i="17"/>
  <c r="N652" i="17"/>
  <c r="L652" i="17"/>
  <c r="K652" i="17"/>
  <c r="I652" i="17"/>
  <c r="F652" i="17"/>
  <c r="N651" i="17"/>
  <c r="L651" i="17"/>
  <c r="K651" i="17"/>
  <c r="I651" i="17"/>
  <c r="F651" i="17"/>
  <c r="N650" i="17"/>
  <c r="L650" i="17"/>
  <c r="K650" i="17"/>
  <c r="I650" i="17"/>
  <c r="F650" i="17"/>
  <c r="N649" i="17"/>
  <c r="L649" i="17"/>
  <c r="K649" i="17"/>
  <c r="I649" i="17"/>
  <c r="F649" i="17"/>
  <c r="N648" i="17"/>
  <c r="L648" i="17"/>
  <c r="K648" i="17"/>
  <c r="I648" i="17"/>
  <c r="F648" i="17"/>
  <c r="N647" i="17"/>
  <c r="L647" i="17"/>
  <c r="K647" i="17"/>
  <c r="I647" i="17"/>
  <c r="F647" i="17"/>
  <c r="N646" i="17"/>
  <c r="L646" i="17"/>
  <c r="K646" i="17"/>
  <c r="I646" i="17"/>
  <c r="F646" i="17"/>
  <c r="N645" i="17"/>
  <c r="L645" i="17"/>
  <c r="K645" i="17"/>
  <c r="I645" i="17"/>
  <c r="F645" i="17"/>
  <c r="N644" i="17"/>
  <c r="L644" i="17"/>
  <c r="K644" i="17"/>
  <c r="I644" i="17"/>
  <c r="F644" i="17"/>
  <c r="N643" i="17"/>
  <c r="L643" i="17"/>
  <c r="K643" i="17"/>
  <c r="I643" i="17"/>
  <c r="F643" i="17"/>
  <c r="N642" i="17"/>
  <c r="L642" i="17"/>
  <c r="K642" i="17"/>
  <c r="I642" i="17"/>
  <c r="F642" i="17"/>
  <c r="N641" i="17"/>
  <c r="L641" i="17"/>
  <c r="K641" i="17"/>
  <c r="I641" i="17"/>
  <c r="F641" i="17"/>
  <c r="N640" i="17"/>
  <c r="L640" i="17"/>
  <c r="K640" i="17"/>
  <c r="I640" i="17"/>
  <c r="F640" i="17"/>
  <c r="N639" i="17"/>
  <c r="L639" i="17"/>
  <c r="K639" i="17"/>
  <c r="I639" i="17"/>
  <c r="F639" i="17"/>
  <c r="N638" i="17"/>
  <c r="L638" i="17"/>
  <c r="K638" i="17"/>
  <c r="I638" i="17"/>
  <c r="F638" i="17"/>
  <c r="N637" i="17"/>
  <c r="L637" i="17"/>
  <c r="K637" i="17"/>
  <c r="I637" i="17"/>
  <c r="F637" i="17"/>
  <c r="N636" i="17"/>
  <c r="L636" i="17"/>
  <c r="K636" i="17"/>
  <c r="I636" i="17"/>
  <c r="F636" i="17"/>
  <c r="N635" i="17"/>
  <c r="L635" i="17"/>
  <c r="K635" i="17"/>
  <c r="I635" i="17"/>
  <c r="F635" i="17"/>
  <c r="N634" i="17"/>
  <c r="L634" i="17"/>
  <c r="K634" i="17"/>
  <c r="I634" i="17"/>
  <c r="F634" i="17"/>
  <c r="N633" i="17"/>
  <c r="L633" i="17"/>
  <c r="K633" i="17"/>
  <c r="I633" i="17"/>
  <c r="F633" i="17"/>
  <c r="N632" i="17"/>
  <c r="L632" i="17"/>
  <c r="K632" i="17"/>
  <c r="I632" i="17"/>
  <c r="F632" i="17"/>
  <c r="N631" i="17"/>
  <c r="L631" i="17"/>
  <c r="K631" i="17"/>
  <c r="I631" i="17"/>
  <c r="F631" i="17"/>
  <c r="N630" i="17"/>
  <c r="L630" i="17"/>
  <c r="K630" i="17"/>
  <c r="I630" i="17"/>
  <c r="F630" i="17"/>
  <c r="N629" i="17"/>
  <c r="L629" i="17"/>
  <c r="K629" i="17"/>
  <c r="I629" i="17"/>
  <c r="F629" i="17"/>
  <c r="N628" i="17"/>
  <c r="L628" i="17"/>
  <c r="K628" i="17"/>
  <c r="I628" i="17"/>
  <c r="F628" i="17"/>
  <c r="N627" i="17"/>
  <c r="L627" i="17"/>
  <c r="K627" i="17"/>
  <c r="I627" i="17"/>
  <c r="F627" i="17"/>
  <c r="N626" i="17"/>
  <c r="L626" i="17"/>
  <c r="K626" i="17"/>
  <c r="I626" i="17"/>
  <c r="F626" i="17"/>
  <c r="N625" i="17"/>
  <c r="L625" i="17"/>
  <c r="K625" i="17"/>
  <c r="I625" i="17"/>
  <c r="F625" i="17"/>
  <c r="N624" i="17"/>
  <c r="L624" i="17"/>
  <c r="K624" i="17"/>
  <c r="I624" i="17"/>
  <c r="F624" i="17"/>
  <c r="N623" i="17"/>
  <c r="L623" i="17"/>
  <c r="K623" i="17"/>
  <c r="I623" i="17"/>
  <c r="F623" i="17"/>
  <c r="N622" i="17"/>
  <c r="L622" i="17"/>
  <c r="K622" i="17"/>
  <c r="I622" i="17"/>
  <c r="F622" i="17"/>
  <c r="N621" i="17"/>
  <c r="L621" i="17"/>
  <c r="K621" i="17"/>
  <c r="I621" i="17"/>
  <c r="F621" i="17"/>
  <c r="N620" i="17"/>
  <c r="L620" i="17"/>
  <c r="K620" i="17"/>
  <c r="I620" i="17"/>
  <c r="F620" i="17"/>
  <c r="N619" i="17"/>
  <c r="L619" i="17"/>
  <c r="K619" i="17"/>
  <c r="I619" i="17"/>
  <c r="F619" i="17"/>
  <c r="N618" i="17"/>
  <c r="L618" i="17"/>
  <c r="K618" i="17"/>
  <c r="I618" i="17"/>
  <c r="F618" i="17"/>
  <c r="N617" i="17"/>
  <c r="L617" i="17"/>
  <c r="K617" i="17"/>
  <c r="I617" i="17"/>
  <c r="F617" i="17"/>
  <c r="N616" i="17"/>
  <c r="L616" i="17"/>
  <c r="K616" i="17"/>
  <c r="I616" i="17"/>
  <c r="F616" i="17"/>
  <c r="N615" i="17"/>
  <c r="L615" i="17"/>
  <c r="K615" i="17"/>
  <c r="I615" i="17"/>
  <c r="F615" i="17"/>
  <c r="N614" i="17"/>
  <c r="L614" i="17"/>
  <c r="K614" i="17"/>
  <c r="I614" i="17"/>
  <c r="F614" i="17"/>
  <c r="N613" i="17"/>
  <c r="L613" i="17"/>
  <c r="K613" i="17"/>
  <c r="I613" i="17"/>
  <c r="F613" i="17"/>
  <c r="N612" i="17"/>
  <c r="L612" i="17"/>
  <c r="K612" i="17"/>
  <c r="I612" i="17"/>
  <c r="F612" i="17"/>
  <c r="N611" i="17"/>
  <c r="L611" i="17"/>
  <c r="K611" i="17"/>
  <c r="I611" i="17"/>
  <c r="F611" i="17"/>
  <c r="N610" i="17"/>
  <c r="L610" i="17"/>
  <c r="K610" i="17"/>
  <c r="I610" i="17"/>
  <c r="F610" i="17"/>
  <c r="N609" i="17"/>
  <c r="L609" i="17"/>
  <c r="K609" i="17"/>
  <c r="I609" i="17"/>
  <c r="F609" i="17"/>
  <c r="N608" i="17"/>
  <c r="L608" i="17"/>
  <c r="K608" i="17"/>
  <c r="I608" i="17"/>
  <c r="F608" i="17"/>
  <c r="N607" i="17"/>
  <c r="L607" i="17"/>
  <c r="K607" i="17"/>
  <c r="I607" i="17"/>
  <c r="F607" i="17"/>
  <c r="N606" i="17"/>
  <c r="L606" i="17"/>
  <c r="K606" i="17"/>
  <c r="I606" i="17"/>
  <c r="F606" i="17"/>
  <c r="N605" i="17"/>
  <c r="L605" i="17"/>
  <c r="K605" i="17"/>
  <c r="I605" i="17"/>
  <c r="F605" i="17"/>
  <c r="N604" i="17"/>
  <c r="L604" i="17"/>
  <c r="K604" i="17"/>
  <c r="I604" i="17"/>
  <c r="F604" i="17"/>
  <c r="N603" i="17"/>
  <c r="L603" i="17"/>
  <c r="K603" i="17"/>
  <c r="I603" i="17"/>
  <c r="F603" i="17"/>
  <c r="N602" i="17"/>
  <c r="L602" i="17"/>
  <c r="K602" i="17"/>
  <c r="I602" i="17"/>
  <c r="F602" i="17"/>
  <c r="N601" i="17"/>
  <c r="L601" i="17"/>
  <c r="K601" i="17"/>
  <c r="I601" i="17"/>
  <c r="F601" i="17"/>
  <c r="N600" i="17"/>
  <c r="L600" i="17"/>
  <c r="K600" i="17"/>
  <c r="I600" i="17"/>
  <c r="F600" i="17"/>
  <c r="N599" i="17"/>
  <c r="L599" i="17"/>
  <c r="K599" i="17"/>
  <c r="I599" i="17"/>
  <c r="F599" i="17"/>
  <c r="N598" i="17"/>
  <c r="L598" i="17"/>
  <c r="K598" i="17"/>
  <c r="I598" i="17"/>
  <c r="F598" i="17"/>
  <c r="N597" i="17"/>
  <c r="L597" i="17"/>
  <c r="K597" i="17"/>
  <c r="I597" i="17"/>
  <c r="F597" i="17"/>
  <c r="N596" i="17"/>
  <c r="L596" i="17"/>
  <c r="K596" i="17"/>
  <c r="I596" i="17"/>
  <c r="F596" i="17"/>
  <c r="N595" i="17"/>
  <c r="L595" i="17"/>
  <c r="K595" i="17"/>
  <c r="I595" i="17"/>
  <c r="F595" i="17"/>
  <c r="N594" i="17"/>
  <c r="L594" i="17"/>
  <c r="K594" i="17"/>
  <c r="I594" i="17"/>
  <c r="F594" i="17"/>
  <c r="N593" i="17"/>
  <c r="L593" i="17"/>
  <c r="K593" i="17"/>
  <c r="I593" i="17"/>
  <c r="F593" i="17"/>
  <c r="N592" i="17"/>
  <c r="L592" i="17"/>
  <c r="K592" i="17"/>
  <c r="I592" i="17"/>
  <c r="F592" i="17"/>
  <c r="N591" i="17"/>
  <c r="L591" i="17"/>
  <c r="K591" i="17"/>
  <c r="I591" i="17"/>
  <c r="F591" i="17"/>
  <c r="N590" i="17"/>
  <c r="L590" i="17"/>
  <c r="K590" i="17"/>
  <c r="I590" i="17"/>
  <c r="F590" i="17"/>
  <c r="N589" i="17"/>
  <c r="L589" i="17"/>
  <c r="K589" i="17"/>
  <c r="I589" i="17"/>
  <c r="F589" i="17"/>
  <c r="N588" i="17"/>
  <c r="L588" i="17"/>
  <c r="K588" i="17"/>
  <c r="I588" i="17"/>
  <c r="F588" i="17"/>
  <c r="N587" i="17"/>
  <c r="L587" i="17"/>
  <c r="K587" i="17"/>
  <c r="I587" i="17"/>
  <c r="F587" i="17"/>
  <c r="N586" i="17"/>
  <c r="L586" i="17"/>
  <c r="K586" i="17"/>
  <c r="I586" i="17"/>
  <c r="F586" i="17"/>
  <c r="N585" i="17"/>
  <c r="L585" i="17"/>
  <c r="K585" i="17"/>
  <c r="I585" i="17"/>
  <c r="F585" i="17"/>
  <c r="N584" i="17"/>
  <c r="L584" i="17"/>
  <c r="K584" i="17"/>
  <c r="I584" i="17"/>
  <c r="F584" i="17"/>
  <c r="N583" i="17"/>
  <c r="L583" i="17"/>
  <c r="K583" i="17"/>
  <c r="I583" i="17"/>
  <c r="F583" i="17"/>
  <c r="N582" i="17"/>
  <c r="L582" i="17"/>
  <c r="K582" i="17"/>
  <c r="I582" i="17"/>
  <c r="F582" i="17"/>
  <c r="N581" i="17"/>
  <c r="L581" i="17"/>
  <c r="K581" i="17"/>
  <c r="I581" i="17"/>
  <c r="F581" i="17"/>
  <c r="N580" i="17"/>
  <c r="L580" i="17"/>
  <c r="K580" i="17"/>
  <c r="I580" i="17"/>
  <c r="F580" i="17"/>
  <c r="N579" i="17"/>
  <c r="L579" i="17"/>
  <c r="K579" i="17"/>
  <c r="I579" i="17"/>
  <c r="F579" i="17"/>
  <c r="N578" i="17"/>
  <c r="L578" i="17"/>
  <c r="K578" i="17"/>
  <c r="I578" i="17"/>
  <c r="F578" i="17"/>
  <c r="N577" i="17"/>
  <c r="L577" i="17"/>
  <c r="K577" i="17"/>
  <c r="I577" i="17"/>
  <c r="F577" i="17"/>
  <c r="N576" i="17"/>
  <c r="L576" i="17"/>
  <c r="K576" i="17"/>
  <c r="I576" i="17"/>
  <c r="F576" i="17"/>
  <c r="N575" i="17"/>
  <c r="L575" i="17"/>
  <c r="K575" i="17"/>
  <c r="I575" i="17"/>
  <c r="F575" i="17"/>
  <c r="N574" i="17"/>
  <c r="L574" i="17"/>
  <c r="K574" i="17"/>
  <c r="I574" i="17"/>
  <c r="F574" i="17"/>
  <c r="N573" i="17"/>
  <c r="L573" i="17"/>
  <c r="K573" i="17"/>
  <c r="I573" i="17"/>
  <c r="F573" i="17"/>
  <c r="N572" i="17"/>
  <c r="L572" i="17"/>
  <c r="K572" i="17"/>
  <c r="I572" i="17"/>
  <c r="F572" i="17"/>
  <c r="N571" i="17"/>
  <c r="L571" i="17"/>
  <c r="K571" i="17"/>
  <c r="I571" i="17"/>
  <c r="F571" i="17"/>
  <c r="N570" i="17"/>
  <c r="L570" i="17"/>
  <c r="K570" i="17"/>
  <c r="I570" i="17"/>
  <c r="F570" i="17"/>
  <c r="N569" i="17"/>
  <c r="L569" i="17"/>
  <c r="K569" i="17"/>
  <c r="I569" i="17"/>
  <c r="F569" i="17"/>
  <c r="N568" i="17"/>
  <c r="L568" i="17"/>
  <c r="K568" i="17"/>
  <c r="I568" i="17"/>
  <c r="F568" i="17"/>
  <c r="N567" i="17"/>
  <c r="L567" i="17"/>
  <c r="K567" i="17"/>
  <c r="I567" i="17"/>
  <c r="F567" i="17"/>
  <c r="N566" i="17"/>
  <c r="L566" i="17"/>
  <c r="K566" i="17"/>
  <c r="I566" i="17"/>
  <c r="F566" i="17"/>
  <c r="N565" i="17"/>
  <c r="L565" i="17"/>
  <c r="K565" i="17"/>
  <c r="I565" i="17"/>
  <c r="F565" i="17"/>
  <c r="N564" i="17"/>
  <c r="L564" i="17"/>
  <c r="K564" i="17"/>
  <c r="I564" i="17"/>
  <c r="F564" i="17"/>
  <c r="N563" i="17"/>
  <c r="L563" i="17"/>
  <c r="K563" i="17"/>
  <c r="I563" i="17"/>
  <c r="F563" i="17"/>
  <c r="N562" i="17"/>
  <c r="L562" i="17"/>
  <c r="K562" i="17"/>
  <c r="I562" i="17"/>
  <c r="F562" i="17"/>
  <c r="N561" i="17"/>
  <c r="L561" i="17"/>
  <c r="K561" i="17"/>
  <c r="I561" i="17"/>
  <c r="F561" i="17"/>
  <c r="N560" i="17"/>
  <c r="L560" i="17"/>
  <c r="K560" i="17"/>
  <c r="I560" i="17"/>
  <c r="F560" i="17"/>
  <c r="N559" i="17"/>
  <c r="L559" i="17"/>
  <c r="K559" i="17"/>
  <c r="I559" i="17"/>
  <c r="F559" i="17"/>
  <c r="N558" i="17"/>
  <c r="L558" i="17"/>
  <c r="K558" i="17"/>
  <c r="I558" i="17"/>
  <c r="F558" i="17"/>
  <c r="N557" i="17"/>
  <c r="L557" i="17"/>
  <c r="K557" i="17"/>
  <c r="I557" i="17"/>
  <c r="F557" i="17"/>
  <c r="N556" i="17"/>
  <c r="L556" i="17"/>
  <c r="K556" i="17"/>
  <c r="I556" i="17"/>
  <c r="F556" i="17"/>
  <c r="N555" i="17"/>
  <c r="L555" i="17"/>
  <c r="K555" i="17"/>
  <c r="I555" i="17"/>
  <c r="F555" i="17"/>
  <c r="N554" i="17"/>
  <c r="L554" i="17"/>
  <c r="K554" i="17"/>
  <c r="I554" i="17"/>
  <c r="F554" i="17"/>
  <c r="N553" i="17"/>
  <c r="L553" i="17"/>
  <c r="K553" i="17"/>
  <c r="I553" i="17"/>
  <c r="F553" i="17"/>
  <c r="N552" i="17"/>
  <c r="L552" i="17"/>
  <c r="K552" i="17"/>
  <c r="I552" i="17"/>
  <c r="F552" i="17"/>
  <c r="N551" i="17"/>
  <c r="L551" i="17"/>
  <c r="K551" i="17"/>
  <c r="I551" i="17"/>
  <c r="F551" i="17"/>
  <c r="N550" i="17"/>
  <c r="L550" i="17"/>
  <c r="K550" i="17"/>
  <c r="I550" i="17"/>
  <c r="F550" i="17"/>
  <c r="N549" i="17"/>
  <c r="L549" i="17"/>
  <c r="K549" i="17"/>
  <c r="I549" i="17"/>
  <c r="F549" i="17"/>
  <c r="N548" i="17"/>
  <c r="L548" i="17"/>
  <c r="K548" i="17"/>
  <c r="I548" i="17"/>
  <c r="F548" i="17"/>
  <c r="N547" i="17"/>
  <c r="L547" i="17"/>
  <c r="K547" i="17"/>
  <c r="I547" i="17"/>
  <c r="F547" i="17"/>
  <c r="N546" i="17"/>
  <c r="L546" i="17"/>
  <c r="K546" i="17"/>
  <c r="I546" i="17"/>
  <c r="F546" i="17"/>
  <c r="N545" i="17"/>
  <c r="L545" i="17"/>
  <c r="K545" i="17"/>
  <c r="I545" i="17"/>
  <c r="F545" i="17"/>
  <c r="N544" i="17"/>
  <c r="L544" i="17"/>
  <c r="K544" i="17"/>
  <c r="I544" i="17"/>
  <c r="F544" i="17"/>
  <c r="N543" i="17"/>
  <c r="L543" i="17"/>
  <c r="K543" i="17"/>
  <c r="I543" i="17"/>
  <c r="F543" i="17"/>
  <c r="N542" i="17"/>
  <c r="L542" i="17"/>
  <c r="K542" i="17"/>
  <c r="I542" i="17"/>
  <c r="F542" i="17"/>
  <c r="N541" i="17"/>
  <c r="L541" i="17"/>
  <c r="K541" i="17"/>
  <c r="I541" i="17"/>
  <c r="F541" i="17"/>
  <c r="N540" i="17"/>
  <c r="L540" i="17"/>
  <c r="K540" i="17"/>
  <c r="I540" i="17"/>
  <c r="F540" i="17"/>
  <c r="N539" i="17"/>
  <c r="L539" i="17"/>
  <c r="K539" i="17"/>
  <c r="I539" i="17"/>
  <c r="F539" i="17"/>
  <c r="N538" i="17"/>
  <c r="L538" i="17"/>
  <c r="K538" i="17"/>
  <c r="I538" i="17"/>
  <c r="F538" i="17"/>
  <c r="N537" i="17"/>
  <c r="L537" i="17"/>
  <c r="K537" i="17"/>
  <c r="I537" i="17"/>
  <c r="F537" i="17"/>
  <c r="N536" i="17"/>
  <c r="L536" i="17"/>
  <c r="K536" i="17"/>
  <c r="I536" i="17"/>
  <c r="F536" i="17"/>
  <c r="N535" i="17"/>
  <c r="L535" i="17"/>
  <c r="K535" i="17"/>
  <c r="I535" i="17"/>
  <c r="F535" i="17"/>
  <c r="N534" i="17"/>
  <c r="L534" i="17"/>
  <c r="K534" i="17"/>
  <c r="I534" i="17"/>
  <c r="F534" i="17"/>
  <c r="N533" i="17"/>
  <c r="L533" i="17"/>
  <c r="K533" i="17"/>
  <c r="I533" i="17"/>
  <c r="F533" i="17"/>
  <c r="N532" i="17"/>
  <c r="L532" i="17"/>
  <c r="K532" i="17"/>
  <c r="I532" i="17"/>
  <c r="F532" i="17"/>
  <c r="N531" i="17"/>
  <c r="L531" i="17"/>
  <c r="K531" i="17"/>
  <c r="I531" i="17"/>
  <c r="F531" i="17"/>
  <c r="N530" i="17"/>
  <c r="L530" i="17"/>
  <c r="K530" i="17"/>
  <c r="I530" i="17"/>
  <c r="F530" i="17"/>
  <c r="N529" i="17"/>
  <c r="L529" i="17"/>
  <c r="K529" i="17"/>
  <c r="I529" i="17"/>
  <c r="F529" i="17"/>
  <c r="N528" i="17"/>
  <c r="L528" i="17"/>
  <c r="K528" i="17"/>
  <c r="I528" i="17"/>
  <c r="F528" i="17"/>
  <c r="N527" i="17"/>
  <c r="L527" i="17"/>
  <c r="K527" i="17"/>
  <c r="I527" i="17"/>
  <c r="F527" i="17"/>
  <c r="N526" i="17"/>
  <c r="L526" i="17"/>
  <c r="K526" i="17"/>
  <c r="I526" i="17"/>
  <c r="F526" i="17"/>
  <c r="N525" i="17"/>
  <c r="L525" i="17"/>
  <c r="K525" i="17"/>
  <c r="I525" i="17"/>
  <c r="F525" i="17"/>
  <c r="N524" i="17"/>
  <c r="L524" i="17"/>
  <c r="K524" i="17"/>
  <c r="I524" i="17"/>
  <c r="F524" i="17"/>
  <c r="N523" i="17"/>
  <c r="L523" i="17"/>
  <c r="K523" i="17"/>
  <c r="I523" i="17"/>
  <c r="F523" i="17"/>
  <c r="N522" i="17"/>
  <c r="L522" i="17"/>
  <c r="K522" i="17"/>
  <c r="I522" i="17"/>
  <c r="F522" i="17"/>
  <c r="N521" i="17"/>
  <c r="L521" i="17"/>
  <c r="K521" i="17"/>
  <c r="I521" i="17"/>
  <c r="F521" i="17"/>
  <c r="N520" i="17"/>
  <c r="L520" i="17"/>
  <c r="K520" i="17"/>
  <c r="I520" i="17"/>
  <c r="F520" i="17"/>
  <c r="N519" i="17"/>
  <c r="L519" i="17"/>
  <c r="K519" i="17"/>
  <c r="I519" i="17"/>
  <c r="F519" i="17"/>
  <c r="N518" i="17"/>
  <c r="L518" i="17"/>
  <c r="K518" i="17"/>
  <c r="I518" i="17"/>
  <c r="F518" i="17"/>
  <c r="N517" i="17"/>
  <c r="L517" i="17"/>
  <c r="K517" i="17"/>
  <c r="I517" i="17"/>
  <c r="F517" i="17"/>
  <c r="N516" i="17"/>
  <c r="L516" i="17"/>
  <c r="K516" i="17"/>
  <c r="I516" i="17"/>
  <c r="F516" i="17"/>
  <c r="N515" i="17"/>
  <c r="L515" i="17"/>
  <c r="K515" i="17"/>
  <c r="I515" i="17"/>
  <c r="F515" i="17"/>
  <c r="N514" i="17"/>
  <c r="L514" i="17"/>
  <c r="K514" i="17"/>
  <c r="I514" i="17"/>
  <c r="F514" i="17"/>
  <c r="N513" i="17"/>
  <c r="L513" i="17"/>
  <c r="K513" i="17"/>
  <c r="I513" i="17"/>
  <c r="F513" i="17"/>
  <c r="N512" i="17"/>
  <c r="L512" i="17"/>
  <c r="K512" i="17"/>
  <c r="I512" i="17"/>
  <c r="F512" i="17"/>
  <c r="N511" i="17"/>
  <c r="L511" i="17"/>
  <c r="K511" i="17"/>
  <c r="I511" i="17"/>
  <c r="F511" i="17"/>
  <c r="N510" i="17"/>
  <c r="L510" i="17"/>
  <c r="K510" i="17"/>
  <c r="I510" i="17"/>
  <c r="F510" i="17"/>
  <c r="N509" i="17"/>
  <c r="L509" i="17"/>
  <c r="K509" i="17"/>
  <c r="I509" i="17"/>
  <c r="F509" i="17"/>
  <c r="N508" i="17"/>
  <c r="L508" i="17"/>
  <c r="K508" i="17"/>
  <c r="I508" i="17"/>
  <c r="F508" i="17"/>
  <c r="N507" i="17"/>
  <c r="L507" i="17"/>
  <c r="K507" i="17"/>
  <c r="I507" i="17"/>
  <c r="F507" i="17"/>
  <c r="N506" i="17"/>
  <c r="L506" i="17"/>
  <c r="K506" i="17"/>
  <c r="I506" i="17"/>
  <c r="F506" i="17"/>
  <c r="N505" i="17"/>
  <c r="L505" i="17"/>
  <c r="K505" i="17"/>
  <c r="I505" i="17"/>
  <c r="F505" i="17"/>
  <c r="N504" i="17"/>
  <c r="L504" i="17"/>
  <c r="K504" i="17"/>
  <c r="I504" i="17"/>
  <c r="F504" i="17"/>
  <c r="N503" i="17"/>
  <c r="L503" i="17"/>
  <c r="K503" i="17"/>
  <c r="I503" i="17"/>
  <c r="F503" i="17"/>
  <c r="N502" i="17"/>
  <c r="L502" i="17"/>
  <c r="K502" i="17"/>
  <c r="I502" i="17"/>
  <c r="F502" i="17"/>
  <c r="N501" i="17"/>
  <c r="L501" i="17"/>
  <c r="K501" i="17"/>
  <c r="I501" i="17"/>
  <c r="F501" i="17"/>
  <c r="N500" i="17"/>
  <c r="L500" i="17"/>
  <c r="K500" i="17"/>
  <c r="I500" i="17"/>
  <c r="F500" i="17"/>
  <c r="N499" i="17"/>
  <c r="L499" i="17"/>
  <c r="K499" i="17"/>
  <c r="I499" i="17"/>
  <c r="F499" i="17"/>
  <c r="N498" i="17"/>
  <c r="L498" i="17"/>
  <c r="K498" i="17"/>
  <c r="I498" i="17"/>
  <c r="F498" i="17"/>
  <c r="N497" i="17"/>
  <c r="L497" i="17"/>
  <c r="K497" i="17"/>
  <c r="I497" i="17"/>
  <c r="F497" i="17"/>
  <c r="N496" i="17"/>
  <c r="L496" i="17"/>
  <c r="K496" i="17"/>
  <c r="I496" i="17"/>
  <c r="F496" i="17"/>
  <c r="N495" i="17"/>
  <c r="L495" i="17"/>
  <c r="K495" i="17"/>
  <c r="I495" i="17"/>
  <c r="F495" i="17"/>
  <c r="N494" i="17"/>
  <c r="L494" i="17"/>
  <c r="K494" i="17"/>
  <c r="I494" i="17"/>
  <c r="F494" i="17"/>
  <c r="N493" i="17"/>
  <c r="L493" i="17"/>
  <c r="K493" i="17"/>
  <c r="I493" i="17"/>
  <c r="F493" i="17"/>
  <c r="N492" i="17"/>
  <c r="L492" i="17"/>
  <c r="K492" i="17"/>
  <c r="I492" i="17"/>
  <c r="F492" i="17"/>
  <c r="N491" i="17"/>
  <c r="L491" i="17"/>
  <c r="K491" i="17"/>
  <c r="I491" i="17"/>
  <c r="F491" i="17"/>
  <c r="N490" i="17"/>
  <c r="L490" i="17"/>
  <c r="K490" i="17"/>
  <c r="I490" i="17"/>
  <c r="F490" i="17"/>
  <c r="N489" i="17"/>
  <c r="L489" i="17"/>
  <c r="K489" i="17"/>
  <c r="I489" i="17"/>
  <c r="F489" i="17"/>
  <c r="N488" i="17"/>
  <c r="L488" i="17"/>
  <c r="K488" i="17"/>
  <c r="I488" i="17"/>
  <c r="F488" i="17"/>
  <c r="N487" i="17"/>
  <c r="L487" i="17"/>
  <c r="K487" i="17"/>
  <c r="I487" i="17"/>
  <c r="F487" i="17"/>
  <c r="N486" i="17"/>
  <c r="L486" i="17"/>
  <c r="K486" i="17"/>
  <c r="I486" i="17"/>
  <c r="F486" i="17"/>
  <c r="N485" i="17"/>
  <c r="L485" i="17"/>
  <c r="K485" i="17"/>
  <c r="I485" i="17"/>
  <c r="F485" i="17"/>
  <c r="N484" i="17"/>
  <c r="L484" i="17"/>
  <c r="K484" i="17"/>
  <c r="I484" i="17"/>
  <c r="F484" i="17"/>
  <c r="N483" i="17"/>
  <c r="L483" i="17"/>
  <c r="K483" i="17"/>
  <c r="I483" i="17"/>
  <c r="F483" i="17"/>
  <c r="N482" i="17"/>
  <c r="L482" i="17"/>
  <c r="K482" i="17"/>
  <c r="I482" i="17"/>
  <c r="F482" i="17"/>
  <c r="N481" i="17"/>
  <c r="L481" i="17"/>
  <c r="K481" i="17"/>
  <c r="I481" i="17"/>
  <c r="F481" i="17"/>
  <c r="N480" i="17"/>
  <c r="L480" i="17"/>
  <c r="K480" i="17"/>
  <c r="I480" i="17"/>
  <c r="F480" i="17"/>
  <c r="N479" i="17"/>
  <c r="L479" i="17"/>
  <c r="K479" i="17"/>
  <c r="I479" i="17"/>
  <c r="F479" i="17"/>
  <c r="N478" i="17"/>
  <c r="L478" i="17"/>
  <c r="K478" i="17"/>
  <c r="I478" i="17"/>
  <c r="F478" i="17"/>
  <c r="N477" i="17"/>
  <c r="L477" i="17"/>
  <c r="K477" i="17"/>
  <c r="I477" i="17"/>
  <c r="F477" i="17"/>
  <c r="N476" i="17"/>
  <c r="L476" i="17"/>
  <c r="K476" i="17"/>
  <c r="I476" i="17"/>
  <c r="F476" i="17"/>
  <c r="N475" i="17"/>
  <c r="L475" i="17"/>
  <c r="K475" i="17"/>
  <c r="I475" i="17"/>
  <c r="F475" i="17"/>
  <c r="N474" i="17"/>
  <c r="L474" i="17"/>
  <c r="K474" i="17"/>
  <c r="I474" i="17"/>
  <c r="F474" i="17"/>
  <c r="N473" i="17"/>
  <c r="L473" i="17"/>
  <c r="K473" i="17"/>
  <c r="I473" i="17"/>
  <c r="F473" i="17"/>
  <c r="N472" i="17"/>
  <c r="L472" i="17"/>
  <c r="K472" i="17"/>
  <c r="I472" i="17"/>
  <c r="F472" i="17"/>
  <c r="N471" i="17"/>
  <c r="L471" i="17"/>
  <c r="K471" i="17"/>
  <c r="I471" i="17"/>
  <c r="F471" i="17"/>
  <c r="N470" i="17"/>
  <c r="L470" i="17"/>
  <c r="K470" i="17"/>
  <c r="I470" i="17"/>
  <c r="F470" i="17"/>
  <c r="N469" i="17"/>
  <c r="L469" i="17"/>
  <c r="K469" i="17"/>
  <c r="I469" i="17"/>
  <c r="F469" i="17"/>
  <c r="N468" i="17"/>
  <c r="L468" i="17"/>
  <c r="K468" i="17"/>
  <c r="I468" i="17"/>
  <c r="F468" i="17"/>
  <c r="N467" i="17"/>
  <c r="L467" i="17"/>
  <c r="K467" i="17"/>
  <c r="I467" i="17"/>
  <c r="F467" i="17"/>
  <c r="N466" i="17"/>
  <c r="L466" i="17"/>
  <c r="K466" i="17"/>
  <c r="I466" i="17"/>
  <c r="F466" i="17"/>
  <c r="N465" i="17"/>
  <c r="L465" i="17"/>
  <c r="K465" i="17"/>
  <c r="I465" i="17"/>
  <c r="F465" i="17"/>
  <c r="N464" i="17"/>
  <c r="L464" i="17"/>
  <c r="K464" i="17"/>
  <c r="I464" i="17"/>
  <c r="F464" i="17"/>
  <c r="N463" i="17"/>
  <c r="L463" i="17"/>
  <c r="K463" i="17"/>
  <c r="I463" i="17"/>
  <c r="F463" i="17"/>
  <c r="N462" i="17"/>
  <c r="L462" i="17"/>
  <c r="K462" i="17"/>
  <c r="I462" i="17"/>
  <c r="F462" i="17"/>
  <c r="N461" i="17"/>
  <c r="L461" i="17"/>
  <c r="K461" i="17"/>
  <c r="I461" i="17"/>
  <c r="F461" i="17"/>
  <c r="N460" i="17"/>
  <c r="L460" i="17"/>
  <c r="K460" i="17"/>
  <c r="I460" i="17"/>
  <c r="F460" i="17"/>
  <c r="N459" i="17"/>
  <c r="L459" i="17"/>
  <c r="K459" i="17"/>
  <c r="I459" i="17"/>
  <c r="F459" i="17"/>
  <c r="N458" i="17"/>
  <c r="L458" i="17"/>
  <c r="K458" i="17"/>
  <c r="I458" i="17"/>
  <c r="F458" i="17"/>
  <c r="N457" i="17"/>
  <c r="L457" i="17"/>
  <c r="K457" i="17"/>
  <c r="I457" i="17"/>
  <c r="F457" i="17"/>
  <c r="N456" i="17"/>
  <c r="L456" i="17"/>
  <c r="K456" i="17"/>
  <c r="I456" i="17"/>
  <c r="F456" i="17"/>
  <c r="N455" i="17"/>
  <c r="L455" i="17"/>
  <c r="K455" i="17"/>
  <c r="I455" i="17"/>
  <c r="F455" i="17"/>
  <c r="N454" i="17"/>
  <c r="L454" i="17"/>
  <c r="K454" i="17"/>
  <c r="I454" i="17"/>
  <c r="F454" i="17"/>
  <c r="N453" i="17"/>
  <c r="L453" i="17"/>
  <c r="K453" i="17"/>
  <c r="I453" i="17"/>
  <c r="F453" i="17"/>
  <c r="N452" i="17"/>
  <c r="L452" i="17"/>
  <c r="K452" i="17"/>
  <c r="I452" i="17"/>
  <c r="F452" i="17"/>
  <c r="N451" i="17"/>
  <c r="L451" i="17"/>
  <c r="K451" i="17"/>
  <c r="I451" i="17"/>
  <c r="F451" i="17"/>
  <c r="N450" i="17"/>
  <c r="L450" i="17"/>
  <c r="K450" i="17"/>
  <c r="I450" i="17"/>
  <c r="F450" i="17"/>
  <c r="N449" i="17"/>
  <c r="L449" i="17"/>
  <c r="K449" i="17"/>
  <c r="I449" i="17"/>
  <c r="F449" i="17"/>
  <c r="N448" i="17"/>
  <c r="L448" i="17"/>
  <c r="K448" i="17"/>
  <c r="I448" i="17"/>
  <c r="F448" i="17"/>
  <c r="N447" i="17"/>
  <c r="L447" i="17"/>
  <c r="K447" i="17"/>
  <c r="I447" i="17"/>
  <c r="F447" i="17"/>
  <c r="N446" i="17"/>
  <c r="L446" i="17"/>
  <c r="K446" i="17"/>
  <c r="I446" i="17"/>
  <c r="F446" i="17"/>
  <c r="N445" i="17"/>
  <c r="L445" i="17"/>
  <c r="K445" i="17"/>
  <c r="I445" i="17"/>
  <c r="F445" i="17"/>
  <c r="N444" i="17"/>
  <c r="L444" i="17"/>
  <c r="K444" i="17"/>
  <c r="I444" i="17"/>
  <c r="F444" i="17"/>
  <c r="N443" i="17"/>
  <c r="L443" i="17"/>
  <c r="K443" i="17"/>
  <c r="I443" i="17"/>
  <c r="F443" i="17"/>
  <c r="N442" i="17"/>
  <c r="L442" i="17"/>
  <c r="K442" i="17"/>
  <c r="I442" i="17"/>
  <c r="F442" i="17"/>
  <c r="N441" i="17"/>
  <c r="L441" i="17"/>
  <c r="K441" i="17"/>
  <c r="I441" i="17"/>
  <c r="F441" i="17"/>
  <c r="N440" i="17"/>
  <c r="L440" i="17"/>
  <c r="K440" i="17"/>
  <c r="I440" i="17"/>
  <c r="F440" i="17"/>
  <c r="N439" i="17"/>
  <c r="L439" i="17"/>
  <c r="K439" i="17"/>
  <c r="I439" i="17"/>
  <c r="F439" i="17"/>
  <c r="N438" i="17"/>
  <c r="L438" i="17"/>
  <c r="K438" i="17"/>
  <c r="I438" i="17"/>
  <c r="F438" i="17"/>
  <c r="N437" i="17"/>
  <c r="L437" i="17"/>
  <c r="K437" i="17"/>
  <c r="I437" i="17"/>
  <c r="F437" i="17"/>
  <c r="N436" i="17"/>
  <c r="L436" i="17"/>
  <c r="K436" i="17"/>
  <c r="I436" i="17"/>
  <c r="F436" i="17"/>
  <c r="N435" i="17"/>
  <c r="L435" i="17"/>
  <c r="K435" i="17"/>
  <c r="I435" i="17"/>
  <c r="F435" i="17"/>
  <c r="N434" i="17"/>
  <c r="L434" i="17"/>
  <c r="K434" i="17"/>
  <c r="I434" i="17"/>
  <c r="F434" i="17"/>
  <c r="N433" i="17"/>
  <c r="L433" i="17"/>
  <c r="K433" i="17"/>
  <c r="I433" i="17"/>
  <c r="F433" i="17"/>
  <c r="N432" i="17"/>
  <c r="L432" i="17"/>
  <c r="K432" i="17"/>
  <c r="I432" i="17"/>
  <c r="F432" i="17"/>
  <c r="N431" i="17"/>
  <c r="L431" i="17"/>
  <c r="K431" i="17"/>
  <c r="I431" i="17"/>
  <c r="F431" i="17"/>
  <c r="N430" i="17"/>
  <c r="L430" i="17"/>
  <c r="K430" i="17"/>
  <c r="I430" i="17"/>
  <c r="F430" i="17"/>
  <c r="N429" i="17"/>
  <c r="L429" i="17"/>
  <c r="K429" i="17"/>
  <c r="I429" i="17"/>
  <c r="F429" i="17"/>
  <c r="N428" i="17"/>
  <c r="L428" i="17"/>
  <c r="K428" i="17"/>
  <c r="I428" i="17"/>
  <c r="F428" i="17"/>
  <c r="N427" i="17"/>
  <c r="L427" i="17"/>
  <c r="K427" i="17"/>
  <c r="I427" i="17"/>
  <c r="F427" i="17"/>
  <c r="N426" i="17"/>
  <c r="L426" i="17"/>
  <c r="K426" i="17"/>
  <c r="I426" i="17"/>
  <c r="F426" i="17"/>
  <c r="N425" i="17"/>
  <c r="L425" i="17"/>
  <c r="K425" i="17"/>
  <c r="I425" i="17"/>
  <c r="F425" i="17"/>
  <c r="N424" i="17"/>
  <c r="L424" i="17"/>
  <c r="K424" i="17"/>
  <c r="I424" i="17"/>
  <c r="F424" i="17"/>
  <c r="N423" i="17"/>
  <c r="L423" i="17"/>
  <c r="K423" i="17"/>
  <c r="I423" i="17"/>
  <c r="F423" i="17"/>
  <c r="N422" i="17"/>
  <c r="L422" i="17"/>
  <c r="K422" i="17"/>
  <c r="I422" i="17"/>
  <c r="F422" i="17"/>
  <c r="N421" i="17"/>
  <c r="L421" i="17"/>
  <c r="K421" i="17"/>
  <c r="I421" i="17"/>
  <c r="F421" i="17"/>
  <c r="N420" i="17"/>
  <c r="L420" i="17"/>
  <c r="K420" i="17"/>
  <c r="I420" i="17"/>
  <c r="F420" i="17"/>
  <c r="N419" i="17"/>
  <c r="L419" i="17"/>
  <c r="K419" i="17"/>
  <c r="I419" i="17"/>
  <c r="F419" i="17"/>
  <c r="N418" i="17"/>
  <c r="L418" i="17"/>
  <c r="K418" i="17"/>
  <c r="I418" i="17"/>
  <c r="F418" i="17"/>
  <c r="N417" i="17"/>
  <c r="L417" i="17"/>
  <c r="K417" i="17"/>
  <c r="I417" i="17"/>
  <c r="F417" i="17"/>
  <c r="N416" i="17"/>
  <c r="L416" i="17"/>
  <c r="K416" i="17"/>
  <c r="I416" i="17"/>
  <c r="F416" i="17"/>
  <c r="N415" i="17"/>
  <c r="L415" i="17"/>
  <c r="K415" i="17"/>
  <c r="I415" i="17"/>
  <c r="F415" i="17"/>
  <c r="N414" i="17"/>
  <c r="L414" i="17"/>
  <c r="K414" i="17"/>
  <c r="I414" i="17"/>
  <c r="F414" i="17"/>
  <c r="N413" i="17"/>
  <c r="L413" i="17"/>
  <c r="K413" i="17"/>
  <c r="I413" i="17"/>
  <c r="F413" i="17"/>
  <c r="N412" i="17"/>
  <c r="L412" i="17"/>
  <c r="K412" i="17"/>
  <c r="I412" i="17"/>
  <c r="F412" i="17"/>
  <c r="N411" i="17"/>
  <c r="L411" i="17"/>
  <c r="K411" i="17"/>
  <c r="I411" i="17"/>
  <c r="F411" i="17"/>
  <c r="N410" i="17"/>
  <c r="L410" i="17"/>
  <c r="K410" i="17"/>
  <c r="I410" i="17"/>
  <c r="F410" i="17"/>
  <c r="N409" i="17"/>
  <c r="L409" i="17"/>
  <c r="K409" i="17"/>
  <c r="I409" i="17"/>
  <c r="F409" i="17"/>
  <c r="N408" i="17"/>
  <c r="L408" i="17"/>
  <c r="K408" i="17"/>
  <c r="I408" i="17"/>
  <c r="F408" i="17"/>
  <c r="N407" i="17"/>
  <c r="L407" i="17"/>
  <c r="K407" i="17"/>
  <c r="I407" i="17"/>
  <c r="F407" i="17"/>
  <c r="N406" i="17"/>
  <c r="L406" i="17"/>
  <c r="K406" i="17"/>
  <c r="I406" i="17"/>
  <c r="F406" i="17"/>
  <c r="N405" i="17"/>
  <c r="L405" i="17"/>
  <c r="K405" i="17"/>
  <c r="I405" i="17"/>
  <c r="F405" i="17"/>
  <c r="N404" i="17"/>
  <c r="L404" i="17"/>
  <c r="K404" i="17"/>
  <c r="I404" i="17"/>
  <c r="F404" i="17"/>
  <c r="N403" i="17"/>
  <c r="L403" i="17"/>
  <c r="K403" i="17"/>
  <c r="I403" i="17"/>
  <c r="F403" i="17"/>
  <c r="N402" i="17"/>
  <c r="L402" i="17"/>
  <c r="K402" i="17"/>
  <c r="I402" i="17"/>
  <c r="F402" i="17"/>
  <c r="N401" i="17"/>
  <c r="L401" i="17"/>
  <c r="K401" i="17"/>
  <c r="I401" i="17"/>
  <c r="F401" i="17"/>
  <c r="N400" i="17"/>
  <c r="L400" i="17"/>
  <c r="K400" i="17"/>
  <c r="I400" i="17"/>
  <c r="F400" i="17"/>
  <c r="N399" i="17"/>
  <c r="L399" i="17"/>
  <c r="K399" i="17"/>
  <c r="I399" i="17"/>
  <c r="F399" i="17"/>
  <c r="N398" i="17"/>
  <c r="L398" i="17"/>
  <c r="K398" i="17"/>
  <c r="I398" i="17"/>
  <c r="F398" i="17"/>
  <c r="N397" i="17"/>
  <c r="L397" i="17"/>
  <c r="K397" i="17"/>
  <c r="I397" i="17"/>
  <c r="F397" i="17"/>
  <c r="N396" i="17"/>
  <c r="L396" i="17"/>
  <c r="K396" i="17"/>
  <c r="I396" i="17"/>
  <c r="F396" i="17"/>
  <c r="N395" i="17"/>
  <c r="L395" i="17"/>
  <c r="K395" i="17"/>
  <c r="I395" i="17"/>
  <c r="F395" i="17"/>
  <c r="N394" i="17"/>
  <c r="L394" i="17"/>
  <c r="K394" i="17"/>
  <c r="I394" i="17"/>
  <c r="F394" i="17"/>
  <c r="N393" i="17"/>
  <c r="L393" i="17"/>
  <c r="K393" i="17"/>
  <c r="I393" i="17"/>
  <c r="F393" i="17"/>
  <c r="N392" i="17"/>
  <c r="L392" i="17"/>
  <c r="K392" i="17"/>
  <c r="I392" i="17"/>
  <c r="F392" i="17"/>
  <c r="N391" i="17"/>
  <c r="L391" i="17"/>
  <c r="K391" i="17"/>
  <c r="I391" i="17"/>
  <c r="F391" i="17"/>
  <c r="N390" i="17"/>
  <c r="L390" i="17"/>
  <c r="K390" i="17"/>
  <c r="I390" i="17"/>
  <c r="F390" i="17"/>
  <c r="N389" i="17"/>
  <c r="L389" i="17"/>
  <c r="K389" i="17"/>
  <c r="I389" i="17"/>
  <c r="F389" i="17"/>
  <c r="N388" i="17"/>
  <c r="L388" i="17"/>
  <c r="K388" i="17"/>
  <c r="I388" i="17"/>
  <c r="F388" i="17"/>
  <c r="N387" i="17"/>
  <c r="L387" i="17"/>
  <c r="K387" i="17"/>
  <c r="I387" i="17"/>
  <c r="F387" i="17"/>
  <c r="N386" i="17"/>
  <c r="L386" i="17"/>
  <c r="K386" i="17"/>
  <c r="I386" i="17"/>
  <c r="F386" i="17"/>
  <c r="N385" i="17"/>
  <c r="L385" i="17"/>
  <c r="K385" i="17"/>
  <c r="I385" i="17"/>
  <c r="F385" i="17"/>
  <c r="N384" i="17"/>
  <c r="L384" i="17"/>
  <c r="K384" i="17"/>
  <c r="I384" i="17"/>
  <c r="F384" i="17"/>
  <c r="N383" i="17"/>
  <c r="L383" i="17"/>
  <c r="K383" i="17"/>
  <c r="I383" i="17"/>
  <c r="F383" i="17"/>
  <c r="N382" i="17"/>
  <c r="L382" i="17"/>
  <c r="K382" i="17"/>
  <c r="I382" i="17"/>
  <c r="F382" i="17"/>
  <c r="N381" i="17"/>
  <c r="L381" i="17"/>
  <c r="K381" i="17"/>
  <c r="I381" i="17"/>
  <c r="F381" i="17"/>
  <c r="N380" i="17"/>
  <c r="L380" i="17"/>
  <c r="K380" i="17"/>
  <c r="I380" i="17"/>
  <c r="F380" i="17"/>
  <c r="N379" i="17"/>
  <c r="L379" i="17"/>
  <c r="K379" i="17"/>
  <c r="I379" i="17"/>
  <c r="F379" i="17"/>
  <c r="N378" i="17"/>
  <c r="L378" i="17"/>
  <c r="K378" i="17"/>
  <c r="I378" i="17"/>
  <c r="F378" i="17"/>
  <c r="N377" i="17"/>
  <c r="L377" i="17"/>
  <c r="K377" i="17"/>
  <c r="I377" i="17"/>
  <c r="F377" i="17"/>
  <c r="N376" i="17"/>
  <c r="L376" i="17"/>
  <c r="K376" i="17"/>
  <c r="I376" i="17"/>
  <c r="F376" i="17"/>
  <c r="N375" i="17"/>
  <c r="L375" i="17"/>
  <c r="K375" i="17"/>
  <c r="I375" i="17"/>
  <c r="F375" i="17"/>
  <c r="N374" i="17"/>
  <c r="L374" i="17"/>
  <c r="K374" i="17"/>
  <c r="I374" i="17"/>
  <c r="F374" i="17"/>
  <c r="N373" i="17"/>
  <c r="L373" i="17"/>
  <c r="K373" i="17"/>
  <c r="I373" i="17"/>
  <c r="F373" i="17"/>
  <c r="N372" i="17"/>
  <c r="L372" i="17"/>
  <c r="K372" i="17"/>
  <c r="I372" i="17"/>
  <c r="F372" i="17"/>
  <c r="N371" i="17"/>
  <c r="L371" i="17"/>
  <c r="K371" i="17"/>
  <c r="I371" i="17"/>
  <c r="F371" i="17"/>
  <c r="N370" i="17"/>
  <c r="L370" i="17"/>
  <c r="K370" i="17"/>
  <c r="I370" i="17"/>
  <c r="F370" i="17"/>
  <c r="N369" i="17"/>
  <c r="L369" i="17"/>
  <c r="K369" i="17"/>
  <c r="I369" i="17"/>
  <c r="F369" i="17"/>
  <c r="N368" i="17"/>
  <c r="L368" i="17"/>
  <c r="K368" i="17"/>
  <c r="I368" i="17"/>
  <c r="F368" i="17"/>
  <c r="N367" i="17"/>
  <c r="L367" i="17"/>
  <c r="K367" i="17"/>
  <c r="I367" i="17"/>
  <c r="F367" i="17"/>
  <c r="N366" i="17"/>
  <c r="L366" i="17"/>
  <c r="K366" i="17"/>
  <c r="I366" i="17"/>
  <c r="F366" i="17"/>
  <c r="N365" i="17"/>
  <c r="L365" i="17"/>
  <c r="K365" i="17"/>
  <c r="I365" i="17"/>
  <c r="F365" i="17"/>
  <c r="N364" i="17"/>
  <c r="L364" i="17"/>
  <c r="K364" i="17"/>
  <c r="I364" i="17"/>
  <c r="F364" i="17"/>
  <c r="N363" i="17"/>
  <c r="L363" i="17"/>
  <c r="K363" i="17"/>
  <c r="I363" i="17"/>
  <c r="F363" i="17"/>
  <c r="N362" i="17"/>
  <c r="L362" i="17"/>
  <c r="K362" i="17"/>
  <c r="I362" i="17"/>
  <c r="F362" i="17"/>
  <c r="N361" i="17"/>
  <c r="L361" i="17"/>
  <c r="K361" i="17"/>
  <c r="I361" i="17"/>
  <c r="F361" i="17"/>
  <c r="N360" i="17"/>
  <c r="L360" i="17"/>
  <c r="K360" i="17"/>
  <c r="I360" i="17"/>
  <c r="F360" i="17"/>
  <c r="N359" i="17"/>
  <c r="L359" i="17"/>
  <c r="K359" i="17"/>
  <c r="I359" i="17"/>
  <c r="F359" i="17"/>
  <c r="N358" i="17"/>
  <c r="L358" i="17"/>
  <c r="K358" i="17"/>
  <c r="I358" i="17"/>
  <c r="F358" i="17"/>
  <c r="N357" i="17"/>
  <c r="L357" i="17"/>
  <c r="K357" i="17"/>
  <c r="I357" i="17"/>
  <c r="F357" i="17"/>
  <c r="N356" i="17"/>
  <c r="L356" i="17"/>
  <c r="K356" i="17"/>
  <c r="I356" i="17"/>
  <c r="F356" i="17"/>
  <c r="N355" i="17"/>
  <c r="L355" i="17"/>
  <c r="K355" i="17"/>
  <c r="I355" i="17"/>
  <c r="F355" i="17"/>
  <c r="N354" i="17"/>
  <c r="L354" i="17"/>
  <c r="K354" i="17"/>
  <c r="I354" i="17"/>
  <c r="F354" i="17"/>
  <c r="N353" i="17"/>
  <c r="L353" i="17"/>
  <c r="K353" i="17"/>
  <c r="I353" i="17"/>
  <c r="F353" i="17"/>
  <c r="N352" i="17"/>
  <c r="L352" i="17"/>
  <c r="K352" i="17"/>
  <c r="I352" i="17"/>
  <c r="F352" i="17"/>
  <c r="N351" i="17"/>
  <c r="L351" i="17"/>
  <c r="K351" i="17"/>
  <c r="I351" i="17"/>
  <c r="F351" i="17"/>
  <c r="N350" i="17"/>
  <c r="L350" i="17"/>
  <c r="K350" i="17"/>
  <c r="I350" i="17"/>
  <c r="F350" i="17"/>
  <c r="N349" i="17"/>
  <c r="L349" i="17"/>
  <c r="K349" i="17"/>
  <c r="I349" i="17"/>
  <c r="F349" i="17"/>
  <c r="N348" i="17"/>
  <c r="L348" i="17"/>
  <c r="K348" i="17"/>
  <c r="I348" i="17"/>
  <c r="F348" i="17"/>
  <c r="N347" i="17"/>
  <c r="L347" i="17"/>
  <c r="K347" i="17"/>
  <c r="I347" i="17"/>
  <c r="F347" i="17"/>
  <c r="N346" i="17"/>
  <c r="L346" i="17"/>
  <c r="K346" i="17"/>
  <c r="I346" i="17"/>
  <c r="F346" i="17"/>
  <c r="N345" i="17"/>
  <c r="L345" i="17"/>
  <c r="K345" i="17"/>
  <c r="I345" i="17"/>
  <c r="F345" i="17"/>
  <c r="N344" i="17"/>
  <c r="L344" i="17"/>
  <c r="K344" i="17"/>
  <c r="I344" i="17"/>
  <c r="F344" i="17"/>
  <c r="N343" i="17"/>
  <c r="L343" i="17"/>
  <c r="K343" i="17"/>
  <c r="I343" i="17"/>
  <c r="F343" i="17"/>
  <c r="N342" i="17"/>
  <c r="L342" i="17"/>
  <c r="K342" i="17"/>
  <c r="I342" i="17"/>
  <c r="F342" i="17"/>
  <c r="N341" i="17"/>
  <c r="L341" i="17"/>
  <c r="K341" i="17"/>
  <c r="I341" i="17"/>
  <c r="F341" i="17"/>
  <c r="N340" i="17"/>
  <c r="L340" i="17"/>
  <c r="K340" i="17"/>
  <c r="I340" i="17"/>
  <c r="F340" i="17"/>
  <c r="N339" i="17"/>
  <c r="L339" i="17"/>
  <c r="K339" i="17"/>
  <c r="I339" i="17"/>
  <c r="F339" i="17"/>
  <c r="N338" i="17"/>
  <c r="L338" i="17"/>
  <c r="K338" i="17"/>
  <c r="I338" i="17"/>
  <c r="F338" i="17"/>
  <c r="N337" i="17"/>
  <c r="L337" i="17"/>
  <c r="K337" i="17"/>
  <c r="I337" i="17"/>
  <c r="F337" i="17"/>
  <c r="N336" i="17"/>
  <c r="L336" i="17"/>
  <c r="K336" i="17"/>
  <c r="I336" i="17"/>
  <c r="F336" i="17"/>
  <c r="N335" i="17"/>
  <c r="L335" i="17"/>
  <c r="K335" i="17"/>
  <c r="I335" i="17"/>
  <c r="F335" i="17"/>
  <c r="N334" i="17"/>
  <c r="L334" i="17"/>
  <c r="K334" i="17"/>
  <c r="I334" i="17"/>
  <c r="F334" i="17"/>
  <c r="N333" i="17"/>
  <c r="L333" i="17"/>
  <c r="K333" i="17"/>
  <c r="I333" i="17"/>
  <c r="F333" i="17"/>
  <c r="N332" i="17"/>
  <c r="L332" i="17"/>
  <c r="K332" i="17"/>
  <c r="I332" i="17"/>
  <c r="F332" i="17"/>
  <c r="N331" i="17"/>
  <c r="L331" i="17"/>
  <c r="K331" i="17"/>
  <c r="I331" i="17"/>
  <c r="F331" i="17"/>
  <c r="N330" i="17"/>
  <c r="L330" i="17"/>
  <c r="K330" i="17"/>
  <c r="I330" i="17"/>
  <c r="F330" i="17"/>
  <c r="N329" i="17"/>
  <c r="L329" i="17"/>
  <c r="K329" i="17"/>
  <c r="I329" i="17"/>
  <c r="F329" i="17"/>
  <c r="N328" i="17"/>
  <c r="L328" i="17"/>
  <c r="K328" i="17"/>
  <c r="I328" i="17"/>
  <c r="F328" i="17"/>
  <c r="N327" i="17"/>
  <c r="L327" i="17"/>
  <c r="K327" i="17"/>
  <c r="I327" i="17"/>
  <c r="F327" i="17"/>
  <c r="N326" i="17"/>
  <c r="L326" i="17"/>
  <c r="K326" i="17"/>
  <c r="I326" i="17"/>
  <c r="F326" i="17"/>
  <c r="N325" i="17"/>
  <c r="L325" i="17"/>
  <c r="K325" i="17"/>
  <c r="I325" i="17"/>
  <c r="F325" i="17"/>
  <c r="N324" i="17"/>
  <c r="L324" i="17"/>
  <c r="K324" i="17"/>
  <c r="I324" i="17"/>
  <c r="F324" i="17"/>
  <c r="N323" i="17"/>
  <c r="L323" i="17"/>
  <c r="K323" i="17"/>
  <c r="I323" i="17"/>
  <c r="F323" i="17"/>
  <c r="N322" i="17"/>
  <c r="L322" i="17"/>
  <c r="K322" i="17"/>
  <c r="I322" i="17"/>
  <c r="F322" i="17"/>
  <c r="N321" i="17"/>
  <c r="L321" i="17"/>
  <c r="K321" i="17"/>
  <c r="I321" i="17"/>
  <c r="F321" i="17"/>
  <c r="N320" i="17"/>
  <c r="L320" i="17"/>
  <c r="K320" i="17"/>
  <c r="I320" i="17"/>
  <c r="F320" i="17"/>
  <c r="N319" i="17"/>
  <c r="L319" i="17"/>
  <c r="K319" i="17"/>
  <c r="I319" i="17"/>
  <c r="F319" i="17"/>
  <c r="N318" i="17"/>
  <c r="L318" i="17"/>
  <c r="K318" i="17"/>
  <c r="I318" i="17"/>
  <c r="F318" i="17"/>
  <c r="N317" i="17"/>
  <c r="L317" i="17"/>
  <c r="K317" i="17"/>
  <c r="I317" i="17"/>
  <c r="F317" i="17"/>
  <c r="N316" i="17"/>
  <c r="L316" i="17"/>
  <c r="K316" i="17"/>
  <c r="I316" i="17"/>
  <c r="F316" i="17"/>
  <c r="N315" i="17"/>
  <c r="L315" i="17"/>
  <c r="K315" i="17"/>
  <c r="I315" i="17"/>
  <c r="F315" i="17"/>
  <c r="N314" i="17"/>
  <c r="L314" i="17"/>
  <c r="K314" i="17"/>
  <c r="I314" i="17"/>
  <c r="F314" i="17"/>
  <c r="N313" i="17"/>
  <c r="L313" i="17"/>
  <c r="K313" i="17"/>
  <c r="I313" i="17"/>
  <c r="F313" i="17"/>
  <c r="N312" i="17"/>
  <c r="L312" i="17"/>
  <c r="K312" i="17"/>
  <c r="I312" i="17"/>
  <c r="F312" i="17"/>
  <c r="N311" i="17"/>
  <c r="L311" i="17"/>
  <c r="K311" i="17"/>
  <c r="I311" i="17"/>
  <c r="F311" i="17"/>
  <c r="N310" i="17"/>
  <c r="L310" i="17"/>
  <c r="K310" i="17"/>
  <c r="I310" i="17"/>
  <c r="F310" i="17"/>
  <c r="N309" i="17"/>
  <c r="L309" i="17"/>
  <c r="K309" i="17"/>
  <c r="I309" i="17"/>
  <c r="F309" i="17"/>
  <c r="N308" i="17"/>
  <c r="L308" i="17"/>
  <c r="K308" i="17"/>
  <c r="I308" i="17"/>
  <c r="F308" i="17"/>
  <c r="N307" i="17"/>
  <c r="L307" i="17"/>
  <c r="K307" i="17"/>
  <c r="I307" i="17"/>
  <c r="F307" i="17"/>
  <c r="N306" i="17"/>
  <c r="L306" i="17"/>
  <c r="K306" i="17"/>
  <c r="I306" i="17"/>
  <c r="F306" i="17"/>
  <c r="N305" i="17"/>
  <c r="L305" i="17"/>
  <c r="K305" i="17"/>
  <c r="I305" i="17"/>
  <c r="F305" i="17"/>
  <c r="N304" i="17"/>
  <c r="L304" i="17"/>
  <c r="K304" i="17"/>
  <c r="I304" i="17"/>
  <c r="F304" i="17"/>
  <c r="N303" i="17"/>
  <c r="L303" i="17"/>
  <c r="K303" i="17"/>
  <c r="I303" i="17"/>
  <c r="F303" i="17"/>
  <c r="N302" i="17"/>
  <c r="L302" i="17"/>
  <c r="K302" i="17"/>
  <c r="I302" i="17"/>
  <c r="F302" i="17"/>
  <c r="N301" i="17"/>
  <c r="L301" i="17"/>
  <c r="K301" i="17"/>
  <c r="I301" i="17"/>
  <c r="F301" i="17"/>
  <c r="N300" i="17"/>
  <c r="L300" i="17"/>
  <c r="K300" i="17"/>
  <c r="I300" i="17"/>
  <c r="F300" i="17"/>
  <c r="N299" i="17"/>
  <c r="L299" i="17"/>
  <c r="K299" i="17"/>
  <c r="I299" i="17"/>
  <c r="F299" i="17"/>
  <c r="N298" i="17"/>
  <c r="L298" i="17"/>
  <c r="K298" i="17"/>
  <c r="I298" i="17"/>
  <c r="F298" i="17"/>
  <c r="N297" i="17"/>
  <c r="L297" i="17"/>
  <c r="K297" i="17"/>
  <c r="I297" i="17"/>
  <c r="F297" i="17"/>
  <c r="N296" i="17"/>
  <c r="L296" i="17"/>
  <c r="K296" i="17"/>
  <c r="I296" i="17"/>
  <c r="F296" i="17"/>
  <c r="N295" i="17"/>
  <c r="L295" i="17"/>
  <c r="K295" i="17"/>
  <c r="I295" i="17"/>
  <c r="F295" i="17"/>
  <c r="N294" i="17"/>
  <c r="L294" i="17"/>
  <c r="K294" i="17"/>
  <c r="I294" i="17"/>
  <c r="F294" i="17"/>
  <c r="N293" i="17"/>
  <c r="L293" i="17"/>
  <c r="K293" i="17"/>
  <c r="I293" i="17"/>
  <c r="F293" i="17"/>
  <c r="N292" i="17"/>
  <c r="L292" i="17"/>
  <c r="K292" i="17"/>
  <c r="I292" i="17"/>
  <c r="F292" i="17"/>
  <c r="N291" i="17"/>
  <c r="L291" i="17"/>
  <c r="K291" i="17"/>
  <c r="I291" i="17"/>
  <c r="F291" i="17"/>
  <c r="N290" i="17"/>
  <c r="L290" i="17"/>
  <c r="K290" i="17"/>
  <c r="I290" i="17"/>
  <c r="F290" i="17"/>
  <c r="N289" i="17"/>
  <c r="L289" i="17"/>
  <c r="K289" i="17"/>
  <c r="I289" i="17"/>
  <c r="F289" i="17"/>
  <c r="N288" i="17"/>
  <c r="L288" i="17"/>
  <c r="K288" i="17"/>
  <c r="I288" i="17"/>
  <c r="F288" i="17"/>
  <c r="N287" i="17"/>
  <c r="L287" i="17"/>
  <c r="K287" i="17"/>
  <c r="I287" i="17"/>
  <c r="F287" i="17"/>
  <c r="N286" i="17"/>
  <c r="L286" i="17"/>
  <c r="K286" i="17"/>
  <c r="I286" i="17"/>
  <c r="F286" i="17"/>
  <c r="N285" i="17"/>
  <c r="L285" i="17"/>
  <c r="K285" i="17"/>
  <c r="I285" i="17"/>
  <c r="F285" i="17"/>
  <c r="N284" i="17"/>
  <c r="L284" i="17"/>
  <c r="K284" i="17"/>
  <c r="I284" i="17"/>
  <c r="F284" i="17"/>
  <c r="N283" i="17"/>
  <c r="L283" i="17"/>
  <c r="K283" i="17"/>
  <c r="I283" i="17"/>
  <c r="F283" i="17"/>
  <c r="N282" i="17"/>
  <c r="L282" i="17"/>
  <c r="K282" i="17"/>
  <c r="I282" i="17"/>
  <c r="F282" i="17"/>
  <c r="N281" i="17"/>
  <c r="L281" i="17"/>
  <c r="K281" i="17"/>
  <c r="I281" i="17"/>
  <c r="F281" i="17"/>
  <c r="N280" i="17"/>
  <c r="L280" i="17"/>
  <c r="K280" i="17"/>
  <c r="I280" i="17"/>
  <c r="F280" i="17"/>
  <c r="N279" i="17"/>
  <c r="L279" i="17"/>
  <c r="K279" i="17"/>
  <c r="I279" i="17"/>
  <c r="F279" i="17"/>
  <c r="N278" i="17"/>
  <c r="L278" i="17"/>
  <c r="K278" i="17"/>
  <c r="I278" i="17"/>
  <c r="F278" i="17"/>
  <c r="N277" i="17"/>
  <c r="L277" i="17"/>
  <c r="K277" i="17"/>
  <c r="I277" i="17"/>
  <c r="F277" i="17"/>
  <c r="N276" i="17"/>
  <c r="L276" i="17"/>
  <c r="K276" i="17"/>
  <c r="I276" i="17"/>
  <c r="F276" i="17"/>
  <c r="N275" i="17"/>
  <c r="L275" i="17"/>
  <c r="K275" i="17"/>
  <c r="I275" i="17"/>
  <c r="F275" i="17"/>
  <c r="N274" i="17"/>
  <c r="L274" i="17"/>
  <c r="K274" i="17"/>
  <c r="I274" i="17"/>
  <c r="F274" i="17"/>
  <c r="N273" i="17"/>
  <c r="L273" i="17"/>
  <c r="K273" i="17"/>
  <c r="I273" i="17"/>
  <c r="F273" i="17"/>
  <c r="N272" i="17"/>
  <c r="L272" i="17"/>
  <c r="K272" i="17"/>
  <c r="I272" i="17"/>
  <c r="F272" i="17"/>
  <c r="N271" i="17"/>
  <c r="L271" i="17"/>
  <c r="K271" i="17"/>
  <c r="I271" i="17"/>
  <c r="F271" i="17"/>
  <c r="N270" i="17"/>
  <c r="L270" i="17"/>
  <c r="K270" i="17"/>
  <c r="I270" i="17"/>
  <c r="F270" i="17"/>
  <c r="N269" i="17"/>
  <c r="L269" i="17"/>
  <c r="K269" i="17"/>
  <c r="I269" i="17"/>
  <c r="F269" i="17"/>
  <c r="N268" i="17"/>
  <c r="L268" i="17"/>
  <c r="K268" i="17"/>
  <c r="I268" i="17"/>
  <c r="F268" i="17"/>
  <c r="N267" i="17"/>
  <c r="L267" i="17"/>
  <c r="K267" i="17"/>
  <c r="I267" i="17"/>
  <c r="F267" i="17"/>
  <c r="N266" i="17"/>
  <c r="L266" i="17"/>
  <c r="K266" i="17"/>
  <c r="I266" i="17"/>
  <c r="F266" i="17"/>
  <c r="N265" i="17"/>
  <c r="L265" i="17"/>
  <c r="K265" i="17"/>
  <c r="I265" i="17"/>
  <c r="F265" i="17"/>
  <c r="N264" i="17"/>
  <c r="L264" i="17"/>
  <c r="K264" i="17"/>
  <c r="I264" i="17"/>
  <c r="F264" i="17"/>
  <c r="N263" i="17"/>
  <c r="L263" i="17"/>
  <c r="K263" i="17"/>
  <c r="I263" i="17"/>
  <c r="F263" i="17"/>
  <c r="N262" i="17"/>
  <c r="L262" i="17"/>
  <c r="K262" i="17"/>
  <c r="I262" i="17"/>
  <c r="F262" i="17"/>
  <c r="N261" i="17"/>
  <c r="L261" i="17"/>
  <c r="K261" i="17"/>
  <c r="I261" i="17"/>
  <c r="F261" i="17"/>
  <c r="N260" i="17"/>
  <c r="L260" i="17"/>
  <c r="K260" i="17"/>
  <c r="I260" i="17"/>
  <c r="F260" i="17"/>
  <c r="N259" i="17"/>
  <c r="L259" i="17"/>
  <c r="K259" i="17"/>
  <c r="I259" i="17"/>
  <c r="F259" i="17"/>
  <c r="N258" i="17"/>
  <c r="L258" i="17"/>
  <c r="K258" i="17"/>
  <c r="I258" i="17"/>
  <c r="F258" i="17"/>
  <c r="N257" i="17"/>
  <c r="L257" i="17"/>
  <c r="K257" i="17"/>
  <c r="I257" i="17"/>
  <c r="F257" i="17"/>
  <c r="N256" i="17"/>
  <c r="L256" i="17"/>
  <c r="K256" i="17"/>
  <c r="I256" i="17"/>
  <c r="F256" i="17"/>
  <c r="N255" i="17"/>
  <c r="L255" i="17"/>
  <c r="K255" i="17"/>
  <c r="I255" i="17"/>
  <c r="F255" i="17"/>
  <c r="N254" i="17"/>
  <c r="L254" i="17"/>
  <c r="K254" i="17"/>
  <c r="I254" i="17"/>
  <c r="F254" i="17"/>
  <c r="N253" i="17"/>
  <c r="L253" i="17"/>
  <c r="K253" i="17"/>
  <c r="I253" i="17"/>
  <c r="F253" i="17"/>
  <c r="N252" i="17"/>
  <c r="L252" i="17"/>
  <c r="K252" i="17"/>
  <c r="I252" i="17"/>
  <c r="F252" i="17"/>
  <c r="N251" i="17"/>
  <c r="L251" i="17"/>
  <c r="K251" i="17"/>
  <c r="I251" i="17"/>
  <c r="F251" i="17"/>
  <c r="N250" i="17"/>
  <c r="L250" i="17"/>
  <c r="K250" i="17"/>
  <c r="I250" i="17"/>
  <c r="F250" i="17"/>
  <c r="N249" i="17"/>
  <c r="L249" i="17"/>
  <c r="K249" i="17"/>
  <c r="I249" i="17"/>
  <c r="F249" i="17"/>
  <c r="N248" i="17"/>
  <c r="L248" i="17"/>
  <c r="K248" i="17"/>
  <c r="I248" i="17"/>
  <c r="F248" i="17"/>
  <c r="N247" i="17"/>
  <c r="L247" i="17"/>
  <c r="K247" i="17"/>
  <c r="I247" i="17"/>
  <c r="F247" i="17"/>
  <c r="N246" i="17"/>
  <c r="L246" i="17"/>
  <c r="K246" i="17"/>
  <c r="I246" i="17"/>
  <c r="F246" i="17"/>
  <c r="N245" i="17"/>
  <c r="L245" i="17"/>
  <c r="K245" i="17"/>
  <c r="I245" i="17"/>
  <c r="F245" i="17"/>
  <c r="N244" i="17"/>
  <c r="L244" i="17"/>
  <c r="K244" i="17"/>
  <c r="I244" i="17"/>
  <c r="F244" i="17"/>
  <c r="N243" i="17"/>
  <c r="L243" i="17"/>
  <c r="K243" i="17"/>
  <c r="I243" i="17"/>
  <c r="F243" i="17"/>
  <c r="N242" i="17"/>
  <c r="L242" i="17"/>
  <c r="K242" i="17"/>
  <c r="I242" i="17"/>
  <c r="F242" i="17"/>
  <c r="N241" i="17"/>
  <c r="L241" i="17"/>
  <c r="K241" i="17"/>
  <c r="I241" i="17"/>
  <c r="F241" i="17"/>
  <c r="N240" i="17"/>
  <c r="L240" i="17"/>
  <c r="K240" i="17"/>
  <c r="I240" i="17"/>
  <c r="F240" i="17"/>
  <c r="N239" i="17"/>
  <c r="L239" i="17"/>
  <c r="K239" i="17"/>
  <c r="I239" i="17"/>
  <c r="F239" i="17"/>
  <c r="N238" i="17"/>
  <c r="L238" i="17"/>
  <c r="K238" i="17"/>
  <c r="I238" i="17"/>
  <c r="F238" i="17"/>
  <c r="N237" i="17"/>
  <c r="L237" i="17"/>
  <c r="K237" i="17"/>
  <c r="I237" i="17"/>
  <c r="F237" i="17"/>
  <c r="N236" i="17"/>
  <c r="L236" i="17"/>
  <c r="K236" i="17"/>
  <c r="I236" i="17"/>
  <c r="F236" i="17"/>
  <c r="N235" i="17"/>
  <c r="L235" i="17"/>
  <c r="K235" i="17"/>
  <c r="I235" i="17"/>
  <c r="F235" i="17"/>
  <c r="N234" i="17"/>
  <c r="L234" i="17"/>
  <c r="K234" i="17"/>
  <c r="I234" i="17"/>
  <c r="F234" i="17"/>
  <c r="N233" i="17"/>
  <c r="L233" i="17"/>
  <c r="K233" i="17"/>
  <c r="I233" i="17"/>
  <c r="F233" i="17"/>
  <c r="N232" i="17"/>
  <c r="L232" i="17"/>
  <c r="K232" i="17"/>
  <c r="I232" i="17"/>
  <c r="F232" i="17"/>
  <c r="N231" i="17"/>
  <c r="L231" i="17"/>
  <c r="K231" i="17"/>
  <c r="I231" i="17"/>
  <c r="F231" i="17"/>
  <c r="N230" i="17"/>
  <c r="L230" i="17"/>
  <c r="K230" i="17"/>
  <c r="I230" i="17"/>
  <c r="F230" i="17"/>
  <c r="N229" i="17"/>
  <c r="L229" i="17"/>
  <c r="K229" i="17"/>
  <c r="I229" i="17"/>
  <c r="F229" i="17"/>
  <c r="N228" i="17"/>
  <c r="L228" i="17"/>
  <c r="K228" i="17"/>
  <c r="I228" i="17"/>
  <c r="F228" i="17"/>
  <c r="N227" i="17"/>
  <c r="L227" i="17"/>
  <c r="K227" i="17"/>
  <c r="I227" i="17"/>
  <c r="F227" i="17"/>
  <c r="N226" i="17"/>
  <c r="L226" i="17"/>
  <c r="K226" i="17"/>
  <c r="I226" i="17"/>
  <c r="F226" i="17"/>
  <c r="N225" i="17"/>
  <c r="L225" i="17"/>
  <c r="K225" i="17"/>
  <c r="I225" i="17"/>
  <c r="F225" i="17"/>
  <c r="N224" i="17"/>
  <c r="L224" i="17"/>
  <c r="K224" i="17"/>
  <c r="I224" i="17"/>
  <c r="F224" i="17"/>
  <c r="N223" i="17"/>
  <c r="L223" i="17"/>
  <c r="K223" i="17"/>
  <c r="I223" i="17"/>
  <c r="F223" i="17"/>
  <c r="N222" i="17"/>
  <c r="L222" i="17"/>
  <c r="K222" i="17"/>
  <c r="I222" i="17"/>
  <c r="F222" i="17"/>
  <c r="N221" i="17"/>
  <c r="L221" i="17"/>
  <c r="K221" i="17"/>
  <c r="I221" i="17"/>
  <c r="F221" i="17"/>
  <c r="N220" i="17"/>
  <c r="L220" i="17"/>
  <c r="K220" i="17"/>
  <c r="I220" i="17"/>
  <c r="F220" i="17"/>
  <c r="N219" i="17"/>
  <c r="L219" i="17"/>
  <c r="K219" i="17"/>
  <c r="I219" i="17"/>
  <c r="F219" i="17"/>
  <c r="N218" i="17"/>
  <c r="L218" i="17"/>
  <c r="K218" i="17"/>
  <c r="I218" i="17"/>
  <c r="F218" i="17"/>
  <c r="N217" i="17"/>
  <c r="L217" i="17"/>
  <c r="K217" i="17"/>
  <c r="I217" i="17"/>
  <c r="F217" i="17"/>
  <c r="N216" i="17"/>
  <c r="L216" i="17"/>
  <c r="K216" i="17"/>
  <c r="I216" i="17"/>
  <c r="F216" i="17"/>
  <c r="N215" i="17"/>
  <c r="L215" i="17"/>
  <c r="K215" i="17"/>
  <c r="I215" i="17"/>
  <c r="F215" i="17"/>
  <c r="N214" i="17"/>
  <c r="L214" i="17"/>
  <c r="K214" i="17"/>
  <c r="I214" i="17"/>
  <c r="F214" i="17"/>
  <c r="N213" i="17"/>
  <c r="L213" i="17"/>
  <c r="K213" i="17"/>
  <c r="I213" i="17"/>
  <c r="F213" i="17"/>
  <c r="N212" i="17"/>
  <c r="L212" i="17"/>
  <c r="K212" i="17"/>
  <c r="I212" i="17"/>
  <c r="F212" i="17"/>
  <c r="N211" i="17"/>
  <c r="L211" i="17"/>
  <c r="K211" i="17"/>
  <c r="I211" i="17"/>
  <c r="F211" i="17"/>
  <c r="N210" i="17"/>
  <c r="L210" i="17"/>
  <c r="K210" i="17"/>
  <c r="I210" i="17"/>
  <c r="F210" i="17"/>
  <c r="N209" i="17"/>
  <c r="L209" i="17"/>
  <c r="K209" i="17"/>
  <c r="I209" i="17"/>
  <c r="F209" i="17"/>
  <c r="N208" i="17"/>
  <c r="L208" i="17"/>
  <c r="K208" i="17"/>
  <c r="I208" i="17"/>
  <c r="F208" i="17"/>
  <c r="N207" i="17"/>
  <c r="L207" i="17"/>
  <c r="K207" i="17"/>
  <c r="I207" i="17"/>
  <c r="F207" i="17"/>
  <c r="N206" i="17"/>
  <c r="L206" i="17"/>
  <c r="K206" i="17"/>
  <c r="I206" i="17"/>
  <c r="F206" i="17"/>
  <c r="N205" i="17"/>
  <c r="L205" i="17"/>
  <c r="K205" i="17"/>
  <c r="I205" i="17"/>
  <c r="F205" i="17"/>
  <c r="N204" i="17"/>
  <c r="L204" i="17"/>
  <c r="K204" i="17"/>
  <c r="I204" i="17"/>
  <c r="F204" i="17"/>
  <c r="N203" i="17"/>
  <c r="L203" i="17"/>
  <c r="K203" i="17"/>
  <c r="I203" i="17"/>
  <c r="F203" i="17"/>
  <c r="N202" i="17"/>
  <c r="L202" i="17"/>
  <c r="K202" i="17"/>
  <c r="I202" i="17"/>
  <c r="F202" i="17"/>
  <c r="N201" i="17"/>
  <c r="L201" i="17"/>
  <c r="K201" i="17"/>
  <c r="I201" i="17"/>
  <c r="F201" i="17"/>
  <c r="N200" i="17"/>
  <c r="L200" i="17"/>
  <c r="K200" i="17"/>
  <c r="I200" i="17"/>
  <c r="F200" i="17"/>
  <c r="N199" i="17"/>
  <c r="L199" i="17"/>
  <c r="K199" i="17"/>
  <c r="I199" i="17"/>
  <c r="F199" i="17"/>
  <c r="N198" i="17"/>
  <c r="L198" i="17"/>
  <c r="K198" i="17"/>
  <c r="I198" i="17"/>
  <c r="F198" i="17"/>
  <c r="N197" i="17"/>
  <c r="L197" i="17"/>
  <c r="K197" i="17"/>
  <c r="I197" i="17"/>
  <c r="F197" i="17"/>
  <c r="N196" i="17"/>
  <c r="L196" i="17"/>
  <c r="K196" i="17"/>
  <c r="I196" i="17"/>
  <c r="F196" i="17"/>
  <c r="N195" i="17"/>
  <c r="L195" i="17"/>
  <c r="K195" i="17"/>
  <c r="I195" i="17"/>
  <c r="F195" i="17"/>
  <c r="N194" i="17"/>
  <c r="L194" i="17"/>
  <c r="K194" i="17"/>
  <c r="I194" i="17"/>
  <c r="F194" i="17"/>
  <c r="N193" i="17"/>
  <c r="L193" i="17"/>
  <c r="K193" i="17"/>
  <c r="I193" i="17"/>
  <c r="F193" i="17"/>
  <c r="N192" i="17"/>
  <c r="L192" i="17"/>
  <c r="K192" i="17"/>
  <c r="I192" i="17"/>
  <c r="F192" i="17"/>
  <c r="N191" i="17"/>
  <c r="L191" i="17"/>
  <c r="K191" i="17"/>
  <c r="I191" i="17"/>
  <c r="F191" i="17"/>
  <c r="N190" i="17"/>
  <c r="L190" i="17"/>
  <c r="K190" i="17"/>
  <c r="I190" i="17"/>
  <c r="F190" i="17"/>
  <c r="N189" i="17"/>
  <c r="L189" i="17"/>
  <c r="K189" i="17"/>
  <c r="I189" i="17"/>
  <c r="F189" i="17"/>
  <c r="N188" i="17"/>
  <c r="L188" i="17"/>
  <c r="K188" i="17"/>
  <c r="I188" i="17"/>
  <c r="F188" i="17"/>
  <c r="N187" i="17"/>
  <c r="L187" i="17"/>
  <c r="K187" i="17"/>
  <c r="I187" i="17"/>
  <c r="F187" i="17"/>
  <c r="N186" i="17"/>
  <c r="L186" i="17"/>
  <c r="K186" i="17"/>
  <c r="I186" i="17"/>
  <c r="F186" i="17"/>
  <c r="N185" i="17"/>
  <c r="L185" i="17"/>
  <c r="K185" i="17"/>
  <c r="I185" i="17"/>
  <c r="F185" i="17"/>
  <c r="N184" i="17"/>
  <c r="L184" i="17"/>
  <c r="K184" i="17"/>
  <c r="I184" i="17"/>
  <c r="F184" i="17"/>
  <c r="N183" i="17"/>
  <c r="L183" i="17"/>
  <c r="K183" i="17"/>
  <c r="I183" i="17"/>
  <c r="F183" i="17"/>
  <c r="N182" i="17"/>
  <c r="L182" i="17"/>
  <c r="K182" i="17"/>
  <c r="I182" i="17"/>
  <c r="F182" i="17"/>
  <c r="N181" i="17"/>
  <c r="L181" i="17"/>
  <c r="K181" i="17"/>
  <c r="I181" i="17"/>
  <c r="F181" i="17"/>
  <c r="N180" i="17"/>
  <c r="L180" i="17"/>
  <c r="K180" i="17"/>
  <c r="I180" i="17"/>
  <c r="F180" i="17"/>
  <c r="N179" i="17"/>
  <c r="L179" i="17"/>
  <c r="K179" i="17"/>
  <c r="I179" i="17"/>
  <c r="F179" i="17"/>
  <c r="N178" i="17"/>
  <c r="L178" i="17"/>
  <c r="K178" i="17"/>
  <c r="I178" i="17"/>
  <c r="F178" i="17"/>
  <c r="N177" i="17"/>
  <c r="L177" i="17"/>
  <c r="K177" i="17"/>
  <c r="I177" i="17"/>
  <c r="F177" i="17"/>
  <c r="N176" i="17"/>
  <c r="L176" i="17"/>
  <c r="K176" i="17"/>
  <c r="I176" i="17"/>
  <c r="F176" i="17"/>
  <c r="N175" i="17"/>
  <c r="L175" i="17"/>
  <c r="K175" i="17"/>
  <c r="I175" i="17"/>
  <c r="F175" i="17"/>
  <c r="N174" i="17"/>
  <c r="L174" i="17"/>
  <c r="K174" i="17"/>
  <c r="I174" i="17"/>
  <c r="F174" i="17"/>
  <c r="N173" i="17"/>
  <c r="L173" i="17"/>
  <c r="K173" i="17"/>
  <c r="I173" i="17"/>
  <c r="F173" i="17"/>
  <c r="N172" i="17"/>
  <c r="L172" i="17"/>
  <c r="K172" i="17"/>
  <c r="I172" i="17"/>
  <c r="F172" i="17"/>
  <c r="N171" i="17"/>
  <c r="L171" i="17"/>
  <c r="K171" i="17"/>
  <c r="I171" i="17"/>
  <c r="F171" i="17"/>
  <c r="N170" i="17"/>
  <c r="L170" i="17"/>
  <c r="K170" i="17"/>
  <c r="I170" i="17"/>
  <c r="F170" i="17"/>
  <c r="N169" i="17"/>
  <c r="L169" i="17"/>
  <c r="K169" i="17"/>
  <c r="I169" i="17"/>
  <c r="F169" i="17"/>
  <c r="N168" i="17"/>
  <c r="L168" i="17"/>
  <c r="K168" i="17"/>
  <c r="I168" i="17"/>
  <c r="F168" i="17"/>
  <c r="N167" i="17"/>
  <c r="L167" i="17"/>
  <c r="K167" i="17"/>
  <c r="I167" i="17"/>
  <c r="F167" i="17"/>
  <c r="N166" i="17"/>
  <c r="L166" i="17"/>
  <c r="K166" i="17"/>
  <c r="I166" i="17"/>
  <c r="F166" i="17"/>
  <c r="N165" i="17"/>
  <c r="L165" i="17"/>
  <c r="K165" i="17"/>
  <c r="I165" i="17"/>
  <c r="F165" i="17"/>
  <c r="N164" i="17"/>
  <c r="L164" i="17"/>
  <c r="K164" i="17"/>
  <c r="I164" i="17"/>
  <c r="F164" i="17"/>
  <c r="N163" i="17"/>
  <c r="L163" i="17"/>
  <c r="K163" i="17"/>
  <c r="I163" i="17"/>
  <c r="F163" i="17"/>
  <c r="N162" i="17"/>
  <c r="L162" i="17"/>
  <c r="K162" i="17"/>
  <c r="I162" i="17"/>
  <c r="F162" i="17"/>
  <c r="N161" i="17"/>
  <c r="L161" i="17"/>
  <c r="K161" i="17"/>
  <c r="I161" i="17"/>
  <c r="F161" i="17"/>
  <c r="N160" i="17"/>
  <c r="L160" i="17"/>
  <c r="K160" i="17"/>
  <c r="I160" i="17"/>
  <c r="F160" i="17"/>
  <c r="N159" i="17"/>
  <c r="L159" i="17"/>
  <c r="K159" i="17"/>
  <c r="I159" i="17"/>
  <c r="F159" i="17"/>
  <c r="N158" i="17"/>
  <c r="L158" i="17"/>
  <c r="K158" i="17"/>
  <c r="I158" i="17"/>
  <c r="F158" i="17"/>
  <c r="N157" i="17"/>
  <c r="L157" i="17"/>
  <c r="K157" i="17"/>
  <c r="I157" i="17"/>
  <c r="F157" i="17"/>
  <c r="N156" i="17"/>
  <c r="L156" i="17"/>
  <c r="K156" i="17"/>
  <c r="I156" i="17"/>
  <c r="F156" i="17"/>
  <c r="N155" i="17"/>
  <c r="L155" i="17"/>
  <c r="K155" i="17"/>
  <c r="I155" i="17"/>
  <c r="F155" i="17"/>
  <c r="N154" i="17"/>
  <c r="L154" i="17"/>
  <c r="K154" i="17"/>
  <c r="I154" i="17"/>
  <c r="F154" i="17"/>
  <c r="N153" i="17"/>
  <c r="L153" i="17"/>
  <c r="K153" i="17"/>
  <c r="I153" i="17"/>
  <c r="F153" i="17"/>
  <c r="N152" i="17"/>
  <c r="L152" i="17"/>
  <c r="K152" i="17"/>
  <c r="I152" i="17"/>
  <c r="F152" i="17"/>
  <c r="N151" i="17"/>
  <c r="L151" i="17"/>
  <c r="K151" i="17"/>
  <c r="I151" i="17"/>
  <c r="F151" i="17"/>
  <c r="N150" i="17"/>
  <c r="L150" i="17"/>
  <c r="K150" i="17"/>
  <c r="I150" i="17"/>
  <c r="F150" i="17"/>
  <c r="N149" i="17"/>
  <c r="L149" i="17"/>
  <c r="K149" i="17"/>
  <c r="I149" i="17"/>
  <c r="F149" i="17"/>
  <c r="N148" i="17"/>
  <c r="L148" i="17"/>
  <c r="K148" i="17"/>
  <c r="I148" i="17"/>
  <c r="F148" i="17"/>
  <c r="N147" i="17"/>
  <c r="L147" i="17"/>
  <c r="K147" i="17"/>
  <c r="I147" i="17"/>
  <c r="F147" i="17"/>
  <c r="N146" i="17"/>
  <c r="L146" i="17"/>
  <c r="K146" i="17"/>
  <c r="I146" i="17"/>
  <c r="F146" i="17"/>
  <c r="N145" i="17"/>
  <c r="L145" i="17"/>
  <c r="K145" i="17"/>
  <c r="I145" i="17"/>
  <c r="F145" i="17"/>
  <c r="N144" i="17"/>
  <c r="L144" i="17"/>
  <c r="K144" i="17"/>
  <c r="I144" i="17"/>
  <c r="F144" i="17"/>
  <c r="N143" i="17"/>
  <c r="L143" i="17"/>
  <c r="K143" i="17"/>
  <c r="I143" i="17"/>
  <c r="F143" i="17"/>
  <c r="N142" i="17"/>
  <c r="L142" i="17"/>
  <c r="K142" i="17"/>
  <c r="I142" i="17"/>
  <c r="F142" i="17"/>
  <c r="N141" i="17"/>
  <c r="L141" i="17"/>
  <c r="K141" i="17"/>
  <c r="I141" i="17"/>
  <c r="F141" i="17"/>
  <c r="N140" i="17"/>
  <c r="L140" i="17"/>
  <c r="K140" i="17"/>
  <c r="I140" i="17"/>
  <c r="F140" i="17"/>
  <c r="N139" i="17"/>
  <c r="L139" i="17"/>
  <c r="K139" i="17"/>
  <c r="I139" i="17"/>
  <c r="F139" i="17"/>
  <c r="N138" i="17"/>
  <c r="L138" i="17"/>
  <c r="K138" i="17"/>
  <c r="I138" i="17"/>
  <c r="F138" i="17"/>
  <c r="N137" i="17"/>
  <c r="L137" i="17"/>
  <c r="K137" i="17"/>
  <c r="I137" i="17"/>
  <c r="F137" i="17"/>
  <c r="N136" i="17"/>
  <c r="L136" i="17"/>
  <c r="K136" i="17"/>
  <c r="I136" i="17"/>
  <c r="F136" i="17"/>
  <c r="N135" i="17"/>
  <c r="L135" i="17"/>
  <c r="K135" i="17"/>
  <c r="I135" i="17"/>
  <c r="F135" i="17"/>
  <c r="N134" i="17"/>
  <c r="L134" i="17"/>
  <c r="K134" i="17"/>
  <c r="I134" i="17"/>
  <c r="F134" i="17"/>
  <c r="N133" i="17"/>
  <c r="L133" i="17"/>
  <c r="K133" i="17"/>
  <c r="I133" i="17"/>
  <c r="F133" i="17"/>
  <c r="N132" i="17"/>
  <c r="L132" i="17"/>
  <c r="K132" i="17"/>
  <c r="I132" i="17"/>
  <c r="F132" i="17"/>
  <c r="N131" i="17"/>
  <c r="L131" i="17"/>
  <c r="K131" i="17"/>
  <c r="I131" i="17"/>
  <c r="F131" i="17"/>
  <c r="N130" i="17"/>
  <c r="L130" i="17"/>
  <c r="K130" i="17"/>
  <c r="I130" i="17"/>
  <c r="F130" i="17"/>
  <c r="N129" i="17"/>
  <c r="L129" i="17"/>
  <c r="K129" i="17"/>
  <c r="I129" i="17"/>
  <c r="F129" i="17"/>
  <c r="N128" i="17"/>
  <c r="L128" i="17"/>
  <c r="K128" i="17"/>
  <c r="I128" i="17"/>
  <c r="F128" i="17"/>
  <c r="N127" i="17"/>
  <c r="L127" i="17"/>
  <c r="K127" i="17"/>
  <c r="I127" i="17"/>
  <c r="F127" i="17"/>
  <c r="N126" i="17"/>
  <c r="L126" i="17"/>
  <c r="K126" i="17"/>
  <c r="I126" i="17"/>
  <c r="F126" i="17"/>
  <c r="N125" i="17"/>
  <c r="L125" i="17"/>
  <c r="K125" i="17"/>
  <c r="I125" i="17"/>
  <c r="F125" i="17"/>
  <c r="N124" i="17"/>
  <c r="L124" i="17"/>
  <c r="K124" i="17"/>
  <c r="I124" i="17"/>
  <c r="F124" i="17"/>
  <c r="N123" i="17"/>
  <c r="L123" i="17"/>
  <c r="K123" i="17"/>
  <c r="I123" i="17"/>
  <c r="F123" i="17"/>
  <c r="N122" i="17"/>
  <c r="L122" i="17"/>
  <c r="K122" i="17"/>
  <c r="I122" i="17"/>
  <c r="F122" i="17"/>
  <c r="N121" i="17"/>
  <c r="L121" i="17"/>
  <c r="K121" i="17"/>
  <c r="I121" i="17"/>
  <c r="F121" i="17"/>
  <c r="N120" i="17"/>
  <c r="L120" i="17"/>
  <c r="K120" i="17"/>
  <c r="I120" i="17"/>
  <c r="F120" i="17"/>
  <c r="N119" i="17"/>
  <c r="L119" i="17"/>
  <c r="K119" i="17"/>
  <c r="I119" i="17"/>
  <c r="F119" i="17"/>
  <c r="N118" i="17"/>
  <c r="L118" i="17"/>
  <c r="K118" i="17"/>
  <c r="I118" i="17"/>
  <c r="F118" i="17"/>
  <c r="N117" i="17"/>
  <c r="L117" i="17"/>
  <c r="K117" i="17"/>
  <c r="I117" i="17"/>
  <c r="F117" i="17"/>
  <c r="N116" i="17"/>
  <c r="L116" i="17"/>
  <c r="K116" i="17"/>
  <c r="I116" i="17"/>
  <c r="F116" i="17"/>
  <c r="N115" i="17"/>
  <c r="L115" i="17"/>
  <c r="K115" i="17"/>
  <c r="I115" i="17"/>
  <c r="F115" i="17"/>
  <c r="N114" i="17"/>
  <c r="L114" i="17"/>
  <c r="K114" i="17"/>
  <c r="I114" i="17"/>
  <c r="F114" i="17"/>
  <c r="N113" i="17"/>
  <c r="L113" i="17"/>
  <c r="K113" i="17"/>
  <c r="I113" i="17"/>
  <c r="F113" i="17"/>
  <c r="N112" i="17"/>
  <c r="L112" i="17"/>
  <c r="K112" i="17"/>
  <c r="I112" i="17"/>
  <c r="F112" i="17"/>
  <c r="N111" i="17"/>
  <c r="L111" i="17"/>
  <c r="K111" i="17"/>
  <c r="I111" i="17"/>
  <c r="F111" i="17"/>
  <c r="N110" i="17"/>
  <c r="L110" i="17"/>
  <c r="K110" i="17"/>
  <c r="I110" i="17"/>
  <c r="F110" i="17"/>
  <c r="N109" i="17"/>
  <c r="L109" i="17"/>
  <c r="K109" i="17"/>
  <c r="I109" i="17"/>
  <c r="F109" i="17"/>
  <c r="N108" i="17"/>
  <c r="L108" i="17"/>
  <c r="K108" i="17"/>
  <c r="I108" i="17"/>
  <c r="F108" i="17"/>
  <c r="N107" i="17"/>
  <c r="L107" i="17"/>
  <c r="K107" i="17"/>
  <c r="I107" i="17"/>
  <c r="F107" i="17"/>
  <c r="N106" i="17"/>
  <c r="L106" i="17"/>
  <c r="K106" i="17"/>
  <c r="I106" i="17"/>
  <c r="F106" i="17"/>
  <c r="N105" i="17"/>
  <c r="L105" i="17"/>
  <c r="K105" i="17"/>
  <c r="I105" i="17"/>
  <c r="F105" i="17"/>
  <c r="N104" i="17"/>
  <c r="L104" i="17"/>
  <c r="K104" i="17"/>
  <c r="I104" i="17"/>
  <c r="F104" i="17"/>
  <c r="N103" i="17"/>
  <c r="L103" i="17"/>
  <c r="K103" i="17"/>
  <c r="I103" i="17"/>
  <c r="F103" i="17"/>
  <c r="N102" i="17"/>
  <c r="L102" i="17"/>
  <c r="K102" i="17"/>
  <c r="I102" i="17"/>
  <c r="F102" i="17"/>
  <c r="N101" i="17"/>
  <c r="L101" i="17"/>
  <c r="K101" i="17"/>
  <c r="I101" i="17"/>
  <c r="F101" i="17"/>
  <c r="N100" i="17"/>
  <c r="L100" i="17"/>
  <c r="K100" i="17"/>
  <c r="I100" i="17"/>
  <c r="F100" i="17"/>
  <c r="N99" i="17"/>
  <c r="L99" i="17"/>
  <c r="K99" i="17"/>
  <c r="I99" i="17"/>
  <c r="F99" i="17"/>
  <c r="N98" i="17"/>
  <c r="L98" i="17"/>
  <c r="K98" i="17"/>
  <c r="I98" i="17"/>
  <c r="F98" i="17"/>
  <c r="N97" i="17"/>
  <c r="L97" i="17"/>
  <c r="K97" i="17"/>
  <c r="I97" i="17"/>
  <c r="F97" i="17"/>
  <c r="N96" i="17"/>
  <c r="L96" i="17"/>
  <c r="K96" i="17"/>
  <c r="I96" i="17"/>
  <c r="F96" i="17"/>
  <c r="N95" i="17"/>
  <c r="L95" i="17"/>
  <c r="K95" i="17"/>
  <c r="I95" i="17"/>
  <c r="F95" i="17"/>
  <c r="N94" i="17"/>
  <c r="L94" i="17"/>
  <c r="K94" i="17"/>
  <c r="I94" i="17"/>
  <c r="F94" i="17"/>
  <c r="N93" i="17"/>
  <c r="L93" i="17"/>
  <c r="K93" i="17"/>
  <c r="I93" i="17"/>
  <c r="F93" i="17"/>
  <c r="N92" i="17"/>
  <c r="L92" i="17"/>
  <c r="K92" i="17"/>
  <c r="I92" i="17"/>
  <c r="F92" i="17"/>
  <c r="N91" i="17"/>
  <c r="L91" i="17"/>
  <c r="K91" i="17"/>
  <c r="I91" i="17"/>
  <c r="F91" i="17"/>
  <c r="N90" i="17"/>
  <c r="L90" i="17"/>
  <c r="K90" i="17"/>
  <c r="I90" i="17"/>
  <c r="F90" i="17"/>
  <c r="N89" i="17"/>
  <c r="L89" i="17"/>
  <c r="K89" i="17"/>
  <c r="I89" i="17"/>
  <c r="F89" i="17"/>
  <c r="N88" i="17"/>
  <c r="L88" i="17"/>
  <c r="K88" i="17"/>
  <c r="I88" i="17"/>
  <c r="F88" i="17"/>
  <c r="N87" i="17"/>
  <c r="L87" i="17"/>
  <c r="K87" i="17"/>
  <c r="I87" i="17"/>
  <c r="F87" i="17"/>
  <c r="N86" i="17"/>
  <c r="L86" i="17"/>
  <c r="K86" i="17"/>
  <c r="I86" i="17"/>
  <c r="F86" i="17"/>
  <c r="N85" i="17"/>
  <c r="L85" i="17"/>
  <c r="K85" i="17"/>
  <c r="I85" i="17"/>
  <c r="F85" i="17"/>
  <c r="N84" i="17"/>
  <c r="L84" i="17"/>
  <c r="K84" i="17"/>
  <c r="I84" i="17"/>
  <c r="F84" i="17"/>
  <c r="N83" i="17"/>
  <c r="L83" i="17"/>
  <c r="K83" i="17"/>
  <c r="I83" i="17"/>
  <c r="F83" i="17"/>
  <c r="N82" i="17"/>
  <c r="L82" i="17"/>
  <c r="K82" i="17"/>
  <c r="I82" i="17"/>
  <c r="F82" i="17"/>
  <c r="N81" i="17"/>
  <c r="L81" i="17"/>
  <c r="K81" i="17"/>
  <c r="I81" i="17"/>
  <c r="F81" i="17"/>
  <c r="N80" i="17"/>
  <c r="L80" i="17"/>
  <c r="K80" i="17"/>
  <c r="I80" i="17"/>
  <c r="F80" i="17"/>
  <c r="N79" i="17"/>
  <c r="L79" i="17"/>
  <c r="K79" i="17"/>
  <c r="I79" i="17"/>
  <c r="F79" i="17"/>
  <c r="N78" i="17"/>
  <c r="L78" i="17"/>
  <c r="K78" i="17"/>
  <c r="I78" i="17"/>
  <c r="F78" i="17"/>
  <c r="N77" i="17"/>
  <c r="L77" i="17"/>
  <c r="K77" i="17"/>
  <c r="I77" i="17"/>
  <c r="F77" i="17"/>
  <c r="N76" i="17"/>
  <c r="L76" i="17"/>
  <c r="K76" i="17"/>
  <c r="I76" i="17"/>
  <c r="F76" i="17"/>
  <c r="N75" i="17"/>
  <c r="L75" i="17"/>
  <c r="K75" i="17"/>
  <c r="I75" i="17"/>
  <c r="F75" i="17"/>
  <c r="N74" i="17"/>
  <c r="L74" i="17"/>
  <c r="K74" i="17"/>
  <c r="I74" i="17"/>
  <c r="F74" i="17"/>
  <c r="N73" i="17"/>
  <c r="L73" i="17"/>
  <c r="K73" i="17"/>
  <c r="I73" i="17"/>
  <c r="F73" i="17"/>
  <c r="N72" i="17"/>
  <c r="L72" i="17"/>
  <c r="K72" i="17"/>
  <c r="I72" i="17"/>
  <c r="F72" i="17"/>
  <c r="N71" i="17"/>
  <c r="L71" i="17"/>
  <c r="K71" i="17"/>
  <c r="I71" i="17"/>
  <c r="F71" i="17"/>
  <c r="N70" i="17"/>
  <c r="L70" i="17"/>
  <c r="K70" i="17"/>
  <c r="I70" i="17"/>
  <c r="F70" i="17"/>
  <c r="N69" i="17"/>
  <c r="L69" i="17"/>
  <c r="K69" i="17"/>
  <c r="I69" i="17"/>
  <c r="F69" i="17"/>
  <c r="N68" i="17"/>
  <c r="L68" i="17"/>
  <c r="K68" i="17"/>
  <c r="I68" i="17"/>
  <c r="F68" i="17"/>
  <c r="N67" i="17"/>
  <c r="L67" i="17"/>
  <c r="K67" i="17"/>
  <c r="I67" i="17"/>
  <c r="F67" i="17"/>
  <c r="N66" i="17"/>
  <c r="L66" i="17"/>
  <c r="K66" i="17"/>
  <c r="I66" i="17"/>
  <c r="F66" i="17"/>
  <c r="N65" i="17"/>
  <c r="L65" i="17"/>
  <c r="K65" i="17"/>
  <c r="I65" i="17"/>
  <c r="F65" i="17"/>
  <c r="N64" i="17"/>
  <c r="L64" i="17"/>
  <c r="K64" i="17"/>
  <c r="I64" i="17"/>
  <c r="F64" i="17"/>
  <c r="N63" i="17"/>
  <c r="L63" i="17"/>
  <c r="K63" i="17"/>
  <c r="I63" i="17"/>
  <c r="F63" i="17"/>
  <c r="N62" i="17"/>
  <c r="L62" i="17"/>
  <c r="K62" i="17"/>
  <c r="I62" i="17"/>
  <c r="F62" i="17"/>
  <c r="N61" i="17"/>
  <c r="L61" i="17"/>
  <c r="K61" i="17"/>
  <c r="I61" i="17"/>
  <c r="F61" i="17"/>
  <c r="N60" i="17"/>
  <c r="L60" i="17"/>
  <c r="K60" i="17"/>
  <c r="I60" i="17"/>
  <c r="F60" i="17"/>
  <c r="N59" i="17"/>
  <c r="L59" i="17"/>
  <c r="K59" i="17"/>
  <c r="I59" i="17"/>
  <c r="F59" i="17"/>
  <c r="N58" i="17"/>
  <c r="L58" i="17"/>
  <c r="K58" i="17"/>
  <c r="I58" i="17"/>
  <c r="F58" i="17"/>
  <c r="N57" i="17"/>
  <c r="L57" i="17"/>
  <c r="K57" i="17"/>
  <c r="I57" i="17"/>
  <c r="F57" i="17"/>
  <c r="N56" i="17"/>
  <c r="L56" i="17"/>
  <c r="K56" i="17"/>
  <c r="I56" i="17"/>
  <c r="F56" i="17"/>
  <c r="N55" i="17"/>
  <c r="L55" i="17"/>
  <c r="K55" i="17"/>
  <c r="I55" i="17"/>
  <c r="F55" i="17"/>
  <c r="N54" i="17"/>
  <c r="L54" i="17"/>
  <c r="K54" i="17"/>
  <c r="I54" i="17"/>
  <c r="F54" i="17"/>
  <c r="N53" i="17"/>
  <c r="L53" i="17"/>
  <c r="K53" i="17"/>
  <c r="I53" i="17"/>
  <c r="F53" i="17"/>
  <c r="N52" i="17"/>
  <c r="L52" i="17"/>
  <c r="K52" i="17"/>
  <c r="I52" i="17"/>
  <c r="F52" i="17"/>
  <c r="N51" i="17"/>
  <c r="L51" i="17"/>
  <c r="K51" i="17"/>
  <c r="I51" i="17"/>
  <c r="F51" i="17"/>
  <c r="N50" i="17"/>
  <c r="L50" i="17"/>
  <c r="K50" i="17"/>
  <c r="I50" i="17"/>
  <c r="F50" i="17"/>
  <c r="N49" i="17"/>
  <c r="L49" i="17"/>
  <c r="K49" i="17"/>
  <c r="I49" i="17"/>
  <c r="F49" i="17"/>
  <c r="N48" i="17"/>
  <c r="L48" i="17"/>
  <c r="K48" i="17"/>
  <c r="I48" i="17"/>
  <c r="F48" i="17"/>
  <c r="N47" i="17"/>
  <c r="L47" i="17"/>
  <c r="K47" i="17"/>
  <c r="I47" i="17"/>
  <c r="F47" i="17"/>
  <c r="N46" i="17"/>
  <c r="L46" i="17"/>
  <c r="K46" i="17"/>
  <c r="I46" i="17"/>
  <c r="F46" i="17"/>
  <c r="N45" i="17"/>
  <c r="L45" i="17"/>
  <c r="K45" i="17"/>
  <c r="I45" i="17"/>
  <c r="F45" i="17"/>
  <c r="N44" i="17"/>
  <c r="L44" i="17"/>
  <c r="K44" i="17"/>
  <c r="I44" i="17"/>
  <c r="F44" i="17"/>
  <c r="N43" i="17"/>
  <c r="L43" i="17"/>
  <c r="K43" i="17"/>
  <c r="I43" i="17"/>
  <c r="F43" i="17"/>
  <c r="N42" i="17"/>
  <c r="L42" i="17"/>
  <c r="K42" i="17"/>
  <c r="I42" i="17"/>
  <c r="F42" i="17"/>
  <c r="N41" i="17"/>
  <c r="L41" i="17"/>
  <c r="K41" i="17"/>
  <c r="I41" i="17"/>
  <c r="F41" i="17"/>
  <c r="N40" i="17"/>
  <c r="L40" i="17"/>
  <c r="K40" i="17"/>
  <c r="I40" i="17"/>
  <c r="F40" i="17"/>
  <c r="N39" i="17"/>
  <c r="L39" i="17"/>
  <c r="K39" i="17"/>
  <c r="I39" i="17"/>
  <c r="F39" i="17"/>
  <c r="N38" i="17"/>
  <c r="L38" i="17"/>
  <c r="K38" i="17"/>
  <c r="I38" i="17"/>
  <c r="F38" i="17"/>
  <c r="N37" i="17"/>
  <c r="L37" i="17"/>
  <c r="K37" i="17"/>
  <c r="I37" i="17"/>
  <c r="F37" i="17"/>
  <c r="N36" i="17"/>
  <c r="L36" i="17"/>
  <c r="K36" i="17"/>
  <c r="I36" i="17"/>
  <c r="F36" i="17"/>
  <c r="N35" i="17"/>
  <c r="L35" i="17"/>
  <c r="K35" i="17"/>
  <c r="I35" i="17"/>
  <c r="F35" i="17"/>
  <c r="N34" i="17"/>
  <c r="L34" i="17"/>
  <c r="K34" i="17"/>
  <c r="I34" i="17"/>
  <c r="F34" i="17"/>
  <c r="N33" i="17"/>
  <c r="L33" i="17"/>
  <c r="K33" i="17"/>
  <c r="I33" i="17"/>
  <c r="F33" i="17"/>
  <c r="N32" i="17"/>
  <c r="L32" i="17"/>
  <c r="K32" i="17"/>
  <c r="I32" i="17"/>
  <c r="F32" i="17"/>
  <c r="N31" i="17"/>
  <c r="L31" i="17"/>
  <c r="K31" i="17"/>
  <c r="I31" i="17"/>
  <c r="F31" i="17"/>
  <c r="N30" i="17"/>
  <c r="L30" i="17"/>
  <c r="K30" i="17"/>
  <c r="I30" i="17"/>
  <c r="F30" i="17"/>
  <c r="N29" i="17"/>
  <c r="L29" i="17"/>
  <c r="K29" i="17"/>
  <c r="I29" i="17"/>
  <c r="F29" i="17"/>
  <c r="N28" i="17"/>
  <c r="L28" i="17"/>
  <c r="K28" i="17"/>
  <c r="I28" i="17"/>
  <c r="F28" i="17"/>
  <c r="N27" i="17"/>
  <c r="L27" i="17"/>
  <c r="K27" i="17"/>
  <c r="I27" i="17"/>
  <c r="F27" i="17"/>
  <c r="N26" i="17"/>
  <c r="L26" i="17"/>
  <c r="K26" i="17"/>
  <c r="I26" i="17"/>
  <c r="F26" i="17"/>
  <c r="N25" i="17"/>
  <c r="L25" i="17"/>
  <c r="K25" i="17"/>
  <c r="I25" i="17"/>
  <c r="F25" i="17"/>
  <c r="N24" i="17"/>
  <c r="L24" i="17"/>
  <c r="K24" i="17"/>
  <c r="I24" i="17"/>
  <c r="F24" i="17"/>
  <c r="N23" i="17"/>
  <c r="L23" i="17"/>
  <c r="K23" i="17"/>
  <c r="I23" i="17"/>
  <c r="F23" i="17"/>
  <c r="N22" i="17"/>
  <c r="L22" i="17"/>
  <c r="K22" i="17"/>
  <c r="I22" i="17"/>
  <c r="F22" i="17"/>
  <c r="N21" i="17"/>
  <c r="L21" i="17"/>
  <c r="K21" i="17"/>
  <c r="I21" i="17"/>
  <c r="F21" i="17"/>
  <c r="N20" i="17"/>
  <c r="L20" i="17"/>
  <c r="K20" i="17"/>
  <c r="I20" i="17"/>
  <c r="F20" i="17"/>
  <c r="N19" i="17"/>
  <c r="L19" i="17"/>
  <c r="K19" i="17"/>
  <c r="I19" i="17"/>
  <c r="F19" i="17"/>
  <c r="N18" i="17"/>
  <c r="L18" i="17"/>
  <c r="K18" i="17"/>
  <c r="I18" i="17"/>
  <c r="F18" i="17"/>
  <c r="N17" i="17"/>
  <c r="L17" i="17"/>
  <c r="K17" i="17"/>
  <c r="I17" i="17"/>
  <c r="F17" i="17"/>
  <c r="N16" i="17"/>
  <c r="L16" i="17"/>
  <c r="K16" i="17"/>
  <c r="I16" i="17"/>
  <c r="F16" i="17"/>
  <c r="N15" i="17"/>
  <c r="L15" i="17"/>
  <c r="K15" i="17"/>
  <c r="I15" i="17"/>
  <c r="F15" i="17"/>
  <c r="N14" i="17"/>
  <c r="L14" i="17"/>
  <c r="K14" i="17"/>
  <c r="I14" i="17"/>
  <c r="F14" i="17"/>
  <c r="N13" i="17"/>
  <c r="L13" i="17"/>
  <c r="K13" i="17"/>
  <c r="I13" i="17"/>
  <c r="F13" i="17"/>
  <c r="N12" i="17"/>
  <c r="L12" i="17"/>
  <c r="K12" i="17"/>
  <c r="I12" i="17"/>
  <c r="F12" i="17"/>
  <c r="N11" i="17"/>
  <c r="L11" i="17"/>
  <c r="K11" i="17"/>
  <c r="I11" i="17"/>
  <c r="F11" i="17"/>
  <c r="N10" i="17"/>
  <c r="L10" i="17"/>
  <c r="K10" i="17"/>
  <c r="I10" i="17"/>
  <c r="F10" i="17"/>
  <c r="N9" i="17"/>
  <c r="L9" i="17"/>
  <c r="K9" i="17"/>
  <c r="I9" i="17"/>
  <c r="F9" i="17"/>
  <c r="N8" i="17"/>
  <c r="L8" i="17"/>
  <c r="K8" i="17"/>
  <c r="I8" i="17"/>
  <c r="F8" i="17"/>
  <c r="N7" i="17"/>
  <c r="L7" i="17"/>
  <c r="K7" i="17"/>
  <c r="I7" i="17"/>
  <c r="F7" i="17"/>
  <c r="N6" i="17"/>
  <c r="L6" i="17"/>
  <c r="K6" i="17"/>
  <c r="I6" i="17"/>
  <c r="F6" i="17"/>
  <c r="N5" i="17"/>
  <c r="L5" i="17"/>
  <c r="K5" i="17"/>
  <c r="I5" i="17"/>
  <c r="F5" i="17"/>
  <c r="N4" i="17"/>
  <c r="L4" i="17"/>
  <c r="K4" i="17"/>
  <c r="I4" i="17"/>
  <c r="F4" i="17"/>
  <c r="N3" i="17"/>
  <c r="L3" i="17"/>
  <c r="K3" i="17"/>
  <c r="I3" i="17"/>
  <c r="F3" i="17"/>
  <c r="N2" i="17"/>
  <c r="L2" i="17"/>
  <c r="K2" i="17"/>
  <c r="I2" i="17"/>
  <c r="F2" i="17"/>
  <c r="I35" i="16"/>
  <c r="I34" i="16"/>
  <c r="I33" i="16"/>
  <c r="I32" i="16"/>
  <c r="H32" i="16"/>
  <c r="F32" i="16"/>
  <c r="I31" i="16"/>
  <c r="H31" i="16"/>
  <c r="F31" i="16"/>
  <c r="I30" i="16"/>
  <c r="H30" i="16"/>
  <c r="F30" i="16"/>
  <c r="I29" i="16"/>
  <c r="H29" i="16"/>
  <c r="F29" i="16"/>
  <c r="I28" i="16"/>
  <c r="H28" i="16"/>
  <c r="F28" i="16"/>
  <c r="I27" i="16"/>
  <c r="H27" i="16"/>
  <c r="F27" i="16"/>
  <c r="I26" i="16"/>
  <c r="H26" i="16"/>
  <c r="F26" i="16"/>
  <c r="I25" i="16"/>
  <c r="H25" i="16"/>
  <c r="F25" i="16"/>
  <c r="I24" i="16"/>
  <c r="H24" i="16"/>
  <c r="F24" i="16"/>
  <c r="I23" i="16"/>
  <c r="H23" i="16"/>
  <c r="F23" i="16"/>
  <c r="I22" i="16"/>
  <c r="H22" i="16"/>
  <c r="F22" i="16"/>
  <c r="I21" i="16"/>
  <c r="H21" i="16"/>
  <c r="F21" i="16"/>
  <c r="I20" i="16"/>
  <c r="H20" i="16"/>
  <c r="F20" i="16"/>
  <c r="I19" i="16"/>
  <c r="H19" i="16"/>
  <c r="F19" i="16"/>
  <c r="I18" i="16"/>
  <c r="H18" i="16"/>
  <c r="F18" i="16"/>
  <c r="I17" i="16"/>
  <c r="H17" i="16"/>
  <c r="F17" i="16"/>
  <c r="I16" i="16"/>
  <c r="H16" i="16"/>
  <c r="F16" i="16"/>
  <c r="I15" i="16"/>
  <c r="H15" i="16"/>
  <c r="F15" i="16"/>
  <c r="I14" i="16"/>
  <c r="H14" i="16"/>
  <c r="F14" i="16"/>
  <c r="I13" i="16"/>
  <c r="H13" i="16"/>
  <c r="F13" i="16"/>
  <c r="I12" i="16"/>
  <c r="H12" i="16"/>
  <c r="F12" i="16"/>
  <c r="I11" i="16"/>
  <c r="H11" i="16"/>
  <c r="F11" i="16"/>
  <c r="I10" i="16"/>
  <c r="H10" i="16"/>
  <c r="F10" i="16"/>
  <c r="I9" i="16"/>
  <c r="H9" i="16"/>
  <c r="F9" i="16"/>
  <c r="I8" i="16"/>
  <c r="H8" i="16"/>
  <c r="F8" i="16"/>
  <c r="I7" i="16"/>
  <c r="H7" i="16"/>
  <c r="F7" i="16"/>
  <c r="I6" i="16"/>
  <c r="H6" i="16"/>
  <c r="F6" i="16"/>
  <c r="I5" i="16"/>
  <c r="H5" i="16"/>
  <c r="F5" i="16"/>
  <c r="I4" i="16"/>
  <c r="H4" i="16"/>
  <c r="F4" i="16"/>
  <c r="I3" i="16"/>
  <c r="H3" i="16"/>
  <c r="F3" i="16"/>
  <c r="I2" i="16"/>
  <c r="H2" i="16"/>
  <c r="H631" i="16" s="1"/>
  <c r="F2" i="16"/>
  <c r="I631" i="16" l="1"/>
  <c r="F631" i="16"/>
  <c r="K28" i="4"/>
  <c r="C28" i="4"/>
  <c r="I23" i="5"/>
  <c r="G23" i="5"/>
  <c r="H23" i="5"/>
  <c r="D23" i="5"/>
  <c r="E23" i="5"/>
  <c r="F23" i="5"/>
</calcChain>
</file>

<file path=xl/sharedStrings.xml><?xml version="1.0" encoding="utf-8"?>
<sst xmlns="http://schemas.openxmlformats.org/spreadsheetml/2006/main" count="7990" uniqueCount="836">
  <si>
    <t>Send Date</t>
  </si>
  <si>
    <t>Journey Name</t>
  </si>
  <si>
    <t>Version Language</t>
  </si>
  <si>
    <t>Sent</t>
  </si>
  <si>
    <t>Unique Opens</t>
  </si>
  <si>
    <t>Unique Open Rate</t>
  </si>
  <si>
    <t>Unique Clicks</t>
  </si>
  <si>
    <t>CTO</t>
  </si>
  <si>
    <t>CTR</t>
  </si>
  <si>
    <t>Arts &amp; Culture Newsletter EN</t>
  </si>
  <si>
    <t>Connect - English</t>
  </si>
  <si>
    <t>Scene - English</t>
  </si>
  <si>
    <t>Arts &amp; Culture Newsletter FR</t>
  </si>
  <si>
    <t>Scene - French</t>
  </si>
  <si>
    <t>Connect - French</t>
  </si>
  <si>
    <t>Film Anticipation FR</t>
  </si>
  <si>
    <t>Scene- French</t>
  </si>
  <si>
    <t>Film Anticipation EN</t>
  </si>
  <si>
    <t>Tuesday Deals FR</t>
  </si>
  <si>
    <t>Tuesday Deals EN</t>
  </si>
  <si>
    <t>Met Opera Recovery FR</t>
  </si>
  <si>
    <t>Met Opera Recovery EN</t>
  </si>
  <si>
    <t>Friday What's On FR</t>
  </si>
  <si>
    <t>Friday What's On EN</t>
  </si>
  <si>
    <t>Store Newsletter EN 24MT</t>
  </si>
  <si>
    <t>Store Newsletter EN</t>
  </si>
  <si>
    <t>Store Newsletter FR</t>
  </si>
  <si>
    <t>Transformers FR</t>
  </si>
  <si>
    <t>Transformers EN</t>
  </si>
  <si>
    <t>Family Newsletter FR</t>
  </si>
  <si>
    <t>Family Newsletter EN</t>
  </si>
  <si>
    <t>23_0001_MKTT_FridayWhatsOn_July14_FINAL</t>
  </si>
  <si>
    <t>Email - English</t>
  </si>
  <si>
    <t>Email - French</t>
  </si>
  <si>
    <t>[Production] 23_0002_MKTT_TuesDeals_July18_FINAL</t>
  </si>
  <si>
    <t>Email - English &amp; French</t>
  </si>
  <si>
    <t>[Production] 23_0447_TalkToMe_CineclubDedicated_July19_FINAL</t>
  </si>
  <si>
    <t>[Production] Mission Impossible - English</t>
  </si>
  <si>
    <t>[Production] Mission Impossible - French</t>
  </si>
  <si>
    <t>[Production] 23_0001_MKTT_FridayWhatsOn_July21_FINAL</t>
  </si>
  <si>
    <t>[Production] 23_Cineplex_Store_Newsletter_072123</t>
  </si>
  <si>
    <t>[Production] 23_0447_TalkToMe_Dedicated_July22_FINAL</t>
  </si>
  <si>
    <t>[Production] 23_0448_Gran Turismo_Advance Ticketing_July24Deploy</t>
  </si>
  <si>
    <t>[Production] 23_0002_MKTT_TuesDeals_SCENE_EN_July25_FINAL</t>
  </si>
  <si>
    <t>[Production] 23_0002_MKTT_TuesDeals_SCENE_FR_July25_FINAL</t>
  </si>
  <si>
    <t>[Production] [Attendance] Mission Impossible - English</t>
  </si>
  <si>
    <t>[Production] [Attendance] Mission Impossible - French</t>
  </si>
  <si>
    <t>[Production] 23_0453_MKTT_TheBeanieBubble_Dedicated_July26_FINAL</t>
  </si>
  <si>
    <t>[Production] Oppenheimer - English</t>
  </si>
  <si>
    <t>[Production] Oppenheimer - French</t>
  </si>
  <si>
    <t>[Production] Barbie - English</t>
  </si>
  <si>
    <t>[Production] Barbie - French</t>
  </si>
  <si>
    <t>[Production] 23_0001_MKTT_FridayWhatsOn_July28_FINAL</t>
  </si>
  <si>
    <t>[Production] 23_Store_Newsletter_072823</t>
  </si>
  <si>
    <t>[Production] Survey - Mobile Pick-Up Awareness</t>
  </si>
  <si>
    <t>[Production] 23-0478-EVCN-Live Cricket Dedicated Email</t>
  </si>
  <si>
    <t>[Production] 23_0002_MKTT_TuesDeals_Aug1_FINAL2</t>
  </si>
  <si>
    <t>[Production] Survey - Film Anticipation - Aug 1</t>
  </si>
  <si>
    <t>[Production] 23_0429_EVCN_AndreRieu_Dedicated_Email1_Aug2_FINAL</t>
  </si>
  <si>
    <t>[Production] 23_0475_MKTT_Strays_AdvTix_Aug2_FINAL</t>
  </si>
  <si>
    <t>[Production] Haunted Mansion - English</t>
  </si>
  <si>
    <t>[Production] Haunted Mansion - French</t>
  </si>
  <si>
    <t>[Production] 23_0001_MKTT_FridayWhatsOn_Aug4_FINAL</t>
  </si>
  <si>
    <t>[Production] 23_Store_Newsletter_080123</t>
  </si>
  <si>
    <t>[Production] 23-0331-EVCN-August AC Newsletter</t>
  </si>
  <si>
    <t>[Production] 23_0002_MKTT_TuesDeals_Aug8_FINAL</t>
  </si>
  <si>
    <t>[Production] 23_0217_STOR_Spiderman_Aug8</t>
  </si>
  <si>
    <t>English - No Offer</t>
  </si>
  <si>
    <t>English - RFM 500</t>
  </si>
  <si>
    <t>English - RFM 1000</t>
  </si>
  <si>
    <t>English - RFM 2000</t>
  </si>
  <si>
    <t>French - No Offer</t>
  </si>
  <si>
    <t>French - RFM 500</t>
  </si>
  <si>
    <t>French - RFM 1000</t>
  </si>
  <si>
    <t>French - RFM 2000</t>
  </si>
  <si>
    <t>[Production] Meg 2: The Trench - English</t>
  </si>
  <si>
    <t>[Production] Meg 2: The Trench - French</t>
  </si>
  <si>
    <t>[Production] TMNT: Mutant Mayhem - English</t>
  </si>
  <si>
    <t>[Production] TMNT: Mutant Mayhem - French</t>
  </si>
  <si>
    <t>[Production] 23_0001_MKTT_FridayWhatsOn_Aug11_FINAL</t>
  </si>
  <si>
    <t>[Production] 23_0441_MKTI_Gadar2_Dedicated_Aug11_FINAL</t>
  </si>
  <si>
    <t>[Production] 23_Store_Newsletter_0811_23</t>
  </si>
  <si>
    <t>[Production] 23_0002_MKTT_TuesDeals_Aug15_FINAL</t>
  </si>
  <si>
    <t>[Production] 23_0217_STOR_Spiderman_Aug16_No_Offer_v2</t>
  </si>
  <si>
    <t>[Production] 23_0505_EVCN_MetOpera_Recovery_FollowUp_Aug16_FINAL</t>
  </si>
  <si>
    <t>[Attendance] Haunted Mansion - English</t>
  </si>
  <si>
    <t>[Attendance] Haunted Mansion - French</t>
  </si>
  <si>
    <t>[Attendance] Meg 2: The Trench - English</t>
  </si>
  <si>
    <t>[Attendance] Meg 2: The Trench - French</t>
  </si>
  <si>
    <t>[Production] 23_0001_MKTT_FridayWhatsOn_Aug18_FINAL</t>
  </si>
  <si>
    <t>[Production] 23_Store_Newsletter_081923</t>
  </si>
  <si>
    <t>[Production] 23_0347_EVCN_FamilyNewsletter_Aug19_FINAL</t>
  </si>
  <si>
    <t>[Production] 23_0002_MKTT_TuesDeals_Aug22_FINAL</t>
  </si>
  <si>
    <t>[Production] 23_0438_MKTL_NationalCinemaDay_Aug21</t>
  </si>
  <si>
    <t>[Production] 23_0429_EVCN_AndreRieu_Dedicated_Email2_Aug23_FINAL</t>
  </si>
  <si>
    <t>[Production] 23_0468_MKTT_GranTurismo_D-BOX_SceneOffer_Aug24_FINAL_V2</t>
  </si>
  <si>
    <t>Email - Offer EN</t>
  </si>
  <si>
    <t>Email - Offer FR</t>
  </si>
  <si>
    <t>Email - No Offer EN</t>
  </si>
  <si>
    <t>Email - No Offer FR</t>
  </si>
  <si>
    <t>[Production] Blue Beetle - English</t>
  </si>
  <si>
    <t>[Production] Blue Beetle - French</t>
  </si>
  <si>
    <t>[Production] Strays - English</t>
  </si>
  <si>
    <t>[Production] Strays - French</t>
  </si>
  <si>
    <t>[Production] 23_0001_MKTT_FridayWhatsOn_Aug25_FINAL</t>
  </si>
  <si>
    <t>[Production] 23_Store_Newsletter_082523</t>
  </si>
  <si>
    <t>[Production] 23-0510-STOR-Cineplex Store - Roku Retail Offer</t>
  </si>
  <si>
    <t>[Production] 23_0495_MKTI_Jawan_Email1_Aug28_FINAL</t>
  </si>
  <si>
    <t>[Production] 23_0002_MKTT_TuesDeals_Aug29_FINAL</t>
  </si>
  <si>
    <t>[Production] 23-0464-MKTT-Scene Member Pricing Promo</t>
  </si>
  <si>
    <t>[Production] Gran Turismo - English</t>
  </si>
  <si>
    <t>[Production] Gran Turismo - French</t>
  </si>
  <si>
    <t>[Production] - 23-0539-EVCN-Confidential_Q4_Tentpole</t>
  </si>
  <si>
    <t>[Production] 23_0001_MKTT_FridayWhatsOn_Sept1</t>
  </si>
  <si>
    <t>[Production] 23_0418_CPGC_LBE_E-GiftCardOffer_Email1_Sept1_Final</t>
  </si>
  <si>
    <t>[Production] 23_Store_Newsletter_090123</t>
  </si>
  <si>
    <t>[Production] 23-0464-MKTT-Scene Member Pricing Promo_Resend</t>
  </si>
  <si>
    <t>[Production] Survey - Film Anticipation - September 1</t>
  </si>
  <si>
    <t>[Production] 23-0430-EVCN-September Arts Culture Newsletter</t>
  </si>
  <si>
    <t>[Production] Survey - Store Changes - September 2</t>
  </si>
  <si>
    <t>[Production] 23_0002_MKTT_TuesDeals_Sept5</t>
  </si>
  <si>
    <t>[Production] CineClub - Winback Journey - Sept 5 - v2 Version 1.0</t>
  </si>
  <si>
    <t>Email - EN - About to Lose</t>
  </si>
  <si>
    <t>Email - EN - Saw Barbie or Oppenheimer</t>
  </si>
  <si>
    <t>Email - EN - Winback email</t>
  </si>
  <si>
    <t>[Production] 23-0442-MKTL-Online BOGO Offers_September</t>
  </si>
  <si>
    <t>[Production] 23_0495_MKTI_Jawan_Email2_Sept6_FINAL_v2</t>
  </si>
  <si>
    <t>[Production] Equalizer 3 - English</t>
  </si>
  <si>
    <t>[Production] Equalizer 3 - French</t>
  </si>
  <si>
    <t>[Production] 23_0001_MKTT_FridayWhatsOn_Sept8_FINAL</t>
  </si>
  <si>
    <t>[Production] 23_Store_Newsletter_090823</t>
  </si>
  <si>
    <t>[Production] 23_0002_MKTT_TuesDeals_Sept12_FINAL</t>
  </si>
  <si>
    <t>[Production] 23-0342-MKTT-Q3-Barbie-Store</t>
  </si>
  <si>
    <t>[Production] Advance Ticketing - The Exorcist: Believer</t>
  </si>
  <si>
    <t>[Production] CineClub Continental Screening</t>
  </si>
  <si>
    <t>[Production] 23_0444_MKTL_RegionalScenePointOffer_Sept14_FINAL</t>
  </si>
  <si>
    <t>[Production] Jawan - English</t>
  </si>
  <si>
    <t>[Production] My Big Fat Greek Wedding 3 - English</t>
  </si>
  <si>
    <t>[Production] My Big Fat Greek Wedding 3 - French</t>
  </si>
  <si>
    <t>[Production] The Nun 2 - English</t>
  </si>
  <si>
    <t>[Production] The Nun 2 - French</t>
  </si>
  <si>
    <t>[Production] 23_0001_MKTT_FridayWhatsOn_Sept15_FINAL</t>
  </si>
  <si>
    <t>[Production] 23_Store_Newsletter_091523</t>
  </si>
  <si>
    <t>[Production] CineClub - Acquisition - 3 month offer</t>
  </si>
  <si>
    <t>Email - 3 month Offer email</t>
  </si>
  <si>
    <t>[Production] 23-0436-EVCN-September Family Newsletter_Sept16_FINAL</t>
  </si>
  <si>
    <t>[Production] 23_0002_MKTT_TuesDeals_Sept19_FINAL</t>
  </si>
  <si>
    <t>[Production] CineClub GenV Screening</t>
  </si>
  <si>
    <t>[Production] Scene+ Continental Screening - John Wick purchasers</t>
  </si>
  <si>
    <t>[Production] Survey - Franco Program Feedback</t>
  </si>
  <si>
    <t>[Production] 23-0546-MKTT-Critical Role – The Mighty Nein_FINAL</t>
  </si>
  <si>
    <t>[Production] 23_0001_MKTT_FridayWhatsOn_Sept22_FINAL</t>
  </si>
  <si>
    <t>[Production] 23_Store_Newsletter_092223</t>
  </si>
  <si>
    <t>[Production] 23-0373-RECR-LBE Halloween Events_TRR_Sept22Deploy</t>
  </si>
  <si>
    <t>[Production] 23-0515-RECR-LBE Scene Offers_TRR_Sept24Deploy</t>
  </si>
  <si>
    <t>[Production] 23-0588-MKTT-The Creator Scene Offer</t>
  </si>
  <si>
    <t xml:space="preserve">[Production] 23-0588-MKTT-The Creator Scene Offer </t>
  </si>
  <si>
    <t>[Production] 23_0002_MKTT_TuesDeals_Sept26_FINAL</t>
  </si>
  <si>
    <t>[Production] 23-0515-RECR-LBE Scene Offers_PDM_Sept23Deploy</t>
  </si>
  <si>
    <t>[Production] 23-0599-MKTT-On Fire Dedicated Email</t>
  </si>
  <si>
    <t>[Production] 23_0497_MKTT_TheExorcistBeliever_AdvTix_Sept27_FINAL</t>
  </si>
  <si>
    <t>[Production] 23-0560-MKTT-The Creator ScreenX Scene Offer</t>
  </si>
  <si>
    <t>Email - English - Offer</t>
  </si>
  <si>
    <t>Email - English - No Offer</t>
  </si>
  <si>
    <t>Email - French - Offer</t>
  </si>
  <si>
    <t>Email - French - No Offer</t>
  </si>
  <si>
    <t>[Production] Expend4bles - English</t>
  </si>
  <si>
    <t>[Production] Expend4bles - French</t>
  </si>
  <si>
    <t>[Production] 23-0560-MKTT-The Creator ScreenX Scene Offer - RESEND</t>
  </si>
  <si>
    <t>[Production] CineClub Loki Screening_Copy Version 1.0</t>
  </si>
  <si>
    <t>[Production] 23_0001_MKTT_FridayWhatsOn_Sept29_FINAL</t>
  </si>
  <si>
    <t>[Production] 23_Store_Newsletter_092923</t>
  </si>
  <si>
    <t>[Production] 23-0589-MKTT-Dedicated Email - Flora and Son</t>
  </si>
  <si>
    <t>[Production] -Renaissance - Beyonce film</t>
  </si>
  <si>
    <t>[Production] 23-0373-PDM-Halloween_Email1_Oct2_Final</t>
  </si>
  <si>
    <t>[Production] Survey - Film Anticipation - October 2 - FINAL</t>
  </si>
  <si>
    <t>[Production] 23_0002_MKTT_TuesDeals_Oct3_FINAL</t>
  </si>
  <si>
    <t>[Production] 23_0427_EVCN_Met_2023/2024_Season_DeadManWalking_Oct4_FINAL</t>
  </si>
  <si>
    <t>[Production] CineClub Lessons in Chemistry Screening</t>
  </si>
  <si>
    <t>Email - Montreal - English</t>
  </si>
  <si>
    <t>Email - Montreal - French</t>
  </si>
  <si>
    <t>Email - Toronto - English</t>
  </si>
  <si>
    <t>Email - Vancouver - English</t>
  </si>
  <si>
    <t>[Production] Paw Patrol - English</t>
  </si>
  <si>
    <t>[Production] Paw Patrol - French</t>
  </si>
  <si>
    <t>[Production] Saw X - English</t>
  </si>
  <si>
    <t>Email - 300 Offer - English</t>
  </si>
  <si>
    <t>[Production] Saw X - French</t>
  </si>
  <si>
    <t>Email - 300 Offer - French</t>
  </si>
  <si>
    <t>[Production] The Creator - English</t>
  </si>
  <si>
    <t>Email - 800 ScreenX Offer - English</t>
  </si>
  <si>
    <t>[Production] The Creator - French</t>
  </si>
  <si>
    <t>Email - 800 ScreenX Offer - French</t>
  </si>
  <si>
    <t>[Production] 23_0001_MKTT_FridayWhatsOn_Oct6_FINAL_NoPersonalization</t>
  </si>
  <si>
    <t>[Production] 23_Store_Newsletter_100623_NoPersonalization</t>
  </si>
  <si>
    <t>[Production] 23-0480-EVCN-October Arts Culture Newsletter No Personalization</t>
  </si>
  <si>
    <t>[Production] 23_0002_MKTT_TuesDeals_Oct10_FINAL</t>
  </si>
  <si>
    <t>[Production] 23-0342-MKTT-Q3-Store-Mission Impossible Dedicated</t>
  </si>
  <si>
    <t>[Production] 23-0342-MKTT-Q3-Store-Mission Impossible Offer</t>
  </si>
  <si>
    <t>[Production] 23_0079_FOOD_TraditionalAlcoholAwareness_FINAL</t>
  </si>
  <si>
    <t>[Production] 23-0616-MKTT-Re-Release of The Hunger Games - Dedicated Email</t>
  </si>
  <si>
    <t>[Production] The Exorcist - English</t>
  </si>
  <si>
    <t>[Production] The Exorcist - French</t>
  </si>
  <si>
    <t>[Production] - Taylor Swift - week 1 purchasers Message</t>
  </si>
  <si>
    <t>Email - Standard French</t>
  </si>
  <si>
    <t>Email - Standard English</t>
  </si>
  <si>
    <t>Email - VIP English</t>
  </si>
  <si>
    <t>[Production] 23_0001_MKTT_FridayWhatsOn_Oct13</t>
  </si>
  <si>
    <t>[Production] 23_Store_Newsletter_101323</t>
  </si>
  <si>
    <t>[Production] 23-0373-RECR-LBE Halloween Events_TRR_FollowUp_Oct14</t>
  </si>
  <si>
    <t>[Production] 23_0493_EVCN_TorontoAfterDarkFilmFestival2023_Oct16</t>
  </si>
  <si>
    <t>[Production] 23-0499-MKTT-The Marvels Advanced Ticketing_Oct17</t>
  </si>
  <si>
    <t>[Production] 23-0556-P1AG-Xscape Fall 2023 Bonus Credit Promo_Oct16</t>
  </si>
  <si>
    <t>[Production] 23_0002_MKTT_TuesDeals_EN_Oct17_FINAL</t>
  </si>
  <si>
    <t>[Production] 23-0500-MKTT-Trolls Band Together Advanced Ticketing</t>
  </si>
  <si>
    <t>[Production] 23-0515-RECR-LBE Scene Offers_PDM_Oct17Deploy</t>
  </si>
  <si>
    <t>[Production] 23-0515-RECR-LBE Scene Offers_TRR_Oct18Deploy</t>
  </si>
  <si>
    <t>[Production] Taylor Swift - 2nd Week Reminder</t>
  </si>
  <si>
    <t>[Production] 23-0463-MKTB-One Cineplex Community Day_CPX_Final</t>
  </si>
  <si>
    <t>[Production] 23_0001_MKTT_FridayWhatsOn_Oct20_FINAL</t>
  </si>
  <si>
    <t>[Production] 23_0559_CPGC_BusinessMarketing_Holiday_Oct20_EN</t>
  </si>
  <si>
    <t>[Production] 23_0559_CPGC_BusinessMarketing_Holiday_Oct20_FR</t>
  </si>
  <si>
    <t>[Production] 23_Store_Newsletter_102023</t>
  </si>
  <si>
    <t>[Production] 23-0627-MKTT-Dicks The Musical - Dedicated Email_Oct20_FINAL</t>
  </si>
  <si>
    <t>[Production] 23-0511-EVCN-October Family Newsletter_Oct21</t>
  </si>
  <si>
    <t>[Production] 23-0556-P1AG-Xscape Fall 2023 Bonus Credit Promo_Oct23</t>
  </si>
  <si>
    <t>[Production] MKTT-Critical Role – The Mighty Nein_Oct23</t>
  </si>
  <si>
    <t>[Production] 23_0002_MKTT_TuesDeals_EN_Oct24_FINAL</t>
  </si>
  <si>
    <t>[Production] 23_0621_MKTT_Freelance_Oct25_FINAL</t>
  </si>
  <si>
    <t>[Production] 23-0463-MKTB-One Cineplex Community Day_PDM</t>
  </si>
  <si>
    <t>[Production] 23-0463-MKTB-One Cineplex Community Day_TRR</t>
  </si>
  <si>
    <t>[Production] 23-0629-MKTT-Killers of the Flower Moon Dedicated Email</t>
  </si>
  <si>
    <t>[Production] Scene - Back to the Big Screen</t>
  </si>
  <si>
    <t>[Production] Survey - Lumen Invitation - Montreal</t>
  </si>
  <si>
    <t>[Production] Survey - Lumen Invitation - Toronto</t>
  </si>
  <si>
    <t>Production] 23_0001_MKTT_FridayWhatsOn_Oct27_FINAL</t>
  </si>
  <si>
    <t>Production] 23_Store_Newsletter_102723</t>
  </si>
  <si>
    <t>Production] Survey - VIP Menu</t>
  </si>
  <si>
    <t>Email - English - No VIP Transactions</t>
  </si>
  <si>
    <t>Email - English - VIP Transactions</t>
  </si>
  <si>
    <t>Production] 23_0002_MKTT_TuesDeals_Oct31_FINAL</t>
  </si>
  <si>
    <t>Production] 23_0628_MKTT_TheMarvels_ScreenX_Offer_Oct31_FINAL</t>
  </si>
  <si>
    <t>Production] 23_0427_EVCN_Met_2023/2024_Season_MalcolmX_Nov1</t>
  </si>
  <si>
    <t>[Production] 23_0427_EVCN_Met_2023/2024_Season_MalcolmX_Nov1</t>
  </si>
  <si>
    <t>[Production] 23-0609-MKTT-The Hunger Games Advance Ticketing_Nov1</t>
  </si>
  <si>
    <t>Email - English - 2_3</t>
  </si>
  <si>
    <t>Email - English - 3_4</t>
  </si>
  <si>
    <t>Email - English - Normal</t>
  </si>
  <si>
    <t>Email - French - 2_3</t>
  </si>
  <si>
    <t>Email - French - 3_4</t>
  </si>
  <si>
    <t>Email - French - Normal</t>
  </si>
  <si>
    <t>[Production] 23-0609-MKTT-The Hunger Games Advance Ticketing_Nov1_4_5_resend</t>
  </si>
  <si>
    <t>Email - English - 4_5</t>
  </si>
  <si>
    <t>Email - French - 4_5</t>
  </si>
  <si>
    <t>[Production] Survey - Film Anticipation - November 1</t>
  </si>
  <si>
    <t>[Survey] Lumen Montreal French</t>
  </si>
  <si>
    <t>[Production] 23-0463-MKTB-One Cineplex Community Day_CPX_Nov2</t>
  </si>
  <si>
    <t>[Production] Five Nights at Freddys - English</t>
  </si>
  <si>
    <t>Email - English - 2nd week offer email</t>
  </si>
  <si>
    <t>[Production] Five Nights at Freddys - French</t>
  </si>
  <si>
    <t>Email - French - 2nd week offer email</t>
  </si>
  <si>
    <t>[Production] 23_0001_MKTT_FridayWhatsOn_Nov3_FINAL</t>
  </si>
  <si>
    <t>[Production] 23_Store_Newsletter_1103_V2</t>
  </si>
  <si>
    <t>[Production] 23-0556-P1AG-Xscape Fall 2023 Bonus Credit Promo_Nov3</t>
  </si>
  <si>
    <t>[Production] DreamScenario_CineclubDedicated_Nov3_FINAL</t>
  </si>
  <si>
    <t>[Production] 23-0481-EVCN-November Arts Culture Newsletter_Nov4_FINAL</t>
  </si>
  <si>
    <t>[Production] 23-0417-CPGC-LBE Holiday Gift Bundle 2023_PDM</t>
  </si>
  <si>
    <t>[Production] 23-0639-MKTT-The Hunger Games DBox Scene Offer_FINAL</t>
  </si>
  <si>
    <t>[Production] 23_0002_MKTT_TuesDeals_Nov7_FINAL</t>
  </si>
  <si>
    <t>[Production] DreamScenario_CineclubDedicated_Nov7_Email2</t>
  </si>
  <si>
    <t>[Production] 23-0417-CPGC-LBE Holiday Gift Bundle 2023_TRR_FINAL</t>
  </si>
  <si>
    <t>[Production] Taylor Swift - Comeback Screenings</t>
  </si>
  <si>
    <t>[Production] 23_0612_MKTT_TheHoldovers_Nov9_FINAL</t>
  </si>
  <si>
    <t>[Production] 23_0001_MKTT_FridayWhatsOn_Nov10_FINAL</t>
  </si>
  <si>
    <t>[Production] 23_0416_MKTB_2023_EXH_HolidayGiftBundle_Intro_Nov10</t>
  </si>
  <si>
    <t>[Production] 23_Store_Newsletter_111023</t>
  </si>
  <si>
    <t>[Production] 23-0659-MKTT-JOURNEY TO BETHLEHEM_Nov10_FINAL</t>
  </si>
  <si>
    <t>[Production] 23-0013-MKTI-International Cinema 2023_Tiger 3_Email1_Nov11_FINAL</t>
  </si>
  <si>
    <t>[Production] 23-0575-RECR-LBE Holiday Bonus Credit Offer_TRR_Nov13Deploy</t>
  </si>
  <si>
    <t>[Production] 23_0002_MKTT_TuesDeals_Nov14_FINAL</t>
  </si>
  <si>
    <t>[Production] 23-0575-RECR-LBE Holiday Bonus Credit Offer_PDM_Nov14Deploy</t>
  </si>
  <si>
    <t>[Production] 23_0649_MKTB_St.Vital_Recliner_Nov15_FINAL</t>
  </si>
  <si>
    <t>[Production] 23-0548-EVCN-Andre Rieu Winter 2023_Email1_Nov15</t>
  </si>
  <si>
    <t>[Production] 23_0517_CPGC_Prepaid_Holiday_Nov16_EN</t>
  </si>
  <si>
    <t>[Production] 23_0517_CPGC_Prepaid_Holiday_Nov16_FR</t>
  </si>
  <si>
    <t>[Production] 23-0013-MKTI-International Cinema 2023_Tiger 3_Email2_Nov16_FINAL</t>
  </si>
  <si>
    <t>[Production] CineClub Candy Cane Lane - Early Screening</t>
  </si>
  <si>
    <t>[Production] The Marvels - English</t>
  </si>
  <si>
    <t>[Production] The Marvels - French</t>
  </si>
  <si>
    <t>[Production] 23_0001_MKTT_FridayWhatsOn_Nov17_FINAL</t>
  </si>
  <si>
    <t>[Production] 23_0416_MKTB_2023_EXH_HolidayGiftBundle_Intro_Nov17</t>
  </si>
  <si>
    <t>[Production] 23_Store_Newsletter_1117</t>
  </si>
  <si>
    <t>[Production] 23-0455-RECR-LBE NYE Events_TRR_Nov17</t>
  </si>
  <si>
    <t>[Production] Thanksgiving Film Dedicated_Nov17</t>
  </si>
  <si>
    <t>[Production] 23-0455-RECR-LBE NYE Events_PDM_Nov18</t>
  </si>
  <si>
    <t>[Production] 23-0512-EVCN-November Family Newsletter_Nov18</t>
  </si>
  <si>
    <t>[Production] 23-0668-MKTT-Leave the world behind Dedicated Email</t>
  </si>
  <si>
    <t>[Production] 23-0002_MKTT_TuesdayDeals_Nov21_FINAL</t>
  </si>
  <si>
    <t>[Production] 23-0427-EVCN-Met-Forencia-Nov22</t>
  </si>
  <si>
    <t>[Production] 23-0683-MKTT-Napoleon ScreenX Scene+ Points Offer</t>
  </si>
  <si>
    <t>Email - English - Control</t>
  </si>
  <si>
    <t>Email - French - Control</t>
  </si>
  <si>
    <t>[Production] 23-0684-MKTT-Dream Scenario</t>
  </si>
  <si>
    <t>[Production] CineClub Napoleon_ScreenX Fan Event</t>
  </si>
  <si>
    <t>[Production] 23-0681-MKTT-Leave the World Behind Scene+ Points Offer</t>
  </si>
  <si>
    <t>[Production] Hunger Games: BOSS - English</t>
  </si>
  <si>
    <t>[Production] Hunger Games: BOSS - French</t>
  </si>
  <si>
    <t>[Production] Trolls Band Together - English</t>
  </si>
  <si>
    <t>[Production] Trolls Band Together - French</t>
  </si>
  <si>
    <t>[Production] 23_0001_MKTT_FridayWhatsOn_Nov24_FINAL</t>
  </si>
  <si>
    <t>[Production] 23_Store_Newsletter_1124</t>
  </si>
  <si>
    <t>[Production] CineClub_Black Friday_Nov24_2023</t>
  </si>
  <si>
    <t>Email - Buy - English</t>
  </si>
  <si>
    <t>Email - Buy - French</t>
  </si>
  <si>
    <t>Email - Gifting - English</t>
  </si>
  <si>
    <t>Email - Gifting - French</t>
  </si>
  <si>
    <t>Email - Reminder - Buy - English</t>
  </si>
  <si>
    <t>Email - Reminder - Buy - French</t>
  </si>
  <si>
    <t>Email - Reminder - Gifting - English</t>
  </si>
  <si>
    <t>Email - Reminder - Gifting - French</t>
  </si>
  <si>
    <t>[Production] 23_0002_MKTT_TuesDeals_Nov28_FINAL</t>
  </si>
  <si>
    <t>[Production] CineClub_BenefitsChanging</t>
  </si>
  <si>
    <t>[Production] 23-0548-EVCN-Andre Rieu Winter 2023_Email2_Nov29_FINAL</t>
  </si>
  <si>
    <t>[Production] 23-0686-MKTT-Silent Night - Dedicated Email</t>
  </si>
  <si>
    <t>[Production] Survey - Digital Tickets</t>
  </si>
  <si>
    <t>Email - RFM - English</t>
  </si>
  <si>
    <t>Email - RFM - French</t>
  </si>
  <si>
    <t>[Production] Napoleon - English</t>
  </si>
  <si>
    <t>Email - 2nd week offer email - English</t>
  </si>
  <si>
    <t>[Production] Napoleon - French</t>
  </si>
  <si>
    <t>Email - 2nd week offer email - French</t>
  </si>
  <si>
    <t>[Production] StoreQC_BenefitsChanging</t>
  </si>
  <si>
    <t>Email - MDP - English</t>
  </si>
  <si>
    <t>Email - MDP - French</t>
  </si>
  <si>
    <t>[Production] Wish - English</t>
  </si>
  <si>
    <t>[Production] Wish - French</t>
  </si>
  <si>
    <t>[Production] 23_0001_MKTT_FridayWhatsOn_Dec1_FINAL v2</t>
  </si>
  <si>
    <t>[Production] 23_Store_Newsletter_120123 v2</t>
  </si>
  <si>
    <t>[Production] Survey - Film Anticipation - December 1 v2</t>
  </si>
  <si>
    <t>[Production] 23-0513-EVCN-December Arts &amp; Culture Newsletter</t>
  </si>
  <si>
    <t>[Production] 23_0416_MKTB_2023_EXH_HolidayGiftBundle_Email2_FINAL</t>
  </si>
  <si>
    <t>[Production] 23-0575-RECR-LBE Holiday Bonus Credit Offer_TRR_Reminder1_Dec4</t>
  </si>
  <si>
    <t>[Production] Survey - Digital Tickets V2</t>
  </si>
  <si>
    <t>[Production] 23_0002_MKTT_TuesDeals_Dec5_FINAL</t>
  </si>
  <si>
    <t>[Production] 23-0575-RECR-LBE Holiday Bonus Credit Offer_PDM_Reminder1_Dec5</t>
  </si>
  <si>
    <t>[Production] Reacher Season 2 - Early Screening</t>
  </si>
  <si>
    <t>[Production] 23_0654_MKTT_Coquitlam_Theatre_IMAX_Dec6</t>
  </si>
  <si>
    <t>[Production] 23-0550-MKTL-Scene 2X Weekend (Dec 8-10)_FINAL</t>
  </si>
  <si>
    <t>[Production] 23-0661-MKTT-Store - Trolls/Dreamworks Offer_Email1_FINAL_Resend</t>
  </si>
  <si>
    <t>[Production] 23-0708-MKTT-The Boy and the Heron_FINAL</t>
  </si>
  <si>
    <t>[Production] 23_0517_CPGC_Prepaid_Holiday_Dec7_EN</t>
  </si>
  <si>
    <t>[Production] 23_0517_CPGC_Prepaid_Holiday_Dec7_FR</t>
  </si>
  <si>
    <t>[Production] 23-0726-EVCN-December IC Newsletter</t>
  </si>
  <si>
    <t>[Production] Animal - English</t>
  </si>
  <si>
    <t>[Production] 23_0001_MKTT_FridayWhatsOn_Dec8</t>
  </si>
  <si>
    <t>Email - English - Limited Profile</t>
  </si>
  <si>
    <t>Email - English - Regular</t>
  </si>
  <si>
    <t>Email - French - Limited Profile</t>
  </si>
  <si>
    <t>Email - French - Regular</t>
  </si>
  <si>
    <t>[Production] 23_Store_Newsletter_120823</t>
  </si>
  <si>
    <t>[Production] 23-0417-CPGC-LBE Holiday Gift Bundle 2023_TRR_Email2_Dec8</t>
  </si>
  <si>
    <t>[Production] 23-0705-MKTT-Migration Duck Week Dedicated Email</t>
  </si>
  <si>
    <t>[Production] CineClub_Monthly December offer Dec 12-14 FINAL</t>
  </si>
  <si>
    <t>Email - NonCC - English</t>
  </si>
  <si>
    <t>[Production] CineClub_Monthly December offer FINAL</t>
  </si>
  <si>
    <t>Email - Rejoin - English</t>
  </si>
  <si>
    <t>Email - Reminder - NonCC - English</t>
  </si>
  <si>
    <t>Email - Reminder - Rejoin - English</t>
  </si>
  <si>
    <t>[Production] 23-0417-CPGC-LBE Holiday Gift Bundle 2023_PDM_Email2_Dec11_V2</t>
  </si>
  <si>
    <t>[Production] 23-0719-RECR - PDM Santa Event_Brampton_FINAL</t>
  </si>
  <si>
    <t>[Production] 23-0719-RECR - PDM Santa Event_Dartmouth_FINAL</t>
  </si>
  <si>
    <t>[Production] 23-0002_MKTT_TuesdayDeals_Dec12_Final</t>
  </si>
  <si>
    <t>[Production] 23-0712-MKTT-Wonka 4DX Scene+ Points Offer Email_Dec12</t>
  </si>
  <si>
    <t>[Production] 23-0727-MKTT-Store - Taylor Swift Dedicated Email</t>
  </si>
  <si>
    <t>[Production] WB_See all 3_5000-Points-Offer</t>
  </si>
  <si>
    <t>Email - Initial Offer - EN</t>
  </si>
  <si>
    <t>Email - Initial Offer - FR</t>
  </si>
  <si>
    <t>[Production] WB_See-all-3_5000-Points-Offer resend initial</t>
  </si>
  <si>
    <t>[Production] 23_0001_MKTT_FridayWhatsOn_Dec15</t>
  </si>
  <si>
    <t>[Production] 23_Store_Newsletter_121523</t>
  </si>
  <si>
    <t>[Production] CineClub_HolidayOffer_Dec15_2023</t>
  </si>
  <si>
    <t>[Production] 23-0514-EVCN-December Family Newsletter</t>
  </si>
  <si>
    <t>[Production] 23-0455-RECR-LBE NYE Events_PDM_December</t>
  </si>
  <si>
    <t>[Production] 23_0416_MKTB_2023_EXH_HolidayGiftBundle_Email3_V2</t>
  </si>
  <si>
    <t>[Production] 23_0002_MKTT_TuesDeals_Dec19_FINAL</t>
  </si>
  <si>
    <t>[Production] 23-0417-CPGC-LBE Holiday Gift Bundle 2023_TRR_Email3_Dec19</t>
  </si>
  <si>
    <t>[Production] 23-0491-STOR-Q4 Store Dedicated Emails-The Hunger Games TBOSAS</t>
  </si>
  <si>
    <t>[Production] 23-0013-MKTI-International Cinema 2023_Dunki_Dec20_FINAL</t>
  </si>
  <si>
    <t>[Production] 23-0427-EVCN-Met-Nabucco-Dec20_FINAL</t>
  </si>
  <si>
    <t>[Production] 23-0666-MKTT-The Iron Claw Dedicated Email</t>
  </si>
  <si>
    <t>[Production] WB_See-all-3_5000-Points-Offer_Behavioural</t>
  </si>
  <si>
    <t>[Production] (35311) Wonka - English</t>
  </si>
  <si>
    <t>[Production] (35311) Wonka - French</t>
  </si>
  <si>
    <t>[Production] 23-0491-STOR-Q4 Store Dedicated Emails-Holiday Newsletter</t>
  </si>
  <si>
    <t>[Production] 23_0001_MKTT_FridayWhatsOn_Dec22_FINAL</t>
  </si>
  <si>
    <t>[Production] 23-0564-Store_Newsletter_Dec22</t>
  </si>
  <si>
    <t>[Production] 23-0661-MKTT-Store - Trolls/Dreamworks Offer_Email2</t>
  </si>
  <si>
    <t>[Production] 23-0685-MKTT-Migration Trip Giveaway Dedicated Email</t>
  </si>
  <si>
    <t>Email - Buy - English - Dec 22 - Reminder</t>
  </si>
  <si>
    <t>Email - Buy - French - Dec 22 - Reminder</t>
  </si>
  <si>
    <t>Email - Gifting - English - Dec 22 - Reminder</t>
  </si>
  <si>
    <t>Email - Gifting - French - Dec 22 - Reminder</t>
  </si>
  <si>
    <t>[Production] Sherwood_Recliner_Dec22_FINAL</t>
  </si>
  <si>
    <t>[Production] 23-0455-RECR-LBE NYE Events_TRR_December</t>
  </si>
  <si>
    <t>[Production] CineClub_Monthly December offer 2 Month Non Active</t>
  </si>
  <si>
    <t>[Production] 23_0002_MKTT_TuesDeals_Dec26_FINAL2</t>
  </si>
  <si>
    <t>[Production] CineClub_HolidayOffer_Final Reminder - Dec 26</t>
  </si>
  <si>
    <t>Email - Buy - English - Dec 26 - Final Reminder</t>
  </si>
  <si>
    <t>Email - Buy - French - Dec 26 - Final Reminder</t>
  </si>
  <si>
    <t>Email - Gifting - English - Dec 26 - Final Reminder</t>
  </si>
  <si>
    <t>Email - Gifting - French - Dec 26 - Final Reminder</t>
  </si>
  <si>
    <t>[Production] 23-0575-RECR-LBE Holiday Bonus Credit Offer_TRR_Reminder2_Dec27</t>
  </si>
  <si>
    <t>Email - English - Final Reminder</t>
  </si>
  <si>
    <t>Email - French - Final Reminder</t>
  </si>
  <si>
    <t>[Production] (22858) Migration - English</t>
  </si>
  <si>
    <t>Email - 2nd Week No-Offer - English</t>
  </si>
  <si>
    <t>[Production] (22858) Migration - French</t>
  </si>
  <si>
    <t>Email - 2nd Week No-Offer - French</t>
  </si>
  <si>
    <t>[Production] (33558) Aquaman - English</t>
  </si>
  <si>
    <t>[Production] (33558) Aquaman - French</t>
  </si>
  <si>
    <t>[Production] (36736) Anyone But You - English</t>
  </si>
  <si>
    <t>[Production] (36736) Anyone But You - French</t>
  </si>
  <si>
    <t>[Production] (37167) Dunki - English</t>
  </si>
  <si>
    <t>[Production] 23-0575-RECR-LBE Holiday Bonus Credit Offer_PDM_Reminder2_Dec28</t>
  </si>
  <si>
    <t>[Production] 23_0001_MKTT_FridayWhatsOn_Dec29_FINAL2</t>
  </si>
  <si>
    <t>[Production] 23-0564-Store_Newsletter_Dec29</t>
  </si>
  <si>
    <t>Email - English - Reminder</t>
  </si>
  <si>
    <t>Total</t>
  </si>
  <si>
    <t>Email Name</t>
  </si>
  <si>
    <t>Audience</t>
  </si>
  <si>
    <t>Business Unit</t>
  </si>
  <si>
    <t>Sends</t>
  </si>
  <si>
    <t>Delivery Rate</t>
  </si>
  <si>
    <t>Overall Bounces</t>
  </si>
  <si>
    <t>Open Rate</t>
  </si>
  <si>
    <t>Unsubscribes</t>
  </si>
  <si>
    <t>Unsubscribe Rate</t>
  </si>
  <si>
    <t>Reporting</t>
  </si>
  <si>
    <t>PDM Promo Gaming Offer Dartmouth</t>
  </si>
  <si>
    <t>SCENE</t>
  </si>
  <si>
    <t>LBE</t>
  </si>
  <si>
    <t>PDM Promo Gaming Offer Brampton</t>
  </si>
  <si>
    <t>PDM Promo Gaming Offer Whitby</t>
  </si>
  <si>
    <t>Theatrical</t>
  </si>
  <si>
    <t>CONNECT</t>
  </si>
  <si>
    <t>Cast Pass</t>
  </si>
  <si>
    <t>Other</t>
  </si>
  <si>
    <t>TARA</t>
  </si>
  <si>
    <t>Survey</t>
  </si>
  <si>
    <t>Employee Pincode</t>
  </si>
  <si>
    <t>Edmonton Closure EN</t>
  </si>
  <si>
    <t>Movie Guide EN 24MT</t>
  </si>
  <si>
    <t>Store</t>
  </si>
  <si>
    <t>Movie Guide EN</t>
  </si>
  <si>
    <t>Movie Guide FR</t>
  </si>
  <si>
    <t>Adv Tickets Plane FR</t>
  </si>
  <si>
    <t>Adv Tickets Plane EN</t>
  </si>
  <si>
    <t>Puss In Boots FR</t>
  </si>
  <si>
    <t>Puss In Boots EN</t>
  </si>
  <si>
    <t>BTS Yet To Come FR</t>
  </si>
  <si>
    <t>BTS Yet To Come EN</t>
  </si>
  <si>
    <t>Adv Tickets Ant Man Quantumania FR</t>
  </si>
  <si>
    <t>Adv Tickets Ant Man Quantumania EN</t>
  </si>
  <si>
    <t>Pathaan Challenger EN</t>
  </si>
  <si>
    <t>Pathaan Primary Audience EN</t>
  </si>
  <si>
    <t>National Popcorn Day FR</t>
  </si>
  <si>
    <t>National Popcorn Day EN</t>
  </si>
  <si>
    <t>Connect</t>
  </si>
  <si>
    <t>Scene Redemption Offer FR</t>
  </si>
  <si>
    <t>Scene+ Offer Only</t>
  </si>
  <si>
    <t>Scene Redemption Offer EN</t>
  </si>
  <si>
    <t>Pathaan2 Email EN</t>
  </si>
  <si>
    <t>Pathaan2 Web EN</t>
  </si>
  <si>
    <t>Junxion Launch</t>
  </si>
  <si>
    <t>BM&amp;P</t>
  </si>
  <si>
    <t>The Wandering Earth II Challenger EN</t>
  </si>
  <si>
    <t>The Wandering Earth II Primary EN</t>
  </si>
  <si>
    <t>Plane FR</t>
  </si>
  <si>
    <t>Plane EN</t>
  </si>
  <si>
    <t>D&amp;T CineClub Acq #1 EN</t>
  </si>
  <si>
    <t>XL Coca Cola Collectors EN</t>
  </si>
  <si>
    <t>XL Coca Cola Collectors FR</t>
  </si>
  <si>
    <t>XL Coca Cola EN</t>
  </si>
  <si>
    <t>XL Coca Cola FR</t>
  </si>
  <si>
    <t>Superbowl Party</t>
  </si>
  <si>
    <t>80 For Brady Contest EN</t>
  </si>
  <si>
    <t>Half Off Gameplay Dartmouth</t>
  </si>
  <si>
    <t>Half Off Gameplay Brampton EN</t>
  </si>
  <si>
    <t>Half Off Gameplay Whitby EN</t>
  </si>
  <si>
    <t>Half Off Gameplay TRR</t>
  </si>
  <si>
    <t>1M Points Contest FR</t>
  </si>
  <si>
    <t>1M Points Contest EN</t>
  </si>
  <si>
    <t>Scene Acquisition Offer FR</t>
  </si>
  <si>
    <t>Scene Acquisition Offer EN</t>
  </si>
  <si>
    <t>Scene Acquisition No Offer FR</t>
  </si>
  <si>
    <t>Scene Acquisition No Offer EN</t>
  </si>
  <si>
    <t>D&amp;T CineClub Acq #2 EN</t>
  </si>
  <si>
    <t>Babylon FR</t>
  </si>
  <si>
    <t>Babylon EN</t>
  </si>
  <si>
    <t>Anticipated Behaviour FR</t>
  </si>
  <si>
    <t>Anticipated Behaviour EN</t>
  </si>
  <si>
    <t>Superbowl Party Reminder EN</t>
  </si>
  <si>
    <t>I WannaDance With Somebody EN</t>
  </si>
  <si>
    <t>I WannaDance With Somebody FR</t>
  </si>
  <si>
    <t>Hot &amp; Spicy Shake It EN</t>
  </si>
  <si>
    <t>Hot &amp; Spicy Shake It FR</t>
  </si>
  <si>
    <t>Superbowl Party Final Reminder</t>
  </si>
  <si>
    <t>D&amp;T CineClub Acq #3 EN</t>
  </si>
  <si>
    <t>Pathaan VIP Experience EN</t>
  </si>
  <si>
    <t>Adv Tickets Fast X EN</t>
  </si>
  <si>
    <t>Adv Tickets Fast X FR</t>
  </si>
  <si>
    <t>Points Offer Avatar Way Of The Water Control EN</t>
  </si>
  <si>
    <t>Points Offer Avatar Way Of The Water Offer EN</t>
  </si>
  <si>
    <t>Points Offer Avatar Way Of The Water Control FR</t>
  </si>
  <si>
    <t>Points Offer Avatar Way Of The Water Offer FR</t>
  </si>
  <si>
    <t>Half Off Gameplay Reminder Brampton PDM</t>
  </si>
  <si>
    <t>Half Off Gameplay Reminder Whitby PDM</t>
  </si>
  <si>
    <t>Half Off Gameplay Reminder Dartmouth PDM</t>
  </si>
  <si>
    <t>Half Off Gameplay Reminder TRR</t>
  </si>
  <si>
    <t xml:space="preserve">Game Tag Offer Whitby </t>
  </si>
  <si>
    <t xml:space="preserve">Game Tag Offer Brampton </t>
  </si>
  <si>
    <t xml:space="preserve">Game Tag Offer Dartmouth </t>
  </si>
  <si>
    <t>Game Tag Offer TRR</t>
  </si>
  <si>
    <t>Spice It Up Valentines Day FR</t>
  </si>
  <si>
    <t>Spice It Up Valentines Day EN</t>
  </si>
  <si>
    <t>Employee Appreciation Day EN FR</t>
  </si>
  <si>
    <t>Employee Appreciation Day FR EN</t>
  </si>
  <si>
    <t>D&amp;T CineClub Acq #4 EN</t>
  </si>
  <si>
    <t>1M Point Contest Reminder FR</t>
  </si>
  <si>
    <t>1M Point Contest Reminder EN</t>
  </si>
  <si>
    <t>Half Off Game Play Reminder Brampton</t>
  </si>
  <si>
    <t>Half Off Game Play Reminder Whitby</t>
  </si>
  <si>
    <t>Half Off Game Play Reminder Dartmouth</t>
  </si>
  <si>
    <t>Half Off Game Play Reminder TRR</t>
  </si>
  <si>
    <t>Adv Ticket Jesus Revolution EN</t>
  </si>
  <si>
    <t>2x Scene Points Offer FR</t>
  </si>
  <si>
    <t>2x Scene Points Offer EN</t>
  </si>
  <si>
    <t>Luther EN</t>
  </si>
  <si>
    <t>Scene Acquisition Offer Reminder No Offer FR</t>
  </si>
  <si>
    <t>Scene Acquisition Offer Reminder No Offer EN</t>
  </si>
  <si>
    <t>Scene Acquisition Offer Reminder Offer FR</t>
  </si>
  <si>
    <t>Scene Acquisition Offer Reminder Offer EN</t>
  </si>
  <si>
    <t>Coco Ferme FR</t>
  </si>
  <si>
    <t>Adv Tickets Shazam FR</t>
  </si>
  <si>
    <t>Adv Tickets Shazam EN</t>
  </si>
  <si>
    <t>CineClub Qualitative Research EN</t>
  </si>
  <si>
    <t>Hybrid Meetings FR EN</t>
  </si>
  <si>
    <t>Hybrid Meetings EN FR</t>
  </si>
  <si>
    <t>M&amp;M Minis FR</t>
  </si>
  <si>
    <t>M&amp;M Minis EN</t>
  </si>
  <si>
    <t>Adv Ticket John Wick Chpt 4 FR</t>
  </si>
  <si>
    <t>Adv Ticket John Wick Chpt 4 EN</t>
  </si>
  <si>
    <t>Spring Break Offer Whitby EN</t>
  </si>
  <si>
    <t>Spring Break Offer Brampton EN</t>
  </si>
  <si>
    <t>Spring Break Offer Dartmouth EN</t>
  </si>
  <si>
    <t>Spring Break Offer EN</t>
  </si>
  <si>
    <t>Theres Always Hope EN</t>
  </si>
  <si>
    <t>St. Patricks Day Party Invite</t>
  </si>
  <si>
    <t>Cine Club Members</t>
  </si>
  <si>
    <t>Empire Scene Plus Offer MBSKBC EN</t>
  </si>
  <si>
    <t>Empire Scene Plus Offer AB EN</t>
  </si>
  <si>
    <t>Empire Scene Plus Offer ATLON EN</t>
  </si>
  <si>
    <t>Multi Title Holi Challenger EN</t>
  </si>
  <si>
    <t>Multi Title Holi Primary EN</t>
  </si>
  <si>
    <t>Jesus Revolution 2 EN</t>
  </si>
  <si>
    <t>Adv Ticket Super Mario FR</t>
  </si>
  <si>
    <t>Adv Ticket Super Mario EN</t>
  </si>
  <si>
    <t>Event Cinema Research FR</t>
  </si>
  <si>
    <t>Event Cinema Research EN</t>
  </si>
  <si>
    <t>Mummies FR</t>
  </si>
  <si>
    <t>Mummies EN</t>
  </si>
  <si>
    <t>St Patrick's Day Party Reminder</t>
  </si>
  <si>
    <t>Adv Ticket D&amp;D FR</t>
  </si>
  <si>
    <t>Adv Ticket D&amp;D EN</t>
  </si>
  <si>
    <t>The Last Of Us FR</t>
  </si>
  <si>
    <t>The Last Of Us EN</t>
  </si>
  <si>
    <t>Spring Bowling League</t>
  </si>
  <si>
    <t>Andre Rieu In Dublin FR</t>
  </si>
  <si>
    <t>Andre Rieu In Dublin EN</t>
  </si>
  <si>
    <t>Spring Break Offer Reminder 1 Dartmouth EN</t>
  </si>
  <si>
    <t>Spring Break Offer Reminder 1 Whitby EN</t>
  </si>
  <si>
    <t>Spring Break Offer Reminder 1 Brampton EN</t>
  </si>
  <si>
    <t>Spring Break Offer Reminder 1 EN</t>
  </si>
  <si>
    <t>Points Offer Crepuscle Offer Email</t>
  </si>
  <si>
    <t>Points Offer Crepuscle Control Email</t>
  </si>
  <si>
    <t>Tagline FR</t>
  </si>
  <si>
    <t>Easter Egg Brunch EN</t>
  </si>
  <si>
    <t>CineClub Acq 100 No Offer EN</t>
  </si>
  <si>
    <t>CineClub Acq 75 No Offer EN</t>
  </si>
  <si>
    <t>CineClub Acq 50 No Offer EN</t>
  </si>
  <si>
    <t>Bowling Leauge Reminder</t>
  </si>
  <si>
    <t>CineClub Early Access Air EN</t>
  </si>
  <si>
    <t>CineClub</t>
  </si>
  <si>
    <t>Early Access Air2 EN</t>
  </si>
  <si>
    <t>Tuesday Deals RFM1 EN</t>
  </si>
  <si>
    <t>Tuesday Deals RFM2 EN</t>
  </si>
  <si>
    <t>Spring Break Offer Final Reminder 2 Whitby PDM</t>
  </si>
  <si>
    <t>Spring Break Offer Final Reminder 2 Dartmouth PDM</t>
  </si>
  <si>
    <t>Spring Break Offer Final Reminder 2 Brampton PDM</t>
  </si>
  <si>
    <t>Spring Break Offer Final Reminder 2 TRR EN</t>
  </si>
  <si>
    <t>School Year End Celebration FR-EN</t>
  </si>
  <si>
    <t>School Year End Celebration EN-FR</t>
  </si>
  <si>
    <t>Air Sneak Preview EN</t>
  </si>
  <si>
    <t>Easter Egg Brunch Reminder</t>
  </si>
  <si>
    <t>Pre Paid Products FR</t>
  </si>
  <si>
    <t>Pre Paid Products EN</t>
  </si>
  <si>
    <t>Spring Gift Pack #1 FR</t>
  </si>
  <si>
    <t>Spring Gift Pack #1 EN</t>
  </si>
  <si>
    <t>Adv Ticket Guardians Of The Galaxy 3 FR</t>
  </si>
  <si>
    <t>Adv Ticket Guardians Of The Galaxy 3 EN</t>
  </si>
  <si>
    <t>Super Mario Bros Concesions EN</t>
  </si>
  <si>
    <t>Super Mario Bros Concesions D&amp;T EN</t>
  </si>
  <si>
    <t>Super Mario Bros Scene Offer Control FR</t>
  </si>
  <si>
    <t>Super Mario Bros Scene Offer Control EN</t>
  </si>
  <si>
    <t>Super Mario Bros Scene Offer FR</t>
  </si>
  <si>
    <t>Super Mario Bros Scene Offer EN</t>
  </si>
  <si>
    <t>Super Mario Bros Concessions Reminder EN</t>
  </si>
  <si>
    <t>John Wick 4 FR</t>
  </si>
  <si>
    <t>John Wick 4 EN</t>
  </si>
  <si>
    <t>OptInSurvey</t>
  </si>
  <si>
    <t>SceneOfferMafiaMamma</t>
  </si>
  <si>
    <t>Sneak Preview Are You There God EN</t>
  </si>
  <si>
    <t>SCENE &amp; CONNECT</t>
  </si>
  <si>
    <t>Scene Offer D&amp;D Control EN</t>
  </si>
  <si>
    <t>Scene Offer D&amp;D Control FR</t>
  </si>
  <si>
    <t>Scene Offer D&amp;D EN</t>
  </si>
  <si>
    <t>Scene Offer D&amp;D FR</t>
  </si>
  <si>
    <t>Xscape Bonus Offer FR</t>
  </si>
  <si>
    <t>Xscape Bonus Offer EN</t>
  </si>
  <si>
    <t>Early Screen Citadel EN</t>
  </si>
  <si>
    <t>Farador FR</t>
  </si>
  <si>
    <t>Spring Gift Pack #2 FR</t>
  </si>
  <si>
    <t>Spring Gift Pack #2 EN</t>
  </si>
  <si>
    <t>BeauIs Afraid EN</t>
  </si>
  <si>
    <t>Eid Al Fitr EN</t>
  </si>
  <si>
    <t>Mothers Day Drag Brunch EN</t>
  </si>
  <si>
    <t>Scene Acquisition No OFFER EN</t>
  </si>
  <si>
    <t>Cine Club Acquisition No Offer 100 EN</t>
  </si>
  <si>
    <t>Cine Club Acquisition No Offer 100 FR</t>
  </si>
  <si>
    <t>Cine Club Acquisition No Offer 75 EN</t>
  </si>
  <si>
    <t>Cine Club Acquisition No Offer 75 FR</t>
  </si>
  <si>
    <t>Cine Club Acquisition No Offer 50 EN</t>
  </si>
  <si>
    <t>Cine Club Acquisition No Offer 50 FR</t>
  </si>
  <si>
    <t>Cine Club Acquisition EN</t>
  </si>
  <si>
    <t>Cine Club Acquisition FR</t>
  </si>
  <si>
    <t>Xscape Bonus Offer Reminder FR</t>
  </si>
  <si>
    <t>Xscape Bonus Offer Reminder EN</t>
  </si>
  <si>
    <t>BOGO FreeAdmission FR</t>
  </si>
  <si>
    <t>BOGO FreeAdmission EN</t>
  </si>
  <si>
    <t>Fast X Offer Offer Alert EN</t>
  </si>
  <si>
    <t>Fast X Offer Last Chance EN</t>
  </si>
  <si>
    <t>MET Refund EN</t>
  </si>
  <si>
    <t>MET Refund FR</t>
  </si>
  <si>
    <t>Are You There God EN</t>
  </si>
  <si>
    <t>Are You There God FR</t>
  </si>
  <si>
    <t>Sisu EN</t>
  </si>
  <si>
    <t>Comm Insights Opt In 2</t>
  </si>
  <si>
    <t>BeauIs Affraid FR</t>
  </si>
  <si>
    <t>VIP Book club Screening EN</t>
  </si>
  <si>
    <t>TRRFR Logo Creative Test</t>
  </si>
  <si>
    <t>Adv Ticket Little Mermaid FR</t>
  </si>
  <si>
    <t>Adv Ticket Little Mermaid EN</t>
  </si>
  <si>
    <t>Super Mario Bros 500 EN</t>
  </si>
  <si>
    <t>Super Mario Bros 1000 EN</t>
  </si>
  <si>
    <t>Fast X Pincodes FR</t>
  </si>
  <si>
    <t>Fast X Pincodes EN</t>
  </si>
  <si>
    <t>Friday What's On FR Noblock</t>
  </si>
  <si>
    <t xml:space="preserve">Friday What's On FR </t>
  </si>
  <si>
    <t>Friday What's On EN Noblock</t>
  </si>
  <si>
    <t>Mothers Day Drag Brunch Reminder</t>
  </si>
  <si>
    <t>Pre Opening Junxion Erin Mills</t>
  </si>
  <si>
    <t>Adv Tickets Transformers FR</t>
  </si>
  <si>
    <t>Adv Tickets Transformers EN</t>
  </si>
  <si>
    <t>Adv Ticket Spider Man FR</t>
  </si>
  <si>
    <t>Adv Ticket Spider Man EN</t>
  </si>
  <si>
    <t>Mothers Day Gifting EN</t>
  </si>
  <si>
    <t>Mothers Day Gifting FR</t>
  </si>
  <si>
    <t>Blackberry FR</t>
  </si>
  <si>
    <t>Blackberry EN</t>
  </si>
  <si>
    <t>LBE Concept Test</t>
  </si>
  <si>
    <t>Charlottetown Reopen EN</t>
  </si>
  <si>
    <t>Apology FR</t>
  </si>
  <si>
    <t>Apology EN</t>
  </si>
  <si>
    <t>Super Mario Bros FR</t>
  </si>
  <si>
    <t>Super Mario Bros EN</t>
  </si>
  <si>
    <t>Junxion Opening EN</t>
  </si>
  <si>
    <t>Scene Offer Fast X Control FR</t>
  </si>
  <si>
    <t>Scene Offer Fast X FR</t>
  </si>
  <si>
    <t>Scene Offer Fast X Control EN</t>
  </si>
  <si>
    <t>Scene Offer Fast X EN</t>
  </si>
  <si>
    <t>Flash Contest EN</t>
  </si>
  <si>
    <t>Dark Nature EN</t>
  </si>
  <si>
    <t>Dark Nature FR</t>
  </si>
  <si>
    <t>Friday What's On FR Link</t>
  </si>
  <si>
    <t>Alcohol Offering Awareness EN</t>
  </si>
  <si>
    <t>Alcohol Offering Awareness FR</t>
  </si>
  <si>
    <t>Adv Tickets The Flash EN</t>
  </si>
  <si>
    <t>Adv Tickets The Flash FR</t>
  </si>
  <si>
    <t>True Romance EN</t>
  </si>
  <si>
    <t>Succession EN</t>
  </si>
  <si>
    <t>Empire Scene Members Day ATL ON EN</t>
  </si>
  <si>
    <t>Empire Scene Members Day AB EN</t>
  </si>
  <si>
    <t>Empire Scene Members Day MB SK BC EN</t>
  </si>
  <si>
    <t>Prem Ex Drive Offer 300 List 1 EN</t>
  </si>
  <si>
    <t>Prem Ex Drive Offer 300 List 1 FR</t>
  </si>
  <si>
    <t>Prem Ex Drive Offer 300 List 2 EN</t>
  </si>
  <si>
    <t>Prem Ex Drive Offer 300 List 2 FR</t>
  </si>
  <si>
    <t>Prem Ex Drive Offer 500 List 1 EN</t>
  </si>
  <si>
    <t>Prem Ex Drive Offer 500 List 1 FR</t>
  </si>
  <si>
    <t>Prem Ex Drive Offer 500 List 2 EN</t>
  </si>
  <si>
    <t>Prem Ex Drive Offer 500 List 2 FR</t>
  </si>
  <si>
    <t>AVX SpiderMan EN</t>
  </si>
  <si>
    <t>AVX SpiderMan FR</t>
  </si>
  <si>
    <t>IMAX Oppenheimer EN</t>
  </si>
  <si>
    <t>IMAX Oppenheimer FR</t>
  </si>
  <si>
    <t>Fast X Pincode Feedback</t>
  </si>
  <si>
    <t>International Cinema June EN</t>
  </si>
  <si>
    <t>Adv Tickets Oppenheimer FR</t>
  </si>
  <si>
    <t>Adv Tickets Oppenheimer EN</t>
  </si>
  <si>
    <t>CDM Mall</t>
  </si>
  <si>
    <t>Fast X FR</t>
  </si>
  <si>
    <t>Fast X EN</t>
  </si>
  <si>
    <t>Prem Ex Drive Offer Reminder 500 List 2 FR</t>
  </si>
  <si>
    <t>Prem Ex Drive Offer Reminder 500 List 1 FR</t>
  </si>
  <si>
    <t>Prem Ex Drive Offer Reminder 300 List 2 FR</t>
  </si>
  <si>
    <t>Prem Ex Drive Offer Reminder 300 List 1 FR</t>
  </si>
  <si>
    <t>Prem Ex Drive Offer Reminder 500 List 2 EN</t>
  </si>
  <si>
    <t>Prem Ex Drive Offer Reminder 500 List 1 EN</t>
  </si>
  <si>
    <t>Prem Ex Drive Offer Reminder 300 List 2 EN</t>
  </si>
  <si>
    <t>Prem Ex Drive Offer Reminder 300 List 1 EN</t>
  </si>
  <si>
    <t>Adv Ticket Mission Impossible 7 FR</t>
  </si>
  <si>
    <t>Adv Ticket Mission Impossible 7 EN</t>
  </si>
  <si>
    <t>Scene Offer Transformers FR</t>
  </si>
  <si>
    <t>Scene Offer Transformers EN</t>
  </si>
  <si>
    <t>Scene Offer Transformers Control FR</t>
  </si>
  <si>
    <t>Scene Offer Transformers Control EN</t>
  </si>
  <si>
    <t>Fathers Day Gifting FR</t>
  </si>
  <si>
    <t>Fathers Day Gifting EN</t>
  </si>
  <si>
    <t>Transformers Pincode FR</t>
  </si>
  <si>
    <t>Transformers Pincode EN</t>
  </si>
  <si>
    <t>The Blackening EN</t>
  </si>
  <si>
    <t>Spring Gift Pack 3 FR</t>
  </si>
  <si>
    <t>Spring Gift Pack 3 EN</t>
  </si>
  <si>
    <t>EXH Corporate Offer EN FR</t>
  </si>
  <si>
    <t>EXH Corporate Offer FR EN</t>
  </si>
  <si>
    <t>Adv Tickets Barbie FR</t>
  </si>
  <si>
    <t>Adv Tickets Barbie EN</t>
  </si>
  <si>
    <t>Anticipated Behaviour W11 EN</t>
  </si>
  <si>
    <t>Anticipated Behaviour W11 FR</t>
  </si>
  <si>
    <t>Annual Membership Upgrade No Offer FR</t>
  </si>
  <si>
    <t>Annual Membership Upgrade No Offer EN</t>
  </si>
  <si>
    <t>Annual Membership Upgrade 2000 Points EN</t>
  </si>
  <si>
    <t>Annual Membership Upgrade 2000 Points FR</t>
  </si>
  <si>
    <t>Menu Boards EN</t>
  </si>
  <si>
    <t>Mobile Ordering Annoucement EN</t>
  </si>
  <si>
    <t>Ruby Gilman FR</t>
  </si>
  <si>
    <t>Ruby Gilman EN</t>
  </si>
  <si>
    <t>SCENE - EN</t>
  </si>
  <si>
    <t>CONNECT - EN</t>
  </si>
  <si>
    <t>SCENE &amp; CONNECT - EN</t>
  </si>
  <si>
    <t>CONNECT - FR</t>
  </si>
  <si>
    <t>SCENE - FR</t>
  </si>
  <si>
    <t>Week of</t>
  </si>
  <si>
    <t>Jan 1 - July 15</t>
  </si>
  <si>
    <t>July 16 - July 20</t>
  </si>
  <si>
    <t>July 21 - July 27</t>
  </si>
  <si>
    <t>July 28 - Aug 3</t>
  </si>
  <si>
    <t>Aug 4 - Aug 10</t>
  </si>
  <si>
    <t>Aug 11 - Aug 17</t>
  </si>
  <si>
    <t>Aug 18 - Aug 24</t>
  </si>
  <si>
    <t>Aug 25 - Aug 31</t>
  </si>
  <si>
    <t>Sept 1 - Sept 7</t>
  </si>
  <si>
    <t>Sept 8 - Sept 14</t>
  </si>
  <si>
    <t>Sept 15 - Sept 21</t>
  </si>
  <si>
    <t>Sept 22 - Sept 28</t>
  </si>
  <si>
    <t>Sept 29 - Oct 5</t>
  </si>
  <si>
    <t>Oct 6 - Oct 12</t>
  </si>
  <si>
    <t>Oct 13 - Oct 19</t>
  </si>
  <si>
    <t>Oct 20 - Oct 26</t>
  </si>
  <si>
    <t>Oct 27, 2023 to Nov 02, 2023</t>
  </si>
  <si>
    <t>Nov 03, 2023 to Nov 09, 2023</t>
  </si>
  <si>
    <t>Nov 10, 2023 to Nov 16, 2023</t>
  </si>
  <si>
    <t>Nov 17, 2023 to Nov 23, 2023</t>
  </si>
  <si>
    <t>Nov 24, 2023 to Nov 30, 2023</t>
  </si>
  <si>
    <t>Dec 01, 2023 to Dec 07, 2023</t>
  </si>
  <si>
    <t>Dec 08, 2023 to Dec 14, 2023</t>
  </si>
  <si>
    <t>Dec 15, 2023 to Dec 21, 2023</t>
  </si>
  <si>
    <t>Dec 22, 2023 to Dec 28, 2023</t>
  </si>
  <si>
    <t>Dec 29, 2023 to Jan 04, 2024</t>
  </si>
  <si>
    <t>YTD CPX Metrics</t>
  </si>
  <si>
    <t>Weekly</t>
  </si>
  <si>
    <t>Dedicated</t>
  </si>
  <si>
    <t>Attendance Workstream</t>
  </si>
  <si>
    <t>English</t>
  </si>
  <si>
    <t>French</t>
  </si>
  <si>
    <t>Dedicated/ Ad Hoc</t>
  </si>
  <si>
    <t>Version</t>
  </si>
  <si>
    <t>English - Connect &amp; CineClub</t>
  </si>
  <si>
    <t>English - 2nd Week Offer</t>
  </si>
  <si>
    <t>French - Connect &amp; CineClub</t>
  </si>
  <si>
    <t>French - 2nd Week Offer</t>
  </si>
  <si>
    <t>Journey Name/Version</t>
  </si>
  <si>
    <t>JourneyVersion_VersionID</t>
  </si>
  <si>
    <t>ActionName</t>
  </si>
  <si>
    <t>Bounces</t>
  </si>
  <si>
    <t>Unsubscribes Rate</t>
  </si>
  <si>
    <t>[Production] CineClub Loki Screening_Copy[9076]</t>
  </si>
  <si>
    <t>[Production] CineClub Loki Screening_Copy Version 1.0[6a51]</t>
  </si>
  <si>
    <t>Email - ScreenX Offer - English</t>
  </si>
  <si>
    <t>Email - ScreenX Offer - French</t>
  </si>
  <si>
    <t>[Production] Survey - Film Anticipation - January</t>
  </si>
  <si>
    <t>[Production] 23_0002_MKTT_TuesDeals_Jan2</t>
  </si>
  <si>
    <t>[Production] 23-0710-MKTT-Night Swim Dedicated_FINAL</t>
  </si>
  <si>
    <t>Email - RFM -English</t>
  </si>
  <si>
    <t>[Production] (36897) Ferrari - English</t>
  </si>
  <si>
    <t>[Production] (26897) Ferrari - French</t>
  </si>
  <si>
    <t>[Production] (35292) The Color Purple - English</t>
  </si>
  <si>
    <t>2023 Q4 Store</t>
  </si>
  <si>
    <t>Halloween Titles FR</t>
  </si>
  <si>
    <t>Halloween Titles EN</t>
  </si>
  <si>
    <t>House of The Dragon FR</t>
  </si>
  <si>
    <t>House of The Dragon EN</t>
  </si>
  <si>
    <t>Digital Passes Partnership EN</t>
  </si>
  <si>
    <t>Black Adam EN</t>
  </si>
  <si>
    <t>Black Friday Cyber Monday FR</t>
  </si>
  <si>
    <t>Black Friday Cyber Monday EN</t>
  </si>
  <si>
    <t>Black Adam FR</t>
  </si>
  <si>
    <t>Lyle Lyle Crocodile Scene Offer EN</t>
  </si>
  <si>
    <t>Lyle Lyle Crocodile Scene Offer FR</t>
  </si>
  <si>
    <t>Holiday Titles FR</t>
  </si>
  <si>
    <t>Holiday Titles EN</t>
  </si>
  <si>
    <t>Violent Night FR</t>
  </si>
  <si>
    <t>Violent Night EN</t>
  </si>
  <si>
    <t>HoTD Boxing Day EN</t>
  </si>
  <si>
    <t>Cineplex Store</t>
  </si>
  <si>
    <t>G&amp;E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</si>
</sst>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0%;\-0.00%;0.00%"/>
    <numFmt numFmtId="165" formatCode="_(* #,##0_);_(* \(#,##0\);_(* &quot;-&quot;??_);_(@_)"/>
    <numFmt numFmtId="166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theme="4" tint="0.3999755851924192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145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9" xfId="0" applyBorder="1"/>
    <xf numFmtId="0" fontId="1" fillId="2" borderId="1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3" borderId="6" xfId="0" applyFont="1" applyFill="1" applyBorder="1"/>
    <xf numFmtId="0" fontId="0" fillId="3" borderId="0" xfId="0" applyFill="1"/>
    <xf numFmtId="0" fontId="0" fillId="3" borderId="7" xfId="0" applyFill="1" applyBorder="1"/>
    <xf numFmtId="16" fontId="0" fillId="0" borderId="6" xfId="0" applyNumberFormat="1" applyBorder="1"/>
    <xf numFmtId="164" fontId="0" fillId="0" borderId="7" xfId="0" applyNumberFormat="1" applyBorder="1"/>
    <xf numFmtId="16" fontId="2" fillId="0" borderId="6" xfId="0" applyNumberFormat="1" applyFont="1" applyBorder="1" applyAlignment="1">
      <alignment horizontal="left"/>
    </xf>
    <xf numFmtId="3" fontId="2" fillId="0" borderId="0" xfId="0" applyNumberFormat="1" applyFont="1"/>
    <xf numFmtId="164" fontId="2" fillId="0" borderId="0" xfId="0" applyNumberFormat="1" applyFont="1"/>
    <xf numFmtId="10" fontId="0" fillId="0" borderId="7" xfId="0" applyNumberFormat="1" applyBorder="1"/>
    <xf numFmtId="16" fontId="2" fillId="0" borderId="8" xfId="0" applyNumberFormat="1" applyFont="1" applyBorder="1" applyAlignment="1">
      <alignment horizontal="left"/>
    </xf>
    <xf numFmtId="3" fontId="2" fillId="0" borderId="9" xfId="0" applyNumberFormat="1" applyFont="1" applyBorder="1"/>
    <xf numFmtId="164" fontId="2" fillId="0" borderId="9" xfId="0" applyNumberFormat="1" applyFont="1" applyBorder="1"/>
    <xf numFmtId="164" fontId="2" fillId="0" borderId="7" xfId="0" applyNumberFormat="1" applyFont="1" applyBorder="1"/>
    <xf numFmtId="164" fontId="2" fillId="0" borderId="10" xfId="0" applyNumberFormat="1" applyFont="1" applyBorder="1"/>
    <xf numFmtId="0" fontId="2" fillId="3" borderId="1" xfId="0" applyFont="1" applyFill="1" applyBorder="1"/>
    <xf numFmtId="0" fontId="0" fillId="3" borderId="3" xfId="0" applyFill="1" applyBorder="1"/>
    <xf numFmtId="0" fontId="0" fillId="3" borderId="5" xfId="0" applyFill="1" applyBorder="1"/>
    <xf numFmtId="3" fontId="0" fillId="0" borderId="13" xfId="0" applyNumberFormat="1" applyBorder="1"/>
    <xf numFmtId="16" fontId="0" fillId="0" borderId="0" xfId="0" applyNumberFormat="1"/>
    <xf numFmtId="16" fontId="2" fillId="0" borderId="0" xfId="0" applyNumberFormat="1" applyFont="1" applyAlignment="1">
      <alignment horizontal="left"/>
    </xf>
    <xf numFmtId="165" fontId="0" fillId="0" borderId="0" xfId="1" applyNumberFormat="1" applyFont="1"/>
    <xf numFmtId="166" fontId="1" fillId="4" borderId="14" xfId="0" applyNumberFormat="1" applyFont="1" applyFill="1" applyBorder="1" applyAlignment="1">
      <alignment horizontal="center" vertical="center"/>
    </xf>
    <xf numFmtId="3" fontId="1" fillId="4" borderId="14" xfId="0" applyNumberFormat="1" applyFont="1" applyFill="1" applyBorder="1" applyAlignment="1">
      <alignment horizontal="center" vertical="center"/>
    </xf>
    <xf numFmtId="10" fontId="1" fillId="4" borderId="14" xfId="0" applyNumberFormat="1" applyFont="1" applyFill="1" applyBorder="1" applyAlignment="1">
      <alignment horizontal="center" vertical="center"/>
    </xf>
    <xf numFmtId="10" fontId="0" fillId="0" borderId="0" xfId="2" applyNumberFormat="1" applyFont="1"/>
    <xf numFmtId="10" fontId="0" fillId="0" borderId="7" xfId="2" applyNumberFormat="1" applyFont="1" applyBorder="1"/>
    <xf numFmtId="0" fontId="0" fillId="0" borderId="3" xfId="0" applyBorder="1"/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" fontId="0" fillId="0" borderId="1" xfId="0" applyNumberFormat="1" applyBorder="1"/>
    <xf numFmtId="3" fontId="0" fillId="0" borderId="3" xfId="0" applyNumberFormat="1" applyBorder="1"/>
    <xf numFmtId="10" fontId="0" fillId="0" borderId="3" xfId="2" applyNumberFormat="1" applyFont="1" applyBorder="1"/>
    <xf numFmtId="10" fontId="0" fillId="0" borderId="3" xfId="0" applyNumberFormat="1" applyBorder="1"/>
    <xf numFmtId="10" fontId="0" fillId="0" borderId="5" xfId="2" applyNumberFormat="1" applyFont="1" applyBorder="1"/>
    <xf numFmtId="10" fontId="0" fillId="0" borderId="0" xfId="2" applyNumberFormat="1" applyFont="1" applyBorder="1"/>
    <xf numFmtId="165" fontId="0" fillId="0" borderId="0" xfId="1" applyNumberFormat="1" applyFont="1" applyBorder="1"/>
    <xf numFmtId="16" fontId="1" fillId="5" borderId="8" xfId="0" applyNumberFormat="1" applyFont="1" applyFill="1" applyBorder="1" applyAlignment="1">
      <alignment horizontal="left"/>
    </xf>
    <xf numFmtId="0" fontId="5" fillId="5" borderId="9" xfId="0" applyFont="1" applyFill="1" applyBorder="1"/>
    <xf numFmtId="3" fontId="1" fillId="5" borderId="9" xfId="0" applyNumberFormat="1" applyFont="1" applyFill="1" applyBorder="1"/>
    <xf numFmtId="164" fontId="1" fillId="5" borderId="9" xfId="0" applyNumberFormat="1" applyFont="1" applyFill="1" applyBorder="1"/>
    <xf numFmtId="0" fontId="1" fillId="4" borderId="14" xfId="0" applyFont="1" applyFill="1" applyBorder="1" applyAlignment="1">
      <alignment vertical="center"/>
    </xf>
    <xf numFmtId="0" fontId="1" fillId="4" borderId="14" xfId="0" applyFont="1" applyFill="1" applyBorder="1" applyAlignment="1">
      <alignment horizontal="center" vertical="center"/>
    </xf>
    <xf numFmtId="10" fontId="1" fillId="4" borderId="17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66" fontId="6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7" fillId="0" borderId="14" xfId="0" applyFont="1" applyBorder="1"/>
    <xf numFmtId="0" fontId="6" fillId="0" borderId="14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0" fillId="0" borderId="0" xfId="0" applyAlignment="1">
      <alignment vertical="center"/>
    </xf>
    <xf numFmtId="3" fontId="0" fillId="0" borderId="14" xfId="0" applyNumberFormat="1" applyBorder="1" applyAlignment="1">
      <alignment horizontal="center"/>
    </xf>
    <xf numFmtId="0" fontId="2" fillId="6" borderId="14" xfId="0" applyFont="1" applyFill="1" applyBorder="1" applyAlignment="1">
      <alignment vertical="center"/>
    </xf>
    <xf numFmtId="0" fontId="2" fillId="6" borderId="14" xfId="0" applyFont="1" applyFill="1" applyBorder="1" applyAlignment="1">
      <alignment horizontal="center" vertical="center"/>
    </xf>
    <xf numFmtId="166" fontId="2" fillId="6" borderId="14" xfId="0" applyNumberFormat="1" applyFont="1" applyFill="1" applyBorder="1" applyAlignment="1">
      <alignment horizontal="center" vertical="center"/>
    </xf>
    <xf numFmtId="3" fontId="2" fillId="6" borderId="14" xfId="0" applyNumberFormat="1" applyFont="1" applyFill="1" applyBorder="1" applyAlignment="1">
      <alignment horizontal="center" vertical="center"/>
    </xf>
    <xf numFmtId="10" fontId="2" fillId="6" borderId="1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0" fontId="0" fillId="0" borderId="7" xfId="0" applyNumberFormat="1" applyBorder="1" applyAlignment="1">
      <alignment horizontal="right" vertical="center"/>
    </xf>
    <xf numFmtId="10" fontId="0" fillId="0" borderId="7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6" fontId="1" fillId="4" borderId="15" xfId="0" applyNumberFormat="1" applyFont="1" applyFill="1" applyBorder="1" applyAlignment="1">
      <alignment horizontal="right" vertical="center"/>
    </xf>
    <xf numFmtId="0" fontId="1" fillId="4" borderId="12" xfId="0" applyFont="1" applyFill="1" applyBorder="1" applyAlignment="1">
      <alignment horizontal="center" vertical="center"/>
    </xf>
    <xf numFmtId="3" fontId="1" fillId="4" borderId="12" xfId="0" applyNumberFormat="1" applyFont="1" applyFill="1" applyBorder="1" applyAlignment="1">
      <alignment horizontal="center" vertical="center"/>
    </xf>
    <xf numFmtId="10" fontId="1" fillId="4" borderId="12" xfId="0" applyNumberFormat="1" applyFont="1" applyFill="1" applyBorder="1" applyAlignment="1">
      <alignment horizontal="center" vertical="center"/>
    </xf>
    <xf numFmtId="10" fontId="1" fillId="4" borderId="16" xfId="0" applyNumberFormat="1" applyFont="1" applyFill="1" applyBorder="1" applyAlignment="1">
      <alignment horizontal="center" vertical="center"/>
    </xf>
    <xf numFmtId="16" fontId="1" fillId="5" borderId="15" xfId="0" applyNumberFormat="1" applyFont="1" applyFill="1" applyBorder="1" applyAlignment="1">
      <alignment horizontal="left"/>
    </xf>
    <xf numFmtId="0" fontId="5" fillId="5" borderId="12" xfId="0" applyFont="1" applyFill="1" applyBorder="1"/>
    <xf numFmtId="3" fontId="1" fillId="5" borderId="12" xfId="0" applyNumberFormat="1" applyFont="1" applyFill="1" applyBorder="1"/>
    <xf numFmtId="164" fontId="1" fillId="5" borderId="12" xfId="0" applyNumberFormat="1" applyFont="1" applyFill="1" applyBorder="1"/>
    <xf numFmtId="164" fontId="1" fillId="5" borderId="16" xfId="0" applyNumberFormat="1" applyFont="1" applyFill="1" applyBorder="1"/>
    <xf numFmtId="0" fontId="0" fillId="7" borderId="0" xfId="0" applyFill="1"/>
    <xf numFmtId="3" fontId="0" fillId="7" borderId="0" xfId="0" applyNumberFormat="1" applyFill="1"/>
    <xf numFmtId="10" fontId="0" fillId="7" borderId="0" xfId="2" applyNumberFormat="1" applyFont="1" applyFill="1"/>
    <xf numFmtId="165" fontId="0" fillId="7" borderId="0" xfId="0" applyNumberFormat="1" applyFill="1"/>
    <xf numFmtId="10" fontId="0" fillId="0" borderId="0" xfId="0" quotePrefix="1" applyNumberFormat="1"/>
    <xf numFmtId="16" fontId="0" fillId="0" borderId="22" xfId="0" applyNumberFormat="1" applyBorder="1"/>
    <xf numFmtId="0" fontId="0" fillId="0" borderId="13" xfId="0" applyBorder="1"/>
    <xf numFmtId="10" fontId="0" fillId="0" borderId="13" xfId="0" applyNumberFormat="1" applyBorder="1"/>
    <xf numFmtId="10" fontId="0" fillId="0" borderId="23" xfId="0" applyNumberFormat="1" applyBorder="1"/>
    <xf numFmtId="164" fontId="0" fillId="0" borderId="23" xfId="0" applyNumberFormat="1" applyBorder="1"/>
    <xf numFmtId="10" fontId="0" fillId="0" borderId="24" xfId="0" applyNumberFormat="1" applyBorder="1"/>
    <xf numFmtId="164" fontId="0" fillId="0" borderId="24" xfId="0" applyNumberFormat="1" applyBorder="1"/>
    <xf numFmtId="164" fontId="2" fillId="0" borderId="21" xfId="0" applyNumberFormat="1" applyFont="1" applyBorder="1"/>
    <xf numFmtId="16" fontId="0" fillId="0" borderId="25" xfId="0" applyNumberFormat="1" applyBorder="1"/>
    <xf numFmtId="164" fontId="0" fillId="0" borderId="26" xfId="0" applyNumberFormat="1" applyBorder="1"/>
    <xf numFmtId="10" fontId="0" fillId="0" borderId="26" xfId="0" applyNumberFormat="1" applyBorder="1"/>
    <xf numFmtId="0" fontId="0" fillId="0" borderId="21" xfId="0" applyBorder="1"/>
    <xf numFmtId="0" fontId="1" fillId="2" borderId="27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6" fontId="2" fillId="0" borderId="33" xfId="0" applyNumberFormat="1" applyFont="1" applyBorder="1" applyAlignment="1">
      <alignment horizontal="left"/>
    </xf>
    <xf numFmtId="3" fontId="2" fillId="0" borderId="21" xfId="0" applyNumberFormat="1" applyFont="1" applyBorder="1"/>
    <xf numFmtId="164" fontId="2" fillId="0" borderId="34" xfId="0" applyNumberFormat="1" applyFont="1" applyBorder="1"/>
    <xf numFmtId="0" fontId="8" fillId="8" borderId="0" xfId="0" applyFont="1" applyFill="1" applyAlignment="1">
      <alignment horizontal="center"/>
    </xf>
    <xf numFmtId="3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0" fontId="2" fillId="6" borderId="14" xfId="0" applyFont="1" applyFill="1" applyBorder="1" applyAlignment="1">
      <alignment horizontal="left" vertical="center"/>
    </xf>
    <xf numFmtId="166" fontId="9" fillId="6" borderId="14" xfId="0" applyNumberFormat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right" vertical="center"/>
    </xf>
    <xf numFmtId="166" fontId="1" fillId="4" borderId="14" xfId="0" applyNumberFormat="1" applyFont="1" applyFill="1" applyBorder="1" applyAlignment="1">
      <alignment horizontal="right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164" fontId="0" fillId="0" borderId="3" xfId="0" applyNumberFormat="1" applyBorder="1"/>
    <xf numFmtId="164" fontId="0" fillId="0" borderId="5" xfId="0" applyNumberFormat="1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1EE97F5D-F517-4DD5-B02D-3198F1A5C7A2}"/>
    <cellStyle name="Percent" xfId="2" builtinId="5"/>
  </cellStyles>
  <dxfs count="276"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numFmt numFmtId="164" formatCode="0.00%;\-0.00%;0.00%"/>
      <fill>
        <patternFill patternType="none">
          <bgColor auto="1"/>
        </patternFill>
      </fill>
    </dxf>
    <dxf>
      <numFmt numFmtId="164" formatCode="0.00%;\-0.00%;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64" formatCode="0.00%;\-0.00%;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1" formatCode="d\-mmm"/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bgColor auto="1"/>
        </patternFill>
      </fill>
    </dxf>
    <dxf>
      <border outline="0">
        <bottom style="thin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578E8BA9-CCB1-43B4-B639-C185A733DF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17A914-903A-4602-A9EE-91C978460226}" name="Table13" displayName="Table13" ref="A1:I19" headerRowDxfId="275" headerRowBorderDxfId="274" tableBorderDxfId="273">
  <tableColumns count="9">
    <tableColumn id="3" xr3:uid="{FDC826B6-C9C4-459B-845A-48C9DB939167}" name="Send Date"/>
    <tableColumn id="2" xr3:uid="{5FC1402B-3351-4200-B3DC-47AD7BAEC1F4}" name="Journey Name"/>
    <tableColumn id="4" xr3:uid="{22D2F307-500E-445C-ABAC-6E1FB7517B84}" name="Version Language"/>
    <tableColumn id="5" xr3:uid="{187D8F20-B309-4986-ABAA-D483BCA44DA5}" name="Sent"/>
    <tableColumn id="8" xr3:uid="{0B8600F1-C56D-478D-B55F-AA4DEC98736C}" name="Unique Opens"/>
    <tableColumn id="9" xr3:uid="{0BD384DA-9CFC-430F-936A-DFA1B88F7E4A}" name="Unique Open Rate"/>
    <tableColumn id="10" xr3:uid="{D744B378-9AB7-4B36-9A49-115E6AE979D9}" name="Unique Clicks"/>
    <tableColumn id="11" xr3:uid="{CC611D2F-CBA2-44B9-A838-C44FF2694CBC}" name="CTO"/>
    <tableColumn id="12" xr3:uid="{B53A405F-D427-447B-8B1A-FB0BD4CBD0E6}" name="CTR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D3700-77C0-4A9D-8301-BE936EB3FAF7}" name="Table132" displayName="Table132" ref="A1:I23" headerRowDxfId="272" dataDxfId="270" headerRowBorderDxfId="271" tableBorderDxfId="269">
  <sortState xmlns:xlrd2="http://schemas.microsoft.com/office/spreadsheetml/2017/richdata2" ref="A2:I22">
    <sortCondition ref="A1:A22"/>
  </sortState>
  <tableColumns count="9">
    <tableColumn id="3" xr3:uid="{C7ACAA34-16E0-418F-B34C-3CE8D4DB50E2}" name="Send Date" dataDxfId="268"/>
    <tableColumn id="2" xr3:uid="{7113AD63-5025-40AB-8166-1760E186615A}" name="Journey Name" dataDxfId="267"/>
    <tableColumn id="4" xr3:uid="{A8D39826-02F0-4BD1-969C-EA007DBF64C3}" name="Version Language" dataDxfId="266"/>
    <tableColumn id="5" xr3:uid="{3B5F61EF-A6B0-4DE0-AD4C-BECBCB9AA67A}" name="Sent" dataDxfId="265"/>
    <tableColumn id="8" xr3:uid="{DF2543BE-1A61-4B7B-97A0-AF859F4015B0}" name="Unique Opens" dataDxfId="264"/>
    <tableColumn id="9" xr3:uid="{A226B2AF-A63C-47ED-9B8A-361CC4291B8B}" name="Unique Open Rate" dataDxfId="263"/>
    <tableColumn id="10" xr3:uid="{3D60CD67-33A3-425A-B865-DF9C3032B725}" name="Unique Clicks" dataDxfId="262"/>
    <tableColumn id="11" xr3:uid="{774BA6EE-7518-4EA2-862F-139CF228BEFB}" name="CTO" dataDxfId="261"/>
    <tableColumn id="12" xr3:uid="{F6C02F8C-3B7B-418C-BBA4-DB05587AD55D}" name="CTR" dataDxfId="260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365E6E-D313-427D-9307-EBB300B2E2DF}" name="Table1324" displayName="Table1324" ref="A1:I30" headerRowDxfId="259" dataDxfId="257" headerRowBorderDxfId="258" tableBorderDxfId="256">
  <sortState xmlns:xlrd2="http://schemas.microsoft.com/office/spreadsheetml/2017/richdata2" ref="A2:I22">
    <sortCondition ref="A1:A22"/>
  </sortState>
  <tableColumns count="9">
    <tableColumn id="3" xr3:uid="{522179BA-CF4F-4E71-9820-ABD4EDC7F2E8}" name="Send Date" dataDxfId="255"/>
    <tableColumn id="2" xr3:uid="{16E46A55-3BAA-4E1E-93B5-8CFDF88BD5AF}" name="Journey Name" dataDxfId="254"/>
    <tableColumn id="4" xr3:uid="{BD7C8315-BE5B-406B-A194-D45679A15BAC}" name="Version" dataDxfId="253"/>
    <tableColumn id="5" xr3:uid="{C79C7309-AA94-405E-893A-0219DB77E8B3}" name="Sent" dataDxfId="252"/>
    <tableColumn id="8" xr3:uid="{09049B2C-F26E-4DAC-90BD-290ADA106B69}" name="Unique Opens" dataDxfId="251"/>
    <tableColumn id="9" xr3:uid="{23D64B1E-A49C-4B19-85AA-D2712078F305}" name="Unique Open Rate" dataDxfId="250"/>
    <tableColumn id="10" xr3:uid="{446EF756-9B9B-4FC6-A5BD-595855069070}" name="Unique Clicks" dataDxfId="249"/>
    <tableColumn id="11" xr3:uid="{903507CF-5788-4FF2-B701-02C4B518DE4B}" name="CTO" dataDxfId="248"/>
    <tableColumn id="12" xr3:uid="{3A6A7392-97DB-49B5-B7C0-1CAB98284E53}" name="CTR" dataDxfId="247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FD7E29-0B77-49E6-95EB-6010042BB070}" name="Table13246" displayName="Table13246" ref="A1:I18" headerRowDxfId="246" dataDxfId="244" headerRowBorderDxfId="245" tableBorderDxfId="243">
  <sortState xmlns:xlrd2="http://schemas.microsoft.com/office/spreadsheetml/2017/richdata2" ref="A2:I17">
    <sortCondition ref="A1:A17"/>
  </sortState>
  <tableColumns count="9">
    <tableColumn id="3" xr3:uid="{8EC1D460-6E64-4934-996E-BA028D50AD88}" name="Send Date" dataDxfId="242"/>
    <tableColumn id="2" xr3:uid="{748F207B-C7CD-4C58-AC66-AF28081306F5}" name="Journey Name" dataDxfId="241"/>
    <tableColumn id="4" xr3:uid="{694D7FC9-830B-47DC-8BD2-7C0BD5EA6A7C}" name="Version" dataDxfId="240"/>
    <tableColumn id="5" xr3:uid="{0F63780B-5486-4753-BC47-6FC7BD7B9E20}" name="Sent" dataDxfId="239"/>
    <tableColumn id="8" xr3:uid="{1495F7B9-CDDE-44C4-B689-F0E028450766}" name="Unique Opens" dataDxfId="238"/>
    <tableColumn id="9" xr3:uid="{90E3403A-18AD-41FA-BAA1-39FEC84DABF0}" name="Unique Open Rate" dataDxfId="237"/>
    <tableColumn id="10" xr3:uid="{1156E518-307E-41D5-B546-4A25D6430A07}" name="Unique Clicks" dataDxfId="236"/>
    <tableColumn id="11" xr3:uid="{09F8C953-102C-4E37-9BF0-91D4B12A48D5}" name="CTO" dataDxfId="235"/>
    <tableColumn id="12" xr3:uid="{3064D41F-2EF4-4AE8-B32B-E25D69466CDB}" name="CTR" dataDxfId="234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FFD779-3F7D-463D-A218-F52E283831C1}" name="Table13247" displayName="Table13247" ref="A1:I26" headerRowDxfId="233" dataDxfId="231" headerRowBorderDxfId="232" tableBorderDxfId="230">
  <sortState xmlns:xlrd2="http://schemas.microsoft.com/office/spreadsheetml/2017/richdata2" ref="A2:I22">
    <sortCondition ref="A1:A22"/>
  </sortState>
  <tableColumns count="9">
    <tableColumn id="3" xr3:uid="{0E0E2BDF-8C86-4F72-B483-6499E7C18991}" name="Send Date" dataDxfId="229"/>
    <tableColumn id="2" xr3:uid="{CD81FF03-7020-49F3-91A2-222452BD4296}" name="Journey Name" dataDxfId="228"/>
    <tableColumn id="4" xr3:uid="{5D215059-8E98-4A47-A177-DB6C5B248648}" name="Version" dataDxfId="227"/>
    <tableColumn id="5" xr3:uid="{331ED4F1-C17F-4A22-B11C-8F0A73AF0068}" name="Sent" dataDxfId="226"/>
    <tableColumn id="8" xr3:uid="{0ADB68C7-FF13-4113-9D9F-B48BAB1D4A12}" name="Unique Opens" dataDxfId="225"/>
    <tableColumn id="9" xr3:uid="{FAE634E0-E08A-4E7A-8EA4-9363DEF51082}" name="Unique Open Rate" dataDxfId="224"/>
    <tableColumn id="10" xr3:uid="{E86904F9-64D0-4CA1-9E50-057D83C075DE}" name="Unique Clicks" dataDxfId="223"/>
    <tableColumn id="11" xr3:uid="{B51248A0-B83F-4E3A-AE15-1441AC286CA2}" name="CTO" dataDxfId="222"/>
    <tableColumn id="12" xr3:uid="{CCC522AB-7B07-4A54-A3E4-EDA51A43E7EF}" name="CTR" dataDxfId="221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C5B0A4-8650-4B75-938B-E1EAD1EA3551}" name="Table132475" displayName="Table132475" ref="A1:I19" headerRowDxfId="220" dataDxfId="218" headerRowBorderDxfId="219" tableBorderDxfId="217">
  <sortState xmlns:xlrd2="http://schemas.microsoft.com/office/spreadsheetml/2017/richdata2" ref="A2:I4">
    <sortCondition ref="A1:A4"/>
  </sortState>
  <tableColumns count="9">
    <tableColumn id="3" xr3:uid="{2CB55021-D190-4C04-A818-0BC5AE13F115}" name="Send Date" dataDxfId="216"/>
    <tableColumn id="2" xr3:uid="{C5611AC2-AF66-4B9C-85DE-EFF0D81EAA16}" name="Journey Name" dataDxfId="215"/>
    <tableColumn id="4" xr3:uid="{B2CDB572-F6F6-4AAE-B82C-618835557FF6}" name="Version" dataDxfId="214"/>
    <tableColumn id="5" xr3:uid="{A71C0E47-4476-40D7-AAB1-1EF565D17126}" name="Sent" dataDxfId="213"/>
    <tableColumn id="8" xr3:uid="{08F7C50C-0A76-4545-8748-662BA419258B}" name="Unique Opens" dataDxfId="212"/>
    <tableColumn id="9" xr3:uid="{A30AC166-1693-431E-A2FF-B41AFE865163}" name="Unique Open Rate" dataDxfId="211"/>
    <tableColumn id="10" xr3:uid="{8B3BEE9B-9D16-4628-A32C-357E3E08BD91}" name="Unique Clicks" dataDxfId="210"/>
    <tableColumn id="11" xr3:uid="{27651EB6-C027-43BD-B8C7-DC0DC1B19C6D}" name="CTO" dataDxfId="209"/>
    <tableColumn id="12" xr3:uid="{A70AC798-68BB-405C-A81B-0E23D21A2677}" name="CTR" dataDxfId="208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1E6BBA-BCDF-4645-9635-92C514C58AA0}" name="Table132469" displayName="Table132469" ref="A1:I30" headerRowDxfId="207" dataDxfId="205" headerRowBorderDxfId="206" tableBorderDxfId="204">
  <sortState xmlns:xlrd2="http://schemas.microsoft.com/office/spreadsheetml/2017/richdata2" ref="A2:I29">
    <sortCondition ref="A1:A29"/>
  </sortState>
  <tableColumns count="9">
    <tableColumn id="3" xr3:uid="{1C4547E9-FF6A-4BD6-B825-0F10A4393E42}" name="Send Date" dataDxfId="203"/>
    <tableColumn id="2" xr3:uid="{2AAF4FE7-21AD-4C01-9643-3C810ECD9835}" name="Journey Name" dataDxfId="202"/>
    <tableColumn id="4" xr3:uid="{047621EA-DF71-4947-8E75-80B0821E4402}" name="Version" dataDxfId="201"/>
    <tableColumn id="5" xr3:uid="{CBC4A752-6ABC-4DCE-B259-B4C6E6261094}" name="Sent" dataDxfId="200"/>
    <tableColumn id="8" xr3:uid="{9FD16E4D-DFD9-4115-816C-07622EA21373}" name="Unique Opens" dataDxfId="199"/>
    <tableColumn id="9" xr3:uid="{8D3FCACC-097C-4192-8F40-E37E4CB50EB5}" name="Unique Open Rate" dataDxfId="198"/>
    <tableColumn id="10" xr3:uid="{C344A495-ED2F-4A91-A40E-9BA03BC43F2B}" name="Unique Clicks" dataDxfId="197"/>
    <tableColumn id="11" xr3:uid="{F775BA41-1DA5-4A4C-A5FE-6D2B71682BF9}" name="CTO" dataDxfId="196"/>
    <tableColumn id="12" xr3:uid="{14CACF99-D6F0-40F1-8960-5CDE8A297726}" name="CTR" dataDxfId="195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E1A891-C5C7-426D-A82A-C3A466668674}" name="Table1324698" displayName="Table1324698" ref="A1:I29" headerRowDxfId="194" dataDxfId="192" headerRowBorderDxfId="193" tableBorderDxfId="191">
  <sortState xmlns:xlrd2="http://schemas.microsoft.com/office/spreadsheetml/2017/richdata2" ref="A2:I28">
    <sortCondition ref="A1:A28"/>
  </sortState>
  <tableColumns count="9">
    <tableColumn id="3" xr3:uid="{ED0B8291-EFE2-4948-AACA-A40C0B898EDE}" name="Send Date" dataDxfId="190"/>
    <tableColumn id="2" xr3:uid="{8A5718B4-32D8-4DF6-A85C-9827609C8838}" name="Journey Name" dataDxfId="189"/>
    <tableColumn id="4" xr3:uid="{F1211DD4-1405-4991-90D7-DD519E5A8DCF}" name="Version" dataDxfId="188"/>
    <tableColumn id="5" xr3:uid="{130EBDC1-CAB9-4DB7-9BD2-84D545425242}" name="Sent" dataDxfId="187"/>
    <tableColumn id="8" xr3:uid="{B3312F35-0435-4D8A-9AD4-62CC3E94690B}" name="Unique Opens" dataDxfId="186"/>
    <tableColumn id="9" xr3:uid="{0457FE94-0EB3-43F9-81DD-0F68DD63F279}" name="Unique Open Rate" dataDxfId="185"/>
    <tableColumn id="10" xr3:uid="{F8261AB7-FCFE-412C-AC9F-D26DC0CF39F8}" name="Unique Clicks" dataDxfId="184"/>
    <tableColumn id="11" xr3:uid="{FDC0C65F-0EA3-435A-94B5-71573CE78C27}" name="CTO" dataDxfId="183"/>
    <tableColumn id="12" xr3:uid="{E7E4DAAD-4B1B-4A3F-B6A9-4E8EFAD9D2AD}" name="CTR" dataDxfId="182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14A11F-9731-43FF-B05E-DB4E9CCAC021}" name="Table132469810" displayName="Table132469810" ref="A1:I26" headerRowDxfId="181" dataDxfId="179" headerRowBorderDxfId="180" tableBorderDxfId="178">
  <sortState xmlns:xlrd2="http://schemas.microsoft.com/office/spreadsheetml/2017/richdata2" ref="A2:I25">
    <sortCondition ref="A1:A25"/>
  </sortState>
  <tableColumns count="9">
    <tableColumn id="3" xr3:uid="{BCF71E72-53E0-4167-B457-17D22FE6005D}" name="Send Date" dataDxfId="177"/>
    <tableColumn id="2" xr3:uid="{BA682093-4196-401C-A665-D9D1B9B4F476}" name="Journey Name" dataDxfId="176"/>
    <tableColumn id="4" xr3:uid="{858042A5-5815-47C6-8B2A-52ABBF3891EC}" name="Version" dataDxfId="175"/>
    <tableColumn id="5" xr3:uid="{3FAB0DA1-5E20-498C-B8F9-9B8CCF6E381A}" name="Sent" dataDxfId="174"/>
    <tableColumn id="8" xr3:uid="{DD75DA9F-FE84-4083-88F4-75856C1481FE}" name="Unique Opens" dataDxfId="173"/>
    <tableColumn id="9" xr3:uid="{49F6924D-7675-49DB-A7BF-4A20884AB12D}" name="Unique Open Rate" dataDxfId="172"/>
    <tableColumn id="10" xr3:uid="{6BD48F87-D924-4F6C-A1AC-9B7A07DA7408}" name="Unique Clicks" dataDxfId="171"/>
    <tableColumn id="11" xr3:uid="{2F6C6F4A-D1B2-4503-B492-8F5484C20F8D}" name="CTO" dataDxfId="170"/>
    <tableColumn id="12" xr3:uid="{40CDDCEB-773A-434A-B02F-412EE81A0256}" name="CTR" dataDxfId="169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19329C-2D37-4BF3-A43D-39ECA68B3CA7}" name="Table13246981011" displayName="Table13246981011" ref="A1:I25" headerRowDxfId="168" dataDxfId="166" headerRowBorderDxfId="167" tableBorderDxfId="165">
  <sortState xmlns:xlrd2="http://schemas.microsoft.com/office/spreadsheetml/2017/richdata2" ref="A2:I24">
    <sortCondition ref="A1:A24"/>
  </sortState>
  <tableColumns count="9">
    <tableColumn id="3" xr3:uid="{11B7EE89-1DB4-4789-8CE5-5A70096B0286}" name="Send Date" dataDxfId="164"/>
    <tableColumn id="2" xr3:uid="{761F9BA3-8D12-4055-84EC-9E3E0EEA54D4}" name="Journey Name" dataDxfId="163"/>
    <tableColumn id="4" xr3:uid="{4A84F6E4-68B7-4893-A5A3-E0E136705861}" name="Version" dataDxfId="162"/>
    <tableColumn id="5" xr3:uid="{42088198-1C49-4052-86C6-D566413DAC40}" name="Sent" dataDxfId="161"/>
    <tableColumn id="8" xr3:uid="{58D2700D-917C-4901-820B-A2D95ECEE034}" name="Unique Opens" dataDxfId="160"/>
    <tableColumn id="9" xr3:uid="{AC79DB1D-9FA4-4A42-8033-42F9616B227E}" name="Unique Open Rate" dataDxfId="159"/>
    <tableColumn id="10" xr3:uid="{5390329C-7224-489B-A270-AE1B7940B486}" name="Unique Clicks" dataDxfId="158"/>
    <tableColumn id="11" xr3:uid="{A91ED9CA-073C-4168-B1AE-153E256D8CAE}" name="CTO" dataDxfId="157"/>
    <tableColumn id="12" xr3:uid="{3E13D0AD-4682-40E4-870F-9CE1438B6126}" name="CTR" dataDxfId="156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5CA5EA-00C4-4D02-BAF8-E8CE238BA8DE}" name="Table1324698101112" displayName="Table1324698101112" ref="A1:I33" headerRowDxfId="155" dataDxfId="153" headerRowBorderDxfId="154" tableBorderDxfId="152">
  <sortState xmlns:xlrd2="http://schemas.microsoft.com/office/spreadsheetml/2017/richdata2" ref="A2:I32">
    <sortCondition ref="A1:A32"/>
  </sortState>
  <tableColumns count="9">
    <tableColumn id="3" xr3:uid="{FF651F35-148B-4EBA-AD7E-D639B62A46A4}" name="Send Date" dataDxfId="151"/>
    <tableColumn id="2" xr3:uid="{8283BDCD-83E7-4913-8E76-10EA1DE36C84}" name="Journey Name" dataDxfId="150"/>
    <tableColumn id="4" xr3:uid="{64E78FF6-3F47-4AD9-B04A-C78883E8E63C}" name="Version" dataDxfId="149"/>
    <tableColumn id="5" xr3:uid="{520CCC44-F238-403C-933F-DCF5C9C90BEE}" name="Sent" dataDxfId="148"/>
    <tableColumn id="8" xr3:uid="{4ABB383A-1C5C-4665-808C-D80BF2F68E0C}" name="Unique Opens" dataDxfId="147"/>
    <tableColumn id="9" xr3:uid="{FA94A1A5-8761-4FA2-8CB6-E04412D7A237}" name="Unique Open Rate" dataDxfId="146"/>
    <tableColumn id="10" xr3:uid="{F7D6AD8B-5316-48D3-B80E-130B45A1F09D}" name="Unique Clicks" dataDxfId="145"/>
    <tableColumn id="11" xr3:uid="{24DDF8D9-4C8B-44D6-A88C-36D0CAE4EDF0}" name="CTO" dataDxfId="144"/>
    <tableColumn id="12" xr3:uid="{62B9C0E3-2D6A-4743-BFB0-8D2CCC172FDA}" name="CTR" dataDxfId="143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DF1CD6-12B3-4926-A7EC-507596CDB28E}" name="Table132469810111213" displayName="Table132469810111213" ref="A1:I27" headerRowDxfId="142" dataDxfId="140" headerRowBorderDxfId="141" tableBorderDxfId="139">
  <sortState xmlns:xlrd2="http://schemas.microsoft.com/office/spreadsheetml/2017/richdata2" ref="A2:I26">
    <sortCondition ref="A1:A26"/>
  </sortState>
  <tableColumns count="9">
    <tableColumn id="3" xr3:uid="{74030691-C864-4BEA-9F37-C23A8A9225F7}" name="Send Date" dataDxfId="138"/>
    <tableColumn id="2" xr3:uid="{8059C570-5BEA-4859-A442-7476D1C398C0}" name="Journey Name" dataDxfId="137"/>
    <tableColumn id="4" xr3:uid="{B77D9086-5CD3-4EF5-BA31-409816B191F0}" name="Version" dataDxfId="136"/>
    <tableColumn id="5" xr3:uid="{9738E7B4-ABF5-4E09-A770-B48BDF917139}" name="Sent" dataDxfId="135"/>
    <tableColumn id="8" xr3:uid="{65FA5C76-6766-4EDF-96EB-BCA65005A09C}" name="Unique Opens" dataDxfId="134"/>
    <tableColumn id="9" xr3:uid="{4C53A578-BA11-4738-BF65-1928B524D3E4}" name="Unique Open Rate" dataDxfId="133"/>
    <tableColumn id="10" xr3:uid="{2BF4F08F-38C0-4ACB-8EA4-A26389E0C99B}" name="Unique Clicks" dataDxfId="132"/>
    <tableColumn id="11" xr3:uid="{8D199B9D-808E-43C7-8F5E-800E49C1FBF0}" name="CTO" dataDxfId="131"/>
    <tableColumn id="12" xr3:uid="{8806463D-7103-4BA3-8DE9-D88F6397C0C3}" name="CTR" dataDxfId="130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EE926D-B733-4111-909F-8314A32479B8}" name="Table13246981011121314" displayName="Table13246981011121314" ref="A1:I31" headerRowDxfId="129" dataDxfId="127" headerRowBorderDxfId="128" tableBorderDxfId="126">
  <sortState xmlns:xlrd2="http://schemas.microsoft.com/office/spreadsheetml/2017/richdata2" ref="A2:I30">
    <sortCondition ref="A1:A30"/>
  </sortState>
  <tableColumns count="9">
    <tableColumn id="3" xr3:uid="{20B609CB-DA58-4E1C-B814-B90797E8FA46}" name="Send Date" dataDxfId="125"/>
    <tableColumn id="2" xr3:uid="{E57821DC-D047-4317-ACD9-4D1CA2D5669C}" name="Journey Name" dataDxfId="124"/>
    <tableColumn id="4" xr3:uid="{EC042A88-C9D0-414A-A1B8-EBDCC0A0B661}" name="Version" dataDxfId="123"/>
    <tableColumn id="5" xr3:uid="{1A2CA72B-5CD9-4CB0-A277-8E79CF75E43A}" name="Sent" dataDxfId="122"/>
    <tableColumn id="8" xr3:uid="{6592111B-1D38-4A0E-8404-EED425759DEA}" name="Unique Opens" dataDxfId="121"/>
    <tableColumn id="9" xr3:uid="{6D656F83-F95E-487E-A322-14541DF46D93}" name="Unique Open Rate" dataDxfId="120"/>
    <tableColumn id="10" xr3:uid="{C14EF4F3-0CB4-41F2-997D-A2D96E9C3136}" name="Unique Clicks" dataDxfId="119"/>
    <tableColumn id="11" xr3:uid="{9AFD133B-35BD-4FBC-AEAA-3EEC9C82D101}" name="CTO" dataDxfId="118"/>
    <tableColumn id="12" xr3:uid="{7E1C0C16-99AD-45DF-AB91-1634C116E26E}" name="CTR" dataDxfId="117"/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34A8AD-4A05-4E3A-A743-13971CDE2D28}" name="Table1324698101112131415" displayName="Table1324698101112131415" ref="A1:I25" headerRowDxfId="116" dataDxfId="114" headerRowBorderDxfId="115" tableBorderDxfId="113">
  <sortState xmlns:xlrd2="http://schemas.microsoft.com/office/spreadsheetml/2017/richdata2" ref="A2:I25">
    <sortCondition ref="A1:A25"/>
  </sortState>
  <tableColumns count="9">
    <tableColumn id="3" xr3:uid="{F941C717-8FCB-4DA3-BE3E-49A9ADDD4AFC}" name="Send Date" dataDxfId="112"/>
    <tableColumn id="2" xr3:uid="{9966C0B6-64F7-43B3-BDF1-9402B5EF5BBC}" name="Journey Name" dataDxfId="111"/>
    <tableColumn id="4" xr3:uid="{FB324E66-5370-4C3B-BEDE-C31241665196}" name="Version" dataDxfId="110"/>
    <tableColumn id="5" xr3:uid="{4183E8F7-BE35-468B-82E4-2AA6A427C6BC}" name="Sent" dataDxfId="109"/>
    <tableColumn id="8" xr3:uid="{EF5E39DD-5935-427B-AA11-0F95854DC97C}" name="Unique Opens" dataDxfId="108"/>
    <tableColumn id="9" xr3:uid="{F035E95F-B5F5-4E7C-AFD4-C5CF81A5BE58}" name="Unique Open Rate" dataDxfId="107"/>
    <tableColumn id="10" xr3:uid="{2423957F-D70F-4C6F-AB7B-D864FA9B42D8}" name="Unique Clicks" dataDxfId="106"/>
    <tableColumn id="11" xr3:uid="{9B0D6A33-CCED-492E-9DCA-0F3594C1D621}" name="CTO" dataDxfId="105"/>
    <tableColumn id="12" xr3:uid="{EE23BC33-B5E6-433F-887E-2D9E102EED8D}" name="CTR" dataDxfId="104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47A6CA-1432-4700-99B1-92E7B02711A6}" name="Table132469810111213141516" displayName="Table132469810111213141516" ref="A1:I26" headerRowDxfId="103" dataDxfId="101" headerRowBorderDxfId="102" tableBorderDxfId="100">
  <sortState xmlns:xlrd2="http://schemas.microsoft.com/office/spreadsheetml/2017/richdata2" ref="A2:I26">
    <sortCondition ref="A1:A26"/>
  </sortState>
  <tableColumns count="9">
    <tableColumn id="3" xr3:uid="{0AB0A292-376B-4CFA-8875-282B7CB5C259}" name="Send Date" dataDxfId="99"/>
    <tableColumn id="2" xr3:uid="{9AF93F1D-E806-4301-859D-AD4B80DB1378}" name="Journey Name" dataDxfId="98"/>
    <tableColumn id="4" xr3:uid="{8859D176-669A-4C14-BD0D-5B72F62F76C5}" name="Version" dataDxfId="97"/>
    <tableColumn id="5" xr3:uid="{0DC40EBC-AD93-405F-9ADD-C48F1D3F0B81}" name="Sent" dataDxfId="96"/>
    <tableColumn id="8" xr3:uid="{8DF096B4-0171-475C-BC34-8D420308A224}" name="Unique Opens" dataDxfId="95"/>
    <tableColumn id="9" xr3:uid="{A28D4B06-9296-4177-8413-E4300FC127F3}" name="Unique Open Rate" dataDxfId="94"/>
    <tableColumn id="10" xr3:uid="{D6C335A0-1FA4-4AD0-9FF5-467F2F743DB0}" name="Unique Clicks" dataDxfId="93"/>
    <tableColumn id="11" xr3:uid="{FBCCE02A-B7E8-411E-BA29-6176743AD379}" name="CTO" dataDxfId="92"/>
    <tableColumn id="12" xr3:uid="{A209C30B-82BB-48AA-A3B9-84B0D39F2174}" name="CTR" dataDxfId="91"/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013E34-82A8-4C5D-9CF9-4DE973D9CCB9}" name="Table13246981011121314151617" displayName="Table13246981011121314151617" ref="A1:I31" headerRowDxfId="90" dataDxfId="88" headerRowBorderDxfId="89" tableBorderDxfId="87">
  <sortState xmlns:xlrd2="http://schemas.microsoft.com/office/spreadsheetml/2017/richdata2" ref="A2:I31">
    <sortCondition ref="A1:A31"/>
  </sortState>
  <tableColumns count="9">
    <tableColumn id="3" xr3:uid="{B772CA37-0442-473A-BAAC-2F8841A4589B}" name="Send Date" dataDxfId="86"/>
    <tableColumn id="2" xr3:uid="{858D6B7E-F789-4A83-84C9-11D4E291001B}" name="Journey Name" dataDxfId="85"/>
    <tableColumn id="4" xr3:uid="{75BA305B-5091-4910-A538-3934061A16E2}" name="Version" dataDxfId="84"/>
    <tableColumn id="5" xr3:uid="{B34C9931-93EC-4D28-ACD0-5E616D836285}" name="Sent" dataDxfId="83"/>
    <tableColumn id="8" xr3:uid="{AA7ECB9E-C17F-4AF4-B861-1B78C8BD15B3}" name="Unique Opens" dataDxfId="82"/>
    <tableColumn id="9" xr3:uid="{A1F30CD1-DD83-4817-88FF-F310768DDD6A}" name="Unique Open Rate" dataDxfId="81"/>
    <tableColumn id="10" xr3:uid="{CDDDBD31-087C-433D-BBC0-2036D46CE8FB}" name="Unique Clicks" dataDxfId="80"/>
    <tableColumn id="11" xr3:uid="{B8C33AA9-9E6C-4C1D-B22E-0918EA4BED3E}" name="CTO" dataDxfId="79"/>
    <tableColumn id="12" xr3:uid="{AE21E8F6-1A44-44FE-AA1B-7DFBA709F1C9}" name="CTR" dataDxfId="78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11660A0-CFE1-4AAE-BB64-40853F3375FF}" name="Table1324698101112131415161718" displayName="Table1324698101112131415161718" ref="A1:I35" headerRowDxfId="77" dataDxfId="75" headerRowBorderDxfId="76" tableBorderDxfId="74">
  <sortState xmlns:xlrd2="http://schemas.microsoft.com/office/spreadsheetml/2017/richdata2" ref="A2:I35">
    <sortCondition ref="A1:A35"/>
  </sortState>
  <tableColumns count="9">
    <tableColumn id="3" xr3:uid="{F08AEFDD-C071-478A-A807-2CB3D0671667}" name="Send Date" dataDxfId="73"/>
    <tableColumn id="2" xr3:uid="{29340E5B-FFC9-489E-958E-9B92FAED6191}" name="Journey Name" dataDxfId="72"/>
    <tableColumn id="4" xr3:uid="{7363AF9A-05EA-4914-A6A5-68C8F1075AE2}" name="Version" dataDxfId="71"/>
    <tableColumn id="5" xr3:uid="{F1554459-DBD0-4FD0-A3C0-93B0DEFA9D7E}" name="Sent" dataDxfId="70"/>
    <tableColumn id="8" xr3:uid="{397E035B-11CC-4078-8892-F0B7CD9ABB5B}" name="Unique Opens" dataDxfId="69"/>
    <tableColumn id="9" xr3:uid="{CDBC1660-1E85-42AA-A75F-4D4C517DB581}" name="Unique Open Rate" dataDxfId="68"/>
    <tableColumn id="10" xr3:uid="{4CCBE6CB-953F-4035-A37E-FC240DEA95E0}" name="Unique Clicks" dataDxfId="67"/>
    <tableColumn id="11" xr3:uid="{86B33C7D-1DC2-4B52-BF56-BEEC7F95EE20}" name="CTO" dataDxfId="66"/>
    <tableColumn id="12" xr3:uid="{9D534C53-A2D6-4331-9B4E-A7343B0EFFFB}" name="CTR" dataDxfId="65"/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60C6F8B-1AEE-4728-B31D-858F67524081}" name="Table132469810111213141516171819" displayName="Table132469810111213141516171819" ref="A1:I36" headerRowDxfId="64" dataDxfId="62" headerRowBorderDxfId="63" tableBorderDxfId="61">
  <sortState xmlns:xlrd2="http://schemas.microsoft.com/office/spreadsheetml/2017/richdata2" ref="A2:I36">
    <sortCondition ref="A1:A36"/>
  </sortState>
  <tableColumns count="9">
    <tableColumn id="3" xr3:uid="{EA5DD8E7-E482-4874-A751-9B22BAD5547A}" name="Send Date" dataDxfId="60"/>
    <tableColumn id="2" xr3:uid="{F5D78E5E-44E9-400C-9734-E3A1E6656AF5}" name="Journey Name" dataDxfId="59"/>
    <tableColumn id="4" xr3:uid="{BCF2168D-ACE8-486D-8266-A377C09B1B7E}" name="Version" dataDxfId="58"/>
    <tableColumn id="5" xr3:uid="{A2296C7B-78C9-4B35-BF49-ABEB30FC6EB4}" name="Sent" dataDxfId="57"/>
    <tableColumn id="8" xr3:uid="{DBC7A3B7-93A8-46C7-B01A-B85EF8E189A4}" name="Unique Opens" dataDxfId="56"/>
    <tableColumn id="9" xr3:uid="{7655E93D-5EF5-4939-8FBC-80CFBECB58C3}" name="Unique Open Rate" dataDxfId="55"/>
    <tableColumn id="10" xr3:uid="{9755BB2E-3FA0-4E85-960F-BDCB08687C16}" name="Unique Clicks" dataDxfId="54"/>
    <tableColumn id="11" xr3:uid="{273578AA-1CBF-481E-BFA7-82A879515C4B}" name="CTO" dataDxfId="53"/>
    <tableColumn id="12" xr3:uid="{2F8E9041-8081-4B9A-8EDB-2AEC0579A65E}" name="CTR" dataDxfId="52"/>
  </tableColumns>
  <tableStyleInfo name="Table Style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8D7FBA4-ADD6-4D85-97EA-39D497004886}" name="Table13246981011121314151617181921" displayName="Table13246981011121314151617181921" ref="A1:I33" headerRowDxfId="51" dataDxfId="49" headerRowBorderDxfId="50" tableBorderDxfId="48">
  <sortState xmlns:xlrd2="http://schemas.microsoft.com/office/spreadsheetml/2017/richdata2" ref="A2:I33">
    <sortCondition ref="A1:A33"/>
  </sortState>
  <tableColumns count="9">
    <tableColumn id="3" xr3:uid="{E6CA9CEC-FFD4-4B43-B50E-091CF41955B7}" name="Send Date" dataDxfId="47"/>
    <tableColumn id="2" xr3:uid="{A72656D7-08AA-49CE-846F-5092E4376348}" name="Journey Name" dataDxfId="46"/>
    <tableColumn id="4" xr3:uid="{22650292-A917-457C-BED2-1C1CB0B7F2A2}" name="Version" dataDxfId="45"/>
    <tableColumn id="5" xr3:uid="{C63FFADB-694F-4024-B206-853D0B12552A}" name="Sent" dataDxfId="44"/>
    <tableColumn id="8" xr3:uid="{8528D29E-E842-49CD-9786-8AD354D480B0}" name="Unique Opens" dataDxfId="43"/>
    <tableColumn id="9" xr3:uid="{265243A5-8662-4EBF-8070-AAB9F0B79116}" name="Unique Open Rate" dataDxfId="42"/>
    <tableColumn id="10" xr3:uid="{DD187801-C481-40FF-9BC7-63738F0A68E2}" name="Unique Clicks" dataDxfId="41"/>
    <tableColumn id="11" xr3:uid="{D942409A-6E00-4F4C-87AD-2AC83208B83E}" name="CTO" dataDxfId="40"/>
    <tableColumn id="12" xr3:uid="{770791EC-EC70-4716-8433-6BF1DDF133FD}" name="CTR" dataDxfId="39"/>
  </tableColumns>
  <tableStyleInfo name="Table Style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345454-48D8-43DF-9B8E-CB083F5B3979}" name="Table1324698101112131415161718192120" displayName="Table1324698101112131415161718192120" ref="A1:I31" headerRowDxfId="38" dataDxfId="36" headerRowBorderDxfId="37" tableBorderDxfId="35">
  <sortState xmlns:xlrd2="http://schemas.microsoft.com/office/spreadsheetml/2017/richdata2" ref="A2:I31">
    <sortCondition ref="A1:A31"/>
  </sortState>
  <tableColumns count="9">
    <tableColumn id="3" xr3:uid="{A1974033-1642-423F-946C-6C35EC7A3575}" name="Send Date" dataDxfId="34"/>
    <tableColumn id="2" xr3:uid="{9C41344A-DADD-4FB3-8FA7-DB383D075909}" name="Journey Name" dataDxfId="33"/>
    <tableColumn id="4" xr3:uid="{98938B0B-3521-446B-8CF4-202B4319AAAD}" name="Version" dataDxfId="32"/>
    <tableColumn id="5" xr3:uid="{10EB46FE-E7C1-4449-826E-2DCE9350257F}" name="Sent" dataDxfId="31"/>
    <tableColumn id="8" xr3:uid="{7ADC27F9-AA37-419D-AC07-8E40DA6CEBFA}" name="Unique Opens" dataDxfId="30"/>
    <tableColumn id="9" xr3:uid="{0A7E5A2D-B045-49AC-9F9C-9964132FFA71}" name="Unique Open Rate" dataDxfId="29"/>
    <tableColumn id="10" xr3:uid="{D7567481-1B0F-4451-9459-652B54F6F870}" name="Unique Clicks" dataDxfId="28"/>
    <tableColumn id="11" xr3:uid="{F23A5035-C522-47C7-912B-93EFC0E88955}" name="CTO" dataDxfId="27"/>
    <tableColumn id="12" xr3:uid="{0E5CCA0D-9487-45DD-BA66-155A94DC5274}" name="CTR" dataDxfId="26"/>
  </tableColumns>
  <tableStyleInfo name="Table Style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A2810CC-FA04-4BBA-9144-504C336ED542}" name="Table132469810111213141516171819212022" displayName="Table132469810111213141516171819212022" ref="A1:I36" headerRowDxfId="25" dataDxfId="23" headerRowBorderDxfId="24" tableBorderDxfId="22">
  <sortState xmlns:xlrd2="http://schemas.microsoft.com/office/spreadsheetml/2017/richdata2" ref="A2:I36">
    <sortCondition ref="A1:A36"/>
  </sortState>
  <tableColumns count="9">
    <tableColumn id="3" xr3:uid="{B471B8BF-6E79-45A1-A665-FB4DB38CC6B4}" name="Send Date" dataDxfId="21"/>
    <tableColumn id="2" xr3:uid="{3BB91932-EA41-4CDF-8B02-373231D78835}" name="Journey Name" dataDxfId="20"/>
    <tableColumn id="4" xr3:uid="{91877EB5-50E3-4EBA-942D-6644EB8B36E8}" name="Version" dataDxfId="19"/>
    <tableColumn id="5" xr3:uid="{D5BC408C-BCB1-4DAF-A3F2-00EE1E10E610}" name="Sent" dataDxfId="18"/>
    <tableColumn id="8" xr3:uid="{B53B04B9-16AA-4FBB-81F3-5853928BCCBC}" name="Unique Opens" dataDxfId="17"/>
    <tableColumn id="9" xr3:uid="{1F944C8A-2D78-4089-B079-8CCB7263FF6B}" name="Unique Open Rate" dataDxfId="16"/>
    <tableColumn id="10" xr3:uid="{77D41961-E4FB-444E-8C0A-46968B37C1C8}" name="Unique Clicks" dataDxfId="15"/>
    <tableColumn id="11" xr3:uid="{FC6873AE-44E8-4302-AB99-E4876D45227A}" name="CTO" dataDxfId="14"/>
    <tableColumn id="12" xr3:uid="{FBCC4864-65DD-4916-B409-8B5D6E2DA361}" name="CTR" dataDxfId="13"/>
  </tableColumns>
  <tableStyleInfo name="Table Style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373A5F-24F4-4BF6-BA6C-CBCAF359FA10}" name="Table13246981011121314151617181921202223" displayName="Table13246981011121314151617181921202223" ref="A1:I25" headerRowDxfId="12" dataDxfId="10" headerRowBorderDxfId="11" tableBorderDxfId="9">
  <sortState xmlns:xlrd2="http://schemas.microsoft.com/office/spreadsheetml/2017/richdata2" ref="A2:I25">
    <sortCondition ref="A1:A25"/>
  </sortState>
  <tableColumns count="9">
    <tableColumn id="3" xr3:uid="{F185DB2C-E90F-4213-A5D4-116AA632C3A1}" name="Send Date" dataDxfId="8"/>
    <tableColumn id="2" xr3:uid="{C0178FEF-669E-40E5-8ADA-CC933C0D2D13}" name="Journey Name" dataDxfId="7"/>
    <tableColumn id="4" xr3:uid="{3F6B7A72-F466-4050-95A5-5D09AED983AB}" name="Version" dataDxfId="6"/>
    <tableColumn id="5" xr3:uid="{25ABEE2B-375B-432C-9322-D6669FCCD088}" name="Sent" dataDxfId="5"/>
    <tableColumn id="8" xr3:uid="{86A063DF-A195-492F-B5BD-E65E019757FE}" name="Unique Opens" dataDxfId="4"/>
    <tableColumn id="9" xr3:uid="{CE856584-70D4-4715-B492-9F4615D2DCDA}" name="Unique Open Rate" dataDxfId="3"/>
    <tableColumn id="10" xr3:uid="{8331524F-F284-46EC-8952-605C13C4F3D6}" name="Unique Clicks" dataDxfId="2"/>
    <tableColumn id="11" xr3:uid="{94D94BA8-C952-40EE-B9A2-E73326B3A628}" name="CTO" dataDxfId="1"/>
    <tableColumn id="12" xr3:uid="{9A635678-946D-4EA3-B3F3-F2DD8BABE59D}" name="CTR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B75B-0DED-4505-9872-7E39608551D1}">
  <sheetPr>
    <tabColor rgb="FFFFC000"/>
  </sheetPr>
  <dimension ref="A1:I631"/>
  <sheetViews>
    <sheetView tabSelected="1" zoomScale="107" zoomScaleNormal="107" workbookViewId="0">
      <pane ySplit="1" topLeftCell="A606" activePane="bottomLeft" state="frozen"/>
      <selection pane="bottomLeft" activeCell="B619" sqref="B619"/>
    </sheetView>
  </sheetViews>
  <sheetFormatPr defaultRowHeight="15" x14ac:dyDescent="0.25"/>
  <cols>
    <col min="1" max="1" width="10.42578125" bestFit="1" customWidth="1"/>
    <col min="2" max="2" width="71.5703125" bestFit="1" customWidth="1"/>
    <col min="3" max="3" width="42.85546875" bestFit="1" customWidth="1"/>
    <col min="4" max="4" width="14" customWidth="1"/>
    <col min="5" max="5" width="15.42578125" bestFit="1" customWidth="1"/>
    <col min="6" max="6" width="19.140625" bestFit="1" customWidth="1"/>
    <col min="7" max="7" width="14.5703125" bestFit="1" customWidth="1"/>
    <col min="8" max="8" width="8.5703125" bestFit="1" customWidth="1"/>
    <col min="9" max="9" width="7.140625" bestFit="1" customWidth="1"/>
  </cols>
  <sheetData>
    <row r="1" spans="1:9" ht="15.75" thickBot="1" x14ac:dyDescent="0.3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7" t="s">
        <v>8</v>
      </c>
    </row>
    <row r="2" spans="1:9" x14ac:dyDescent="0.25">
      <c r="A2" s="38">
        <v>45108</v>
      </c>
      <c r="B2" s="34" t="s">
        <v>9</v>
      </c>
      <c r="C2" s="34" t="s">
        <v>10</v>
      </c>
      <c r="D2" s="39">
        <v>18017</v>
      </c>
      <c r="E2" s="39">
        <v>6261</v>
      </c>
      <c r="F2" s="40">
        <f>E2/D2</f>
        <v>0.34750513404007327</v>
      </c>
      <c r="G2" s="39">
        <v>324</v>
      </c>
      <c r="H2" s="41">
        <f>G2/E2</f>
        <v>5.174892189746047E-2</v>
      </c>
      <c r="I2" s="42">
        <f>G2/D2</f>
        <v>1.7983016040406283E-2</v>
      </c>
    </row>
    <row r="3" spans="1:9" x14ac:dyDescent="0.25">
      <c r="A3" s="11">
        <v>45108</v>
      </c>
      <c r="B3" t="s">
        <v>9</v>
      </c>
      <c r="C3" t="s">
        <v>11</v>
      </c>
      <c r="D3" s="1">
        <v>21376</v>
      </c>
      <c r="E3" s="1">
        <v>8693</v>
      </c>
      <c r="F3" s="43">
        <f t="shared" ref="F3:F32" si="0">E3/D3</f>
        <v>0.40667103293413176</v>
      </c>
      <c r="G3" s="1">
        <v>891</v>
      </c>
      <c r="H3" s="3">
        <f t="shared" ref="H3:H32" si="1">G3/E3</f>
        <v>0.10249626135971471</v>
      </c>
      <c r="I3" s="33">
        <f t="shared" ref="I3:I35" si="2">G3/D3</f>
        <v>4.1682260479041916E-2</v>
      </c>
    </row>
    <row r="4" spans="1:9" x14ac:dyDescent="0.25">
      <c r="A4" s="11">
        <v>45108</v>
      </c>
      <c r="B4" t="s">
        <v>12</v>
      </c>
      <c r="C4" t="s">
        <v>13</v>
      </c>
      <c r="D4" s="1">
        <v>2146</v>
      </c>
      <c r="E4" s="1">
        <v>969</v>
      </c>
      <c r="F4" s="43">
        <f t="shared" si="0"/>
        <v>0.4515377446411929</v>
      </c>
      <c r="G4" s="1">
        <v>110</v>
      </c>
      <c r="H4" s="3">
        <f t="shared" si="1"/>
        <v>0.11351909184726522</v>
      </c>
      <c r="I4" s="33">
        <f t="shared" si="2"/>
        <v>5.1258154706430567E-2</v>
      </c>
    </row>
    <row r="5" spans="1:9" x14ac:dyDescent="0.25">
      <c r="A5" s="11">
        <v>45108</v>
      </c>
      <c r="B5" t="s">
        <v>12</v>
      </c>
      <c r="C5" t="s">
        <v>14</v>
      </c>
      <c r="D5" s="1">
        <v>1583</v>
      </c>
      <c r="E5" s="1">
        <v>594</v>
      </c>
      <c r="F5" s="43">
        <f t="shared" si="0"/>
        <v>0.37523689197725835</v>
      </c>
      <c r="G5" s="1">
        <v>32</v>
      </c>
      <c r="H5" s="3">
        <f t="shared" si="1"/>
        <v>5.387205387205387E-2</v>
      </c>
      <c r="I5" s="33">
        <f t="shared" si="2"/>
        <v>2.0214782059380921E-2</v>
      </c>
    </row>
    <row r="6" spans="1:9" x14ac:dyDescent="0.25">
      <c r="A6" s="11">
        <v>45108</v>
      </c>
      <c r="B6" t="s">
        <v>15</v>
      </c>
      <c r="C6" t="s">
        <v>16</v>
      </c>
      <c r="D6" s="1">
        <v>9376</v>
      </c>
      <c r="E6" s="1">
        <v>2849</v>
      </c>
      <c r="F6" s="43">
        <f t="shared" si="0"/>
        <v>0.30386092150170646</v>
      </c>
      <c r="G6" s="1">
        <v>397</v>
      </c>
      <c r="H6" s="3">
        <f t="shared" si="1"/>
        <v>0.13934713934713935</v>
      </c>
      <c r="I6" s="33">
        <f t="shared" si="2"/>
        <v>4.2342150170648463E-2</v>
      </c>
    </row>
    <row r="7" spans="1:9" x14ac:dyDescent="0.25">
      <c r="A7" s="11">
        <v>45108</v>
      </c>
      <c r="B7" t="s">
        <v>17</v>
      </c>
      <c r="C7" t="s">
        <v>11</v>
      </c>
      <c r="D7" s="1">
        <v>85055</v>
      </c>
      <c r="E7" s="1">
        <v>31141</v>
      </c>
      <c r="F7" s="43">
        <f t="shared" si="0"/>
        <v>0.36612779965904413</v>
      </c>
      <c r="G7" s="1">
        <v>2916</v>
      </c>
      <c r="H7" s="3">
        <f t="shared" si="1"/>
        <v>9.3638611476831182E-2</v>
      </c>
      <c r="I7" s="33">
        <f t="shared" si="2"/>
        <v>3.4283698783140318E-2</v>
      </c>
    </row>
    <row r="8" spans="1:9" x14ac:dyDescent="0.25">
      <c r="A8" s="11">
        <v>45111</v>
      </c>
      <c r="B8" t="s">
        <v>18</v>
      </c>
      <c r="C8" t="s">
        <v>13</v>
      </c>
      <c r="D8" s="1">
        <v>26740</v>
      </c>
      <c r="E8" s="1">
        <v>9187</v>
      </c>
      <c r="F8" s="43">
        <f t="shared" si="0"/>
        <v>0.34356768885564698</v>
      </c>
      <c r="G8" s="1">
        <v>293</v>
      </c>
      <c r="H8" s="3">
        <f t="shared" si="1"/>
        <v>3.1892892130183953E-2</v>
      </c>
      <c r="I8" s="33">
        <f t="shared" si="2"/>
        <v>1.0957367240089753E-2</v>
      </c>
    </row>
    <row r="9" spans="1:9" x14ac:dyDescent="0.25">
      <c r="A9" s="11">
        <v>45111</v>
      </c>
      <c r="B9" t="s">
        <v>18</v>
      </c>
      <c r="C9" t="s">
        <v>14</v>
      </c>
      <c r="D9" s="1">
        <v>28063</v>
      </c>
      <c r="E9" s="1">
        <v>9836</v>
      </c>
      <c r="F9" s="43">
        <f t="shared" si="0"/>
        <v>0.35049709582011901</v>
      </c>
      <c r="G9" s="1">
        <v>227</v>
      </c>
      <c r="H9" s="3">
        <f t="shared" si="1"/>
        <v>2.30784871899146E-2</v>
      </c>
      <c r="I9" s="33">
        <f t="shared" si="2"/>
        <v>8.088942735986886E-3</v>
      </c>
    </row>
    <row r="10" spans="1:9" x14ac:dyDescent="0.25">
      <c r="A10" s="11">
        <v>45111</v>
      </c>
      <c r="B10" t="s">
        <v>19</v>
      </c>
      <c r="C10" t="s">
        <v>11</v>
      </c>
      <c r="D10" s="1">
        <v>248593</v>
      </c>
      <c r="E10" s="1">
        <v>104452</v>
      </c>
      <c r="F10" s="43">
        <f t="shared" si="0"/>
        <v>0.420172732136464</v>
      </c>
      <c r="G10" s="1">
        <v>2595</v>
      </c>
      <c r="H10" s="3">
        <f t="shared" si="1"/>
        <v>2.484394745911998E-2</v>
      </c>
      <c r="I10" s="33">
        <f t="shared" si="2"/>
        <v>1.0438749280953204E-2</v>
      </c>
    </row>
    <row r="11" spans="1:9" x14ac:dyDescent="0.25">
      <c r="A11" s="11">
        <v>45111</v>
      </c>
      <c r="B11" t="s">
        <v>19</v>
      </c>
      <c r="C11" t="s">
        <v>10</v>
      </c>
      <c r="D11" s="1">
        <v>483408</v>
      </c>
      <c r="E11" s="1">
        <v>215639</v>
      </c>
      <c r="F11" s="43">
        <f t="shared" si="0"/>
        <v>0.44608074338860754</v>
      </c>
      <c r="G11" s="1">
        <v>3550</v>
      </c>
      <c r="H11" s="3">
        <f t="shared" si="1"/>
        <v>1.6462699233441076E-2</v>
      </c>
      <c r="I11" s="33">
        <f t="shared" si="2"/>
        <v>7.3436931122364546E-3</v>
      </c>
    </row>
    <row r="12" spans="1:9" x14ac:dyDescent="0.25">
      <c r="A12" s="11">
        <v>45113</v>
      </c>
      <c r="B12" t="s">
        <v>20</v>
      </c>
      <c r="C12" t="s">
        <v>14</v>
      </c>
      <c r="D12" s="1">
        <v>67</v>
      </c>
      <c r="E12" s="1">
        <v>45</v>
      </c>
      <c r="F12" s="43">
        <f t="shared" si="0"/>
        <v>0.67164179104477617</v>
      </c>
      <c r="G12" s="1">
        <v>6</v>
      </c>
      <c r="H12" s="3">
        <f t="shared" si="1"/>
        <v>0.13333333333333333</v>
      </c>
      <c r="I12" s="33">
        <f t="shared" si="2"/>
        <v>8.9552238805970144E-2</v>
      </c>
    </row>
    <row r="13" spans="1:9" x14ac:dyDescent="0.25">
      <c r="A13" s="11">
        <v>45113</v>
      </c>
      <c r="B13" t="s">
        <v>20</v>
      </c>
      <c r="C13" t="s">
        <v>13</v>
      </c>
      <c r="D13" s="1">
        <v>204</v>
      </c>
      <c r="E13" s="1">
        <v>136</v>
      </c>
      <c r="F13" s="43">
        <f t="shared" si="0"/>
        <v>0.66666666666666663</v>
      </c>
      <c r="G13" s="1">
        <v>13</v>
      </c>
      <c r="H13" s="3">
        <f t="shared" si="1"/>
        <v>9.5588235294117641E-2</v>
      </c>
      <c r="I13" s="33">
        <f t="shared" si="2"/>
        <v>6.3725490196078427E-2</v>
      </c>
    </row>
    <row r="14" spans="1:9" x14ac:dyDescent="0.25">
      <c r="A14" s="11">
        <v>45113</v>
      </c>
      <c r="B14" t="s">
        <v>21</v>
      </c>
      <c r="C14" t="s">
        <v>10</v>
      </c>
      <c r="D14" s="1">
        <v>265</v>
      </c>
      <c r="E14" s="1">
        <v>172</v>
      </c>
      <c r="F14" s="43">
        <f t="shared" si="0"/>
        <v>0.64905660377358487</v>
      </c>
      <c r="G14" s="1">
        <v>44</v>
      </c>
      <c r="H14" s="3">
        <f t="shared" si="1"/>
        <v>0.2558139534883721</v>
      </c>
      <c r="I14" s="33">
        <f t="shared" si="2"/>
        <v>0.16603773584905659</v>
      </c>
    </row>
    <row r="15" spans="1:9" x14ac:dyDescent="0.25">
      <c r="A15" s="11">
        <v>45113</v>
      </c>
      <c r="B15" t="s">
        <v>21</v>
      </c>
      <c r="C15" t="s">
        <v>11</v>
      </c>
      <c r="D15" s="1">
        <v>565</v>
      </c>
      <c r="E15" s="1">
        <v>380</v>
      </c>
      <c r="F15" s="43">
        <f t="shared" si="0"/>
        <v>0.67256637168141598</v>
      </c>
      <c r="G15" s="1">
        <v>40</v>
      </c>
      <c r="H15" s="3">
        <f t="shared" si="1"/>
        <v>0.10526315789473684</v>
      </c>
      <c r="I15" s="33">
        <f t="shared" si="2"/>
        <v>7.0796460176991149E-2</v>
      </c>
    </row>
    <row r="16" spans="1:9" x14ac:dyDescent="0.25">
      <c r="A16" s="11">
        <v>45114</v>
      </c>
      <c r="B16" t="s">
        <v>22</v>
      </c>
      <c r="C16" t="s">
        <v>13</v>
      </c>
      <c r="D16" s="1">
        <v>105474</v>
      </c>
      <c r="E16" s="1">
        <v>31001</v>
      </c>
      <c r="F16" s="43">
        <f t="shared" si="0"/>
        <v>0.29392077668430133</v>
      </c>
      <c r="G16" s="1">
        <v>116</v>
      </c>
      <c r="H16" s="3">
        <f t="shared" si="1"/>
        <v>3.7418147801683817E-3</v>
      </c>
      <c r="I16" s="33">
        <f t="shared" si="2"/>
        <v>1.0997971063958891E-3</v>
      </c>
    </row>
    <row r="17" spans="1:9" x14ac:dyDescent="0.25">
      <c r="A17" s="11">
        <v>45114</v>
      </c>
      <c r="B17" t="s">
        <v>22</v>
      </c>
      <c r="C17" t="s">
        <v>14</v>
      </c>
      <c r="D17" s="1">
        <v>204294</v>
      </c>
      <c r="E17" s="1">
        <v>57041</v>
      </c>
      <c r="F17" s="43">
        <f t="shared" si="0"/>
        <v>0.27921035370593361</v>
      </c>
      <c r="G17" s="1">
        <v>20</v>
      </c>
      <c r="H17" s="3">
        <f t="shared" si="1"/>
        <v>3.5062498904296912E-4</v>
      </c>
      <c r="I17" s="33">
        <f t="shared" si="2"/>
        <v>9.7898127208826497E-5</v>
      </c>
    </row>
    <row r="18" spans="1:9" x14ac:dyDescent="0.25">
      <c r="A18" s="11">
        <v>45114</v>
      </c>
      <c r="B18" t="s">
        <v>23</v>
      </c>
      <c r="C18" t="s">
        <v>11</v>
      </c>
      <c r="D18" s="1">
        <v>2081440</v>
      </c>
      <c r="E18" s="1">
        <v>688775</v>
      </c>
      <c r="F18" s="43">
        <f t="shared" si="0"/>
        <v>0.33091273349219769</v>
      </c>
      <c r="G18" s="1">
        <v>571</v>
      </c>
      <c r="H18" s="3">
        <f t="shared" si="1"/>
        <v>8.2900802148742328E-4</v>
      </c>
      <c r="I18" s="33">
        <f t="shared" si="2"/>
        <v>2.7432931047736183E-4</v>
      </c>
    </row>
    <row r="19" spans="1:9" x14ac:dyDescent="0.25">
      <c r="A19" s="11">
        <v>45114</v>
      </c>
      <c r="B19" t="s">
        <v>23</v>
      </c>
      <c r="C19" t="s">
        <v>10</v>
      </c>
      <c r="D19" s="1">
        <v>2354578</v>
      </c>
      <c r="E19" s="1">
        <v>735419</v>
      </c>
      <c r="F19" s="43">
        <f t="shared" si="0"/>
        <v>0.31233579860170274</v>
      </c>
      <c r="G19" s="1">
        <v>984</v>
      </c>
      <c r="H19" s="3">
        <f t="shared" si="1"/>
        <v>1.3380127519142149E-3</v>
      </c>
      <c r="I19" s="33">
        <f t="shared" si="2"/>
        <v>4.1790928140838824E-4</v>
      </c>
    </row>
    <row r="20" spans="1:9" x14ac:dyDescent="0.25">
      <c r="A20" s="11">
        <v>45114</v>
      </c>
      <c r="B20" t="s">
        <v>24</v>
      </c>
      <c r="C20" t="s">
        <v>10</v>
      </c>
      <c r="D20" s="1">
        <v>232379</v>
      </c>
      <c r="E20" s="1">
        <v>102431</v>
      </c>
      <c r="F20" s="43">
        <f t="shared" si="0"/>
        <v>0.4407928427267524</v>
      </c>
      <c r="G20" s="1">
        <v>7976</v>
      </c>
      <c r="H20" s="3">
        <f t="shared" si="1"/>
        <v>7.7867051966689776E-2</v>
      </c>
      <c r="I20" s="33">
        <f t="shared" si="2"/>
        <v>3.4323239191148942E-2</v>
      </c>
    </row>
    <row r="21" spans="1:9" x14ac:dyDescent="0.25">
      <c r="A21" s="11">
        <v>45114</v>
      </c>
      <c r="B21" t="s">
        <v>25</v>
      </c>
      <c r="C21" t="s">
        <v>10</v>
      </c>
      <c r="D21" s="1">
        <v>331375</v>
      </c>
      <c r="E21" s="1">
        <v>118415</v>
      </c>
      <c r="F21" s="43">
        <f t="shared" si="0"/>
        <v>0.35734439834024895</v>
      </c>
      <c r="G21" s="1">
        <v>8020</v>
      </c>
      <c r="H21" s="3">
        <f t="shared" si="1"/>
        <v>6.7727906092978088E-2</v>
      </c>
      <c r="I21" s="33">
        <f t="shared" si="2"/>
        <v>2.4202187853640134E-2</v>
      </c>
    </row>
    <row r="22" spans="1:9" x14ac:dyDescent="0.25">
      <c r="A22" s="11">
        <v>45115</v>
      </c>
      <c r="B22" t="s">
        <v>26</v>
      </c>
      <c r="C22" t="s">
        <v>14</v>
      </c>
      <c r="D22" s="1">
        <v>15011</v>
      </c>
      <c r="E22" s="1">
        <v>4732</v>
      </c>
      <c r="F22" s="43">
        <f t="shared" si="0"/>
        <v>0.31523549397108785</v>
      </c>
      <c r="G22" s="1">
        <v>2159</v>
      </c>
      <c r="H22" s="3">
        <f t="shared" si="1"/>
        <v>0.45625528317836012</v>
      </c>
      <c r="I22" s="33">
        <f t="shared" si="2"/>
        <v>0.14382785956964891</v>
      </c>
    </row>
    <row r="23" spans="1:9" x14ac:dyDescent="0.25">
      <c r="A23" s="11">
        <v>45118</v>
      </c>
      <c r="B23" t="s">
        <v>18</v>
      </c>
      <c r="C23" t="s">
        <v>13</v>
      </c>
      <c r="D23" s="1">
        <v>26839</v>
      </c>
      <c r="E23" s="1">
        <v>9058</v>
      </c>
      <c r="F23" s="43">
        <f t="shared" si="0"/>
        <v>0.33749394537799471</v>
      </c>
      <c r="G23" s="1">
        <v>2381</v>
      </c>
      <c r="H23" s="3">
        <f t="shared" si="1"/>
        <v>0.26286155884301171</v>
      </c>
      <c r="I23" s="33">
        <f t="shared" si="2"/>
        <v>8.8714184582137937E-2</v>
      </c>
    </row>
    <row r="24" spans="1:9" x14ac:dyDescent="0.25">
      <c r="A24" s="11">
        <v>45118</v>
      </c>
      <c r="B24" t="s">
        <v>18</v>
      </c>
      <c r="C24" t="s">
        <v>14</v>
      </c>
      <c r="D24" s="1">
        <v>28221</v>
      </c>
      <c r="E24" s="1">
        <v>9648</v>
      </c>
      <c r="F24" s="43">
        <f t="shared" si="0"/>
        <v>0.34187307324332944</v>
      </c>
      <c r="G24" s="1">
        <v>175</v>
      </c>
      <c r="H24" s="3">
        <f t="shared" si="1"/>
        <v>1.8138474295190714E-2</v>
      </c>
      <c r="I24" s="33">
        <f t="shared" si="2"/>
        <v>6.2010559512419832E-3</v>
      </c>
    </row>
    <row r="25" spans="1:9" x14ac:dyDescent="0.25">
      <c r="A25" s="11">
        <v>45118</v>
      </c>
      <c r="B25" t="s">
        <v>19</v>
      </c>
      <c r="C25" t="s">
        <v>11</v>
      </c>
      <c r="D25" s="1">
        <v>250770</v>
      </c>
      <c r="E25" s="1">
        <v>85697</v>
      </c>
      <c r="F25" s="43">
        <f t="shared" si="0"/>
        <v>0.34173545479921841</v>
      </c>
      <c r="G25" s="1">
        <v>327</v>
      </c>
      <c r="H25" s="3">
        <f t="shared" si="1"/>
        <v>3.8157695135185594E-3</v>
      </c>
      <c r="I25" s="33">
        <f t="shared" si="2"/>
        <v>1.3039837301112574E-3</v>
      </c>
    </row>
    <row r="26" spans="1:9" x14ac:dyDescent="0.25">
      <c r="A26" s="11">
        <v>45118</v>
      </c>
      <c r="B26" t="s">
        <v>19</v>
      </c>
      <c r="C26" t="s">
        <v>10</v>
      </c>
      <c r="D26" s="1">
        <v>487779</v>
      </c>
      <c r="E26" s="1">
        <v>176248</v>
      </c>
      <c r="F26" s="43">
        <f t="shared" si="0"/>
        <v>0.36132756842750507</v>
      </c>
      <c r="G26" s="1">
        <v>239</v>
      </c>
      <c r="H26" s="3">
        <f t="shared" si="1"/>
        <v>1.3560437565248967E-3</v>
      </c>
      <c r="I26" s="33">
        <f t="shared" si="2"/>
        <v>4.8997599322644068E-4</v>
      </c>
    </row>
    <row r="27" spans="1:9" x14ac:dyDescent="0.25">
      <c r="A27" s="11">
        <v>45118</v>
      </c>
      <c r="B27" t="s">
        <v>27</v>
      </c>
      <c r="C27" t="s">
        <v>13</v>
      </c>
      <c r="D27" s="1">
        <v>14514</v>
      </c>
      <c r="E27" s="1">
        <v>4713</v>
      </c>
      <c r="F27" s="43">
        <f t="shared" si="0"/>
        <v>0.32472095907399751</v>
      </c>
      <c r="G27" s="1">
        <v>1721</v>
      </c>
      <c r="H27" s="3">
        <f t="shared" si="1"/>
        <v>0.36516019520475279</v>
      </c>
      <c r="I27" s="33">
        <f t="shared" si="2"/>
        <v>0.11857516880253548</v>
      </c>
    </row>
    <row r="28" spans="1:9" x14ac:dyDescent="0.25">
      <c r="A28" s="11">
        <v>45118</v>
      </c>
      <c r="B28" t="s">
        <v>27</v>
      </c>
      <c r="C28" t="s">
        <v>14</v>
      </c>
      <c r="D28" s="1">
        <v>42466</v>
      </c>
      <c r="E28" s="1">
        <v>13270</v>
      </c>
      <c r="F28" s="43">
        <f t="shared" si="0"/>
        <v>0.31248528234352185</v>
      </c>
      <c r="G28" s="1">
        <v>2302</v>
      </c>
      <c r="H28" s="3">
        <f t="shared" si="1"/>
        <v>0.173474001507159</v>
      </c>
      <c r="I28" s="33">
        <f t="shared" si="2"/>
        <v>5.4208072340225122E-2</v>
      </c>
    </row>
    <row r="29" spans="1:9" x14ac:dyDescent="0.25">
      <c r="A29" s="11">
        <v>45118</v>
      </c>
      <c r="B29" t="s">
        <v>28</v>
      </c>
      <c r="C29" t="s">
        <v>11</v>
      </c>
      <c r="D29" s="1">
        <v>229539</v>
      </c>
      <c r="E29" s="1">
        <v>101767</v>
      </c>
      <c r="F29" s="43">
        <f t="shared" si="0"/>
        <v>0.44335385272219535</v>
      </c>
      <c r="G29" s="1">
        <v>80</v>
      </c>
      <c r="H29" s="3">
        <f t="shared" si="1"/>
        <v>7.8610944608763157E-4</v>
      </c>
      <c r="I29" s="33">
        <f t="shared" si="2"/>
        <v>3.4852465158426236E-4</v>
      </c>
    </row>
    <row r="30" spans="1:9" x14ac:dyDescent="0.25">
      <c r="A30" s="11">
        <v>45118</v>
      </c>
      <c r="B30" t="s">
        <v>28</v>
      </c>
      <c r="C30" t="s">
        <v>10</v>
      </c>
      <c r="D30" s="1">
        <v>607480</v>
      </c>
      <c r="E30" s="1">
        <v>267611</v>
      </c>
      <c r="F30" s="43">
        <f t="shared" si="0"/>
        <v>0.44052643708434847</v>
      </c>
      <c r="G30" s="1">
        <v>236</v>
      </c>
      <c r="H30" s="3">
        <f t="shared" si="1"/>
        <v>8.8187705288646581E-4</v>
      </c>
      <c r="I30" s="33">
        <f t="shared" si="2"/>
        <v>3.8849015605452029E-4</v>
      </c>
    </row>
    <row r="31" spans="1:9" x14ac:dyDescent="0.25">
      <c r="A31" s="11">
        <v>45122</v>
      </c>
      <c r="B31" t="s">
        <v>29</v>
      </c>
      <c r="C31" t="s">
        <v>13</v>
      </c>
      <c r="D31" s="1">
        <v>28110</v>
      </c>
      <c r="E31" s="1">
        <v>7819</v>
      </c>
      <c r="F31" s="43">
        <f t="shared" si="0"/>
        <v>0.27815723941657772</v>
      </c>
      <c r="G31" s="1">
        <v>1225</v>
      </c>
      <c r="H31" s="3">
        <f t="shared" si="1"/>
        <v>0.15666965085049239</v>
      </c>
      <c r="I31" s="33">
        <f t="shared" si="2"/>
        <v>4.3578797580932055E-2</v>
      </c>
    </row>
    <row r="32" spans="1:9" x14ac:dyDescent="0.25">
      <c r="A32" s="11">
        <v>45122</v>
      </c>
      <c r="B32" t="s">
        <v>30</v>
      </c>
      <c r="C32" t="s">
        <v>11</v>
      </c>
      <c r="D32" s="1">
        <v>448353</v>
      </c>
      <c r="E32" s="1">
        <v>142911</v>
      </c>
      <c r="F32" s="43">
        <f t="shared" si="0"/>
        <v>0.31874661260212378</v>
      </c>
      <c r="G32" s="1">
        <v>3099</v>
      </c>
      <c r="H32" s="3">
        <f t="shared" si="1"/>
        <v>2.1684824821042469E-2</v>
      </c>
      <c r="I32" s="33">
        <f t="shared" si="2"/>
        <v>6.9119644565777414E-3</v>
      </c>
    </row>
    <row r="33" spans="1:9" x14ac:dyDescent="0.25">
      <c r="A33" s="11">
        <v>45121</v>
      </c>
      <c r="B33" t="s">
        <v>31</v>
      </c>
      <c r="C33" t="s">
        <v>32</v>
      </c>
      <c r="D33" s="1">
        <v>3734197</v>
      </c>
      <c r="E33" s="1">
        <v>1205307</v>
      </c>
      <c r="F33" s="3">
        <v>0.32279999999999998</v>
      </c>
      <c r="G33" s="1">
        <v>14022</v>
      </c>
      <c r="H33" s="3">
        <v>1.1599999999999999E-2</v>
      </c>
      <c r="I33" s="33">
        <f t="shared" si="2"/>
        <v>3.7550241725329437E-3</v>
      </c>
    </row>
    <row r="34" spans="1:9" x14ac:dyDescent="0.25">
      <c r="A34" s="11">
        <v>45121</v>
      </c>
      <c r="B34" t="s">
        <v>31</v>
      </c>
      <c r="C34" t="s">
        <v>33</v>
      </c>
      <c r="D34" s="1">
        <v>279840</v>
      </c>
      <c r="E34" s="1">
        <v>72299</v>
      </c>
      <c r="F34" s="3">
        <v>0.25840000000000002</v>
      </c>
      <c r="G34" s="1">
        <v>1477</v>
      </c>
      <c r="H34" s="3">
        <v>2.0400000000000001E-2</v>
      </c>
      <c r="I34" s="33">
        <f t="shared" si="2"/>
        <v>5.278016009148085E-3</v>
      </c>
    </row>
    <row r="35" spans="1:9" x14ac:dyDescent="0.25">
      <c r="A35" s="11">
        <v>45125</v>
      </c>
      <c r="B35" t="s">
        <v>34</v>
      </c>
      <c r="C35" s="1" t="s">
        <v>35</v>
      </c>
      <c r="D35" s="1">
        <v>1103547</v>
      </c>
      <c r="E35" s="1">
        <v>382638</v>
      </c>
      <c r="F35" s="3">
        <v>0.34670000000000001</v>
      </c>
      <c r="G35" s="1">
        <v>5288</v>
      </c>
      <c r="H35" s="3">
        <v>1.38E-2</v>
      </c>
      <c r="I35" s="33">
        <f t="shared" si="2"/>
        <v>4.7918212817396992E-3</v>
      </c>
    </row>
    <row r="36" spans="1:9" x14ac:dyDescent="0.25">
      <c r="A36" s="11">
        <v>45126</v>
      </c>
      <c r="B36" t="s">
        <v>36</v>
      </c>
      <c r="C36" t="s">
        <v>32</v>
      </c>
      <c r="D36" s="1">
        <v>41795</v>
      </c>
      <c r="E36" s="1">
        <v>22514</v>
      </c>
      <c r="F36" s="3">
        <v>0.53869999999999996</v>
      </c>
      <c r="G36" s="1">
        <v>2231</v>
      </c>
      <c r="H36" s="3">
        <v>9.9099999999999994E-2</v>
      </c>
      <c r="I36" s="16">
        <v>5.3400000000000003E-2</v>
      </c>
    </row>
    <row r="37" spans="1:9" x14ac:dyDescent="0.25">
      <c r="A37" s="11">
        <v>45126</v>
      </c>
      <c r="B37" t="s">
        <v>36</v>
      </c>
      <c r="C37" t="s">
        <v>33</v>
      </c>
      <c r="D37" s="1">
        <v>1672</v>
      </c>
      <c r="E37" s="1">
        <v>618</v>
      </c>
      <c r="F37" s="3">
        <v>0.36959999999999998</v>
      </c>
      <c r="G37">
        <v>44</v>
      </c>
      <c r="H37" s="3">
        <v>7.1199999999999999E-2</v>
      </c>
      <c r="I37" s="16">
        <v>2.63E-2</v>
      </c>
    </row>
    <row r="38" spans="1:9" x14ac:dyDescent="0.25">
      <c r="A38" s="11">
        <v>45126</v>
      </c>
      <c r="B38" t="s">
        <v>37</v>
      </c>
      <c r="C38" t="s">
        <v>32</v>
      </c>
      <c r="D38" s="1">
        <v>691702</v>
      </c>
      <c r="E38" s="1">
        <v>266816</v>
      </c>
      <c r="F38" s="3">
        <v>0.38569999999999999</v>
      </c>
      <c r="G38" s="1">
        <v>1786</v>
      </c>
      <c r="H38" s="3">
        <v>6.7000000000000002E-3</v>
      </c>
      <c r="I38" s="16">
        <v>2.5999999999999999E-3</v>
      </c>
    </row>
    <row r="39" spans="1:9" x14ac:dyDescent="0.25">
      <c r="A39" s="11">
        <v>45126</v>
      </c>
      <c r="B39" t="s">
        <v>38</v>
      </c>
      <c r="C39" t="s">
        <v>33</v>
      </c>
      <c r="D39" s="1">
        <v>462249</v>
      </c>
      <c r="E39" s="1">
        <v>161718</v>
      </c>
      <c r="F39" s="3">
        <v>0.34989999999999999</v>
      </c>
      <c r="G39">
        <v>587</v>
      </c>
      <c r="H39" s="3">
        <v>3.5999999999999999E-3</v>
      </c>
      <c r="I39" s="16">
        <v>1.2999999999999999E-3</v>
      </c>
    </row>
    <row r="40" spans="1:9" x14ac:dyDescent="0.25">
      <c r="A40" s="11">
        <v>45128</v>
      </c>
      <c r="B40" t="s">
        <v>39</v>
      </c>
      <c r="C40" t="s">
        <v>32</v>
      </c>
      <c r="D40" s="1">
        <v>3084828</v>
      </c>
      <c r="E40" s="1">
        <v>1035854</v>
      </c>
      <c r="F40" s="2">
        <v>0.33578987223923001</v>
      </c>
      <c r="G40" s="1">
        <v>19060</v>
      </c>
      <c r="H40" s="2">
        <v>1.84002764868408E-2</v>
      </c>
      <c r="I40" s="12">
        <v>6.17862649068279E-3</v>
      </c>
    </row>
    <row r="41" spans="1:9" x14ac:dyDescent="0.25">
      <c r="A41" s="11">
        <v>45128</v>
      </c>
      <c r="B41" t="s">
        <v>39</v>
      </c>
      <c r="C41" t="s">
        <v>33</v>
      </c>
      <c r="D41" s="1">
        <v>215087</v>
      </c>
      <c r="E41" s="1">
        <v>50982</v>
      </c>
      <c r="F41" s="2">
        <v>0.23702966706495501</v>
      </c>
      <c r="G41" s="1">
        <v>1230</v>
      </c>
      <c r="H41" s="2">
        <v>2.41261621748853E-2</v>
      </c>
      <c r="I41" s="12">
        <v>5.7186161878681604E-3</v>
      </c>
    </row>
    <row r="42" spans="1:9" x14ac:dyDescent="0.25">
      <c r="A42" s="11">
        <v>45128</v>
      </c>
      <c r="B42" t="s">
        <v>40</v>
      </c>
      <c r="C42" t="s">
        <v>32</v>
      </c>
      <c r="D42" s="1">
        <v>325795</v>
      </c>
      <c r="E42" s="1">
        <v>94513</v>
      </c>
      <c r="F42" s="2">
        <v>0.29009960251078099</v>
      </c>
      <c r="G42" s="1">
        <v>1583</v>
      </c>
      <c r="H42" s="2">
        <v>1.6749018653518601E-2</v>
      </c>
      <c r="I42" s="12">
        <v>4.8588836538314001E-3</v>
      </c>
    </row>
    <row r="43" spans="1:9" x14ac:dyDescent="0.25">
      <c r="A43" s="11">
        <v>45128</v>
      </c>
      <c r="B43" t="s">
        <v>40</v>
      </c>
      <c r="C43" t="s">
        <v>33</v>
      </c>
      <c r="D43" s="1">
        <v>17718</v>
      </c>
      <c r="E43" s="1">
        <v>4272</v>
      </c>
      <c r="F43" s="2">
        <v>0.24111073484591899</v>
      </c>
      <c r="G43" s="1">
        <v>143</v>
      </c>
      <c r="H43" s="2">
        <v>3.34737827715356E-2</v>
      </c>
      <c r="I43" s="12">
        <v>8.0708883621176206E-3</v>
      </c>
    </row>
    <row r="44" spans="1:9" x14ac:dyDescent="0.25">
      <c r="A44" s="11">
        <v>45129</v>
      </c>
      <c r="B44" t="s">
        <v>41</v>
      </c>
      <c r="C44" t="s">
        <v>32</v>
      </c>
      <c r="D44" s="1">
        <v>1248109</v>
      </c>
      <c r="E44" s="1">
        <v>534359</v>
      </c>
      <c r="F44" s="2">
        <v>0.42813488245017101</v>
      </c>
      <c r="G44" s="1">
        <v>14053</v>
      </c>
      <c r="H44" s="2">
        <v>2.6298799121938599E-2</v>
      </c>
      <c r="I44" s="12">
        <v>1.1259433270651801E-2</v>
      </c>
    </row>
    <row r="45" spans="1:9" x14ac:dyDescent="0.25">
      <c r="A45" s="11">
        <v>45129</v>
      </c>
      <c r="B45" t="s">
        <v>41</v>
      </c>
      <c r="C45" t="s">
        <v>33</v>
      </c>
      <c r="D45" s="1">
        <v>100247</v>
      </c>
      <c r="E45" s="1">
        <v>25851</v>
      </c>
      <c r="F45" s="2">
        <v>0.25787305355771201</v>
      </c>
      <c r="G45" s="1">
        <v>350</v>
      </c>
      <c r="H45" s="2">
        <v>1.35391280801516E-2</v>
      </c>
      <c r="I45" s="12">
        <v>3.4913763005376699E-3</v>
      </c>
    </row>
    <row r="46" spans="1:9" x14ac:dyDescent="0.25">
      <c r="A46" s="11">
        <v>45131</v>
      </c>
      <c r="B46" t="s">
        <v>42</v>
      </c>
      <c r="C46" t="s">
        <v>32</v>
      </c>
      <c r="D46" s="1">
        <v>821926</v>
      </c>
      <c r="E46" s="1">
        <v>288848</v>
      </c>
      <c r="F46" s="2">
        <v>0.3514282307653</v>
      </c>
      <c r="G46" s="1">
        <v>2492</v>
      </c>
      <c r="H46" s="2">
        <v>8.6273749515316002E-3</v>
      </c>
      <c r="I46" s="12">
        <v>3.0319031153656201E-3</v>
      </c>
    </row>
    <row r="47" spans="1:9" x14ac:dyDescent="0.25">
      <c r="A47" s="11">
        <v>45131</v>
      </c>
      <c r="B47" t="s">
        <v>42</v>
      </c>
      <c r="C47" t="s">
        <v>33</v>
      </c>
      <c r="D47" s="1">
        <v>64066</v>
      </c>
      <c r="E47" s="1">
        <v>15541</v>
      </c>
      <c r="F47" s="2">
        <v>0.242577966472076</v>
      </c>
      <c r="G47" s="1">
        <v>181</v>
      </c>
      <c r="H47" s="2">
        <v>1.16466121871179E-2</v>
      </c>
      <c r="I47" s="12">
        <v>2.8252115006399698E-3</v>
      </c>
    </row>
    <row r="48" spans="1:9" x14ac:dyDescent="0.25">
      <c r="A48" s="11">
        <v>45132</v>
      </c>
      <c r="B48" t="s">
        <v>43</v>
      </c>
      <c r="C48" t="s">
        <v>32</v>
      </c>
      <c r="D48" s="1">
        <v>1042042</v>
      </c>
      <c r="E48" s="1">
        <v>409006</v>
      </c>
      <c r="F48" s="2">
        <v>0.39250433283879199</v>
      </c>
      <c r="G48" s="1">
        <v>11925</v>
      </c>
      <c r="H48" s="2">
        <v>2.9156051500467E-2</v>
      </c>
      <c r="I48" s="12">
        <v>1.14438765424042E-2</v>
      </c>
    </row>
    <row r="49" spans="1:9" x14ac:dyDescent="0.25">
      <c r="A49" s="11">
        <v>45132</v>
      </c>
      <c r="B49" t="s">
        <v>44</v>
      </c>
      <c r="C49" t="s">
        <v>33</v>
      </c>
      <c r="D49" s="1">
        <v>77413</v>
      </c>
      <c r="E49" s="1">
        <v>22666</v>
      </c>
      <c r="F49" s="2">
        <v>0.29279320010850901</v>
      </c>
      <c r="G49" s="1">
        <v>950</v>
      </c>
      <c r="H49" s="2">
        <v>4.1912997441101198E-2</v>
      </c>
      <c r="I49" s="12">
        <v>1.22718406469198E-2</v>
      </c>
    </row>
    <row r="50" spans="1:9" x14ac:dyDescent="0.25">
      <c r="A50" s="11">
        <v>45133</v>
      </c>
      <c r="B50" t="s">
        <v>45</v>
      </c>
      <c r="C50" t="s">
        <v>32</v>
      </c>
      <c r="D50" s="1">
        <v>611952</v>
      </c>
      <c r="E50" s="1">
        <v>222196</v>
      </c>
      <c r="F50" s="2">
        <v>0.36309999999999998</v>
      </c>
      <c r="G50" s="1">
        <v>2084</v>
      </c>
      <c r="H50" s="2">
        <v>9.4000000000000004E-3</v>
      </c>
      <c r="I50" s="12">
        <v>3.3999999999999998E-3</v>
      </c>
    </row>
    <row r="51" spans="1:9" x14ac:dyDescent="0.25">
      <c r="A51" s="11">
        <v>45133</v>
      </c>
      <c r="B51" t="s">
        <v>46</v>
      </c>
      <c r="C51" t="s">
        <v>33</v>
      </c>
      <c r="D51" s="1">
        <v>47832</v>
      </c>
      <c r="E51" s="1">
        <v>12083</v>
      </c>
      <c r="F51" s="3">
        <v>0.25259999999999999</v>
      </c>
      <c r="G51">
        <v>206</v>
      </c>
      <c r="H51" s="3">
        <v>1.7000000000000001E-2</v>
      </c>
      <c r="I51" s="16">
        <v>4.3E-3</v>
      </c>
    </row>
    <row r="52" spans="1:9" x14ac:dyDescent="0.25">
      <c r="A52" s="11">
        <v>45133</v>
      </c>
      <c r="B52" t="s">
        <v>47</v>
      </c>
      <c r="C52" t="s">
        <v>32</v>
      </c>
      <c r="D52" s="1">
        <v>1393646</v>
      </c>
      <c r="E52" s="1">
        <v>479461</v>
      </c>
      <c r="F52" s="2">
        <v>0.34403356376009397</v>
      </c>
      <c r="G52" s="1">
        <v>4088</v>
      </c>
      <c r="H52" s="2">
        <v>8.5262409247050305E-3</v>
      </c>
      <c r="I52" s="12">
        <v>2.9333130508034299E-3</v>
      </c>
    </row>
    <row r="53" spans="1:9" x14ac:dyDescent="0.25">
      <c r="A53" s="11">
        <v>45134</v>
      </c>
      <c r="B53" t="s">
        <v>48</v>
      </c>
      <c r="C53" t="s">
        <v>32</v>
      </c>
      <c r="D53" s="1">
        <v>207373</v>
      </c>
      <c r="E53" s="1">
        <v>73285</v>
      </c>
      <c r="F53" s="3">
        <v>0.35339999999999999</v>
      </c>
      <c r="G53" s="1">
        <v>1667</v>
      </c>
      <c r="H53" s="3">
        <v>2.2700000000000001E-2</v>
      </c>
      <c r="I53" s="16">
        <v>8.0000000000000002E-3</v>
      </c>
    </row>
    <row r="54" spans="1:9" x14ac:dyDescent="0.25">
      <c r="A54" s="11">
        <v>45134</v>
      </c>
      <c r="B54" t="s">
        <v>49</v>
      </c>
      <c r="C54" t="s">
        <v>33</v>
      </c>
      <c r="D54" s="1">
        <v>14992</v>
      </c>
      <c r="E54" s="1">
        <v>4312</v>
      </c>
      <c r="F54" s="3">
        <v>0.28760000000000002</v>
      </c>
      <c r="G54">
        <v>130</v>
      </c>
      <c r="H54" s="3">
        <v>3.0099999999999998E-2</v>
      </c>
      <c r="I54" s="16">
        <v>8.6999999999999994E-3</v>
      </c>
    </row>
    <row r="55" spans="1:9" x14ac:dyDescent="0.25">
      <c r="A55" s="11">
        <v>45134</v>
      </c>
      <c r="B55" t="s">
        <v>50</v>
      </c>
      <c r="C55" t="s">
        <v>32</v>
      </c>
      <c r="D55" s="1">
        <v>341189</v>
      </c>
      <c r="E55" s="1">
        <v>111971</v>
      </c>
      <c r="F55" s="3">
        <v>0.32819999999999999</v>
      </c>
      <c r="G55">
        <v>620</v>
      </c>
      <c r="H55" s="3">
        <v>5.4999999999999997E-3</v>
      </c>
      <c r="I55" s="16">
        <v>1.8E-3</v>
      </c>
    </row>
    <row r="56" spans="1:9" x14ac:dyDescent="0.25">
      <c r="A56" s="11">
        <v>45134</v>
      </c>
      <c r="B56" t="s">
        <v>51</v>
      </c>
      <c r="C56" t="s">
        <v>33</v>
      </c>
      <c r="D56" s="1">
        <v>13677</v>
      </c>
      <c r="E56" s="1">
        <v>3436</v>
      </c>
      <c r="F56" s="3">
        <v>0.25119999999999998</v>
      </c>
      <c r="G56">
        <v>49</v>
      </c>
      <c r="H56" s="3">
        <v>1.43E-2</v>
      </c>
      <c r="I56" s="16">
        <v>3.5999999999999999E-3</v>
      </c>
    </row>
    <row r="57" spans="1:9" x14ac:dyDescent="0.25">
      <c r="A57" s="11">
        <v>45135</v>
      </c>
      <c r="B57" t="s">
        <v>52</v>
      </c>
      <c r="C57" t="s">
        <v>32</v>
      </c>
      <c r="D57" s="1">
        <v>3120223</v>
      </c>
      <c r="E57" s="1">
        <v>1037619</v>
      </c>
      <c r="F57" s="2">
        <v>0.33254642376522398</v>
      </c>
      <c r="G57" s="1">
        <v>17803</v>
      </c>
      <c r="H57" s="2">
        <v>1.7157550121961899E-2</v>
      </c>
      <c r="I57" s="12">
        <v>5.7056819336310299E-3</v>
      </c>
    </row>
    <row r="58" spans="1:9" x14ac:dyDescent="0.25">
      <c r="A58" s="11">
        <v>45135</v>
      </c>
      <c r="B58" t="s">
        <v>52</v>
      </c>
      <c r="C58" t="s">
        <v>33</v>
      </c>
      <c r="D58" s="1">
        <v>215674</v>
      </c>
      <c r="E58" s="1">
        <v>49080</v>
      </c>
      <c r="F58" s="2">
        <v>0.22756567782857501</v>
      </c>
      <c r="G58" s="1">
        <v>1013</v>
      </c>
      <c r="H58" s="2">
        <v>2.0639771801140998E-2</v>
      </c>
      <c r="I58" s="12">
        <v>4.6969036601537499E-3</v>
      </c>
    </row>
    <row r="59" spans="1:9" x14ac:dyDescent="0.25">
      <c r="A59" s="11">
        <v>45135</v>
      </c>
      <c r="B59" t="s">
        <v>53</v>
      </c>
      <c r="C59" t="s">
        <v>32</v>
      </c>
      <c r="D59" s="1">
        <v>328397</v>
      </c>
      <c r="E59" s="1">
        <v>103289</v>
      </c>
      <c r="F59" s="2">
        <v>0.31452479772957698</v>
      </c>
      <c r="G59" s="1">
        <v>1955</v>
      </c>
      <c r="H59" s="2">
        <v>1.8927475336192601E-2</v>
      </c>
      <c r="I59" s="12">
        <v>5.9531603516475504E-3</v>
      </c>
    </row>
    <row r="60" spans="1:9" x14ac:dyDescent="0.25">
      <c r="A60" s="11">
        <v>45136</v>
      </c>
      <c r="B60" t="s">
        <v>54</v>
      </c>
      <c r="C60" t="s">
        <v>32</v>
      </c>
      <c r="D60" s="1">
        <v>24167</v>
      </c>
      <c r="E60" s="1">
        <v>11699</v>
      </c>
      <c r="F60" s="2">
        <v>0.48408987462241898</v>
      </c>
      <c r="G60" s="1">
        <v>2494</v>
      </c>
      <c r="H60" s="2">
        <v>0.213180613727669</v>
      </c>
      <c r="I60" s="12">
        <v>0.103198576571358</v>
      </c>
    </row>
    <row r="61" spans="1:9" x14ac:dyDescent="0.25">
      <c r="A61" s="11">
        <v>45139</v>
      </c>
      <c r="B61" t="s">
        <v>55</v>
      </c>
      <c r="C61" t="s">
        <v>32</v>
      </c>
      <c r="D61" s="1">
        <v>240489</v>
      </c>
      <c r="E61" s="1">
        <v>123622</v>
      </c>
      <c r="F61" s="2">
        <v>0.51404430140255897</v>
      </c>
      <c r="G61" s="1">
        <v>303</v>
      </c>
      <c r="H61" s="2">
        <v>2.4510200449758099E-3</v>
      </c>
      <c r="I61" s="12">
        <v>1.25993288674326E-3</v>
      </c>
    </row>
    <row r="62" spans="1:9" x14ac:dyDescent="0.25">
      <c r="A62" s="11">
        <v>45139</v>
      </c>
      <c r="B62" t="s">
        <v>56</v>
      </c>
      <c r="C62" t="s">
        <v>32</v>
      </c>
      <c r="D62" s="1">
        <v>1047738</v>
      </c>
      <c r="E62" s="1">
        <v>361768</v>
      </c>
      <c r="F62" s="2">
        <v>0.34528479448106297</v>
      </c>
      <c r="G62" s="1">
        <v>6372</v>
      </c>
      <c r="H62" s="2">
        <v>1.7613498153512701E-2</v>
      </c>
      <c r="I62" s="12">
        <v>6.0816730900282298E-3</v>
      </c>
    </row>
    <row r="63" spans="1:9" x14ac:dyDescent="0.25">
      <c r="A63" s="11">
        <v>45139</v>
      </c>
      <c r="B63" t="s">
        <v>56</v>
      </c>
      <c r="C63" t="s">
        <v>33</v>
      </c>
      <c r="D63" s="1">
        <v>82557</v>
      </c>
      <c r="E63" s="1">
        <v>22588</v>
      </c>
      <c r="F63" s="2">
        <v>0.27360490327894699</v>
      </c>
      <c r="G63" s="1">
        <v>720</v>
      </c>
      <c r="H63" s="2">
        <v>3.18753320347087E-2</v>
      </c>
      <c r="I63" s="12">
        <v>8.7212471383407795E-3</v>
      </c>
    </row>
    <row r="64" spans="1:9" x14ac:dyDescent="0.25">
      <c r="A64" s="11">
        <v>45139</v>
      </c>
      <c r="B64" t="s">
        <v>57</v>
      </c>
      <c r="C64" t="s">
        <v>32</v>
      </c>
      <c r="D64" s="1">
        <v>88327</v>
      </c>
      <c r="E64" s="1">
        <v>33456</v>
      </c>
      <c r="F64" s="2">
        <v>0.37877432721591398</v>
      </c>
      <c r="G64" s="1">
        <v>4241</v>
      </c>
      <c r="H64" s="2">
        <v>0.12676351028216201</v>
      </c>
      <c r="I64" s="12">
        <v>4.8014763322653302E-2</v>
      </c>
    </row>
    <row r="65" spans="1:9" x14ac:dyDescent="0.25">
      <c r="A65" s="11">
        <v>45139</v>
      </c>
      <c r="B65" t="s">
        <v>57</v>
      </c>
      <c r="C65" t="s">
        <v>33</v>
      </c>
      <c r="D65" s="1">
        <v>9853</v>
      </c>
      <c r="E65" s="1">
        <v>2892</v>
      </c>
      <c r="F65" s="2">
        <v>0.29351466558408601</v>
      </c>
      <c r="G65" s="1">
        <v>596</v>
      </c>
      <c r="H65" s="2">
        <v>0.20608575380359601</v>
      </c>
      <c r="I65" s="12">
        <v>6.0489191109306797E-2</v>
      </c>
    </row>
    <row r="66" spans="1:9" x14ac:dyDescent="0.25">
      <c r="A66" s="11">
        <v>45140</v>
      </c>
      <c r="B66" t="s">
        <v>37</v>
      </c>
      <c r="C66" t="s">
        <v>32</v>
      </c>
      <c r="D66" s="1">
        <v>598873</v>
      </c>
      <c r="E66" s="1">
        <v>196813</v>
      </c>
      <c r="F66" s="3">
        <v>0.3286</v>
      </c>
      <c r="G66" s="1">
        <v>2086</v>
      </c>
      <c r="H66" s="3">
        <v>1.06E-2</v>
      </c>
      <c r="I66" s="16">
        <v>3.5000000000000001E-3</v>
      </c>
    </row>
    <row r="67" spans="1:9" x14ac:dyDescent="0.25">
      <c r="A67" s="11">
        <v>45140</v>
      </c>
      <c r="B67" t="s">
        <v>38</v>
      </c>
      <c r="C67" t="s">
        <v>33</v>
      </c>
      <c r="D67" s="1">
        <v>48134</v>
      </c>
      <c r="E67" s="1">
        <v>13010</v>
      </c>
      <c r="F67" s="3">
        <v>0.27029999999999998</v>
      </c>
      <c r="G67">
        <v>291</v>
      </c>
      <c r="H67" s="3">
        <v>2.24E-2</v>
      </c>
      <c r="I67" s="16">
        <v>6.0000000000000001E-3</v>
      </c>
    </row>
    <row r="68" spans="1:9" x14ac:dyDescent="0.25">
      <c r="A68" s="11">
        <v>45140</v>
      </c>
      <c r="B68" t="s">
        <v>58</v>
      </c>
      <c r="C68" t="s">
        <v>32</v>
      </c>
      <c r="D68" s="1">
        <v>151827</v>
      </c>
      <c r="E68" s="1">
        <v>64949</v>
      </c>
      <c r="F68" s="2">
        <v>0.42778293715874</v>
      </c>
      <c r="G68" s="1">
        <v>1307</v>
      </c>
      <c r="H68" s="2">
        <v>2.01234815008699E-2</v>
      </c>
      <c r="I68" s="12">
        <v>8.6084820223016993E-3</v>
      </c>
    </row>
    <row r="69" spans="1:9" x14ac:dyDescent="0.25">
      <c r="A69" s="11">
        <v>45140</v>
      </c>
      <c r="B69" t="s">
        <v>58</v>
      </c>
      <c r="C69" t="s">
        <v>33</v>
      </c>
      <c r="D69" s="1">
        <v>10538</v>
      </c>
      <c r="E69" s="1">
        <v>4417</v>
      </c>
      <c r="F69" s="2">
        <v>0.41914974378439901</v>
      </c>
      <c r="G69" s="1">
        <v>124</v>
      </c>
      <c r="H69" s="2">
        <v>2.8073352954494001E-2</v>
      </c>
      <c r="I69" s="12">
        <v>1.1766938698045201E-2</v>
      </c>
    </row>
    <row r="70" spans="1:9" x14ac:dyDescent="0.25">
      <c r="A70" s="11">
        <v>45140</v>
      </c>
      <c r="B70" t="s">
        <v>59</v>
      </c>
      <c r="C70" t="s">
        <v>32</v>
      </c>
      <c r="D70" s="1">
        <v>141345</v>
      </c>
      <c r="E70" s="1">
        <v>46013</v>
      </c>
      <c r="F70" s="2">
        <v>0.325536807103187</v>
      </c>
      <c r="G70" s="1">
        <v>401</v>
      </c>
      <c r="H70" s="2">
        <v>8.7149283898028795E-3</v>
      </c>
      <c r="I70" s="12">
        <v>2.8370299621493498E-3</v>
      </c>
    </row>
    <row r="71" spans="1:9" x14ac:dyDescent="0.25">
      <c r="A71" s="11">
        <v>45140</v>
      </c>
      <c r="B71" t="s">
        <v>59</v>
      </c>
      <c r="C71" t="s">
        <v>33</v>
      </c>
      <c r="D71" s="1">
        <v>3374</v>
      </c>
      <c r="E71" s="1">
        <v>1070</v>
      </c>
      <c r="F71" s="2">
        <v>0.317131001778305</v>
      </c>
      <c r="G71" s="1">
        <v>8</v>
      </c>
      <c r="H71" s="2">
        <v>7.4766355140186902E-3</v>
      </c>
      <c r="I71" s="12">
        <v>2.371072910492E-3</v>
      </c>
    </row>
    <row r="72" spans="1:9" x14ac:dyDescent="0.25">
      <c r="A72" s="11">
        <v>45141</v>
      </c>
      <c r="B72" t="s">
        <v>60</v>
      </c>
      <c r="C72" t="s">
        <v>32</v>
      </c>
      <c r="D72" s="1">
        <v>243755</v>
      </c>
      <c r="E72" s="1">
        <v>84201</v>
      </c>
      <c r="F72" s="3">
        <v>0.34539999999999998</v>
      </c>
      <c r="G72">
        <v>503</v>
      </c>
      <c r="H72" s="3">
        <v>6.0000000000000001E-3</v>
      </c>
      <c r="I72" s="16">
        <v>2.0999999999999999E-3</v>
      </c>
    </row>
    <row r="73" spans="1:9" x14ac:dyDescent="0.25">
      <c r="A73" s="11">
        <v>45141</v>
      </c>
      <c r="B73" t="s">
        <v>61</v>
      </c>
      <c r="C73" t="s">
        <v>33</v>
      </c>
      <c r="D73" s="1">
        <v>21837</v>
      </c>
      <c r="E73" s="1">
        <v>6327</v>
      </c>
      <c r="F73" s="3">
        <v>0.28970000000000001</v>
      </c>
      <c r="G73">
        <v>110</v>
      </c>
      <c r="H73" s="3">
        <v>1.7399999999999999E-2</v>
      </c>
      <c r="I73" s="16">
        <v>5.0000000000000001E-3</v>
      </c>
    </row>
    <row r="74" spans="1:9" x14ac:dyDescent="0.25">
      <c r="A74" s="11">
        <v>45141</v>
      </c>
      <c r="B74" t="s">
        <v>48</v>
      </c>
      <c r="C74" t="s">
        <v>32</v>
      </c>
      <c r="D74" s="1">
        <v>152940</v>
      </c>
      <c r="E74" s="1">
        <v>54101</v>
      </c>
      <c r="F74" s="3">
        <v>0.35370000000000001</v>
      </c>
      <c r="G74">
        <v>877</v>
      </c>
      <c r="H74" s="3">
        <v>1.6199999999999999E-2</v>
      </c>
      <c r="I74" s="16">
        <v>5.7000000000000002E-3</v>
      </c>
    </row>
    <row r="75" spans="1:9" x14ac:dyDescent="0.25">
      <c r="A75" s="11">
        <v>45141</v>
      </c>
      <c r="B75" t="s">
        <v>49</v>
      </c>
      <c r="C75" t="s">
        <v>33</v>
      </c>
      <c r="D75" s="1">
        <v>13937</v>
      </c>
      <c r="E75" s="1">
        <v>4192</v>
      </c>
      <c r="F75" s="3">
        <v>0.30080000000000001</v>
      </c>
      <c r="G75">
        <v>117</v>
      </c>
      <c r="H75" s="3">
        <v>2.7900000000000001E-2</v>
      </c>
      <c r="I75" s="16">
        <v>8.3999999999999995E-3</v>
      </c>
    </row>
    <row r="76" spans="1:9" x14ac:dyDescent="0.25">
      <c r="A76" s="11">
        <v>45141</v>
      </c>
      <c r="B76" t="s">
        <v>50</v>
      </c>
      <c r="C76" t="s">
        <v>32</v>
      </c>
      <c r="D76" s="1">
        <v>341190</v>
      </c>
      <c r="E76" s="1">
        <v>113880</v>
      </c>
      <c r="F76" s="3">
        <v>0.33379999999999999</v>
      </c>
      <c r="G76">
        <v>636</v>
      </c>
      <c r="H76" s="3">
        <v>5.5999999999999999E-3</v>
      </c>
      <c r="I76" s="16">
        <v>1.9E-3</v>
      </c>
    </row>
    <row r="77" spans="1:9" x14ac:dyDescent="0.25">
      <c r="A77" s="11">
        <v>45141</v>
      </c>
      <c r="B77" t="s">
        <v>51</v>
      </c>
      <c r="C77" t="s">
        <v>33</v>
      </c>
      <c r="D77" s="1">
        <v>13691</v>
      </c>
      <c r="E77" s="1">
        <v>3520</v>
      </c>
      <c r="F77" s="3">
        <v>0.2571</v>
      </c>
      <c r="G77">
        <v>50</v>
      </c>
      <c r="H77" s="3">
        <v>1.4200000000000001E-2</v>
      </c>
      <c r="I77" s="16">
        <v>3.7000000000000002E-3</v>
      </c>
    </row>
    <row r="78" spans="1:9" x14ac:dyDescent="0.25">
      <c r="A78" s="11">
        <v>45142</v>
      </c>
      <c r="B78" t="s">
        <v>62</v>
      </c>
      <c r="C78" t="s">
        <v>32</v>
      </c>
      <c r="D78" s="1">
        <v>3150759</v>
      </c>
      <c r="E78" s="1">
        <v>1108258</v>
      </c>
      <c r="F78" s="2">
        <v>0.35175166781297901</v>
      </c>
      <c r="G78" s="1">
        <v>15326</v>
      </c>
      <c r="H78" s="2">
        <v>1.38289098747765E-2</v>
      </c>
      <c r="I78" s="12">
        <v>4.8643421124879901E-3</v>
      </c>
    </row>
    <row r="79" spans="1:9" x14ac:dyDescent="0.25">
      <c r="A79" s="11">
        <v>45142</v>
      </c>
      <c r="B79" t="s">
        <v>62</v>
      </c>
      <c r="C79" t="s">
        <v>33</v>
      </c>
      <c r="D79" s="1">
        <v>216571</v>
      </c>
      <c r="E79" s="1">
        <v>59761</v>
      </c>
      <c r="F79" s="2">
        <v>0.27594183893503699</v>
      </c>
      <c r="G79" s="1">
        <v>1253</v>
      </c>
      <c r="H79" s="2">
        <v>2.09668512909757E-2</v>
      </c>
      <c r="I79" s="12">
        <v>5.7856315019093E-3</v>
      </c>
    </row>
    <row r="80" spans="1:9" x14ac:dyDescent="0.25">
      <c r="A80" s="11">
        <v>45142</v>
      </c>
      <c r="B80" t="s">
        <v>63</v>
      </c>
      <c r="C80" t="s">
        <v>32</v>
      </c>
      <c r="D80" s="1">
        <v>331115</v>
      </c>
      <c r="E80" s="1">
        <v>103584</v>
      </c>
      <c r="F80" s="2">
        <v>0.31283957850737998</v>
      </c>
      <c r="G80" s="1">
        <v>1697</v>
      </c>
      <c r="H80" s="2">
        <v>1.6382839048501699E-2</v>
      </c>
      <c r="I80" s="12">
        <v>5.1252004626875097E-3</v>
      </c>
    </row>
    <row r="81" spans="1:9" x14ac:dyDescent="0.25">
      <c r="A81" s="11">
        <v>45142</v>
      </c>
      <c r="B81" t="s">
        <v>63</v>
      </c>
      <c r="C81" t="s">
        <v>33</v>
      </c>
      <c r="D81" s="1">
        <v>18080</v>
      </c>
      <c r="E81" s="1">
        <v>4921</v>
      </c>
      <c r="F81" s="2">
        <v>0.272179203539823</v>
      </c>
      <c r="G81" s="1">
        <v>199</v>
      </c>
      <c r="H81" s="2">
        <v>4.0438935175777298E-2</v>
      </c>
      <c r="I81" s="12">
        <v>1.1006637168141599E-2</v>
      </c>
    </row>
    <row r="82" spans="1:9" x14ac:dyDescent="0.25">
      <c r="A82" s="11">
        <v>45143</v>
      </c>
      <c r="B82" t="s">
        <v>64</v>
      </c>
      <c r="C82" t="s">
        <v>32</v>
      </c>
      <c r="D82" s="1">
        <v>42048</v>
      </c>
      <c r="E82" s="1">
        <v>17259</v>
      </c>
      <c r="F82" s="2">
        <v>0.41048876204067097</v>
      </c>
      <c r="G82" s="1">
        <v>1118</v>
      </c>
      <c r="H82" s="2">
        <v>6.4777797091372602E-2</v>
      </c>
      <c r="I82" s="12">
        <v>2.6590557735759301E-2</v>
      </c>
    </row>
    <row r="83" spans="1:9" x14ac:dyDescent="0.25">
      <c r="A83" s="11">
        <v>45143</v>
      </c>
      <c r="B83" t="s">
        <v>64</v>
      </c>
      <c r="C83" t="s">
        <v>33</v>
      </c>
      <c r="D83" s="1">
        <v>3855</v>
      </c>
      <c r="E83" s="1">
        <v>1589</v>
      </c>
      <c r="F83" s="2">
        <v>0.41219195849545998</v>
      </c>
      <c r="G83" s="1">
        <v>138</v>
      </c>
      <c r="H83" s="2">
        <v>8.6847073631214605E-2</v>
      </c>
      <c r="I83" s="12">
        <v>3.5797665369649803E-2</v>
      </c>
    </row>
    <row r="84" spans="1:9" x14ac:dyDescent="0.25">
      <c r="A84" s="11">
        <v>45146</v>
      </c>
      <c r="B84" t="s">
        <v>65</v>
      </c>
      <c r="C84" t="s">
        <v>32</v>
      </c>
      <c r="D84" s="1">
        <v>216703</v>
      </c>
      <c r="E84" s="1">
        <v>80764</v>
      </c>
      <c r="F84" s="2">
        <v>0.37319902037798602</v>
      </c>
      <c r="G84" s="1">
        <v>1735</v>
      </c>
      <c r="H84" s="2">
        <v>2.1482343618443901E-2</v>
      </c>
      <c r="I84" s="12">
        <v>8.0171895938265306E-3</v>
      </c>
    </row>
    <row r="85" spans="1:9" x14ac:dyDescent="0.25">
      <c r="A85" s="11">
        <v>45146</v>
      </c>
      <c r="B85" t="s">
        <v>65</v>
      </c>
      <c r="C85" t="s">
        <v>33</v>
      </c>
      <c r="D85" s="1">
        <v>16401</v>
      </c>
      <c r="E85" s="1">
        <v>5101</v>
      </c>
      <c r="F85" s="2">
        <v>0.31101762087677598</v>
      </c>
      <c r="G85" s="1">
        <v>197</v>
      </c>
      <c r="H85" s="2">
        <v>3.8619878455204898E-2</v>
      </c>
      <c r="I85" s="12">
        <v>1.20114627156881E-2</v>
      </c>
    </row>
    <row r="86" spans="1:9" x14ac:dyDescent="0.25">
      <c r="A86" s="11">
        <v>45147</v>
      </c>
      <c r="B86" t="s">
        <v>66</v>
      </c>
      <c r="C86" t="s">
        <v>67</v>
      </c>
      <c r="D86" s="1">
        <v>43629</v>
      </c>
      <c r="E86" s="1">
        <v>17721</v>
      </c>
      <c r="F86" s="3">
        <v>0.40620000000000001</v>
      </c>
      <c r="G86">
        <v>300</v>
      </c>
      <c r="H86" s="3">
        <v>1.6899999999999998E-2</v>
      </c>
      <c r="I86" s="16">
        <v>6.8999999999999999E-3</v>
      </c>
    </row>
    <row r="87" spans="1:9" x14ac:dyDescent="0.25">
      <c r="A87" s="11">
        <v>45147</v>
      </c>
      <c r="B87" t="s">
        <v>66</v>
      </c>
      <c r="C87" t="s">
        <v>68</v>
      </c>
      <c r="D87" s="1">
        <v>14589</v>
      </c>
      <c r="E87" s="1">
        <v>5071</v>
      </c>
      <c r="F87" s="3">
        <v>0.34760000000000002</v>
      </c>
      <c r="G87">
        <v>55</v>
      </c>
      <c r="H87" s="3">
        <v>1.0800000000000001E-2</v>
      </c>
      <c r="I87" s="16">
        <v>3.8E-3</v>
      </c>
    </row>
    <row r="88" spans="1:9" x14ac:dyDescent="0.25">
      <c r="A88" s="11">
        <v>45147</v>
      </c>
      <c r="B88" t="s">
        <v>66</v>
      </c>
      <c r="C88" t="s">
        <v>69</v>
      </c>
      <c r="D88" s="1">
        <v>14433</v>
      </c>
      <c r="E88" s="1">
        <v>5280</v>
      </c>
      <c r="F88" s="3">
        <v>0.36580000000000001</v>
      </c>
      <c r="G88">
        <v>88</v>
      </c>
      <c r="H88" s="3">
        <v>1.67E-2</v>
      </c>
      <c r="I88" s="16">
        <v>6.1000000000000004E-3</v>
      </c>
    </row>
    <row r="89" spans="1:9" x14ac:dyDescent="0.25">
      <c r="A89" s="11">
        <v>45147</v>
      </c>
      <c r="B89" t="s">
        <v>66</v>
      </c>
      <c r="C89" t="s">
        <v>70</v>
      </c>
      <c r="D89" s="1">
        <v>14056</v>
      </c>
      <c r="E89" s="1">
        <v>5078</v>
      </c>
      <c r="F89" s="3">
        <v>0.36130000000000001</v>
      </c>
      <c r="G89">
        <v>116</v>
      </c>
      <c r="H89" s="3">
        <v>2.2800000000000001E-2</v>
      </c>
      <c r="I89" s="16">
        <v>8.3000000000000001E-3</v>
      </c>
    </row>
    <row r="90" spans="1:9" x14ac:dyDescent="0.25">
      <c r="A90" s="11">
        <v>45147</v>
      </c>
      <c r="B90" t="s">
        <v>66</v>
      </c>
      <c r="C90" t="s">
        <v>71</v>
      </c>
      <c r="D90" s="1">
        <v>1355</v>
      </c>
      <c r="E90">
        <v>363</v>
      </c>
      <c r="F90" s="3">
        <v>0.26790000000000003</v>
      </c>
      <c r="G90">
        <v>10</v>
      </c>
      <c r="H90" s="3">
        <v>2.75E-2</v>
      </c>
      <c r="I90" s="16">
        <v>7.4000000000000003E-3</v>
      </c>
    </row>
    <row r="91" spans="1:9" x14ac:dyDescent="0.25">
      <c r="A91" s="11">
        <v>45147</v>
      </c>
      <c r="B91" t="s">
        <v>66</v>
      </c>
      <c r="C91" t="s">
        <v>72</v>
      </c>
      <c r="D91">
        <v>507</v>
      </c>
      <c r="E91">
        <v>140</v>
      </c>
      <c r="F91" s="3">
        <v>0.27610000000000001</v>
      </c>
      <c r="G91">
        <v>3</v>
      </c>
      <c r="H91" s="3">
        <v>2.1399999999999999E-2</v>
      </c>
      <c r="I91" s="16">
        <v>5.8999999999999999E-3</v>
      </c>
    </row>
    <row r="92" spans="1:9" x14ac:dyDescent="0.25">
      <c r="A92" s="11">
        <v>45147</v>
      </c>
      <c r="B92" t="s">
        <v>66</v>
      </c>
      <c r="C92" t="s">
        <v>73</v>
      </c>
      <c r="D92">
        <v>460</v>
      </c>
      <c r="E92">
        <v>116</v>
      </c>
      <c r="F92" s="3">
        <v>0.25219999999999998</v>
      </c>
      <c r="G92">
        <v>2</v>
      </c>
      <c r="H92" s="3">
        <v>1.72E-2</v>
      </c>
      <c r="I92" s="16">
        <v>4.3E-3</v>
      </c>
    </row>
    <row r="93" spans="1:9" x14ac:dyDescent="0.25">
      <c r="A93" s="11">
        <v>45147</v>
      </c>
      <c r="B93" t="s">
        <v>66</v>
      </c>
      <c r="C93" t="s">
        <v>74</v>
      </c>
      <c r="D93">
        <v>466</v>
      </c>
      <c r="E93">
        <v>133</v>
      </c>
      <c r="F93" s="3">
        <v>0.28539999999999999</v>
      </c>
      <c r="G93">
        <v>5</v>
      </c>
      <c r="H93" s="3">
        <v>3.7600000000000001E-2</v>
      </c>
      <c r="I93" s="16">
        <v>1.0699999999999999E-2</v>
      </c>
    </row>
    <row r="94" spans="1:9" x14ac:dyDescent="0.25">
      <c r="A94" s="11">
        <v>45148</v>
      </c>
      <c r="B94" t="s">
        <v>60</v>
      </c>
      <c r="C94" t="s">
        <v>32</v>
      </c>
      <c r="D94" s="1">
        <v>207908</v>
      </c>
      <c r="E94" s="1">
        <v>63149</v>
      </c>
      <c r="F94" s="3">
        <v>0.30420000000000003</v>
      </c>
      <c r="G94">
        <v>561</v>
      </c>
      <c r="H94" s="3">
        <v>8.8999999999999999E-3</v>
      </c>
      <c r="I94" s="16">
        <v>2.7000000000000001E-3</v>
      </c>
    </row>
    <row r="95" spans="1:9" x14ac:dyDescent="0.25">
      <c r="A95" s="11">
        <v>45148</v>
      </c>
      <c r="B95" t="s">
        <v>61</v>
      </c>
      <c r="C95" t="s">
        <v>33</v>
      </c>
      <c r="D95" s="1">
        <v>19477</v>
      </c>
      <c r="E95" s="1">
        <v>4396</v>
      </c>
      <c r="F95" s="3">
        <v>0.22570000000000001</v>
      </c>
      <c r="G95">
        <v>60</v>
      </c>
      <c r="H95" s="3">
        <v>1.3599999999999999E-2</v>
      </c>
      <c r="I95" s="16">
        <v>3.0999999999999999E-3</v>
      </c>
    </row>
    <row r="96" spans="1:9" x14ac:dyDescent="0.25">
      <c r="A96" s="11">
        <v>45148</v>
      </c>
      <c r="B96" t="s">
        <v>75</v>
      </c>
      <c r="C96" t="s">
        <v>32</v>
      </c>
      <c r="D96" s="1">
        <v>317042</v>
      </c>
      <c r="E96" s="1">
        <v>109187</v>
      </c>
      <c r="F96" s="3">
        <v>0.34439999999999998</v>
      </c>
      <c r="G96">
        <v>787</v>
      </c>
      <c r="H96" s="3">
        <v>7.1999999999999998E-3</v>
      </c>
      <c r="I96" s="16">
        <v>2.5000000000000001E-3</v>
      </c>
    </row>
    <row r="97" spans="1:9" x14ac:dyDescent="0.25">
      <c r="A97" s="11">
        <v>45148</v>
      </c>
      <c r="B97" t="s">
        <v>76</v>
      </c>
      <c r="C97" t="s">
        <v>33</v>
      </c>
      <c r="D97" s="1">
        <v>18533</v>
      </c>
      <c r="E97" s="1">
        <v>4705</v>
      </c>
      <c r="F97" s="3">
        <v>0.25390000000000001</v>
      </c>
      <c r="G97">
        <v>101</v>
      </c>
      <c r="H97" s="3">
        <v>2.1499999999999998E-2</v>
      </c>
      <c r="I97" s="16">
        <v>5.4000000000000003E-3</v>
      </c>
    </row>
    <row r="98" spans="1:9" x14ac:dyDescent="0.25">
      <c r="A98" s="11">
        <v>45148</v>
      </c>
      <c r="B98" t="s">
        <v>48</v>
      </c>
      <c r="C98" t="s">
        <v>32</v>
      </c>
      <c r="D98" s="1">
        <v>144600</v>
      </c>
      <c r="E98" s="1">
        <v>45971</v>
      </c>
      <c r="F98" s="3">
        <v>0.31850000000000001</v>
      </c>
      <c r="G98">
        <v>853</v>
      </c>
      <c r="H98" s="3">
        <v>1.8599999999999998E-2</v>
      </c>
      <c r="I98" s="16">
        <v>5.8999999999999999E-3</v>
      </c>
    </row>
    <row r="99" spans="1:9" x14ac:dyDescent="0.25">
      <c r="A99" s="11">
        <v>45148</v>
      </c>
      <c r="B99" t="s">
        <v>49</v>
      </c>
      <c r="C99" t="s">
        <v>33</v>
      </c>
      <c r="D99" s="1">
        <v>11873</v>
      </c>
      <c r="E99" s="1">
        <v>3469</v>
      </c>
      <c r="F99" s="3">
        <v>0.29260000000000003</v>
      </c>
      <c r="G99" s="1">
        <v>88</v>
      </c>
      <c r="H99" s="3">
        <v>2.5399999999999999E-2</v>
      </c>
      <c r="I99" s="16">
        <v>7.4000000000000003E-3</v>
      </c>
    </row>
    <row r="100" spans="1:9" x14ac:dyDescent="0.25">
      <c r="A100" s="11">
        <v>45148</v>
      </c>
      <c r="B100" t="s">
        <v>50</v>
      </c>
      <c r="C100" t="s">
        <v>32</v>
      </c>
      <c r="D100" s="1">
        <v>277148</v>
      </c>
      <c r="E100" s="1">
        <v>94344</v>
      </c>
      <c r="F100" s="3">
        <v>0.34039999999999998</v>
      </c>
      <c r="G100" s="1">
        <v>1383</v>
      </c>
      <c r="H100" s="3">
        <v>1.47E-2</v>
      </c>
      <c r="I100" s="16">
        <v>5.0000000000000001E-3</v>
      </c>
    </row>
    <row r="101" spans="1:9" x14ac:dyDescent="0.25">
      <c r="A101" s="11">
        <v>45148</v>
      </c>
      <c r="B101" t="s">
        <v>51</v>
      </c>
      <c r="C101" t="s">
        <v>33</v>
      </c>
      <c r="D101" s="1">
        <v>11307</v>
      </c>
      <c r="E101" s="1">
        <v>3204</v>
      </c>
      <c r="F101" s="3">
        <v>0.28339999999999999</v>
      </c>
      <c r="G101">
        <v>52</v>
      </c>
      <c r="H101" s="3">
        <v>1.6199999999999999E-2</v>
      </c>
      <c r="I101" s="16">
        <v>4.5999999999999999E-3</v>
      </c>
    </row>
    <row r="102" spans="1:9" x14ac:dyDescent="0.25">
      <c r="A102" s="11">
        <v>45148</v>
      </c>
      <c r="B102" t="s">
        <v>77</v>
      </c>
      <c r="C102" t="s">
        <v>32</v>
      </c>
      <c r="D102" s="1">
        <v>733517</v>
      </c>
      <c r="E102" s="1">
        <v>286269</v>
      </c>
      <c r="F102" s="3">
        <v>0.39029999999999998</v>
      </c>
      <c r="G102" s="1">
        <v>2439</v>
      </c>
      <c r="H102" s="3">
        <v>8.5000000000000006E-3</v>
      </c>
      <c r="I102" s="16">
        <v>3.3E-3</v>
      </c>
    </row>
    <row r="103" spans="1:9" x14ac:dyDescent="0.25">
      <c r="A103" s="11">
        <v>45148</v>
      </c>
      <c r="B103" t="s">
        <v>78</v>
      </c>
      <c r="C103" t="s">
        <v>33</v>
      </c>
      <c r="D103" s="1">
        <v>41942</v>
      </c>
      <c r="E103" s="1">
        <v>13019</v>
      </c>
      <c r="F103" s="3">
        <v>0.31040000000000001</v>
      </c>
      <c r="G103">
        <v>212</v>
      </c>
      <c r="H103" s="3">
        <v>1.6299999999999999E-2</v>
      </c>
      <c r="I103" s="16">
        <v>5.1000000000000004E-3</v>
      </c>
    </row>
    <row r="104" spans="1:9" x14ac:dyDescent="0.25">
      <c r="A104" s="11">
        <v>45149</v>
      </c>
      <c r="B104" t="s">
        <v>79</v>
      </c>
      <c r="C104" t="s">
        <v>32</v>
      </c>
      <c r="D104" s="1">
        <v>3521855</v>
      </c>
      <c r="E104" s="1">
        <v>1262474</v>
      </c>
      <c r="F104" s="3">
        <v>0.35849999999999999</v>
      </c>
      <c r="G104" s="1">
        <v>20976</v>
      </c>
      <c r="H104" s="3">
        <v>1.66E-2</v>
      </c>
      <c r="I104" s="16">
        <v>6.0000000000000001E-3</v>
      </c>
    </row>
    <row r="105" spans="1:9" x14ac:dyDescent="0.25">
      <c r="A105" s="11">
        <v>45149</v>
      </c>
      <c r="B105" t="s">
        <v>79</v>
      </c>
      <c r="C105" t="s">
        <v>33</v>
      </c>
      <c r="D105" s="1">
        <v>225883</v>
      </c>
      <c r="E105" s="1">
        <v>63918</v>
      </c>
      <c r="F105" s="3">
        <v>0.28299999999999997</v>
      </c>
      <c r="G105" s="1">
        <v>1669</v>
      </c>
      <c r="H105" s="3">
        <v>2.6100000000000002E-2</v>
      </c>
      <c r="I105" s="16">
        <v>7.4000000000000003E-3</v>
      </c>
    </row>
    <row r="106" spans="1:9" x14ac:dyDescent="0.25">
      <c r="A106" s="11">
        <v>45149</v>
      </c>
      <c r="B106" t="s">
        <v>80</v>
      </c>
      <c r="C106" t="s">
        <v>32</v>
      </c>
      <c r="D106" s="1">
        <v>554881</v>
      </c>
      <c r="E106" s="1">
        <v>238199</v>
      </c>
      <c r="F106" s="2">
        <v>0.42927943108522398</v>
      </c>
      <c r="G106" s="1">
        <v>2271</v>
      </c>
      <c r="H106" s="2">
        <v>9.5340450631614705E-3</v>
      </c>
      <c r="I106" s="12">
        <v>4.0927694406548403E-3</v>
      </c>
    </row>
    <row r="107" spans="1:9" x14ac:dyDescent="0.25">
      <c r="A107" s="11">
        <v>45149</v>
      </c>
      <c r="B107" t="s">
        <v>81</v>
      </c>
      <c r="C107" t="s">
        <v>32</v>
      </c>
      <c r="D107" s="1">
        <v>373490</v>
      </c>
      <c r="E107" s="1">
        <v>127122</v>
      </c>
      <c r="F107" s="2">
        <v>0.34036252643979797</v>
      </c>
      <c r="G107" s="1">
        <v>2210</v>
      </c>
      <c r="H107" s="2">
        <v>1.7384874372649899E-2</v>
      </c>
      <c r="I107" s="12">
        <v>5.9171597633136102E-3</v>
      </c>
    </row>
    <row r="108" spans="1:9" x14ac:dyDescent="0.25">
      <c r="A108" s="11">
        <v>45153</v>
      </c>
      <c r="B108" t="s">
        <v>82</v>
      </c>
      <c r="C108" t="s">
        <v>32</v>
      </c>
      <c r="D108" s="1">
        <v>1224207</v>
      </c>
      <c r="E108" s="1">
        <v>422505</v>
      </c>
      <c r="F108" s="3">
        <v>0.3458</v>
      </c>
      <c r="G108" s="1">
        <v>8445</v>
      </c>
      <c r="H108" s="3">
        <v>0.02</v>
      </c>
      <c r="I108" s="16">
        <v>6.8999999999999999E-3</v>
      </c>
    </row>
    <row r="109" spans="1:9" x14ac:dyDescent="0.25">
      <c r="A109" s="11">
        <v>45153</v>
      </c>
      <c r="B109" t="s">
        <v>82</v>
      </c>
      <c r="C109" t="s">
        <v>33</v>
      </c>
      <c r="D109" s="1">
        <v>89075</v>
      </c>
      <c r="E109" s="1">
        <v>25353</v>
      </c>
      <c r="F109" s="3">
        <v>0.28489999999999999</v>
      </c>
      <c r="G109">
        <v>660</v>
      </c>
      <c r="H109" s="3">
        <v>2.5999999999999999E-2</v>
      </c>
      <c r="I109" s="16">
        <v>7.4000000000000003E-3</v>
      </c>
    </row>
    <row r="110" spans="1:9" x14ac:dyDescent="0.25">
      <c r="A110" s="11">
        <v>45154</v>
      </c>
      <c r="B110" t="s">
        <v>83</v>
      </c>
      <c r="C110" t="s">
        <v>32</v>
      </c>
      <c r="D110" s="1">
        <v>1171587</v>
      </c>
      <c r="E110" s="1">
        <v>497707</v>
      </c>
      <c r="F110" s="3">
        <v>0.42649999999999999</v>
      </c>
      <c r="G110" s="1">
        <v>5523</v>
      </c>
      <c r="H110" s="3">
        <v>1.109689033909509E-2</v>
      </c>
      <c r="I110" s="16">
        <v>4.714118541772826E-3</v>
      </c>
    </row>
    <row r="111" spans="1:9" x14ac:dyDescent="0.25">
      <c r="A111" s="11">
        <v>45154</v>
      </c>
      <c r="B111" t="s">
        <v>83</v>
      </c>
      <c r="C111" t="s">
        <v>33</v>
      </c>
      <c r="D111" s="1">
        <v>51287</v>
      </c>
      <c r="E111" s="1">
        <v>15468</v>
      </c>
      <c r="F111" s="3">
        <v>0.30159689589954569</v>
      </c>
      <c r="G111">
        <v>206</v>
      </c>
      <c r="H111" s="3">
        <v>1.3317817429531937E-2</v>
      </c>
      <c r="I111" s="16">
        <v>4.0166123969036984E-3</v>
      </c>
    </row>
    <row r="112" spans="1:9" x14ac:dyDescent="0.25">
      <c r="A112" s="11">
        <v>45154</v>
      </c>
      <c r="B112" t="s">
        <v>84</v>
      </c>
      <c r="C112" t="s">
        <v>32</v>
      </c>
      <c r="D112" s="1">
        <v>897</v>
      </c>
      <c r="E112" s="1">
        <v>466</v>
      </c>
      <c r="F112" s="3">
        <v>0.51950947603121511</v>
      </c>
      <c r="G112" s="1">
        <v>52</v>
      </c>
      <c r="H112" s="3">
        <v>0.11158798283261803</v>
      </c>
      <c r="I112" s="16">
        <v>5.7971014492753624E-2</v>
      </c>
    </row>
    <row r="113" spans="1:9" x14ac:dyDescent="0.25">
      <c r="A113" s="11">
        <v>45154</v>
      </c>
      <c r="B113" t="s">
        <v>84</v>
      </c>
      <c r="C113" t="s">
        <v>33</v>
      </c>
      <c r="D113" s="1">
        <v>280</v>
      </c>
      <c r="E113" s="1">
        <v>156</v>
      </c>
      <c r="F113" s="3">
        <v>0.55714285714285716</v>
      </c>
      <c r="G113" s="1">
        <v>27</v>
      </c>
      <c r="H113" s="3">
        <v>0.17307692307692307</v>
      </c>
      <c r="I113" s="16">
        <v>9.6428571428571433E-2</v>
      </c>
    </row>
    <row r="114" spans="1:9" x14ac:dyDescent="0.25">
      <c r="A114" s="11">
        <v>45155</v>
      </c>
      <c r="B114" t="s">
        <v>85</v>
      </c>
      <c r="C114" t="s">
        <v>32</v>
      </c>
      <c r="D114" s="1">
        <v>207066</v>
      </c>
      <c r="E114" s="1">
        <v>77566</v>
      </c>
      <c r="F114" s="3">
        <v>0.37459553958641206</v>
      </c>
      <c r="G114">
        <v>795</v>
      </c>
      <c r="H114" s="3">
        <v>1.0249336049299951E-2</v>
      </c>
      <c r="I114" s="16">
        <v>3.83935556778998E-3</v>
      </c>
    </row>
    <row r="115" spans="1:9" x14ac:dyDescent="0.25">
      <c r="A115" s="11">
        <v>45155</v>
      </c>
      <c r="B115" t="s">
        <v>86</v>
      </c>
      <c r="C115" t="s">
        <v>33</v>
      </c>
      <c r="D115" s="1">
        <v>19415</v>
      </c>
      <c r="E115" s="1">
        <v>6477</v>
      </c>
      <c r="F115" s="3">
        <v>0.33360803502446562</v>
      </c>
      <c r="G115">
        <v>111</v>
      </c>
      <c r="H115" s="3">
        <v>1.7137563686892079E-2</v>
      </c>
      <c r="I115" s="16">
        <v>5.7172289466907028E-3</v>
      </c>
    </row>
    <row r="116" spans="1:9" x14ac:dyDescent="0.25">
      <c r="A116" s="11">
        <v>45155</v>
      </c>
      <c r="B116" t="s">
        <v>87</v>
      </c>
      <c r="C116" t="s">
        <v>32</v>
      </c>
      <c r="D116" s="1">
        <v>317334</v>
      </c>
      <c r="E116" s="1">
        <v>112616</v>
      </c>
      <c r="F116" s="3">
        <v>0.35488160739158109</v>
      </c>
      <c r="G116">
        <v>804</v>
      </c>
      <c r="H116" s="3">
        <v>7.1393052496980889E-3</v>
      </c>
      <c r="I116" s="16">
        <v>2.5336081226720111E-3</v>
      </c>
    </row>
    <row r="117" spans="1:9" x14ac:dyDescent="0.25">
      <c r="A117" s="11">
        <v>45155</v>
      </c>
      <c r="B117" t="s">
        <v>88</v>
      </c>
      <c r="C117" t="s">
        <v>33</v>
      </c>
      <c r="D117" s="1">
        <v>18573</v>
      </c>
      <c r="E117" s="1">
        <v>4880</v>
      </c>
      <c r="F117" s="3">
        <v>0.26274699833091048</v>
      </c>
      <c r="G117">
        <v>103</v>
      </c>
      <c r="H117" s="3">
        <v>2.1106557377049182E-2</v>
      </c>
      <c r="I117" s="16">
        <v>5.5456845959188069E-3</v>
      </c>
    </row>
    <row r="118" spans="1:9" x14ac:dyDescent="0.25">
      <c r="A118" s="11">
        <v>45155</v>
      </c>
      <c r="B118" t="s">
        <v>77</v>
      </c>
      <c r="C118" t="s">
        <v>32</v>
      </c>
      <c r="D118" s="1">
        <v>733906</v>
      </c>
      <c r="E118" s="1">
        <v>273011</v>
      </c>
      <c r="F118" s="3">
        <v>0.37199723125304873</v>
      </c>
      <c r="G118" s="1">
        <v>2291</v>
      </c>
      <c r="H118" s="3">
        <v>8.391603268732761E-3</v>
      </c>
      <c r="I118" s="16">
        <v>3.1216531817426208E-3</v>
      </c>
    </row>
    <row r="119" spans="1:9" x14ac:dyDescent="0.25">
      <c r="A119" s="11">
        <v>45155</v>
      </c>
      <c r="B119" t="s">
        <v>78</v>
      </c>
      <c r="C119" t="s">
        <v>33</v>
      </c>
      <c r="D119" s="1">
        <v>41976</v>
      </c>
      <c r="E119" s="1">
        <v>12400</v>
      </c>
      <c r="F119" s="3">
        <v>0.29540689918048407</v>
      </c>
      <c r="G119">
        <v>197</v>
      </c>
      <c r="H119" s="3">
        <v>1.5887096774193549E-2</v>
      </c>
      <c r="I119" s="16">
        <v>4.6931579950447878E-3</v>
      </c>
    </row>
    <row r="120" spans="1:9" x14ac:dyDescent="0.25">
      <c r="A120" s="11">
        <v>45156</v>
      </c>
      <c r="B120" t="s">
        <v>89</v>
      </c>
      <c r="C120" t="s">
        <v>32</v>
      </c>
      <c r="D120" s="1">
        <v>3502257</v>
      </c>
      <c r="E120" s="1">
        <v>1345536</v>
      </c>
      <c r="F120" s="3">
        <v>0.38419999999999999</v>
      </c>
      <c r="G120" s="1">
        <v>20007</v>
      </c>
      <c r="H120" s="3">
        <v>1.49E-2</v>
      </c>
      <c r="I120" s="16">
        <v>5.7000000000000002E-3</v>
      </c>
    </row>
    <row r="121" spans="1:9" x14ac:dyDescent="0.25">
      <c r="A121" s="11">
        <v>45156</v>
      </c>
      <c r="B121" t="s">
        <v>89</v>
      </c>
      <c r="C121" t="s">
        <v>33</v>
      </c>
      <c r="D121" s="1">
        <v>224864</v>
      </c>
      <c r="E121" s="1">
        <v>59925</v>
      </c>
      <c r="F121" s="3">
        <v>0.26650000000000001</v>
      </c>
      <c r="G121" s="1">
        <v>1363</v>
      </c>
      <c r="H121" s="3">
        <v>2.2700000000000001E-2</v>
      </c>
      <c r="I121" s="16">
        <v>6.1000000000000004E-3</v>
      </c>
    </row>
    <row r="122" spans="1:9" x14ac:dyDescent="0.25">
      <c r="A122" s="11">
        <v>45156</v>
      </c>
      <c r="B122" t="s">
        <v>90</v>
      </c>
      <c r="C122" t="s">
        <v>32</v>
      </c>
      <c r="D122" s="1">
        <v>360395</v>
      </c>
      <c r="E122" s="1">
        <v>124468</v>
      </c>
      <c r="F122" s="3">
        <v>0.34539999999999998</v>
      </c>
      <c r="G122" s="1">
        <v>2921</v>
      </c>
      <c r="H122" s="3">
        <v>2.35E-2</v>
      </c>
      <c r="I122" s="16">
        <v>8.0999999999999996E-3</v>
      </c>
    </row>
    <row r="123" spans="1:9" x14ac:dyDescent="0.25">
      <c r="A123" s="11">
        <v>45156</v>
      </c>
      <c r="B123" t="s">
        <v>90</v>
      </c>
      <c r="C123" t="s">
        <v>33</v>
      </c>
      <c r="D123" s="1">
        <v>18280</v>
      </c>
      <c r="E123" s="1">
        <v>4943</v>
      </c>
      <c r="F123" s="2">
        <v>0.27040481400437599</v>
      </c>
      <c r="G123" s="1">
        <v>212</v>
      </c>
      <c r="H123" s="2">
        <v>4.2888933845842601E-2</v>
      </c>
      <c r="I123" s="12">
        <v>1.1597374179431101E-2</v>
      </c>
    </row>
    <row r="124" spans="1:9" x14ac:dyDescent="0.25">
      <c r="A124" s="11">
        <v>45157</v>
      </c>
      <c r="B124" t="s">
        <v>91</v>
      </c>
      <c r="C124" t="s">
        <v>32</v>
      </c>
      <c r="D124" s="1">
        <v>564989</v>
      </c>
      <c r="E124" s="1">
        <v>207350</v>
      </c>
      <c r="F124" s="3">
        <v>0.36699999999999999</v>
      </c>
      <c r="G124" s="1">
        <v>3536</v>
      </c>
      <c r="H124" s="3">
        <v>1.7100000000000001E-2</v>
      </c>
      <c r="I124" s="16">
        <v>6.3E-3</v>
      </c>
    </row>
    <row r="125" spans="1:9" x14ac:dyDescent="0.25">
      <c r="A125" s="11">
        <v>45157</v>
      </c>
      <c r="B125" t="s">
        <v>91</v>
      </c>
      <c r="C125" t="s">
        <v>33</v>
      </c>
      <c r="D125" s="1">
        <v>38302</v>
      </c>
      <c r="E125" s="1">
        <v>10381</v>
      </c>
      <c r="F125" s="3">
        <v>0.27100000000000002</v>
      </c>
      <c r="G125">
        <v>361</v>
      </c>
      <c r="H125" s="3">
        <v>3.4799999999999998E-2</v>
      </c>
      <c r="I125" s="16">
        <v>9.4000000000000004E-3</v>
      </c>
    </row>
    <row r="126" spans="1:9" x14ac:dyDescent="0.25">
      <c r="A126" s="11">
        <v>45160</v>
      </c>
      <c r="B126" t="s">
        <v>92</v>
      </c>
      <c r="C126" t="s">
        <v>32</v>
      </c>
      <c r="D126" s="1">
        <v>1232022</v>
      </c>
      <c r="E126" s="1">
        <v>427221</v>
      </c>
      <c r="F126" s="3">
        <v>0.3468</v>
      </c>
      <c r="G126" s="1">
        <v>5694</v>
      </c>
      <c r="H126" s="3">
        <v>1.3299999999999999E-2</v>
      </c>
      <c r="I126" s="16">
        <v>4.5999999999999999E-3</v>
      </c>
    </row>
    <row r="127" spans="1:9" x14ac:dyDescent="0.25">
      <c r="A127" s="11">
        <v>45160</v>
      </c>
      <c r="B127" t="s">
        <v>92</v>
      </c>
      <c r="C127" t="s">
        <v>33</v>
      </c>
      <c r="D127" s="1">
        <v>89342</v>
      </c>
      <c r="E127" s="1">
        <v>27092</v>
      </c>
      <c r="F127" s="3">
        <v>0.30320000000000003</v>
      </c>
      <c r="G127">
        <v>663</v>
      </c>
      <c r="H127" s="3">
        <v>2.4500000000000001E-2</v>
      </c>
      <c r="I127" s="16">
        <v>7.4000000000000003E-3</v>
      </c>
    </row>
    <row r="128" spans="1:9" x14ac:dyDescent="0.25">
      <c r="A128" s="11">
        <v>45161</v>
      </c>
      <c r="B128" t="s">
        <v>93</v>
      </c>
      <c r="C128" t="s">
        <v>32</v>
      </c>
      <c r="D128" s="1">
        <v>4980561</v>
      </c>
      <c r="E128" s="1">
        <v>1751259</v>
      </c>
      <c r="F128" s="3">
        <v>0.35160000000000002</v>
      </c>
      <c r="G128" s="1">
        <v>109525</v>
      </c>
      <c r="H128" s="3">
        <v>6.25E-2</v>
      </c>
      <c r="I128" s="16">
        <v>2.1999999999999999E-2</v>
      </c>
    </row>
    <row r="129" spans="1:9" x14ac:dyDescent="0.25">
      <c r="A129" s="11">
        <v>45161</v>
      </c>
      <c r="B129" t="s">
        <v>93</v>
      </c>
      <c r="C129" t="s">
        <v>33</v>
      </c>
      <c r="D129" s="1">
        <v>325472</v>
      </c>
      <c r="E129" s="1">
        <v>96730</v>
      </c>
      <c r="F129" s="3">
        <v>0.29720000000000002</v>
      </c>
      <c r="G129" s="1">
        <v>10043</v>
      </c>
      <c r="H129" s="3">
        <v>0.1038</v>
      </c>
      <c r="I129" s="16">
        <v>3.09E-2</v>
      </c>
    </row>
    <row r="130" spans="1:9" x14ac:dyDescent="0.25">
      <c r="A130" s="11">
        <v>45161</v>
      </c>
      <c r="B130" t="s">
        <v>94</v>
      </c>
      <c r="C130" t="s">
        <v>32</v>
      </c>
      <c r="D130" s="1">
        <v>67865</v>
      </c>
      <c r="E130" s="1">
        <v>27534</v>
      </c>
      <c r="F130" s="3">
        <v>0.40570000000000001</v>
      </c>
      <c r="G130">
        <v>719</v>
      </c>
      <c r="H130" s="3">
        <v>2.6100000000000002E-2</v>
      </c>
      <c r="I130" s="16">
        <v>1.06E-2</v>
      </c>
    </row>
    <row r="131" spans="1:9" x14ac:dyDescent="0.25">
      <c r="A131" s="11">
        <v>45161</v>
      </c>
      <c r="B131" t="s">
        <v>94</v>
      </c>
      <c r="C131" t="s">
        <v>33</v>
      </c>
      <c r="D131" s="1">
        <v>4928</v>
      </c>
      <c r="E131" s="1">
        <v>1898</v>
      </c>
      <c r="F131" s="2">
        <v>0.38514610389610399</v>
      </c>
      <c r="G131" s="1">
        <v>48</v>
      </c>
      <c r="H131" s="2">
        <v>2.52897787144362E-2</v>
      </c>
      <c r="I131" s="12">
        <v>9.74025974025974E-3</v>
      </c>
    </row>
    <row r="132" spans="1:9" x14ac:dyDescent="0.25">
      <c r="A132" s="11">
        <v>45162</v>
      </c>
      <c r="B132" t="s">
        <v>95</v>
      </c>
      <c r="C132" t="s">
        <v>96</v>
      </c>
      <c r="D132" s="1">
        <v>269274</v>
      </c>
      <c r="E132" s="1">
        <v>75658</v>
      </c>
      <c r="F132" s="3">
        <v>0.28660000000000002</v>
      </c>
      <c r="G132">
        <v>840</v>
      </c>
      <c r="H132" s="3">
        <v>1.17E-2</v>
      </c>
      <c r="I132" s="16">
        <v>3.3E-3</v>
      </c>
    </row>
    <row r="133" spans="1:9" x14ac:dyDescent="0.25">
      <c r="A133" s="11">
        <v>45162</v>
      </c>
      <c r="B133" t="s">
        <v>95</v>
      </c>
      <c r="C133" t="s">
        <v>97</v>
      </c>
      <c r="D133" s="1">
        <v>21756</v>
      </c>
      <c r="E133" s="1">
        <v>4770</v>
      </c>
      <c r="F133" s="3">
        <v>0.222</v>
      </c>
      <c r="G133">
        <v>117</v>
      </c>
      <c r="H133" s="3">
        <v>2.2700000000000001E-2</v>
      </c>
      <c r="I133" s="16">
        <v>5.0000000000000001E-3</v>
      </c>
    </row>
    <row r="134" spans="1:9" x14ac:dyDescent="0.25">
      <c r="A134" s="11">
        <v>45162</v>
      </c>
      <c r="B134" t="s">
        <v>95</v>
      </c>
      <c r="C134" t="s">
        <v>98</v>
      </c>
      <c r="D134" s="1">
        <v>14119</v>
      </c>
      <c r="E134" s="1">
        <v>3947</v>
      </c>
      <c r="F134" s="3">
        <v>0.28549999999999998</v>
      </c>
      <c r="G134">
        <v>45</v>
      </c>
      <c r="H134" s="3">
        <v>1.15E-2</v>
      </c>
      <c r="I134" s="16">
        <v>3.3E-3</v>
      </c>
    </row>
    <row r="135" spans="1:9" x14ac:dyDescent="0.25">
      <c r="A135" s="11">
        <v>45162</v>
      </c>
      <c r="B135" t="s">
        <v>95</v>
      </c>
      <c r="C135" t="s">
        <v>99</v>
      </c>
      <c r="D135" s="1">
        <v>1190</v>
      </c>
      <c r="E135">
        <v>214</v>
      </c>
      <c r="F135" s="3">
        <v>0.17119999999999999</v>
      </c>
      <c r="G135">
        <v>7</v>
      </c>
      <c r="H135" s="3">
        <v>3.0200000000000001E-2</v>
      </c>
      <c r="I135" s="16">
        <v>5.1999999999999998E-3</v>
      </c>
    </row>
    <row r="136" spans="1:9" x14ac:dyDescent="0.25">
      <c r="A136" s="11">
        <v>45162</v>
      </c>
      <c r="B136" t="s">
        <v>100</v>
      </c>
      <c r="C136" t="s">
        <v>32</v>
      </c>
      <c r="D136" s="1">
        <v>367334</v>
      </c>
      <c r="E136" s="1">
        <v>115428</v>
      </c>
      <c r="F136" s="3">
        <v>0.31419999999999998</v>
      </c>
      <c r="G136" s="1">
        <v>790</v>
      </c>
      <c r="H136" s="3">
        <v>6.7999999999999996E-3</v>
      </c>
      <c r="I136" s="33">
        <v>2.2000000000000001E-3</v>
      </c>
    </row>
    <row r="137" spans="1:9" x14ac:dyDescent="0.25">
      <c r="A137" s="11">
        <v>45162</v>
      </c>
      <c r="B137" t="s">
        <v>101</v>
      </c>
      <c r="C137" t="s">
        <v>33</v>
      </c>
      <c r="D137" s="1">
        <v>25534</v>
      </c>
      <c r="E137" s="1">
        <v>6454</v>
      </c>
      <c r="F137" s="3">
        <v>0.25280000000000002</v>
      </c>
      <c r="G137">
        <v>72</v>
      </c>
      <c r="H137" s="3">
        <v>1.12E-2</v>
      </c>
      <c r="I137" s="16">
        <v>2.8E-3</v>
      </c>
    </row>
    <row r="138" spans="1:9" x14ac:dyDescent="0.25">
      <c r="A138" s="11">
        <v>45162</v>
      </c>
      <c r="B138" t="s">
        <v>75</v>
      </c>
      <c r="C138" t="s">
        <v>32</v>
      </c>
      <c r="D138" s="1">
        <v>267294</v>
      </c>
      <c r="E138" s="1">
        <v>106780</v>
      </c>
      <c r="F138" s="3">
        <v>0.39950000000000002</v>
      </c>
      <c r="G138">
        <v>735</v>
      </c>
      <c r="H138" s="3">
        <v>6.8999999999999999E-3</v>
      </c>
      <c r="I138" s="16">
        <v>2.7000000000000001E-3</v>
      </c>
    </row>
    <row r="139" spans="1:9" x14ac:dyDescent="0.25">
      <c r="A139" s="11">
        <v>45162</v>
      </c>
      <c r="B139" t="s">
        <v>76</v>
      </c>
      <c r="C139" t="s">
        <v>33</v>
      </c>
      <c r="D139" s="1">
        <v>16036</v>
      </c>
      <c r="E139" s="1">
        <v>5365</v>
      </c>
      <c r="F139" s="3">
        <v>0.33460000000000001</v>
      </c>
      <c r="G139">
        <v>67</v>
      </c>
      <c r="H139" s="3">
        <v>1.2500000000000001E-2</v>
      </c>
      <c r="I139" s="16">
        <v>4.1999999999999997E-3</v>
      </c>
    </row>
    <row r="140" spans="1:9" x14ac:dyDescent="0.25">
      <c r="A140" s="11">
        <v>45162</v>
      </c>
      <c r="B140" t="s">
        <v>102</v>
      </c>
      <c r="C140" t="s">
        <v>32</v>
      </c>
      <c r="D140" s="1">
        <v>121163</v>
      </c>
      <c r="E140" s="1">
        <v>40258</v>
      </c>
      <c r="F140" s="3">
        <v>0.33229999999999998</v>
      </c>
      <c r="G140" s="1">
        <v>336</v>
      </c>
      <c r="H140" s="3">
        <v>8.3000000000000001E-3</v>
      </c>
      <c r="I140" s="33">
        <v>2.8E-3</v>
      </c>
    </row>
    <row r="141" spans="1:9" x14ac:dyDescent="0.25">
      <c r="A141" s="11">
        <v>45162</v>
      </c>
      <c r="B141" t="s">
        <v>103</v>
      </c>
      <c r="C141" t="s">
        <v>33</v>
      </c>
      <c r="D141" s="1">
        <v>7410</v>
      </c>
      <c r="E141" s="1">
        <v>2074</v>
      </c>
      <c r="F141" s="3">
        <v>0.27989999999999998</v>
      </c>
      <c r="G141" s="1">
        <v>21</v>
      </c>
      <c r="H141" s="3">
        <v>1.01E-2</v>
      </c>
      <c r="I141" s="16">
        <v>2.8E-3</v>
      </c>
    </row>
    <row r="142" spans="1:9" x14ac:dyDescent="0.25">
      <c r="A142" s="11">
        <v>45162</v>
      </c>
      <c r="B142" t="s">
        <v>77</v>
      </c>
      <c r="C142" t="s">
        <v>32</v>
      </c>
      <c r="D142" s="1">
        <v>722364</v>
      </c>
      <c r="E142" s="1">
        <v>246406</v>
      </c>
      <c r="F142" s="3">
        <v>0.34110000000000001</v>
      </c>
      <c r="G142" s="1">
        <v>2724</v>
      </c>
      <c r="H142" s="3">
        <v>1.11E-2</v>
      </c>
      <c r="I142" s="16">
        <v>3.8E-3</v>
      </c>
    </row>
    <row r="143" spans="1:9" x14ac:dyDescent="0.25">
      <c r="A143" s="11">
        <v>45162</v>
      </c>
      <c r="B143" t="s">
        <v>78</v>
      </c>
      <c r="C143" t="s">
        <v>33</v>
      </c>
      <c r="D143" s="1">
        <v>41547</v>
      </c>
      <c r="E143" s="1">
        <v>9560</v>
      </c>
      <c r="F143" s="3">
        <v>0.2301</v>
      </c>
      <c r="G143">
        <v>137</v>
      </c>
      <c r="H143" s="3">
        <v>1.43E-2</v>
      </c>
      <c r="I143" s="16">
        <v>3.3E-3</v>
      </c>
    </row>
    <row r="144" spans="1:9" x14ac:dyDescent="0.25">
      <c r="A144" s="11">
        <v>45163</v>
      </c>
      <c r="B144" t="s">
        <v>104</v>
      </c>
      <c r="C144" t="s">
        <v>32</v>
      </c>
      <c r="D144" s="1">
        <v>3088793</v>
      </c>
      <c r="E144" s="1">
        <v>1030291</v>
      </c>
      <c r="F144" s="2">
        <v>0.33355780073316699</v>
      </c>
      <c r="G144" s="1">
        <v>16270</v>
      </c>
      <c r="H144" s="2">
        <v>1.5791654979030199E-2</v>
      </c>
      <c r="I144" s="12">
        <v>5.2674297047422703E-3</v>
      </c>
    </row>
    <row r="145" spans="1:9" x14ac:dyDescent="0.25">
      <c r="A145" s="11">
        <v>45163</v>
      </c>
      <c r="B145" t="s">
        <v>104</v>
      </c>
      <c r="C145" t="s">
        <v>33</v>
      </c>
      <c r="D145" s="1">
        <v>211432</v>
      </c>
      <c r="E145" s="1">
        <v>51225</v>
      </c>
      <c r="F145" s="2">
        <v>0.24227647659767701</v>
      </c>
      <c r="G145" s="1">
        <v>1277</v>
      </c>
      <c r="H145" s="2">
        <v>2.4929233772572001E-2</v>
      </c>
      <c r="I145" s="12">
        <v>6.0397669226985497E-3</v>
      </c>
    </row>
    <row r="146" spans="1:9" x14ac:dyDescent="0.25">
      <c r="A146" s="11">
        <v>45163</v>
      </c>
      <c r="B146" t="s">
        <v>105</v>
      </c>
      <c r="C146" t="s">
        <v>32</v>
      </c>
      <c r="D146" s="1">
        <v>319820</v>
      </c>
      <c r="E146" s="1">
        <v>107509</v>
      </c>
      <c r="F146" s="2">
        <v>0.336154712025514</v>
      </c>
      <c r="G146" s="1">
        <v>1751</v>
      </c>
      <c r="H146" s="2">
        <v>1.6287008529518501E-2</v>
      </c>
      <c r="I146" s="12">
        <v>5.4749546619973699E-3</v>
      </c>
    </row>
    <row r="147" spans="1:9" x14ac:dyDescent="0.25">
      <c r="A147" s="11">
        <v>45166</v>
      </c>
      <c r="B147" t="s">
        <v>106</v>
      </c>
      <c r="C147" t="s">
        <v>32</v>
      </c>
      <c r="D147" s="1">
        <v>90670</v>
      </c>
      <c r="E147" s="1">
        <v>35364</v>
      </c>
      <c r="F147" s="2">
        <v>0.390029778316974</v>
      </c>
      <c r="G147" s="1">
        <v>713</v>
      </c>
      <c r="H147" s="2">
        <v>2.0161746408777301E-2</v>
      </c>
      <c r="I147" s="12">
        <v>7.8636814822984503E-3</v>
      </c>
    </row>
    <row r="148" spans="1:9" x14ac:dyDescent="0.25">
      <c r="A148" s="11">
        <v>45166</v>
      </c>
      <c r="B148" t="s">
        <v>107</v>
      </c>
      <c r="C148" t="s">
        <v>32</v>
      </c>
      <c r="D148" s="1">
        <v>334712</v>
      </c>
      <c r="E148" s="1">
        <v>146695</v>
      </c>
      <c r="F148" s="2">
        <v>0.438272305743445</v>
      </c>
      <c r="G148" s="1">
        <v>2981</v>
      </c>
      <c r="H148" s="2">
        <v>2.0321074337911998E-2</v>
      </c>
      <c r="I148" s="12">
        <v>8.9061641052606399E-3</v>
      </c>
    </row>
    <row r="149" spans="1:9" x14ac:dyDescent="0.25">
      <c r="A149" s="11">
        <v>45167</v>
      </c>
      <c r="B149" t="s">
        <v>108</v>
      </c>
      <c r="C149" t="s">
        <v>32</v>
      </c>
      <c r="D149" s="1">
        <v>916412</v>
      </c>
      <c r="E149" s="1">
        <v>329575</v>
      </c>
      <c r="F149" s="2">
        <v>0.35963627713299301</v>
      </c>
      <c r="G149" s="1">
        <v>6718</v>
      </c>
      <c r="H149" s="2">
        <v>2.0383827656830798E-2</v>
      </c>
      <c r="I149" s="12">
        <v>7.3307638922231501E-3</v>
      </c>
    </row>
    <row r="150" spans="1:9" x14ac:dyDescent="0.25">
      <c r="A150" s="11">
        <v>45167</v>
      </c>
      <c r="B150" t="s">
        <v>108</v>
      </c>
      <c r="C150" t="s">
        <v>33</v>
      </c>
      <c r="D150" s="1">
        <v>71420</v>
      </c>
      <c r="E150" s="1">
        <v>21999</v>
      </c>
      <c r="F150" s="2">
        <v>0.30802296275553098</v>
      </c>
      <c r="G150" s="1">
        <v>644</v>
      </c>
      <c r="H150" s="2">
        <v>2.92740579117233E-2</v>
      </c>
      <c r="I150" s="12">
        <v>9.0170820498459807E-3</v>
      </c>
    </row>
    <row r="151" spans="1:9" x14ac:dyDescent="0.25">
      <c r="A151" s="11">
        <v>45168</v>
      </c>
      <c r="B151" t="s">
        <v>109</v>
      </c>
      <c r="C151" t="s">
        <v>32</v>
      </c>
      <c r="D151" s="1">
        <v>2333516</v>
      </c>
      <c r="E151" s="1">
        <v>748686</v>
      </c>
      <c r="F151" s="3">
        <v>0.32079999999999997</v>
      </c>
      <c r="G151" s="1">
        <v>20879</v>
      </c>
      <c r="H151" s="3">
        <v>2.7900000000000001E-2</v>
      </c>
      <c r="I151" s="16">
        <v>8.8999999999999999E-3</v>
      </c>
    </row>
    <row r="152" spans="1:9" x14ac:dyDescent="0.25">
      <c r="A152" s="11">
        <v>45168</v>
      </c>
      <c r="B152" t="s">
        <v>109</v>
      </c>
      <c r="C152" t="s">
        <v>33</v>
      </c>
      <c r="D152" s="1">
        <v>112034</v>
      </c>
      <c r="E152" s="1">
        <v>29269</v>
      </c>
      <c r="F152" s="3">
        <v>0.26129999999999998</v>
      </c>
      <c r="G152" s="1">
        <v>1184</v>
      </c>
      <c r="H152" s="3">
        <v>4.0500000000000001E-2</v>
      </c>
      <c r="I152" s="16">
        <v>1.06E-2</v>
      </c>
    </row>
    <row r="153" spans="1:9" x14ac:dyDescent="0.25">
      <c r="A153" s="11">
        <v>45169</v>
      </c>
      <c r="B153" t="s">
        <v>110</v>
      </c>
      <c r="C153" t="s">
        <v>32</v>
      </c>
      <c r="D153" s="1">
        <v>620716</v>
      </c>
      <c r="E153" s="1">
        <v>180063</v>
      </c>
      <c r="F153" s="3">
        <v>0.29010000000000002</v>
      </c>
      <c r="G153" s="1">
        <v>1115</v>
      </c>
      <c r="H153" s="3">
        <v>6.1999999999999998E-3</v>
      </c>
      <c r="I153" s="16">
        <v>1.8E-3</v>
      </c>
    </row>
    <row r="154" spans="1:9" x14ac:dyDescent="0.25">
      <c r="A154" s="11">
        <v>45169</v>
      </c>
      <c r="B154" t="s">
        <v>111</v>
      </c>
      <c r="C154" t="s">
        <v>33</v>
      </c>
      <c r="D154" s="1">
        <v>52074</v>
      </c>
      <c r="E154" s="1">
        <v>10973</v>
      </c>
      <c r="F154" s="3">
        <v>0.2107</v>
      </c>
      <c r="G154">
        <v>123</v>
      </c>
      <c r="H154" s="3">
        <v>1.12E-2</v>
      </c>
      <c r="I154" s="16">
        <v>2.3999999999999998E-3</v>
      </c>
    </row>
    <row r="155" spans="1:9" x14ac:dyDescent="0.25">
      <c r="A155" s="11">
        <v>45169</v>
      </c>
      <c r="B155" t="s">
        <v>112</v>
      </c>
      <c r="C155" t="s">
        <v>32</v>
      </c>
      <c r="D155" s="1">
        <v>4432067</v>
      </c>
      <c r="E155" s="1">
        <v>1770690</v>
      </c>
      <c r="F155" s="2">
        <v>0.399517877324508</v>
      </c>
      <c r="G155" s="1">
        <v>52016</v>
      </c>
      <c r="H155" s="2">
        <v>2.9376118914095601E-2</v>
      </c>
      <c r="I155" s="12">
        <v>1.17362846725918E-2</v>
      </c>
    </row>
    <row r="156" spans="1:9" x14ac:dyDescent="0.25">
      <c r="A156" s="11">
        <v>45169</v>
      </c>
      <c r="B156" t="s">
        <v>112</v>
      </c>
      <c r="C156" t="s">
        <v>33</v>
      </c>
      <c r="D156" s="1">
        <v>307558</v>
      </c>
      <c r="E156" s="1">
        <v>75473</v>
      </c>
      <c r="F156" s="2">
        <v>0.24539436464016501</v>
      </c>
      <c r="G156" s="1">
        <v>1718</v>
      </c>
      <c r="H156" s="2">
        <v>2.27631073363984E-2</v>
      </c>
      <c r="I156" s="12">
        <v>5.5859382620513896E-3</v>
      </c>
    </row>
    <row r="157" spans="1:9" x14ac:dyDescent="0.25">
      <c r="A157" s="11">
        <v>45169</v>
      </c>
      <c r="B157" t="s">
        <v>100</v>
      </c>
      <c r="C157" t="s">
        <v>32</v>
      </c>
      <c r="D157" s="1">
        <v>334639</v>
      </c>
      <c r="E157" s="1">
        <v>102960</v>
      </c>
      <c r="F157" s="3">
        <v>0.30769999999999997</v>
      </c>
      <c r="G157">
        <v>588</v>
      </c>
      <c r="H157" s="3">
        <v>5.7000000000000002E-3</v>
      </c>
      <c r="I157" s="16">
        <v>1.8E-3</v>
      </c>
    </row>
    <row r="158" spans="1:9" x14ac:dyDescent="0.25">
      <c r="A158" s="11">
        <v>45169</v>
      </c>
      <c r="B158" t="s">
        <v>101</v>
      </c>
      <c r="C158" t="s">
        <v>33</v>
      </c>
      <c r="D158" s="1">
        <v>21663</v>
      </c>
      <c r="E158" s="1">
        <v>4837</v>
      </c>
      <c r="F158" s="3">
        <v>0.2233</v>
      </c>
      <c r="G158">
        <v>46</v>
      </c>
      <c r="H158" s="3">
        <v>9.4999999999999998E-3</v>
      </c>
      <c r="I158" s="16">
        <v>2.0999999999999999E-3</v>
      </c>
    </row>
    <row r="159" spans="1:9" x14ac:dyDescent="0.25">
      <c r="A159" s="11">
        <v>45169</v>
      </c>
      <c r="B159" t="s">
        <v>102</v>
      </c>
      <c r="C159" t="s">
        <v>32</v>
      </c>
      <c r="D159" s="1">
        <v>90821</v>
      </c>
      <c r="E159" s="1">
        <v>28889</v>
      </c>
      <c r="F159" s="3">
        <v>0.31809999999999999</v>
      </c>
      <c r="G159">
        <v>209</v>
      </c>
      <c r="H159" s="3">
        <v>7.1999999999999998E-3</v>
      </c>
      <c r="I159" s="16">
        <v>2.3E-3</v>
      </c>
    </row>
    <row r="160" spans="1:9" x14ac:dyDescent="0.25">
      <c r="A160" s="11">
        <v>45169</v>
      </c>
      <c r="B160" t="s">
        <v>103</v>
      </c>
      <c r="C160" t="s">
        <v>33</v>
      </c>
      <c r="D160" s="1">
        <v>5872</v>
      </c>
      <c r="E160" s="1">
        <v>1456</v>
      </c>
      <c r="F160" s="3">
        <v>0.248</v>
      </c>
      <c r="G160">
        <v>8</v>
      </c>
      <c r="H160" s="3">
        <v>5.4999999999999997E-3</v>
      </c>
      <c r="I160" s="16">
        <v>1.4E-3</v>
      </c>
    </row>
    <row r="161" spans="1:9" x14ac:dyDescent="0.25">
      <c r="A161" s="11">
        <v>45170</v>
      </c>
      <c r="B161" t="s">
        <v>113</v>
      </c>
      <c r="C161" t="s">
        <v>32</v>
      </c>
      <c r="D161" s="1">
        <v>3092303</v>
      </c>
      <c r="E161" s="1">
        <v>1031901</v>
      </c>
      <c r="F161" s="2">
        <v>0.333699834718655</v>
      </c>
      <c r="G161" s="1">
        <v>16183</v>
      </c>
      <c r="H161" s="2">
        <v>1.5682705996020899E-2</v>
      </c>
      <c r="I161" s="12">
        <v>5.2333163988134397E-3</v>
      </c>
    </row>
    <row r="162" spans="1:9" x14ac:dyDescent="0.25">
      <c r="A162" s="11">
        <v>45170</v>
      </c>
      <c r="B162" t="s">
        <v>113</v>
      </c>
      <c r="C162" t="s">
        <v>33</v>
      </c>
      <c r="D162" s="1">
        <v>211034</v>
      </c>
      <c r="E162" s="1">
        <v>49765</v>
      </c>
      <c r="F162" s="2">
        <v>0.23581508192992601</v>
      </c>
      <c r="G162" s="1">
        <v>979</v>
      </c>
      <c r="H162" s="2">
        <v>1.9672460564653899E-2</v>
      </c>
      <c r="I162" s="12">
        <v>4.63906289981709E-3</v>
      </c>
    </row>
    <row r="163" spans="1:9" x14ac:dyDescent="0.25">
      <c r="A163" s="11">
        <v>45170</v>
      </c>
      <c r="B163" t="s">
        <v>114</v>
      </c>
      <c r="C163" t="s">
        <v>32</v>
      </c>
      <c r="D163" s="1">
        <v>32437</v>
      </c>
      <c r="E163" s="1">
        <v>13324</v>
      </c>
      <c r="F163" s="2">
        <v>0.41076548386102302</v>
      </c>
      <c r="G163" s="1">
        <v>315</v>
      </c>
      <c r="H163" s="2">
        <v>2.3641549084359101E-2</v>
      </c>
      <c r="I163" s="12">
        <v>9.7111323488608698E-3</v>
      </c>
    </row>
    <row r="164" spans="1:9" x14ac:dyDescent="0.25">
      <c r="A164" s="11">
        <v>45170</v>
      </c>
      <c r="B164" t="s">
        <v>115</v>
      </c>
      <c r="C164" t="s">
        <v>32</v>
      </c>
      <c r="D164" s="1">
        <v>321326</v>
      </c>
      <c r="E164" s="1">
        <v>120423</v>
      </c>
      <c r="F164" s="2">
        <v>0.37476892626180303</v>
      </c>
      <c r="G164" s="1">
        <v>2001</v>
      </c>
      <c r="H164" s="2">
        <v>1.66164270944919E-2</v>
      </c>
      <c r="I164" s="12">
        <v>6.2273205405102604E-3</v>
      </c>
    </row>
    <row r="165" spans="1:9" x14ac:dyDescent="0.25">
      <c r="A165" s="11">
        <v>45170</v>
      </c>
      <c r="B165" t="s">
        <v>115</v>
      </c>
      <c r="C165" t="s">
        <v>33</v>
      </c>
      <c r="D165" s="1">
        <v>17377</v>
      </c>
      <c r="E165" s="1">
        <v>5705</v>
      </c>
      <c r="F165" s="2">
        <v>0.32830753294584802</v>
      </c>
      <c r="G165" s="1">
        <v>176</v>
      </c>
      <c r="H165" s="2">
        <v>3.0850131463628399E-2</v>
      </c>
      <c r="I165" s="12">
        <v>1.01283305518789E-2</v>
      </c>
    </row>
    <row r="166" spans="1:9" x14ac:dyDescent="0.25">
      <c r="A166" s="11">
        <v>45170</v>
      </c>
      <c r="B166" t="s">
        <v>116</v>
      </c>
      <c r="C166" t="s">
        <v>32</v>
      </c>
      <c r="D166" s="1">
        <v>2333284</v>
      </c>
      <c r="E166" s="1">
        <v>799297</v>
      </c>
      <c r="F166" s="2">
        <v>0.34256309990554101</v>
      </c>
      <c r="G166" s="1">
        <v>22160</v>
      </c>
      <c r="H166" s="2">
        <v>2.7724362783796301E-2</v>
      </c>
      <c r="I166" s="12">
        <v>9.4973436581230596E-3</v>
      </c>
    </row>
    <row r="167" spans="1:9" x14ac:dyDescent="0.25">
      <c r="A167" s="11">
        <v>45170</v>
      </c>
      <c r="B167" t="s">
        <v>116</v>
      </c>
      <c r="C167" t="s">
        <v>33</v>
      </c>
      <c r="D167" s="1">
        <v>112024</v>
      </c>
      <c r="E167" s="1">
        <v>31622</v>
      </c>
      <c r="F167" s="2">
        <v>0.282278797400557</v>
      </c>
      <c r="G167" s="1">
        <v>1262</v>
      </c>
      <c r="H167" s="2">
        <v>3.9908924166719401E-2</v>
      </c>
      <c r="I167" s="12">
        <v>1.12654431193316E-2</v>
      </c>
    </row>
    <row r="168" spans="1:9" x14ac:dyDescent="0.25">
      <c r="A168" s="11">
        <v>45170</v>
      </c>
      <c r="B168" t="s">
        <v>117</v>
      </c>
      <c r="C168" t="s">
        <v>32</v>
      </c>
      <c r="D168" s="1">
        <v>88461</v>
      </c>
      <c r="E168" s="1">
        <v>34721</v>
      </c>
      <c r="F168" s="2">
        <v>0.39250065000395701</v>
      </c>
      <c r="G168" s="1">
        <v>3769</v>
      </c>
      <c r="H168" s="2">
        <v>0.108551020995939</v>
      </c>
      <c r="I168" s="12">
        <v>4.26063462994992E-2</v>
      </c>
    </row>
    <row r="169" spans="1:9" x14ac:dyDescent="0.25">
      <c r="A169" s="11">
        <v>45170</v>
      </c>
      <c r="B169" t="s">
        <v>117</v>
      </c>
      <c r="C169" t="s">
        <v>33</v>
      </c>
      <c r="D169" s="1">
        <v>9836</v>
      </c>
      <c r="E169" s="1">
        <v>2569</v>
      </c>
      <c r="F169" s="2">
        <v>0.26118340788938599</v>
      </c>
      <c r="G169" s="1">
        <v>426</v>
      </c>
      <c r="H169" s="2">
        <v>0.16582327753989901</v>
      </c>
      <c r="I169" s="12">
        <v>4.3310288735258197E-2</v>
      </c>
    </row>
    <row r="170" spans="1:9" x14ac:dyDescent="0.25">
      <c r="A170" s="11">
        <v>45171</v>
      </c>
      <c r="B170" t="s">
        <v>118</v>
      </c>
      <c r="C170" t="s">
        <v>32</v>
      </c>
      <c r="D170" s="1">
        <v>41800</v>
      </c>
      <c r="E170" s="1">
        <v>15154</v>
      </c>
      <c r="F170" s="2">
        <v>0.36253588516746399</v>
      </c>
      <c r="G170" s="1">
        <v>1294</v>
      </c>
      <c r="H170" s="2">
        <v>8.5389996040649299E-2</v>
      </c>
      <c r="I170" s="12">
        <v>3.0956937799043099E-2</v>
      </c>
    </row>
    <row r="171" spans="1:9" x14ac:dyDescent="0.25">
      <c r="A171" s="11">
        <v>45171</v>
      </c>
      <c r="B171" t="s">
        <v>118</v>
      </c>
      <c r="C171" t="s">
        <v>33</v>
      </c>
      <c r="D171" s="1">
        <v>3898</v>
      </c>
      <c r="E171" s="1">
        <v>1357</v>
      </c>
      <c r="F171" s="2">
        <v>0.34812724474089302</v>
      </c>
      <c r="G171" s="1">
        <v>122</v>
      </c>
      <c r="H171" s="2">
        <v>8.9904200442151805E-2</v>
      </c>
      <c r="I171" s="12">
        <v>3.1298101590559298E-2</v>
      </c>
    </row>
    <row r="172" spans="1:9" x14ac:dyDescent="0.25">
      <c r="A172" s="11">
        <v>45171</v>
      </c>
      <c r="B172" t="s">
        <v>119</v>
      </c>
      <c r="C172" t="s">
        <v>32</v>
      </c>
      <c r="D172" s="1">
        <v>29694</v>
      </c>
      <c r="E172" s="1">
        <v>10555</v>
      </c>
      <c r="F172" s="3">
        <v>0.35549999999999998</v>
      </c>
      <c r="G172" s="1">
        <v>1945</v>
      </c>
      <c r="H172" s="3">
        <v>0.18429999999999999</v>
      </c>
      <c r="I172" s="16">
        <v>6.5500000000000003E-2</v>
      </c>
    </row>
    <row r="173" spans="1:9" x14ac:dyDescent="0.25">
      <c r="A173" s="11">
        <v>45174</v>
      </c>
      <c r="B173" t="s">
        <v>120</v>
      </c>
      <c r="C173" t="s">
        <v>32</v>
      </c>
      <c r="D173" s="1">
        <v>1113251</v>
      </c>
      <c r="E173" s="1">
        <v>397519</v>
      </c>
      <c r="F173" s="2">
        <v>0.35707940078203398</v>
      </c>
      <c r="G173" s="1">
        <v>7508</v>
      </c>
      <c r="H173" s="2">
        <v>1.88871475325708E-2</v>
      </c>
      <c r="I173" s="12">
        <v>6.7442113234122397E-3</v>
      </c>
    </row>
    <row r="174" spans="1:9" x14ac:dyDescent="0.25">
      <c r="A174" s="11">
        <v>45174</v>
      </c>
      <c r="B174" t="s">
        <v>120</v>
      </c>
      <c r="C174" t="s">
        <v>33</v>
      </c>
      <c r="D174" s="1">
        <v>84767</v>
      </c>
      <c r="E174" s="1">
        <v>23001</v>
      </c>
      <c r="F174" s="2">
        <v>0.27134380124340801</v>
      </c>
      <c r="G174" s="1">
        <v>608</v>
      </c>
      <c r="H174" s="2">
        <v>2.64336333202904E-2</v>
      </c>
      <c r="I174" s="12">
        <v>7.17260254580202E-3</v>
      </c>
    </row>
    <row r="175" spans="1:9" x14ac:dyDescent="0.25">
      <c r="A175" s="11">
        <v>45174</v>
      </c>
      <c r="B175" t="s">
        <v>121</v>
      </c>
      <c r="C175" t="s">
        <v>122</v>
      </c>
      <c r="D175" s="1">
        <v>2139</v>
      </c>
      <c r="E175">
        <v>892</v>
      </c>
      <c r="F175" s="3">
        <v>0.41699999999999998</v>
      </c>
      <c r="G175">
        <v>40</v>
      </c>
      <c r="H175" s="3">
        <v>4.48E-2</v>
      </c>
      <c r="I175" s="16">
        <v>1.8700000000000001E-2</v>
      </c>
    </row>
    <row r="176" spans="1:9" x14ac:dyDescent="0.25">
      <c r="A176" s="11">
        <v>45174</v>
      </c>
      <c r="B176" t="s">
        <v>121</v>
      </c>
      <c r="C176" t="s">
        <v>123</v>
      </c>
      <c r="D176" s="1">
        <v>2478</v>
      </c>
      <c r="E176" s="1">
        <v>1050</v>
      </c>
      <c r="F176" s="3">
        <v>0.42370000000000002</v>
      </c>
      <c r="G176">
        <v>30</v>
      </c>
      <c r="H176" s="3">
        <v>2.86E-2</v>
      </c>
      <c r="I176" s="16">
        <v>1.21E-2</v>
      </c>
    </row>
    <row r="177" spans="1:9" x14ac:dyDescent="0.25">
      <c r="A177" s="11">
        <v>45174</v>
      </c>
      <c r="B177" t="s">
        <v>121</v>
      </c>
      <c r="C177" t="s">
        <v>124</v>
      </c>
      <c r="D177" s="1">
        <v>12698</v>
      </c>
      <c r="E177" s="1">
        <v>4422</v>
      </c>
      <c r="F177" s="3">
        <v>0.34820000000000001</v>
      </c>
      <c r="G177">
        <v>93</v>
      </c>
      <c r="H177" s="3">
        <v>2.1000000000000001E-2</v>
      </c>
      <c r="I177" s="16">
        <v>7.3000000000000001E-3</v>
      </c>
    </row>
    <row r="178" spans="1:9" x14ac:dyDescent="0.25">
      <c r="A178" s="11">
        <v>45175</v>
      </c>
      <c r="B178" t="s">
        <v>125</v>
      </c>
      <c r="C178" t="s">
        <v>32</v>
      </c>
      <c r="D178" s="1">
        <v>4410546</v>
      </c>
      <c r="E178" s="1">
        <v>1381078</v>
      </c>
      <c r="F178" s="2">
        <v>0.313130845931547</v>
      </c>
      <c r="G178" s="1">
        <v>30407</v>
      </c>
      <c r="H178" s="2">
        <v>2.2016859293971801E-2</v>
      </c>
      <c r="I178" s="12">
        <v>6.8941577754772299E-3</v>
      </c>
    </row>
    <row r="179" spans="1:9" x14ac:dyDescent="0.25">
      <c r="A179" s="11">
        <v>45175</v>
      </c>
      <c r="B179" t="s">
        <v>125</v>
      </c>
      <c r="C179" t="s">
        <v>33</v>
      </c>
      <c r="D179" s="1">
        <v>305399</v>
      </c>
      <c r="E179" s="1">
        <v>86830</v>
      </c>
      <c r="F179" s="2">
        <v>0.28431658256903303</v>
      </c>
      <c r="G179" s="1">
        <v>3743</v>
      </c>
      <c r="H179" s="2">
        <v>4.31072210065645E-2</v>
      </c>
      <c r="I179" s="12">
        <v>1.22560977606344E-2</v>
      </c>
    </row>
    <row r="180" spans="1:9" x14ac:dyDescent="0.25">
      <c r="A180" s="11">
        <v>45175</v>
      </c>
      <c r="B180" t="s">
        <v>126</v>
      </c>
      <c r="C180" t="s">
        <v>32</v>
      </c>
      <c r="D180" s="1">
        <v>140182</v>
      </c>
      <c r="E180" s="1">
        <v>95196</v>
      </c>
      <c r="F180" s="3">
        <v>0.67910000000000004</v>
      </c>
      <c r="G180" s="1">
        <v>1455</v>
      </c>
      <c r="H180" s="3">
        <v>1.5299999999999999E-2</v>
      </c>
      <c r="I180" s="16">
        <v>1.04E-2</v>
      </c>
    </row>
    <row r="181" spans="1:9" x14ac:dyDescent="0.25">
      <c r="A181" s="11">
        <v>45176</v>
      </c>
      <c r="B181" t="s">
        <v>100</v>
      </c>
      <c r="C181" t="s">
        <v>32</v>
      </c>
      <c r="D181" s="1">
        <v>330956</v>
      </c>
      <c r="E181" s="1">
        <v>79440</v>
      </c>
      <c r="F181" s="3">
        <v>0.24</v>
      </c>
      <c r="G181">
        <v>527</v>
      </c>
      <c r="H181" s="3">
        <v>6.6E-3</v>
      </c>
      <c r="I181" s="16">
        <v>1.6000000000000001E-3</v>
      </c>
    </row>
    <row r="182" spans="1:9" x14ac:dyDescent="0.25">
      <c r="A182" s="11">
        <v>45176</v>
      </c>
      <c r="B182" t="s">
        <v>101</v>
      </c>
      <c r="C182" t="s">
        <v>33</v>
      </c>
      <c r="D182" s="1">
        <v>21540</v>
      </c>
      <c r="E182" s="1">
        <v>4062</v>
      </c>
      <c r="F182" s="3">
        <v>0.18859999999999999</v>
      </c>
      <c r="G182">
        <v>43</v>
      </c>
      <c r="H182" s="3">
        <v>1.06E-2</v>
      </c>
      <c r="I182" s="16">
        <v>2E-3</v>
      </c>
    </row>
    <row r="183" spans="1:9" x14ac:dyDescent="0.25">
      <c r="A183" s="11">
        <v>45176</v>
      </c>
      <c r="B183" t="s">
        <v>127</v>
      </c>
      <c r="C183" t="s">
        <v>32</v>
      </c>
      <c r="D183" s="1">
        <v>381400</v>
      </c>
      <c r="E183" s="1">
        <v>95107</v>
      </c>
      <c r="F183" s="3">
        <v>0.24940000000000001</v>
      </c>
      <c r="G183">
        <v>878</v>
      </c>
      <c r="H183" s="3">
        <v>9.1999999999999998E-3</v>
      </c>
      <c r="I183" s="16">
        <v>2.3E-3</v>
      </c>
    </row>
    <row r="184" spans="1:9" x14ac:dyDescent="0.25">
      <c r="A184" s="11">
        <v>45176</v>
      </c>
      <c r="B184" t="s">
        <v>128</v>
      </c>
      <c r="C184" t="s">
        <v>33</v>
      </c>
      <c r="D184" s="1">
        <v>22814</v>
      </c>
      <c r="E184" s="1">
        <v>4860</v>
      </c>
      <c r="F184" s="3">
        <v>0.21299999999999999</v>
      </c>
      <c r="G184">
        <v>60</v>
      </c>
      <c r="H184" s="3">
        <v>1.23E-2</v>
      </c>
      <c r="I184" s="16">
        <v>2.5999999999999999E-3</v>
      </c>
    </row>
    <row r="185" spans="1:9" x14ac:dyDescent="0.25">
      <c r="A185" s="11">
        <v>45176</v>
      </c>
      <c r="B185" t="s">
        <v>110</v>
      </c>
      <c r="C185" t="s">
        <v>32</v>
      </c>
      <c r="D185" s="1">
        <v>520337</v>
      </c>
      <c r="E185" s="1">
        <v>115893</v>
      </c>
      <c r="F185" s="3">
        <v>0.22270000000000001</v>
      </c>
      <c r="G185">
        <v>676</v>
      </c>
      <c r="H185" s="3">
        <v>5.7999999999999996E-3</v>
      </c>
      <c r="I185" s="16">
        <v>1.2999999999999999E-3</v>
      </c>
    </row>
    <row r="186" spans="1:9" x14ac:dyDescent="0.25">
      <c r="A186" s="11">
        <v>45176</v>
      </c>
      <c r="B186" t="s">
        <v>111</v>
      </c>
      <c r="C186" t="s">
        <v>33</v>
      </c>
      <c r="D186" s="1">
        <v>46781</v>
      </c>
      <c r="E186" s="1">
        <v>7536</v>
      </c>
      <c r="F186" s="3">
        <v>0.16109999999999999</v>
      </c>
      <c r="G186">
        <v>66</v>
      </c>
      <c r="H186" s="3">
        <v>8.8000000000000005E-3</v>
      </c>
      <c r="I186" s="16">
        <v>1.4E-3</v>
      </c>
    </row>
    <row r="187" spans="1:9" x14ac:dyDescent="0.25">
      <c r="A187" s="11">
        <v>45176</v>
      </c>
      <c r="B187" t="s">
        <v>102</v>
      </c>
      <c r="C187" t="s">
        <v>32</v>
      </c>
      <c r="D187" s="1">
        <v>90626</v>
      </c>
      <c r="E187" s="1">
        <v>21803</v>
      </c>
      <c r="F187" s="3">
        <v>0.24060000000000001</v>
      </c>
      <c r="G187">
        <v>155</v>
      </c>
      <c r="H187" s="3">
        <v>7.1000000000000004E-3</v>
      </c>
      <c r="I187" s="16">
        <v>1.6999999999999999E-3</v>
      </c>
    </row>
    <row r="188" spans="1:9" x14ac:dyDescent="0.25">
      <c r="A188" s="11">
        <v>45176</v>
      </c>
      <c r="B188" t="s">
        <v>103</v>
      </c>
      <c r="C188" t="s">
        <v>33</v>
      </c>
      <c r="D188" s="1">
        <v>5863</v>
      </c>
      <c r="E188" s="1">
        <v>1149</v>
      </c>
      <c r="F188" s="3">
        <v>0.19600000000000001</v>
      </c>
      <c r="G188">
        <v>13</v>
      </c>
      <c r="H188" s="3">
        <v>1.1299999999999999E-2</v>
      </c>
      <c r="I188" s="16">
        <v>2.2000000000000001E-3</v>
      </c>
    </row>
    <row r="189" spans="1:9" x14ac:dyDescent="0.25">
      <c r="A189" s="11">
        <v>45177</v>
      </c>
      <c r="B189" t="s">
        <v>129</v>
      </c>
      <c r="C189" t="s">
        <v>32</v>
      </c>
      <c r="D189" s="1">
        <v>3079170</v>
      </c>
      <c r="E189" s="1">
        <v>1001391</v>
      </c>
      <c r="F189" s="3">
        <v>0.32521458704780798</v>
      </c>
      <c r="G189" s="44">
        <v>17341</v>
      </c>
      <c r="H189" s="3">
        <v>1.73169121751643E-2</v>
      </c>
      <c r="I189" s="16">
        <v>5.63171244198924E-3</v>
      </c>
    </row>
    <row r="190" spans="1:9" x14ac:dyDescent="0.25">
      <c r="A190" s="11">
        <v>45177</v>
      </c>
      <c r="B190" t="s">
        <v>129</v>
      </c>
      <c r="C190" t="s">
        <v>33</v>
      </c>
      <c r="D190" s="1">
        <v>210022</v>
      </c>
      <c r="E190" s="1">
        <v>53484</v>
      </c>
      <c r="F190" s="3">
        <v>0.25465903572006698</v>
      </c>
      <c r="G190" s="44">
        <v>1171</v>
      </c>
      <c r="H190" s="3">
        <v>2.1894398324732601E-2</v>
      </c>
      <c r="I190" s="16">
        <v>5.57560636504747E-3</v>
      </c>
    </row>
    <row r="191" spans="1:9" x14ac:dyDescent="0.25">
      <c r="A191" s="11">
        <v>45177</v>
      </c>
      <c r="B191" t="s">
        <v>130</v>
      </c>
      <c r="C191" t="s">
        <v>32</v>
      </c>
      <c r="D191" s="1">
        <v>322050</v>
      </c>
      <c r="E191" s="1">
        <v>118403</v>
      </c>
      <c r="F191" s="3">
        <v>0.36765409097966201</v>
      </c>
      <c r="G191" s="44">
        <v>2261</v>
      </c>
      <c r="H191" s="3">
        <v>1.9095799937501601E-2</v>
      </c>
      <c r="I191" s="16">
        <v>7.0206489675516204E-3</v>
      </c>
    </row>
    <row r="192" spans="1:9" x14ac:dyDescent="0.25">
      <c r="A192" s="11">
        <v>45181</v>
      </c>
      <c r="B192" t="s">
        <v>131</v>
      </c>
      <c r="C192" t="s">
        <v>32</v>
      </c>
      <c r="D192" s="1">
        <v>1111916</v>
      </c>
      <c r="E192" s="1">
        <v>372660</v>
      </c>
      <c r="F192" s="3">
        <v>0.33515121645879697</v>
      </c>
      <c r="G192" s="44">
        <v>5503</v>
      </c>
      <c r="H192" s="3">
        <v>1.47668115708689E-2</v>
      </c>
      <c r="I192" s="16">
        <v>4.9491148611945498E-3</v>
      </c>
    </row>
    <row r="193" spans="1:9" x14ac:dyDescent="0.25">
      <c r="A193" s="11">
        <v>45181</v>
      </c>
      <c r="B193" t="s">
        <v>131</v>
      </c>
      <c r="C193" t="s">
        <v>33</v>
      </c>
      <c r="D193" s="1">
        <v>84700</v>
      </c>
      <c r="E193" s="1">
        <v>23522</v>
      </c>
      <c r="F193" s="3">
        <v>0.277709563164109</v>
      </c>
      <c r="G193" s="44">
        <v>451</v>
      </c>
      <c r="H193" s="3">
        <v>1.91735396649945E-2</v>
      </c>
      <c r="I193" s="16">
        <v>5.3246753246753197E-3</v>
      </c>
    </row>
    <row r="194" spans="1:9" x14ac:dyDescent="0.25">
      <c r="A194" s="11">
        <v>45181</v>
      </c>
      <c r="B194" t="s">
        <v>132</v>
      </c>
      <c r="C194" t="s">
        <v>32</v>
      </c>
      <c r="D194" s="1">
        <v>1117236</v>
      </c>
      <c r="E194" s="1">
        <v>402737</v>
      </c>
      <c r="F194" s="3">
        <v>0.360476210934843</v>
      </c>
      <c r="G194" s="44">
        <v>6025</v>
      </c>
      <c r="H194" s="3">
        <v>1.4960135274385E-2</v>
      </c>
      <c r="I194" s="16">
        <v>5.392772878783E-3</v>
      </c>
    </row>
    <row r="195" spans="1:9" x14ac:dyDescent="0.25">
      <c r="A195" s="11">
        <v>45181</v>
      </c>
      <c r="B195" t="s">
        <v>132</v>
      </c>
      <c r="C195" t="s">
        <v>33</v>
      </c>
      <c r="D195" s="1">
        <v>62985</v>
      </c>
      <c r="E195" s="1">
        <v>19990</v>
      </c>
      <c r="F195" s="3">
        <v>0.31737715329046601</v>
      </c>
      <c r="G195" s="44">
        <v>511</v>
      </c>
      <c r="H195" s="3">
        <v>2.5562781390695299E-2</v>
      </c>
      <c r="I195" s="16">
        <v>8.11304278796539E-3</v>
      </c>
    </row>
    <row r="196" spans="1:9" x14ac:dyDescent="0.25">
      <c r="A196" s="11">
        <v>45181</v>
      </c>
      <c r="B196" t="s">
        <v>133</v>
      </c>
      <c r="C196" t="s">
        <v>32</v>
      </c>
      <c r="D196" s="1">
        <v>86642</v>
      </c>
      <c r="E196" s="1">
        <v>37567</v>
      </c>
      <c r="F196" s="3">
        <v>0.43358879065580203</v>
      </c>
      <c r="G196" s="44">
        <v>1057</v>
      </c>
      <c r="H196" s="3">
        <v>2.8136396305267899E-2</v>
      </c>
      <c r="I196" s="16">
        <v>1.21996260474135E-2</v>
      </c>
    </row>
    <row r="197" spans="1:9" x14ac:dyDescent="0.25">
      <c r="A197" s="11">
        <v>45181</v>
      </c>
      <c r="B197" t="s">
        <v>133</v>
      </c>
      <c r="C197" t="s">
        <v>33</v>
      </c>
      <c r="D197" s="1">
        <v>4016</v>
      </c>
      <c r="E197" s="1">
        <v>1639</v>
      </c>
      <c r="F197" s="3">
        <v>0.408117529880478</v>
      </c>
      <c r="G197" s="44">
        <v>47</v>
      </c>
      <c r="H197" s="3">
        <v>2.8676021964612601E-2</v>
      </c>
      <c r="I197" s="16">
        <v>1.1703187250996E-2</v>
      </c>
    </row>
    <row r="198" spans="1:9" x14ac:dyDescent="0.25">
      <c r="A198" s="11">
        <v>45182</v>
      </c>
      <c r="B198" t="s">
        <v>134</v>
      </c>
      <c r="C198" t="s">
        <v>32</v>
      </c>
      <c r="D198" s="1">
        <v>22798</v>
      </c>
      <c r="E198" s="1">
        <v>10118</v>
      </c>
      <c r="F198" s="3">
        <v>0.44381086060180702</v>
      </c>
      <c r="G198" s="44">
        <v>846</v>
      </c>
      <c r="H198" s="3">
        <v>8.3613362324570104E-2</v>
      </c>
      <c r="I198" s="16">
        <v>3.7108518291078203E-2</v>
      </c>
    </row>
    <row r="199" spans="1:9" x14ac:dyDescent="0.25">
      <c r="A199" s="11">
        <v>45183</v>
      </c>
      <c r="B199" t="s">
        <v>135</v>
      </c>
      <c r="C199" t="s">
        <v>32</v>
      </c>
      <c r="D199" s="1">
        <v>6043</v>
      </c>
      <c r="E199" s="1">
        <v>1575</v>
      </c>
      <c r="F199" s="3">
        <v>0.26063213635611399</v>
      </c>
      <c r="G199" s="44">
        <v>24</v>
      </c>
      <c r="H199" s="3">
        <v>1.52380952380952E-2</v>
      </c>
      <c r="I199" s="16">
        <v>3.9715373159026996E-3</v>
      </c>
    </row>
    <row r="200" spans="1:9" x14ac:dyDescent="0.25">
      <c r="A200" s="11">
        <v>45183</v>
      </c>
      <c r="B200" t="s">
        <v>127</v>
      </c>
      <c r="C200" t="s">
        <v>32</v>
      </c>
      <c r="D200" s="1">
        <v>303166</v>
      </c>
      <c r="E200" s="1">
        <v>100523</v>
      </c>
      <c r="F200" s="3">
        <v>0.33160000000000001</v>
      </c>
      <c r="G200" s="44">
        <v>737</v>
      </c>
      <c r="H200" s="3">
        <v>7.3000000000000001E-3</v>
      </c>
      <c r="I200" s="16">
        <v>2.3999999999999998E-3</v>
      </c>
    </row>
    <row r="201" spans="1:9" x14ac:dyDescent="0.25">
      <c r="A201" s="11">
        <v>45183</v>
      </c>
      <c r="B201" t="s">
        <v>128</v>
      </c>
      <c r="C201" t="s">
        <v>33</v>
      </c>
      <c r="D201" s="1">
        <v>18845</v>
      </c>
      <c r="E201" s="1">
        <v>5086</v>
      </c>
      <c r="F201" s="3">
        <v>0.26989999999999997</v>
      </c>
      <c r="G201" s="44">
        <v>56</v>
      </c>
      <c r="H201" s="3">
        <v>1.0999999999999999E-2</v>
      </c>
      <c r="I201" s="16">
        <v>3.0000000000000001E-3</v>
      </c>
    </row>
    <row r="202" spans="1:9" x14ac:dyDescent="0.25">
      <c r="A202" s="11">
        <v>45183</v>
      </c>
      <c r="B202" t="s">
        <v>110</v>
      </c>
      <c r="C202" t="s">
        <v>32</v>
      </c>
      <c r="D202" s="1">
        <v>518861</v>
      </c>
      <c r="E202" s="1">
        <v>156321</v>
      </c>
      <c r="F202" s="3">
        <v>0.30130000000000001</v>
      </c>
      <c r="G202" s="44">
        <v>922</v>
      </c>
      <c r="H202" s="3">
        <v>5.8999999999999999E-3</v>
      </c>
      <c r="I202" s="16">
        <v>1.8E-3</v>
      </c>
    </row>
    <row r="203" spans="1:9" x14ac:dyDescent="0.25">
      <c r="A203" s="11">
        <v>45183</v>
      </c>
      <c r="B203" t="s">
        <v>111</v>
      </c>
      <c r="C203" t="s">
        <v>33</v>
      </c>
      <c r="D203" s="1">
        <v>46720</v>
      </c>
      <c r="E203" s="1">
        <v>10667</v>
      </c>
      <c r="F203" s="3">
        <v>0.2283</v>
      </c>
      <c r="G203" s="44">
        <v>112</v>
      </c>
      <c r="H203" s="3">
        <v>1.0500000000000001E-2</v>
      </c>
      <c r="I203" s="16">
        <v>2.3999999999999998E-3</v>
      </c>
    </row>
    <row r="204" spans="1:9" x14ac:dyDescent="0.25">
      <c r="A204" s="11">
        <v>45183</v>
      </c>
      <c r="B204" t="s">
        <v>136</v>
      </c>
      <c r="C204" t="s">
        <v>32</v>
      </c>
      <c r="D204" s="1">
        <v>356292</v>
      </c>
      <c r="E204" s="1">
        <v>140563</v>
      </c>
      <c r="F204" s="3">
        <v>0.39450000000000002</v>
      </c>
      <c r="G204" s="44">
        <v>2029</v>
      </c>
      <c r="H204" s="3">
        <v>1.44E-2</v>
      </c>
      <c r="I204" s="16">
        <v>5.7000000000000002E-3</v>
      </c>
    </row>
    <row r="205" spans="1:9" x14ac:dyDescent="0.25">
      <c r="A205" s="11">
        <v>45183</v>
      </c>
      <c r="B205" t="s">
        <v>137</v>
      </c>
      <c r="C205" t="s">
        <v>32</v>
      </c>
      <c r="D205" s="1">
        <v>254263</v>
      </c>
      <c r="E205" s="1">
        <v>101624</v>
      </c>
      <c r="F205" s="3">
        <v>0.3997</v>
      </c>
      <c r="G205" s="44">
        <v>1555</v>
      </c>
      <c r="H205" s="3">
        <v>1.5299999999999999E-2</v>
      </c>
      <c r="I205" s="16">
        <v>6.1000000000000004E-3</v>
      </c>
    </row>
    <row r="206" spans="1:9" x14ac:dyDescent="0.25">
      <c r="A206" s="11">
        <v>45183</v>
      </c>
      <c r="B206" t="s">
        <v>138</v>
      </c>
      <c r="C206" t="s">
        <v>33</v>
      </c>
      <c r="D206" s="1">
        <v>13833</v>
      </c>
      <c r="E206" s="1">
        <v>4589</v>
      </c>
      <c r="F206" s="3">
        <v>0.33169999999999999</v>
      </c>
      <c r="G206" s="44">
        <v>48</v>
      </c>
      <c r="H206" s="3">
        <v>1.0500000000000001E-2</v>
      </c>
      <c r="I206" s="16">
        <v>3.5000000000000001E-3</v>
      </c>
    </row>
    <row r="207" spans="1:9" x14ac:dyDescent="0.25">
      <c r="A207" s="11">
        <v>45183</v>
      </c>
      <c r="B207" t="s">
        <v>139</v>
      </c>
      <c r="C207" t="s">
        <v>32</v>
      </c>
      <c r="D207" s="1">
        <v>155186</v>
      </c>
      <c r="E207" s="1">
        <v>48939</v>
      </c>
      <c r="F207" s="3">
        <v>0.31540000000000001</v>
      </c>
      <c r="G207" s="44">
        <v>445</v>
      </c>
      <c r="H207" s="3">
        <v>9.1000000000000004E-3</v>
      </c>
      <c r="I207" s="16">
        <v>2.8999999999999998E-3</v>
      </c>
    </row>
    <row r="208" spans="1:9" x14ac:dyDescent="0.25">
      <c r="A208" s="11">
        <v>45183</v>
      </c>
      <c r="B208" t="s">
        <v>140</v>
      </c>
      <c r="C208" t="s">
        <v>33</v>
      </c>
      <c r="D208" s="1">
        <v>5654</v>
      </c>
      <c r="E208" s="1">
        <v>1396</v>
      </c>
      <c r="F208" s="3">
        <v>0.24690000000000001</v>
      </c>
      <c r="G208" s="44">
        <v>28</v>
      </c>
      <c r="H208" s="3">
        <v>2.01E-2</v>
      </c>
      <c r="I208" s="16">
        <v>5.0000000000000001E-3</v>
      </c>
    </row>
    <row r="209" spans="1:9" x14ac:dyDescent="0.25">
      <c r="A209" s="11">
        <v>45184</v>
      </c>
      <c r="B209" t="s">
        <v>141</v>
      </c>
      <c r="C209" t="s">
        <v>32</v>
      </c>
      <c r="D209" s="1">
        <v>3059377</v>
      </c>
      <c r="E209" s="1">
        <v>978531</v>
      </c>
      <c r="F209" s="3">
        <v>0.31984649162231399</v>
      </c>
      <c r="G209" s="44">
        <v>13117</v>
      </c>
      <c r="H209" s="3">
        <v>1.3404787380267E-2</v>
      </c>
      <c r="I209" s="16">
        <v>4.2874742145214504E-3</v>
      </c>
    </row>
    <row r="210" spans="1:9" x14ac:dyDescent="0.25">
      <c r="A210" s="11">
        <v>45184</v>
      </c>
      <c r="B210" t="s">
        <v>141</v>
      </c>
      <c r="C210" t="s">
        <v>33</v>
      </c>
      <c r="D210" s="1">
        <v>208862</v>
      </c>
      <c r="E210" s="1">
        <v>52680</v>
      </c>
      <c r="F210" s="3">
        <v>0.25222395648801599</v>
      </c>
      <c r="G210" s="44">
        <v>1009</v>
      </c>
      <c r="H210" s="3">
        <v>1.9153378891419898E-2</v>
      </c>
      <c r="I210" s="16">
        <v>4.8309410041079796E-3</v>
      </c>
    </row>
    <row r="211" spans="1:9" x14ac:dyDescent="0.25">
      <c r="A211" s="11">
        <v>45184</v>
      </c>
      <c r="B211" t="s">
        <v>142</v>
      </c>
      <c r="C211" t="s">
        <v>32</v>
      </c>
      <c r="D211" s="1">
        <v>322490</v>
      </c>
      <c r="E211" s="1">
        <v>109142</v>
      </c>
      <c r="F211" s="3">
        <v>0.33843530031939001</v>
      </c>
      <c r="G211" s="44">
        <v>2441</v>
      </c>
      <c r="H211" s="3">
        <v>2.2365358890253099E-2</v>
      </c>
      <c r="I211" s="16">
        <v>7.5692269527737298E-3</v>
      </c>
    </row>
    <row r="212" spans="1:9" x14ac:dyDescent="0.25">
      <c r="A212" s="11">
        <v>45184</v>
      </c>
      <c r="B212" t="s">
        <v>142</v>
      </c>
      <c r="C212" t="s">
        <v>33</v>
      </c>
      <c r="D212" s="1">
        <v>17458</v>
      </c>
      <c r="E212" s="1">
        <v>6330</v>
      </c>
      <c r="F212" s="3">
        <v>0.36258448848665398</v>
      </c>
      <c r="G212" s="44">
        <v>261</v>
      </c>
      <c r="H212" s="3">
        <v>4.1232227488151703E-2</v>
      </c>
      <c r="I212" s="16">
        <v>1.4950166112956799E-2</v>
      </c>
    </row>
    <row r="213" spans="1:9" x14ac:dyDescent="0.25">
      <c r="A213" s="11">
        <v>45184</v>
      </c>
      <c r="B213" t="s">
        <v>143</v>
      </c>
      <c r="C213" t="s">
        <v>144</v>
      </c>
      <c r="D213" s="1">
        <v>372083</v>
      </c>
      <c r="E213" s="1">
        <v>142198</v>
      </c>
      <c r="F213" s="3">
        <v>0.382167419634866</v>
      </c>
      <c r="G213" s="44">
        <v>1637</v>
      </c>
      <c r="H213" s="3">
        <v>1.15121169074108E-2</v>
      </c>
      <c r="I213" s="16">
        <v>4.3995560130401E-3</v>
      </c>
    </row>
    <row r="214" spans="1:9" x14ac:dyDescent="0.25">
      <c r="A214" s="11">
        <v>45185</v>
      </c>
      <c r="B214" t="s">
        <v>145</v>
      </c>
      <c r="C214" t="s">
        <v>32</v>
      </c>
      <c r="D214" s="1">
        <v>564885</v>
      </c>
      <c r="E214" s="1">
        <v>159667</v>
      </c>
      <c r="F214" s="3">
        <v>0.282653991520398</v>
      </c>
      <c r="G214" s="44">
        <v>4052</v>
      </c>
      <c r="H214" s="3">
        <v>2.5377817582844301E-2</v>
      </c>
      <c r="I214" s="16">
        <v>7.1731414358674802E-3</v>
      </c>
    </row>
    <row r="215" spans="1:9" x14ac:dyDescent="0.25">
      <c r="A215" s="11">
        <v>45185</v>
      </c>
      <c r="B215" t="s">
        <v>145</v>
      </c>
      <c r="C215" t="s">
        <v>33</v>
      </c>
      <c r="D215" s="1">
        <v>38146</v>
      </c>
      <c r="E215" s="1">
        <v>8685</v>
      </c>
      <c r="F215" s="3">
        <v>0.22767786923923899</v>
      </c>
      <c r="G215" s="44">
        <v>310</v>
      </c>
      <c r="H215" s="3">
        <v>3.5693724812895802E-2</v>
      </c>
      <c r="I215" s="16">
        <v>8.1266712106118598E-3</v>
      </c>
    </row>
    <row r="216" spans="1:9" x14ac:dyDescent="0.25">
      <c r="A216" s="11">
        <v>45188</v>
      </c>
      <c r="B216" t="s">
        <v>146</v>
      </c>
      <c r="C216" t="s">
        <v>32</v>
      </c>
      <c r="D216" s="1">
        <v>1112724</v>
      </c>
      <c r="E216" s="1">
        <v>390014</v>
      </c>
      <c r="F216" s="3">
        <v>0.35050380867133302</v>
      </c>
      <c r="G216" s="44">
        <v>8443</v>
      </c>
      <c r="H216" s="3">
        <v>2.1647940843149201E-2</v>
      </c>
      <c r="I216" s="16">
        <v>7.5876857154154997E-3</v>
      </c>
    </row>
    <row r="217" spans="1:9" x14ac:dyDescent="0.25">
      <c r="A217" s="11">
        <v>45188</v>
      </c>
      <c r="B217" t="s">
        <v>146</v>
      </c>
      <c r="C217" t="s">
        <v>33</v>
      </c>
      <c r="D217" s="1">
        <v>84761</v>
      </c>
      <c r="E217" s="1">
        <v>24363</v>
      </c>
      <c r="F217" s="3">
        <v>0.287431719776784</v>
      </c>
      <c r="G217" s="44">
        <v>711</v>
      </c>
      <c r="H217" s="3">
        <v>2.9183598079054299E-2</v>
      </c>
      <c r="I217" s="16">
        <v>8.3882917851370292E-3</v>
      </c>
    </row>
    <row r="218" spans="1:9" x14ac:dyDescent="0.25">
      <c r="A218" s="11">
        <v>45188</v>
      </c>
      <c r="B218" t="s">
        <v>147</v>
      </c>
      <c r="C218" t="s">
        <v>32</v>
      </c>
      <c r="D218" s="1">
        <v>67396</v>
      </c>
      <c r="E218" s="1">
        <v>29844</v>
      </c>
      <c r="F218" s="3">
        <v>0.44281559736482901</v>
      </c>
      <c r="G218" s="44">
        <v>2059</v>
      </c>
      <c r="H218" s="3">
        <v>6.8992092212840098E-2</v>
      </c>
      <c r="I218" s="16">
        <v>3.05507745266781E-2</v>
      </c>
    </row>
    <row r="219" spans="1:9" x14ac:dyDescent="0.25">
      <c r="A219" s="11">
        <v>45189</v>
      </c>
      <c r="B219" t="s">
        <v>148</v>
      </c>
      <c r="C219" t="s">
        <v>32</v>
      </c>
      <c r="D219" s="1">
        <v>178460</v>
      </c>
      <c r="E219" s="1">
        <v>73266</v>
      </c>
      <c r="F219" s="3">
        <v>0.41054578056707403</v>
      </c>
      <c r="G219" s="44">
        <v>5531</v>
      </c>
      <c r="H219" s="3">
        <v>7.5492042693746098E-2</v>
      </c>
      <c r="I219" s="16">
        <v>3.0992939594306799E-2</v>
      </c>
    </row>
    <row r="220" spans="1:9" x14ac:dyDescent="0.25">
      <c r="A220" s="11">
        <v>45189</v>
      </c>
      <c r="B220" t="s">
        <v>149</v>
      </c>
      <c r="C220" t="s">
        <v>32</v>
      </c>
      <c r="D220" s="1">
        <v>1015</v>
      </c>
      <c r="E220" s="1">
        <v>380</v>
      </c>
      <c r="F220" s="3">
        <v>0.37438423645320201</v>
      </c>
      <c r="G220" s="44">
        <v>63</v>
      </c>
      <c r="H220" s="3">
        <v>0.16578947368421099</v>
      </c>
      <c r="I220" s="16">
        <v>6.2068965517241399E-2</v>
      </c>
    </row>
    <row r="221" spans="1:9" x14ac:dyDescent="0.25">
      <c r="A221" s="11">
        <v>45189</v>
      </c>
      <c r="B221" t="s">
        <v>149</v>
      </c>
      <c r="C221" t="s">
        <v>33</v>
      </c>
      <c r="D221" s="1">
        <v>2686</v>
      </c>
      <c r="E221" s="1">
        <v>1075</v>
      </c>
      <c r="F221" s="3">
        <v>0.40022338049143702</v>
      </c>
      <c r="G221" s="44">
        <v>309</v>
      </c>
      <c r="H221" s="3">
        <v>0.28744186046511599</v>
      </c>
      <c r="I221" s="16">
        <v>0.115040953090097</v>
      </c>
    </row>
    <row r="222" spans="1:9" x14ac:dyDescent="0.25">
      <c r="A222" s="11">
        <v>45190</v>
      </c>
      <c r="B222" t="s">
        <v>150</v>
      </c>
      <c r="C222" t="s">
        <v>32</v>
      </c>
      <c r="D222" s="1">
        <v>111256</v>
      </c>
      <c r="E222" s="1">
        <v>38862</v>
      </c>
      <c r="F222" s="3">
        <v>0.34930250952757602</v>
      </c>
      <c r="G222" s="44">
        <v>1392</v>
      </c>
      <c r="H222" s="3">
        <v>3.5819052030260902E-2</v>
      </c>
      <c r="I222" s="16">
        <v>1.2511684763069001E-2</v>
      </c>
    </row>
    <row r="223" spans="1:9" x14ac:dyDescent="0.25">
      <c r="A223" s="11">
        <v>45190</v>
      </c>
      <c r="B223" t="s">
        <v>150</v>
      </c>
      <c r="C223" t="s">
        <v>33</v>
      </c>
      <c r="D223" s="1">
        <v>8658</v>
      </c>
      <c r="E223" s="1">
        <v>2573</v>
      </c>
      <c r="F223" s="3">
        <v>0.29718179718179699</v>
      </c>
      <c r="G223" s="44">
        <v>93</v>
      </c>
      <c r="H223" s="3">
        <v>3.6144578313252997E-2</v>
      </c>
      <c r="I223" s="16">
        <v>1.0741510741510699E-2</v>
      </c>
    </row>
    <row r="224" spans="1:9" x14ac:dyDescent="0.25">
      <c r="A224" s="11">
        <v>45190</v>
      </c>
      <c r="B224" t="s">
        <v>127</v>
      </c>
      <c r="C224" t="s">
        <v>32</v>
      </c>
      <c r="D224" s="1">
        <v>300363</v>
      </c>
      <c r="E224" s="1">
        <v>101700</v>
      </c>
      <c r="F224" s="3">
        <v>0.33860000000000001</v>
      </c>
      <c r="G224" s="44">
        <v>811</v>
      </c>
      <c r="H224" s="3">
        <v>8.0000000000000002E-3</v>
      </c>
      <c r="I224" s="16">
        <v>2.7000000000000001E-3</v>
      </c>
    </row>
    <row r="225" spans="1:9" x14ac:dyDescent="0.25">
      <c r="A225" s="11">
        <v>45190</v>
      </c>
      <c r="B225" t="s">
        <v>128</v>
      </c>
      <c r="C225" t="s">
        <v>33</v>
      </c>
      <c r="D225" s="1">
        <v>18612</v>
      </c>
      <c r="E225" s="1">
        <v>5273</v>
      </c>
      <c r="F225" s="3">
        <v>0.2833</v>
      </c>
      <c r="G225" s="44">
        <v>67</v>
      </c>
      <c r="H225" s="3">
        <v>1.2699999999999999E-2</v>
      </c>
      <c r="I225" s="16">
        <v>3.5999999999999999E-3</v>
      </c>
    </row>
    <row r="226" spans="1:9" x14ac:dyDescent="0.25">
      <c r="A226" s="11">
        <v>45190</v>
      </c>
      <c r="B226" t="s">
        <v>136</v>
      </c>
      <c r="C226" t="s">
        <v>32</v>
      </c>
      <c r="D226" s="1">
        <v>331497</v>
      </c>
      <c r="E226" s="1">
        <v>127729</v>
      </c>
      <c r="F226" s="3">
        <v>0.38529999999999998</v>
      </c>
      <c r="G226" s="44">
        <v>846</v>
      </c>
      <c r="H226" s="3">
        <v>6.6E-3</v>
      </c>
      <c r="I226" s="16">
        <v>2.5999999999999999E-3</v>
      </c>
    </row>
    <row r="227" spans="1:9" x14ac:dyDescent="0.25">
      <c r="A227" s="11">
        <v>45190</v>
      </c>
      <c r="B227" t="s">
        <v>137</v>
      </c>
      <c r="C227" t="s">
        <v>32</v>
      </c>
      <c r="D227" s="1">
        <v>220892</v>
      </c>
      <c r="E227" s="1">
        <v>88766</v>
      </c>
      <c r="F227" s="3">
        <v>0.40189999999999998</v>
      </c>
      <c r="G227" s="44">
        <v>980</v>
      </c>
      <c r="H227" s="3">
        <v>1.0999999999999999E-2</v>
      </c>
      <c r="I227" s="16">
        <v>4.4000000000000003E-3</v>
      </c>
    </row>
    <row r="228" spans="1:9" x14ac:dyDescent="0.25">
      <c r="A228" s="11">
        <v>45190</v>
      </c>
      <c r="B228" t="s">
        <v>138</v>
      </c>
      <c r="C228" t="s">
        <v>33</v>
      </c>
      <c r="D228" s="1">
        <v>12271</v>
      </c>
      <c r="E228" s="1">
        <v>4146</v>
      </c>
      <c r="F228" s="3">
        <v>0.33789999999999998</v>
      </c>
      <c r="G228" s="44">
        <v>45</v>
      </c>
      <c r="H228" s="3">
        <v>1.09E-2</v>
      </c>
      <c r="I228" s="16">
        <v>3.7000000000000002E-3</v>
      </c>
    </row>
    <row r="229" spans="1:9" x14ac:dyDescent="0.25">
      <c r="A229" s="11">
        <v>45190</v>
      </c>
      <c r="B229" t="s">
        <v>139</v>
      </c>
      <c r="C229" t="s">
        <v>32</v>
      </c>
      <c r="D229" s="1">
        <v>129818</v>
      </c>
      <c r="E229" s="1">
        <v>40830</v>
      </c>
      <c r="F229" s="3">
        <v>0.3145</v>
      </c>
      <c r="G229" s="44">
        <v>264</v>
      </c>
      <c r="H229" s="3">
        <v>6.4999999999999997E-3</v>
      </c>
      <c r="I229" s="16">
        <v>2E-3</v>
      </c>
    </row>
    <row r="230" spans="1:9" x14ac:dyDescent="0.25">
      <c r="A230" s="11">
        <v>45190</v>
      </c>
      <c r="B230" t="s">
        <v>140</v>
      </c>
      <c r="C230" t="s">
        <v>33</v>
      </c>
      <c r="D230" s="1">
        <v>4679</v>
      </c>
      <c r="E230" s="1">
        <v>1128</v>
      </c>
      <c r="F230" s="3">
        <v>0.24110000000000001</v>
      </c>
      <c r="G230" s="44">
        <v>17</v>
      </c>
      <c r="H230" s="3">
        <v>1.5100000000000001E-2</v>
      </c>
      <c r="I230" s="16">
        <v>3.5999999999999999E-3</v>
      </c>
    </row>
    <row r="231" spans="1:9" x14ac:dyDescent="0.25">
      <c r="A231" s="11">
        <v>45191</v>
      </c>
      <c r="B231" t="s">
        <v>151</v>
      </c>
      <c r="C231" t="s">
        <v>32</v>
      </c>
      <c r="D231" s="1">
        <v>3095143</v>
      </c>
      <c r="E231" s="1">
        <v>972423</v>
      </c>
      <c r="F231" s="2">
        <v>0.31949553492223098</v>
      </c>
      <c r="G231" s="1">
        <v>13154</v>
      </c>
      <c r="H231" s="2">
        <v>1.3527035045448299E-2</v>
      </c>
      <c r="I231" s="12">
        <v>4.3218272977572801E-3</v>
      </c>
    </row>
    <row r="232" spans="1:9" x14ac:dyDescent="0.25">
      <c r="A232" s="11">
        <v>45191</v>
      </c>
      <c r="B232" t="s">
        <v>151</v>
      </c>
      <c r="C232" t="s">
        <v>33</v>
      </c>
      <c r="D232" s="1">
        <v>207845</v>
      </c>
      <c r="E232" s="1">
        <v>52405</v>
      </c>
      <c r="F232" s="2">
        <v>0.25213500445043202</v>
      </c>
      <c r="G232" s="1">
        <v>1016</v>
      </c>
      <c r="H232" s="2">
        <v>1.9387463028337E-2</v>
      </c>
      <c r="I232" s="12">
        <v>4.8882580769323298E-3</v>
      </c>
    </row>
    <row r="233" spans="1:9" x14ac:dyDescent="0.25">
      <c r="A233" s="11">
        <v>45191</v>
      </c>
      <c r="B233" t="s">
        <v>152</v>
      </c>
      <c r="C233" t="s">
        <v>32</v>
      </c>
      <c r="D233" s="1">
        <v>323264</v>
      </c>
      <c r="E233" s="1">
        <v>101049</v>
      </c>
      <c r="F233" s="2">
        <v>0.312589709958424</v>
      </c>
      <c r="G233" s="1">
        <v>1712</v>
      </c>
      <c r="H233" s="2">
        <v>1.6942275529693501E-2</v>
      </c>
      <c r="I233" s="12">
        <v>5.2959809938626003E-3</v>
      </c>
    </row>
    <row r="234" spans="1:9" x14ac:dyDescent="0.25">
      <c r="A234" s="11">
        <v>45191</v>
      </c>
      <c r="B234" t="s">
        <v>153</v>
      </c>
      <c r="C234" t="s">
        <v>32</v>
      </c>
      <c r="D234" s="1">
        <v>174829</v>
      </c>
      <c r="E234" s="1">
        <v>95517</v>
      </c>
      <c r="F234" s="2">
        <v>0.54634528596514298</v>
      </c>
      <c r="G234" s="1">
        <v>1333</v>
      </c>
      <c r="H234" s="2">
        <v>1.39556309348074E-2</v>
      </c>
      <c r="I234" s="12">
        <v>7.6245931739013497E-3</v>
      </c>
    </row>
    <row r="235" spans="1:9" x14ac:dyDescent="0.25">
      <c r="A235" s="11">
        <v>45194</v>
      </c>
      <c r="B235" t="s">
        <v>154</v>
      </c>
      <c r="C235" t="s">
        <v>32</v>
      </c>
      <c r="D235" s="1">
        <v>168257</v>
      </c>
      <c r="E235" s="1">
        <v>86765</v>
      </c>
      <c r="F235" s="2">
        <v>0.51566948180462002</v>
      </c>
      <c r="G235" s="1">
        <v>1443</v>
      </c>
      <c r="H235" s="2">
        <v>1.6631130063965899E-2</v>
      </c>
      <c r="I235" s="12">
        <v>8.5761662219105295E-3</v>
      </c>
    </row>
    <row r="236" spans="1:9" x14ac:dyDescent="0.25">
      <c r="A236" s="11">
        <v>45194</v>
      </c>
      <c r="B236" t="s">
        <v>155</v>
      </c>
      <c r="C236" t="s">
        <v>32</v>
      </c>
      <c r="D236" s="1">
        <v>341958</v>
      </c>
      <c r="E236" s="1">
        <v>128630</v>
      </c>
      <c r="F236" s="2">
        <v>0.37615730586797202</v>
      </c>
      <c r="G236" s="1">
        <v>1923</v>
      </c>
      <c r="H236" s="2">
        <v>1.49498561766306E-2</v>
      </c>
      <c r="I236" s="12">
        <v>5.6234976225150498E-3</v>
      </c>
    </row>
    <row r="237" spans="1:9" x14ac:dyDescent="0.25">
      <c r="A237" s="11">
        <v>45194</v>
      </c>
      <c r="B237" t="s">
        <v>156</v>
      </c>
      <c r="C237" t="s">
        <v>33</v>
      </c>
      <c r="D237" s="1">
        <v>23169</v>
      </c>
      <c r="E237" s="1">
        <v>7716</v>
      </c>
      <c r="F237" s="2">
        <v>0.33303120549009502</v>
      </c>
      <c r="G237" s="1">
        <v>204</v>
      </c>
      <c r="H237" s="2">
        <v>2.6438569206842899E-2</v>
      </c>
      <c r="I237" s="12">
        <v>8.8048685743881902E-3</v>
      </c>
    </row>
    <row r="238" spans="1:9" x14ac:dyDescent="0.25">
      <c r="A238" s="11">
        <v>45195</v>
      </c>
      <c r="B238" t="s">
        <v>157</v>
      </c>
      <c r="C238" t="s">
        <v>32</v>
      </c>
      <c r="D238" s="1">
        <v>1115598</v>
      </c>
      <c r="E238" s="1">
        <v>365270</v>
      </c>
      <c r="F238" s="2">
        <v>0.32742080928793299</v>
      </c>
      <c r="G238" s="1">
        <v>5417</v>
      </c>
      <c r="H238" s="2">
        <v>1.48301256604703E-2</v>
      </c>
      <c r="I238" s="12">
        <v>4.8556917455929499E-3</v>
      </c>
    </row>
    <row r="239" spans="1:9" x14ac:dyDescent="0.25">
      <c r="A239" s="11">
        <v>45195</v>
      </c>
      <c r="B239" t="s">
        <v>157</v>
      </c>
      <c r="C239" t="s">
        <v>33</v>
      </c>
      <c r="D239" s="1">
        <v>84818</v>
      </c>
      <c r="E239" s="1">
        <v>23256</v>
      </c>
      <c r="F239" s="2">
        <v>0.27418708293050997</v>
      </c>
      <c r="G239" s="1">
        <v>614</v>
      </c>
      <c r="H239" s="2">
        <v>2.64017887856897E-2</v>
      </c>
      <c r="I239" s="12">
        <v>7.2390294512957197E-3</v>
      </c>
    </row>
    <row r="240" spans="1:9" x14ac:dyDescent="0.25">
      <c r="A240" s="11">
        <v>45195</v>
      </c>
      <c r="B240" t="s">
        <v>158</v>
      </c>
      <c r="C240" t="s">
        <v>32</v>
      </c>
      <c r="D240" s="1">
        <v>33829</v>
      </c>
      <c r="E240" s="1">
        <v>17247</v>
      </c>
      <c r="F240" s="2">
        <v>0.50982884507375303</v>
      </c>
      <c r="G240" s="1">
        <v>225</v>
      </c>
      <c r="H240" s="2">
        <v>1.30457470864498E-2</v>
      </c>
      <c r="I240" s="12">
        <v>6.6510981702089904E-3</v>
      </c>
    </row>
    <row r="241" spans="1:9" x14ac:dyDescent="0.25">
      <c r="A241" s="11">
        <v>45195</v>
      </c>
      <c r="B241" t="s">
        <v>159</v>
      </c>
      <c r="C241" t="s">
        <v>32</v>
      </c>
      <c r="D241" s="1">
        <v>53893</v>
      </c>
      <c r="E241" s="1">
        <v>19550</v>
      </c>
      <c r="F241" s="2">
        <v>0.36275583099845998</v>
      </c>
      <c r="G241" s="1">
        <v>288</v>
      </c>
      <c r="H241" s="2">
        <v>1.4731457800511501E-2</v>
      </c>
      <c r="I241" s="12">
        <v>5.3439222162433003E-3</v>
      </c>
    </row>
    <row r="242" spans="1:9" x14ac:dyDescent="0.25">
      <c r="A242" s="11">
        <v>45196</v>
      </c>
      <c r="B242" t="s">
        <v>160</v>
      </c>
      <c r="C242" t="s">
        <v>32</v>
      </c>
      <c r="D242" s="1">
        <v>223346</v>
      </c>
      <c r="E242" s="1">
        <v>70214</v>
      </c>
      <c r="F242" s="2">
        <v>0.31437321465349699</v>
      </c>
      <c r="G242" s="1">
        <v>939</v>
      </c>
      <c r="H242" s="2">
        <v>1.3373401315976899E-2</v>
      </c>
      <c r="I242" s="12">
        <v>4.2042391625549602E-3</v>
      </c>
    </row>
    <row r="243" spans="1:9" x14ac:dyDescent="0.25">
      <c r="A243" s="11">
        <v>45196</v>
      </c>
      <c r="B243" t="s">
        <v>160</v>
      </c>
      <c r="C243" t="s">
        <v>33</v>
      </c>
      <c r="D243" s="1">
        <v>12594</v>
      </c>
      <c r="E243" s="1">
        <v>3121</v>
      </c>
      <c r="F243" s="2">
        <v>0.247816420517707</v>
      </c>
      <c r="G243" s="1">
        <v>71</v>
      </c>
      <c r="H243" s="2">
        <v>2.2749118872156401E-2</v>
      </c>
      <c r="I243" s="12">
        <v>5.6376052088295998E-3</v>
      </c>
    </row>
    <row r="244" spans="1:9" x14ac:dyDescent="0.25">
      <c r="A244" s="11">
        <v>45197</v>
      </c>
      <c r="B244" t="s">
        <v>161</v>
      </c>
      <c r="C244" t="s">
        <v>162</v>
      </c>
      <c r="D244" s="1">
        <v>21611</v>
      </c>
      <c r="E244" s="1">
        <v>6705</v>
      </c>
      <c r="F244" s="2">
        <v>0.310258664568969</v>
      </c>
      <c r="G244" s="1">
        <v>72</v>
      </c>
      <c r="H244" s="2">
        <v>1.0738255033557E-2</v>
      </c>
      <c r="I244" s="12">
        <v>3.3316366665124201E-3</v>
      </c>
    </row>
    <row r="245" spans="1:9" x14ac:dyDescent="0.25">
      <c r="A245" s="11">
        <v>45197</v>
      </c>
      <c r="B245" t="s">
        <v>161</v>
      </c>
      <c r="C245" t="s">
        <v>163</v>
      </c>
      <c r="D245" s="1">
        <v>1145</v>
      </c>
      <c r="E245" s="1">
        <v>317</v>
      </c>
      <c r="F245" s="2">
        <v>0.276855895196507</v>
      </c>
      <c r="G245" s="1">
        <v>5</v>
      </c>
      <c r="H245" s="2">
        <v>1.5772870662460602E-2</v>
      </c>
      <c r="I245" s="12">
        <v>4.3668122270742399E-3</v>
      </c>
    </row>
    <row r="246" spans="1:9" x14ac:dyDescent="0.25">
      <c r="A246" s="11">
        <v>45197</v>
      </c>
      <c r="B246" t="s">
        <v>161</v>
      </c>
      <c r="C246" t="s">
        <v>164</v>
      </c>
      <c r="D246" s="1">
        <v>2848</v>
      </c>
      <c r="E246" s="1">
        <v>788</v>
      </c>
      <c r="F246" s="2">
        <v>0.276685393258427</v>
      </c>
      <c r="G246" s="1">
        <v>11</v>
      </c>
      <c r="H246" s="2">
        <v>1.3959390862944201E-2</v>
      </c>
      <c r="I246" s="12">
        <v>3.8623595505617998E-3</v>
      </c>
    </row>
    <row r="247" spans="1:9" x14ac:dyDescent="0.25">
      <c r="A247" s="11">
        <v>45197</v>
      </c>
      <c r="B247" t="s">
        <v>161</v>
      </c>
      <c r="C247" t="s">
        <v>165</v>
      </c>
      <c r="D247">
        <v>142</v>
      </c>
      <c r="E247">
        <v>45</v>
      </c>
      <c r="F247" s="3">
        <v>0.31690000000000002</v>
      </c>
      <c r="G247">
        <v>2</v>
      </c>
      <c r="H247" s="3">
        <v>4.4400000000000002E-2</v>
      </c>
      <c r="I247" s="16">
        <v>1.41E-2</v>
      </c>
    </row>
    <row r="248" spans="1:9" x14ac:dyDescent="0.25">
      <c r="A248" s="11">
        <v>45197</v>
      </c>
      <c r="B248" t="s">
        <v>136</v>
      </c>
      <c r="C248" t="s">
        <v>32</v>
      </c>
      <c r="D248" s="1">
        <v>329554</v>
      </c>
      <c r="E248" s="1">
        <v>118242</v>
      </c>
      <c r="F248" s="3">
        <v>0.35880000000000001</v>
      </c>
      <c r="G248">
        <v>902</v>
      </c>
      <c r="H248" s="3">
        <v>7.6E-3</v>
      </c>
      <c r="I248" s="16">
        <v>2.7000000000000001E-3</v>
      </c>
    </row>
    <row r="249" spans="1:9" x14ac:dyDescent="0.25">
      <c r="A249" s="11">
        <v>45197</v>
      </c>
      <c r="B249" t="s">
        <v>137</v>
      </c>
      <c r="C249" t="s">
        <v>32</v>
      </c>
      <c r="D249" s="1">
        <v>219749</v>
      </c>
      <c r="E249" s="1">
        <v>85148</v>
      </c>
      <c r="F249" s="3">
        <v>0.38750000000000001</v>
      </c>
      <c r="G249" s="1">
        <v>1038</v>
      </c>
      <c r="H249" s="3">
        <v>1.2200000000000001E-2</v>
      </c>
      <c r="I249" s="16">
        <v>4.7000000000000002E-3</v>
      </c>
    </row>
    <row r="250" spans="1:9" x14ac:dyDescent="0.25">
      <c r="A250" s="11">
        <v>45197</v>
      </c>
      <c r="B250" t="s">
        <v>138</v>
      </c>
      <c r="C250" t="s">
        <v>33</v>
      </c>
      <c r="D250" s="1">
        <v>12241</v>
      </c>
      <c r="E250" s="1">
        <v>3914</v>
      </c>
      <c r="F250" s="3">
        <v>0.31969999999999998</v>
      </c>
      <c r="G250">
        <v>49</v>
      </c>
      <c r="H250" s="3">
        <v>1.2500000000000001E-2</v>
      </c>
      <c r="I250" s="16">
        <v>4.0000000000000001E-3</v>
      </c>
    </row>
    <row r="251" spans="1:9" x14ac:dyDescent="0.25">
      <c r="A251" s="11">
        <v>45197</v>
      </c>
      <c r="B251" t="s">
        <v>139</v>
      </c>
      <c r="C251" t="s">
        <v>32</v>
      </c>
      <c r="D251" s="1">
        <v>128946</v>
      </c>
      <c r="E251" s="1">
        <v>37955</v>
      </c>
      <c r="F251" s="3">
        <v>0.29430000000000001</v>
      </c>
      <c r="G251">
        <v>278</v>
      </c>
      <c r="H251" s="3">
        <v>7.3000000000000001E-3</v>
      </c>
      <c r="I251" s="16">
        <v>2.2000000000000001E-3</v>
      </c>
    </row>
    <row r="252" spans="1:9" x14ac:dyDescent="0.25">
      <c r="A252" s="11">
        <v>45197</v>
      </c>
      <c r="B252" t="s">
        <v>140</v>
      </c>
      <c r="C252" t="s">
        <v>33</v>
      </c>
      <c r="D252" s="1">
        <v>4645</v>
      </c>
      <c r="E252" s="1">
        <v>1028</v>
      </c>
      <c r="F252" s="3">
        <v>0.2213</v>
      </c>
      <c r="G252">
        <v>10</v>
      </c>
      <c r="H252" s="3">
        <v>9.7000000000000003E-3</v>
      </c>
      <c r="I252" s="16">
        <v>2.2000000000000001E-3</v>
      </c>
    </row>
    <row r="253" spans="1:9" x14ac:dyDescent="0.25">
      <c r="A253" s="11">
        <v>45197</v>
      </c>
      <c r="B253" t="s">
        <v>166</v>
      </c>
      <c r="C253" t="s">
        <v>32</v>
      </c>
      <c r="D253" s="1">
        <v>238900</v>
      </c>
      <c r="E253" s="1">
        <v>71345</v>
      </c>
      <c r="F253" s="3">
        <v>0.29859999999999998</v>
      </c>
      <c r="G253">
        <v>435</v>
      </c>
      <c r="H253" s="3">
        <v>6.1000000000000004E-3</v>
      </c>
      <c r="I253" s="16">
        <v>1.8E-3</v>
      </c>
    </row>
    <row r="254" spans="1:9" x14ac:dyDescent="0.25">
      <c r="A254" s="11">
        <v>45197</v>
      </c>
      <c r="B254" t="s">
        <v>167</v>
      </c>
      <c r="C254" t="s">
        <v>33</v>
      </c>
      <c r="D254" s="1">
        <v>18071</v>
      </c>
      <c r="E254" s="1">
        <v>4072</v>
      </c>
      <c r="F254" s="3">
        <v>0.2253</v>
      </c>
      <c r="G254">
        <v>46</v>
      </c>
      <c r="H254" s="3">
        <v>1.1299999999999999E-2</v>
      </c>
      <c r="I254" s="16">
        <v>2.5000000000000001E-3</v>
      </c>
    </row>
    <row r="255" spans="1:9" x14ac:dyDescent="0.25">
      <c r="A255" s="11">
        <v>45197</v>
      </c>
      <c r="B255" t="s">
        <v>168</v>
      </c>
      <c r="C255" t="s">
        <v>162</v>
      </c>
      <c r="D255" s="1">
        <v>66969</v>
      </c>
      <c r="E255" s="1">
        <v>20356</v>
      </c>
      <c r="F255" s="3">
        <v>0.30399999999999999</v>
      </c>
      <c r="G255">
        <v>273</v>
      </c>
      <c r="H255" s="3">
        <v>1.34E-2</v>
      </c>
      <c r="I255" s="16">
        <v>4.1000000000000003E-3</v>
      </c>
    </row>
    <row r="256" spans="1:9" x14ac:dyDescent="0.25">
      <c r="A256" s="11">
        <v>45197</v>
      </c>
      <c r="B256" t="s">
        <v>168</v>
      </c>
      <c r="C256" t="s">
        <v>164</v>
      </c>
      <c r="D256" s="1">
        <v>6828</v>
      </c>
      <c r="E256" s="1">
        <v>1834</v>
      </c>
      <c r="F256" s="3">
        <v>0.26860000000000001</v>
      </c>
      <c r="G256">
        <v>56</v>
      </c>
      <c r="H256" s="3">
        <v>3.0499999999999999E-2</v>
      </c>
      <c r="I256" s="16">
        <v>8.2000000000000007E-3</v>
      </c>
    </row>
    <row r="257" spans="1:9" x14ac:dyDescent="0.25">
      <c r="A257" s="11">
        <v>45197</v>
      </c>
      <c r="B257" t="s">
        <v>169</v>
      </c>
      <c r="C257" t="s">
        <v>32</v>
      </c>
      <c r="D257" s="1">
        <v>3741</v>
      </c>
      <c r="E257" s="1">
        <v>1918</v>
      </c>
      <c r="F257" s="3">
        <v>0.51270000000000004</v>
      </c>
      <c r="G257">
        <v>194</v>
      </c>
      <c r="H257" s="3">
        <v>0.1011</v>
      </c>
      <c r="I257" s="16">
        <v>5.1900000000000002E-2</v>
      </c>
    </row>
    <row r="258" spans="1:9" x14ac:dyDescent="0.25">
      <c r="A258" s="11">
        <v>45198</v>
      </c>
      <c r="B258" t="s">
        <v>170</v>
      </c>
      <c r="C258" t="s">
        <v>32</v>
      </c>
      <c r="D258" s="1">
        <v>3032310</v>
      </c>
      <c r="E258" s="1">
        <v>945956</v>
      </c>
      <c r="F258" s="2">
        <v>0.31195886964063702</v>
      </c>
      <c r="G258" s="1">
        <v>12848</v>
      </c>
      <c r="H258" s="2">
        <v>1.35820270710266E-2</v>
      </c>
      <c r="I258" s="12">
        <v>4.2370338125059803E-3</v>
      </c>
    </row>
    <row r="259" spans="1:9" x14ac:dyDescent="0.25">
      <c r="A259" s="11">
        <v>45198</v>
      </c>
      <c r="B259" t="s">
        <v>170</v>
      </c>
      <c r="C259" t="s">
        <v>33</v>
      </c>
      <c r="D259" s="1">
        <v>207100</v>
      </c>
      <c r="E259" s="1">
        <v>50082</v>
      </c>
      <c r="F259" s="2">
        <v>0.241825205214872</v>
      </c>
      <c r="G259" s="1">
        <v>922</v>
      </c>
      <c r="H259" s="2">
        <v>1.8409807915019401E-2</v>
      </c>
      <c r="I259" s="12">
        <v>4.4519555770159303E-3</v>
      </c>
    </row>
    <row r="260" spans="1:9" x14ac:dyDescent="0.25">
      <c r="A260" s="11">
        <v>45198</v>
      </c>
      <c r="B260" t="s">
        <v>171</v>
      </c>
      <c r="C260" t="s">
        <v>32</v>
      </c>
      <c r="D260" s="1">
        <v>323327</v>
      </c>
      <c r="E260" s="1">
        <v>101607</v>
      </c>
      <c r="F260" s="2">
        <v>0.31425460911089997</v>
      </c>
      <c r="G260" s="1">
        <v>1598</v>
      </c>
      <c r="H260" s="2">
        <v>1.5727262885431099E-2</v>
      </c>
      <c r="I260" s="12">
        <v>4.9423648504455199E-3</v>
      </c>
    </row>
    <row r="261" spans="1:9" x14ac:dyDescent="0.25">
      <c r="A261" s="11">
        <v>45198</v>
      </c>
      <c r="B261" t="s">
        <v>171</v>
      </c>
      <c r="C261" t="s">
        <v>33</v>
      </c>
      <c r="D261" s="1">
        <v>17492</v>
      </c>
      <c r="E261" s="1">
        <v>5202</v>
      </c>
      <c r="F261" s="2">
        <v>0.29739309398582198</v>
      </c>
      <c r="G261" s="1">
        <v>166</v>
      </c>
      <c r="H261" s="2">
        <v>3.1910803537101101E-2</v>
      </c>
      <c r="I261" s="12">
        <v>9.4900525954722207E-3</v>
      </c>
    </row>
    <row r="262" spans="1:9" x14ac:dyDescent="0.25">
      <c r="A262" s="11">
        <v>45198</v>
      </c>
      <c r="B262" t="s">
        <v>172</v>
      </c>
      <c r="C262" t="s">
        <v>32</v>
      </c>
      <c r="D262" s="1">
        <v>79102</v>
      </c>
      <c r="E262" s="1">
        <v>34725</v>
      </c>
      <c r="F262" s="2">
        <v>0.43899016459760798</v>
      </c>
      <c r="G262" s="1">
        <v>395</v>
      </c>
      <c r="H262" s="2">
        <v>1.13750899928006E-2</v>
      </c>
      <c r="I262" s="12">
        <v>4.9935526282521301E-3</v>
      </c>
    </row>
    <row r="263" spans="1:9" x14ac:dyDescent="0.25">
      <c r="A263" s="11">
        <v>45201</v>
      </c>
      <c r="B263" t="s">
        <v>173</v>
      </c>
      <c r="C263" t="s">
        <v>35</v>
      </c>
      <c r="D263" s="1">
        <v>4045025</v>
      </c>
      <c r="E263" s="1">
        <v>1160875</v>
      </c>
      <c r="F263" s="3">
        <v>0.28770000000000001</v>
      </c>
      <c r="G263" s="1">
        <v>12080</v>
      </c>
      <c r="H263" s="3">
        <v>1.04E-2</v>
      </c>
      <c r="I263" s="12">
        <v>3.0000000000000001E-3</v>
      </c>
    </row>
    <row r="264" spans="1:9" x14ac:dyDescent="0.25">
      <c r="A264" s="11">
        <v>45201</v>
      </c>
      <c r="B264" t="s">
        <v>174</v>
      </c>
      <c r="C264" t="s">
        <v>32</v>
      </c>
      <c r="D264" s="1">
        <v>32528</v>
      </c>
      <c r="E264" s="1">
        <v>17929</v>
      </c>
      <c r="F264" s="2">
        <v>0.55118666994589305</v>
      </c>
      <c r="G264" s="1">
        <v>1823</v>
      </c>
      <c r="H264" s="2">
        <v>0.10167884433041401</v>
      </c>
      <c r="I264" s="12">
        <v>5.6044023610427901E-2</v>
      </c>
    </row>
    <row r="265" spans="1:9" x14ac:dyDescent="0.25">
      <c r="A265" s="11">
        <v>45201</v>
      </c>
      <c r="B265" t="s">
        <v>175</v>
      </c>
      <c r="C265" t="s">
        <v>32</v>
      </c>
      <c r="D265" s="1">
        <v>88456</v>
      </c>
      <c r="E265" s="1">
        <v>30785</v>
      </c>
      <c r="F265" s="2">
        <v>0.34802613728859499</v>
      </c>
      <c r="G265" s="1">
        <v>3209</v>
      </c>
      <c r="H265" s="2">
        <v>0.104239077472795</v>
      </c>
      <c r="I265" s="12">
        <v>3.6277923487383602E-2</v>
      </c>
    </row>
    <row r="266" spans="1:9" x14ac:dyDescent="0.25">
      <c r="A266" s="11">
        <v>45202</v>
      </c>
      <c r="B266" t="s">
        <v>176</v>
      </c>
      <c r="C266" t="s">
        <v>32</v>
      </c>
      <c r="D266" s="1">
        <v>1101158</v>
      </c>
      <c r="E266" s="1">
        <v>367672</v>
      </c>
      <c r="F266" s="2">
        <v>0.33389577154232197</v>
      </c>
      <c r="G266" s="1">
        <v>7106</v>
      </c>
      <c r="H266" s="2">
        <v>1.93270088557192E-2</v>
      </c>
      <c r="I266" s="12">
        <v>6.4532065334856597E-3</v>
      </c>
    </row>
    <row r="267" spans="1:9" x14ac:dyDescent="0.25">
      <c r="A267" s="11">
        <v>45202</v>
      </c>
      <c r="B267" t="s">
        <v>176</v>
      </c>
      <c r="C267" t="s">
        <v>33</v>
      </c>
      <c r="D267" s="1">
        <v>84096</v>
      </c>
      <c r="E267" s="1">
        <v>23310</v>
      </c>
      <c r="F267" s="2">
        <v>0.27718321917808197</v>
      </c>
      <c r="G267" s="1">
        <v>627</v>
      </c>
      <c r="H267" s="2">
        <v>2.6898326898326899E-2</v>
      </c>
      <c r="I267" s="12">
        <v>7.4557648401826502E-3</v>
      </c>
    </row>
    <row r="268" spans="1:9" x14ac:dyDescent="0.25">
      <c r="A268" s="11">
        <v>45203</v>
      </c>
      <c r="B268" t="s">
        <v>177</v>
      </c>
      <c r="C268" t="s">
        <v>32</v>
      </c>
      <c r="D268" s="1">
        <v>204107</v>
      </c>
      <c r="E268" s="1">
        <v>83204</v>
      </c>
      <c r="F268" s="2">
        <v>0.40764892923809598</v>
      </c>
      <c r="G268" s="1">
        <v>1131</v>
      </c>
      <c r="H268" s="2">
        <v>1.3593096485745901E-2</v>
      </c>
      <c r="I268" s="12">
        <v>5.5412112274444304E-3</v>
      </c>
    </row>
    <row r="269" spans="1:9" x14ac:dyDescent="0.25">
      <c r="A269" s="11">
        <v>45203</v>
      </c>
      <c r="B269" t="s">
        <v>177</v>
      </c>
      <c r="C269" t="s">
        <v>33</v>
      </c>
      <c r="D269" s="1">
        <v>12122</v>
      </c>
      <c r="E269" s="1">
        <v>4694</v>
      </c>
      <c r="F269" s="2">
        <v>0.387229830061046</v>
      </c>
      <c r="G269" s="1">
        <v>92</v>
      </c>
      <c r="H269" s="2">
        <v>1.9599488708990202E-2</v>
      </c>
      <c r="I269" s="12">
        <v>7.5895066820656698E-3</v>
      </c>
    </row>
    <row r="270" spans="1:9" x14ac:dyDescent="0.25">
      <c r="A270" s="11">
        <v>45204</v>
      </c>
      <c r="B270" t="s">
        <v>178</v>
      </c>
      <c r="C270" t="s">
        <v>179</v>
      </c>
      <c r="D270" s="1">
        <v>4843</v>
      </c>
      <c r="E270" s="1">
        <v>1912</v>
      </c>
      <c r="F270" s="2">
        <v>0.39479661366921298</v>
      </c>
      <c r="G270" s="1">
        <v>91</v>
      </c>
      <c r="H270" s="2">
        <v>4.7594142259414197E-2</v>
      </c>
      <c r="I270" s="12">
        <v>1.8790006194507498E-2</v>
      </c>
    </row>
    <row r="271" spans="1:9" x14ac:dyDescent="0.25">
      <c r="A271" s="11">
        <v>45204</v>
      </c>
      <c r="B271" t="s">
        <v>178</v>
      </c>
      <c r="C271" t="s">
        <v>180</v>
      </c>
      <c r="D271" s="1">
        <v>1770</v>
      </c>
      <c r="E271" s="1">
        <v>622</v>
      </c>
      <c r="F271" s="2">
        <v>0.35141242937853101</v>
      </c>
      <c r="G271" s="1">
        <v>18</v>
      </c>
      <c r="H271" s="2">
        <v>2.8938906752411599E-2</v>
      </c>
      <c r="I271" s="12">
        <v>1.01694915254237E-2</v>
      </c>
    </row>
    <row r="272" spans="1:9" x14ac:dyDescent="0.25">
      <c r="A272" s="11">
        <v>45204</v>
      </c>
      <c r="B272" t="s">
        <v>178</v>
      </c>
      <c r="C272" t="s">
        <v>181</v>
      </c>
      <c r="D272" s="1">
        <v>20936</v>
      </c>
      <c r="E272" s="1">
        <v>8372</v>
      </c>
      <c r="F272" s="2">
        <v>0.39988536492166599</v>
      </c>
      <c r="G272" s="1">
        <v>379</v>
      </c>
      <c r="H272" s="2">
        <v>4.5269947443860502E-2</v>
      </c>
      <c r="I272" s="12">
        <v>1.8102789453572798E-2</v>
      </c>
    </row>
    <row r="273" spans="1:9" x14ac:dyDescent="0.25">
      <c r="A273" s="11">
        <v>45204</v>
      </c>
      <c r="B273" t="s">
        <v>178</v>
      </c>
      <c r="C273" t="s">
        <v>182</v>
      </c>
      <c r="D273" s="1">
        <v>12145</v>
      </c>
      <c r="E273" s="1">
        <v>5061</v>
      </c>
      <c r="F273" s="2">
        <v>0.41671469740633998</v>
      </c>
      <c r="G273" s="1">
        <v>202</v>
      </c>
      <c r="H273" s="2">
        <v>3.9913060659948603E-2</v>
      </c>
      <c r="I273" s="12">
        <v>1.66323589954714E-2</v>
      </c>
    </row>
    <row r="274" spans="1:9" x14ac:dyDescent="0.25">
      <c r="A274" s="11">
        <v>45204</v>
      </c>
      <c r="B274" t="s">
        <v>166</v>
      </c>
      <c r="C274" t="s">
        <v>32</v>
      </c>
      <c r="D274" s="1">
        <v>218332</v>
      </c>
      <c r="E274" s="1">
        <v>63389</v>
      </c>
      <c r="F274" s="3">
        <v>0.2903</v>
      </c>
      <c r="G274">
        <v>377</v>
      </c>
      <c r="H274" s="3">
        <v>5.8999999999999999E-3</v>
      </c>
      <c r="I274" s="16">
        <v>1.6999999999999999E-3</v>
      </c>
    </row>
    <row r="275" spans="1:9" x14ac:dyDescent="0.25">
      <c r="A275" s="11">
        <v>45204</v>
      </c>
      <c r="B275" t="s">
        <v>167</v>
      </c>
      <c r="C275" t="s">
        <v>33</v>
      </c>
      <c r="D275" s="1">
        <v>16986</v>
      </c>
      <c r="E275" s="1">
        <v>3925</v>
      </c>
      <c r="F275" s="3">
        <v>0.2311</v>
      </c>
      <c r="G275">
        <v>38</v>
      </c>
      <c r="H275" s="3">
        <v>9.7000000000000003E-3</v>
      </c>
      <c r="I275" s="16">
        <v>2.2000000000000001E-3</v>
      </c>
    </row>
    <row r="276" spans="1:9" x14ac:dyDescent="0.25">
      <c r="A276" s="11">
        <v>45204</v>
      </c>
      <c r="B276" t="s">
        <v>183</v>
      </c>
      <c r="C276" t="s">
        <v>32</v>
      </c>
      <c r="D276" s="1">
        <v>236260</v>
      </c>
      <c r="E276" s="1">
        <v>66690</v>
      </c>
      <c r="F276" s="3">
        <v>0.2823</v>
      </c>
      <c r="G276">
        <v>764</v>
      </c>
      <c r="H276" s="3">
        <v>1.15E-2</v>
      </c>
      <c r="I276" s="16">
        <v>3.2000000000000002E-3</v>
      </c>
    </row>
    <row r="277" spans="1:9" x14ac:dyDescent="0.25">
      <c r="A277" s="11">
        <v>45204</v>
      </c>
      <c r="B277" t="s">
        <v>184</v>
      </c>
      <c r="C277" t="s">
        <v>33</v>
      </c>
      <c r="D277" s="1">
        <v>17982</v>
      </c>
      <c r="E277" s="1">
        <v>3976</v>
      </c>
      <c r="F277" s="3">
        <v>0.22109999999999999</v>
      </c>
      <c r="G277">
        <v>80</v>
      </c>
      <c r="H277" s="3">
        <v>2.01E-2</v>
      </c>
      <c r="I277" s="16">
        <v>4.4000000000000003E-3</v>
      </c>
    </row>
    <row r="278" spans="1:9" x14ac:dyDescent="0.25">
      <c r="A278" s="11">
        <v>45204</v>
      </c>
      <c r="B278" t="s">
        <v>185</v>
      </c>
      <c r="C278" t="s">
        <v>186</v>
      </c>
      <c r="D278" s="1">
        <v>182701</v>
      </c>
      <c r="E278" s="1">
        <v>55773</v>
      </c>
      <c r="F278" s="3">
        <v>0.30530000000000002</v>
      </c>
      <c r="G278">
        <v>339</v>
      </c>
      <c r="H278" s="3">
        <v>6.1000000000000004E-3</v>
      </c>
      <c r="I278" s="16">
        <v>1.9E-3</v>
      </c>
    </row>
    <row r="279" spans="1:9" x14ac:dyDescent="0.25">
      <c r="A279" s="11">
        <v>45204</v>
      </c>
      <c r="B279" t="s">
        <v>187</v>
      </c>
      <c r="C279" t="s">
        <v>188</v>
      </c>
      <c r="D279" s="1">
        <v>9254</v>
      </c>
      <c r="E279" s="1">
        <v>2047</v>
      </c>
      <c r="F279" s="3">
        <v>0.22120000000000001</v>
      </c>
      <c r="G279">
        <v>30</v>
      </c>
      <c r="H279" s="3">
        <v>1.47E-2</v>
      </c>
      <c r="I279" s="16">
        <v>3.2000000000000002E-3</v>
      </c>
    </row>
    <row r="280" spans="1:9" x14ac:dyDescent="0.25">
      <c r="A280" s="11">
        <v>45204</v>
      </c>
      <c r="B280" t="s">
        <v>189</v>
      </c>
      <c r="C280" t="s">
        <v>190</v>
      </c>
      <c r="D280" s="1">
        <v>507833</v>
      </c>
      <c r="E280" s="1">
        <v>176818</v>
      </c>
      <c r="F280" s="3">
        <v>0.34820000000000001</v>
      </c>
      <c r="G280" s="1">
        <v>1964</v>
      </c>
      <c r="H280" s="3">
        <v>1.11E-2</v>
      </c>
      <c r="I280" s="16">
        <v>3.8999999999999998E-3</v>
      </c>
    </row>
    <row r="281" spans="1:9" x14ac:dyDescent="0.25">
      <c r="A281" s="11">
        <v>45204</v>
      </c>
      <c r="B281" t="s">
        <v>191</v>
      </c>
      <c r="C281" t="s">
        <v>192</v>
      </c>
      <c r="D281" s="1">
        <v>33456</v>
      </c>
      <c r="E281" s="1">
        <v>10042</v>
      </c>
      <c r="F281" s="3">
        <v>0.30020000000000002</v>
      </c>
      <c r="G281">
        <v>198</v>
      </c>
      <c r="H281" s="3">
        <v>1.9699999999999999E-2</v>
      </c>
      <c r="I281" s="16">
        <v>5.8999999999999999E-3</v>
      </c>
    </row>
    <row r="282" spans="1:9" x14ac:dyDescent="0.25">
      <c r="A282" s="11">
        <v>45205</v>
      </c>
      <c r="B282" t="s">
        <v>193</v>
      </c>
      <c r="C282" t="s">
        <v>32</v>
      </c>
      <c r="D282" s="1">
        <v>2980755</v>
      </c>
      <c r="E282" s="1">
        <v>933750</v>
      </c>
      <c r="F282" s="2">
        <v>0.31325956007790001</v>
      </c>
      <c r="G282" s="1">
        <v>9315</v>
      </c>
      <c r="H282" s="2">
        <v>9.9759036144578296E-3</v>
      </c>
      <c r="I282" s="12">
        <v>3.1250471776445902E-3</v>
      </c>
    </row>
    <row r="283" spans="1:9" x14ac:dyDescent="0.25">
      <c r="A283" s="11">
        <v>45205</v>
      </c>
      <c r="B283" t="s">
        <v>193</v>
      </c>
      <c r="C283" t="s">
        <v>33</v>
      </c>
      <c r="D283" s="1">
        <v>204735</v>
      </c>
      <c r="E283" s="1">
        <v>51464</v>
      </c>
      <c r="F283" s="2">
        <v>0.251368842650255</v>
      </c>
      <c r="G283" s="1">
        <v>1081</v>
      </c>
      <c r="H283" s="2">
        <v>2.1004974351002601E-2</v>
      </c>
      <c r="I283" s="12">
        <v>5.27999609250983E-3</v>
      </c>
    </row>
    <row r="284" spans="1:9" x14ac:dyDescent="0.25">
      <c r="A284" s="11">
        <v>45205</v>
      </c>
      <c r="B284" t="s">
        <v>194</v>
      </c>
      <c r="C284" t="s">
        <v>32</v>
      </c>
      <c r="D284" s="1">
        <v>320980</v>
      </c>
      <c r="E284" s="1">
        <v>99686</v>
      </c>
      <c r="F284" s="2">
        <v>0.31056763661287301</v>
      </c>
      <c r="G284" s="1">
        <v>1212</v>
      </c>
      <c r="H284" s="2">
        <v>1.21581766747587E-2</v>
      </c>
      <c r="I284" s="12">
        <v>3.77593619540158E-3</v>
      </c>
    </row>
    <row r="285" spans="1:9" x14ac:dyDescent="0.25">
      <c r="A285" s="11">
        <v>45206</v>
      </c>
      <c r="B285" t="s">
        <v>195</v>
      </c>
      <c r="C285" t="s">
        <v>32</v>
      </c>
      <c r="D285" s="1">
        <v>42686</v>
      </c>
      <c r="E285" s="1">
        <v>17006</v>
      </c>
      <c r="F285" s="3">
        <v>0.39839999999999998</v>
      </c>
      <c r="G285" s="1">
        <v>1163</v>
      </c>
      <c r="H285" s="3">
        <v>6.8400000000000002E-2</v>
      </c>
      <c r="I285" s="16">
        <v>2.7199999999999998E-2</v>
      </c>
    </row>
    <row r="286" spans="1:9" x14ac:dyDescent="0.25">
      <c r="A286" s="11">
        <v>45206</v>
      </c>
      <c r="B286" t="s">
        <v>195</v>
      </c>
      <c r="C286" t="s">
        <v>33</v>
      </c>
      <c r="D286" s="1">
        <v>3870</v>
      </c>
      <c r="E286" s="1">
        <v>1510</v>
      </c>
      <c r="F286" s="3">
        <v>0.39019999999999999</v>
      </c>
      <c r="G286">
        <v>161</v>
      </c>
      <c r="H286" s="3">
        <v>0.1066</v>
      </c>
      <c r="I286" s="16">
        <v>4.1599999999999998E-2</v>
      </c>
    </row>
    <row r="287" spans="1:9" x14ac:dyDescent="0.25">
      <c r="A287" s="11">
        <v>45209</v>
      </c>
      <c r="B287" t="s">
        <v>196</v>
      </c>
      <c r="C287" t="s">
        <v>32</v>
      </c>
      <c r="D287" s="1">
        <v>1085292</v>
      </c>
      <c r="E287" s="1">
        <v>345054</v>
      </c>
      <c r="F287" s="2">
        <v>0.31793655532336002</v>
      </c>
      <c r="G287" s="1">
        <v>4362</v>
      </c>
      <c r="H287" s="2">
        <v>1.26414995913683E-2</v>
      </c>
      <c r="I287" s="12">
        <v>4.0191948342013003E-3</v>
      </c>
    </row>
    <row r="288" spans="1:9" x14ac:dyDescent="0.25">
      <c r="A288" s="11">
        <v>45209</v>
      </c>
      <c r="B288" t="s">
        <v>196</v>
      </c>
      <c r="C288" t="s">
        <v>33</v>
      </c>
      <c r="D288" s="1">
        <v>83175</v>
      </c>
      <c r="E288" s="1">
        <v>22781</v>
      </c>
      <c r="F288" s="2">
        <v>0.27389239555154798</v>
      </c>
      <c r="G288" s="1">
        <v>606</v>
      </c>
      <c r="H288" s="2">
        <v>2.6601114964224602E-2</v>
      </c>
      <c r="I288" s="12">
        <v>7.2858431018935996E-3</v>
      </c>
    </row>
    <row r="289" spans="1:9" x14ac:dyDescent="0.25">
      <c r="A289" s="11">
        <v>45210</v>
      </c>
      <c r="B289" t="s">
        <v>197</v>
      </c>
      <c r="C289" t="s">
        <v>32</v>
      </c>
      <c r="D289" s="1">
        <v>747453</v>
      </c>
      <c r="E289" s="1">
        <v>309240</v>
      </c>
      <c r="F289" s="2">
        <v>0.41372501013441598</v>
      </c>
      <c r="G289" s="1">
        <v>2405</v>
      </c>
      <c r="H289" s="2">
        <v>7.7771310309144998E-3</v>
      </c>
      <c r="I289" s="12">
        <v>3.2175936145817899E-3</v>
      </c>
    </row>
    <row r="290" spans="1:9" x14ac:dyDescent="0.25">
      <c r="A290" s="11">
        <v>45210</v>
      </c>
      <c r="B290" t="s">
        <v>197</v>
      </c>
      <c r="C290" t="s">
        <v>33</v>
      </c>
      <c r="D290" s="1">
        <v>53558</v>
      </c>
      <c r="E290" s="1">
        <v>15243</v>
      </c>
      <c r="F290" s="2">
        <v>0.284607341573621</v>
      </c>
      <c r="G290" s="1">
        <v>252</v>
      </c>
      <c r="H290" s="2">
        <v>1.6532178704979299E-2</v>
      </c>
      <c r="I290" s="12">
        <v>4.7051794316441999E-3</v>
      </c>
    </row>
    <row r="291" spans="1:9" x14ac:dyDescent="0.25">
      <c r="A291" s="11">
        <v>45210</v>
      </c>
      <c r="B291" t="s">
        <v>198</v>
      </c>
      <c r="C291" t="s">
        <v>32</v>
      </c>
      <c r="D291" s="1">
        <v>243300</v>
      </c>
      <c r="E291" s="1">
        <v>125352</v>
      </c>
      <c r="F291" s="2">
        <v>0.51521578298396997</v>
      </c>
      <c r="G291" s="1">
        <v>1296</v>
      </c>
      <c r="H291" s="2">
        <v>1.03388856978748E-2</v>
      </c>
      <c r="I291" s="12">
        <v>5.3267570900123297E-3</v>
      </c>
    </row>
    <row r="292" spans="1:9" x14ac:dyDescent="0.25">
      <c r="A292" s="11">
        <v>45210</v>
      </c>
      <c r="B292" t="s">
        <v>198</v>
      </c>
      <c r="C292" t="s">
        <v>33</v>
      </c>
      <c r="D292" s="1">
        <v>19869</v>
      </c>
      <c r="E292" s="1">
        <v>7897</v>
      </c>
      <c r="F292" s="2">
        <v>0.397453319241029</v>
      </c>
      <c r="G292" s="1">
        <v>124</v>
      </c>
      <c r="H292" s="2">
        <v>1.57021653792579E-2</v>
      </c>
      <c r="I292" s="12">
        <v>6.24087774925764E-3</v>
      </c>
    </row>
    <row r="293" spans="1:9" x14ac:dyDescent="0.25">
      <c r="A293" s="11">
        <v>45211</v>
      </c>
      <c r="B293" t="s">
        <v>199</v>
      </c>
      <c r="C293" t="s">
        <v>32</v>
      </c>
      <c r="D293" s="1">
        <v>118843</v>
      </c>
      <c r="E293" s="1">
        <v>37084</v>
      </c>
      <c r="F293" s="2">
        <v>0.31240000000000001</v>
      </c>
      <c r="G293" s="1">
        <v>902</v>
      </c>
      <c r="H293" s="2">
        <v>7.6E-3</v>
      </c>
      <c r="I293" s="12">
        <v>2.4299999999999999E-2</v>
      </c>
    </row>
    <row r="294" spans="1:9" x14ac:dyDescent="0.25">
      <c r="A294" s="11">
        <v>45211</v>
      </c>
      <c r="B294" t="s">
        <v>200</v>
      </c>
      <c r="C294" t="s">
        <v>32</v>
      </c>
      <c r="D294" s="1">
        <v>98696</v>
      </c>
      <c r="E294" s="1">
        <v>31862</v>
      </c>
      <c r="F294" s="2">
        <v>0.32282969927859301</v>
      </c>
      <c r="G294" s="1">
        <v>254</v>
      </c>
      <c r="H294" s="2">
        <v>7.9718787270102297E-3</v>
      </c>
      <c r="I294" s="12">
        <v>2.5735592121261201E-3</v>
      </c>
    </row>
    <row r="295" spans="1:9" x14ac:dyDescent="0.25">
      <c r="A295" s="11">
        <v>45211</v>
      </c>
      <c r="B295" t="s">
        <v>166</v>
      </c>
      <c r="C295" t="s">
        <v>32</v>
      </c>
      <c r="D295" s="1">
        <v>214130</v>
      </c>
      <c r="E295" s="1">
        <v>65110</v>
      </c>
      <c r="F295" s="3">
        <v>0.30409999999999998</v>
      </c>
      <c r="G295">
        <v>437</v>
      </c>
      <c r="H295" s="3">
        <v>6.7000000000000002E-3</v>
      </c>
      <c r="I295" s="16">
        <v>2E-3</v>
      </c>
    </row>
    <row r="296" spans="1:9" x14ac:dyDescent="0.25">
      <c r="A296" s="11">
        <v>45211</v>
      </c>
      <c r="B296" t="s">
        <v>167</v>
      </c>
      <c r="C296" t="s">
        <v>33</v>
      </c>
      <c r="D296" s="1">
        <v>16729</v>
      </c>
      <c r="E296" s="1">
        <v>3959</v>
      </c>
      <c r="F296" s="3">
        <v>0.23669999999999999</v>
      </c>
      <c r="G296">
        <v>47</v>
      </c>
      <c r="H296" s="3">
        <v>1.1900000000000001E-2</v>
      </c>
      <c r="I296" s="16">
        <v>2.8E-3</v>
      </c>
    </row>
    <row r="297" spans="1:9" x14ac:dyDescent="0.25">
      <c r="A297" s="11">
        <v>45211</v>
      </c>
      <c r="B297" t="s">
        <v>183</v>
      </c>
      <c r="C297" t="s">
        <v>32</v>
      </c>
      <c r="D297" s="1">
        <v>197148</v>
      </c>
      <c r="E297" s="1">
        <v>57534</v>
      </c>
      <c r="F297" s="3">
        <v>0.2918</v>
      </c>
      <c r="G297">
        <v>474</v>
      </c>
      <c r="H297" s="3">
        <v>8.2000000000000007E-3</v>
      </c>
      <c r="I297" s="16">
        <v>2.3999999999999998E-3</v>
      </c>
    </row>
    <row r="298" spans="1:9" x14ac:dyDescent="0.25">
      <c r="A298" s="11">
        <v>45211</v>
      </c>
      <c r="B298" t="s">
        <v>184</v>
      </c>
      <c r="C298" t="s">
        <v>33</v>
      </c>
      <c r="D298" s="1">
        <v>15660</v>
      </c>
      <c r="E298" s="1">
        <v>3410</v>
      </c>
      <c r="F298" s="3">
        <v>0.21779999999999999</v>
      </c>
      <c r="G298">
        <v>43</v>
      </c>
      <c r="H298" s="3">
        <v>1.26E-2</v>
      </c>
      <c r="I298" s="16">
        <v>2.7000000000000001E-3</v>
      </c>
    </row>
    <row r="299" spans="1:9" x14ac:dyDescent="0.25">
      <c r="A299" s="11">
        <v>45211</v>
      </c>
      <c r="B299" t="s">
        <v>185</v>
      </c>
      <c r="C299" t="s">
        <v>32</v>
      </c>
      <c r="D299" s="1">
        <v>148642</v>
      </c>
      <c r="E299" s="1">
        <v>45454</v>
      </c>
      <c r="F299" s="3">
        <v>0.30580000000000002</v>
      </c>
      <c r="G299">
        <v>198</v>
      </c>
      <c r="H299" s="3">
        <v>4.4000000000000003E-3</v>
      </c>
      <c r="I299" s="16">
        <v>1.2999999999999999E-3</v>
      </c>
    </row>
    <row r="300" spans="1:9" x14ac:dyDescent="0.25">
      <c r="A300" s="11">
        <v>45211</v>
      </c>
      <c r="B300" t="s">
        <v>187</v>
      </c>
      <c r="C300" t="s">
        <v>33</v>
      </c>
      <c r="D300" s="1">
        <v>7747</v>
      </c>
      <c r="E300" s="1">
        <v>1692</v>
      </c>
      <c r="F300" s="3">
        <v>0.21840000000000001</v>
      </c>
      <c r="G300">
        <v>18</v>
      </c>
      <c r="H300" s="3">
        <v>1.06E-2</v>
      </c>
      <c r="I300" s="16">
        <v>2.3E-3</v>
      </c>
    </row>
    <row r="301" spans="1:9" x14ac:dyDescent="0.25">
      <c r="A301" s="11">
        <v>45211</v>
      </c>
      <c r="B301" t="s">
        <v>189</v>
      </c>
      <c r="C301" t="s">
        <v>32</v>
      </c>
      <c r="D301" s="1">
        <v>425619</v>
      </c>
      <c r="E301" s="1">
        <v>151329</v>
      </c>
      <c r="F301" s="3">
        <v>0.35560000000000003</v>
      </c>
      <c r="G301" s="1">
        <v>1169</v>
      </c>
      <c r="H301" s="3">
        <v>7.7000000000000002E-3</v>
      </c>
      <c r="I301" s="16">
        <v>2.7000000000000001E-3</v>
      </c>
    </row>
    <row r="302" spans="1:9" x14ac:dyDescent="0.25">
      <c r="A302" s="11">
        <v>45211</v>
      </c>
      <c r="B302" t="s">
        <v>191</v>
      </c>
      <c r="C302" t="s">
        <v>33</v>
      </c>
      <c r="D302" s="1">
        <v>29237</v>
      </c>
      <c r="E302" s="1">
        <v>9009</v>
      </c>
      <c r="F302" s="3">
        <v>0.30809999999999998</v>
      </c>
      <c r="G302">
        <v>124</v>
      </c>
      <c r="H302" s="3">
        <v>1.38E-2</v>
      </c>
      <c r="I302" s="16">
        <v>4.1999999999999997E-3</v>
      </c>
    </row>
    <row r="303" spans="1:9" x14ac:dyDescent="0.25">
      <c r="A303" s="11">
        <v>45211</v>
      </c>
      <c r="B303" t="s">
        <v>201</v>
      </c>
      <c r="C303" t="s">
        <v>32</v>
      </c>
      <c r="D303" s="1">
        <v>210867</v>
      </c>
      <c r="E303" s="1">
        <v>66577</v>
      </c>
      <c r="F303" s="3">
        <v>0.31569999999999998</v>
      </c>
      <c r="G303">
        <v>394</v>
      </c>
      <c r="H303" s="3">
        <v>5.8999999999999999E-3</v>
      </c>
      <c r="I303" s="16">
        <v>1.9E-3</v>
      </c>
    </row>
    <row r="304" spans="1:9" x14ac:dyDescent="0.25">
      <c r="A304" s="11">
        <v>45211</v>
      </c>
      <c r="B304" t="s">
        <v>202</v>
      </c>
      <c r="C304" t="s">
        <v>33</v>
      </c>
      <c r="D304" s="1">
        <v>12087</v>
      </c>
      <c r="E304" s="1">
        <v>2990</v>
      </c>
      <c r="F304" s="3">
        <v>0.24740000000000001</v>
      </c>
      <c r="G304">
        <v>42</v>
      </c>
      <c r="H304" s="3">
        <v>1.4E-2</v>
      </c>
      <c r="I304" s="16">
        <v>3.5000000000000001E-3</v>
      </c>
    </row>
    <row r="305" spans="1:9" x14ac:dyDescent="0.25">
      <c r="A305" s="104">
        <v>45212</v>
      </c>
      <c r="B305" s="105" t="s">
        <v>203</v>
      </c>
      <c r="C305" s="105" t="s">
        <v>204</v>
      </c>
      <c r="D305" s="25">
        <v>1037</v>
      </c>
      <c r="E305" s="25">
        <v>554</v>
      </c>
      <c r="F305" s="106">
        <v>0.53423336547733802</v>
      </c>
      <c r="G305" s="25">
        <v>19</v>
      </c>
      <c r="H305" s="106">
        <v>3.42960288808664E-2</v>
      </c>
      <c r="I305" s="110">
        <v>1.8322082931533298E-2</v>
      </c>
    </row>
    <row r="306" spans="1:9" x14ac:dyDescent="0.25">
      <c r="A306" s="104">
        <v>45212</v>
      </c>
      <c r="B306" s="105" t="s">
        <v>203</v>
      </c>
      <c r="C306" s="105" t="s">
        <v>205</v>
      </c>
      <c r="D306" s="25">
        <v>28740</v>
      </c>
      <c r="E306" s="25">
        <v>20650</v>
      </c>
      <c r="F306" s="106">
        <v>0.71851078636047305</v>
      </c>
      <c r="G306" s="25">
        <v>443</v>
      </c>
      <c r="H306" s="106">
        <v>2.1452784503632E-2</v>
      </c>
      <c r="I306" s="110">
        <v>1.54140570633264E-2</v>
      </c>
    </row>
    <row r="307" spans="1:9" x14ac:dyDescent="0.25">
      <c r="A307" s="104">
        <v>45212</v>
      </c>
      <c r="B307" s="105" t="s">
        <v>203</v>
      </c>
      <c r="C307" s="105" t="s">
        <v>206</v>
      </c>
      <c r="D307" s="25">
        <v>3134</v>
      </c>
      <c r="E307" s="25">
        <v>2137</v>
      </c>
      <c r="F307" s="106">
        <v>0.68187619655392495</v>
      </c>
      <c r="G307" s="25">
        <v>45</v>
      </c>
      <c r="H307" s="106">
        <v>2.10575573233505E-2</v>
      </c>
      <c r="I307" s="110">
        <v>1.43586470963625E-2</v>
      </c>
    </row>
    <row r="308" spans="1:9" x14ac:dyDescent="0.25">
      <c r="A308" s="104">
        <v>45212</v>
      </c>
      <c r="B308" s="105" t="s">
        <v>207</v>
      </c>
      <c r="C308" s="105" t="s">
        <v>32</v>
      </c>
      <c r="D308" s="25">
        <v>2813462</v>
      </c>
      <c r="E308" s="25">
        <v>955005</v>
      </c>
      <c r="F308" s="106">
        <v>0.33944122934662002</v>
      </c>
      <c r="G308" s="25">
        <v>13593</v>
      </c>
      <c r="H308" s="106">
        <v>1.4233433332809801E-2</v>
      </c>
      <c r="I308" s="110">
        <v>4.8314141083121102E-3</v>
      </c>
    </row>
    <row r="309" spans="1:9" x14ac:dyDescent="0.25">
      <c r="A309" s="104">
        <v>45212</v>
      </c>
      <c r="B309" s="105" t="s">
        <v>207</v>
      </c>
      <c r="C309" s="105" t="s">
        <v>33</v>
      </c>
      <c r="D309" s="25">
        <v>186288</v>
      </c>
      <c r="E309" s="25">
        <v>51399</v>
      </c>
      <c r="F309" s="106">
        <v>0.27591149188353498</v>
      </c>
      <c r="G309" s="25">
        <v>933</v>
      </c>
      <c r="H309" s="106">
        <v>1.8152104126539399E-2</v>
      </c>
      <c r="I309" s="110">
        <v>5.0083741303787697E-3</v>
      </c>
    </row>
    <row r="310" spans="1:9" x14ac:dyDescent="0.25">
      <c r="A310" s="104">
        <v>45212</v>
      </c>
      <c r="B310" s="105" t="s">
        <v>208</v>
      </c>
      <c r="C310" s="105" t="s">
        <v>32</v>
      </c>
      <c r="D310" s="25">
        <v>309073</v>
      </c>
      <c r="E310" s="25">
        <v>115609</v>
      </c>
      <c r="F310" s="106">
        <v>0.37405079058992502</v>
      </c>
      <c r="G310" s="25">
        <v>2030</v>
      </c>
      <c r="H310" s="106">
        <v>1.7559186568519802E-2</v>
      </c>
      <c r="I310" s="110">
        <v>6.5680276180708104E-3</v>
      </c>
    </row>
    <row r="311" spans="1:9" x14ac:dyDescent="0.25">
      <c r="A311" s="104">
        <v>45212</v>
      </c>
      <c r="B311" s="105" t="s">
        <v>208</v>
      </c>
      <c r="C311" s="105" t="s">
        <v>33</v>
      </c>
      <c r="D311" s="25">
        <v>16950</v>
      </c>
      <c r="E311" s="25">
        <v>5799</v>
      </c>
      <c r="F311" s="106">
        <v>0.34212389380531</v>
      </c>
      <c r="G311" s="25">
        <v>189</v>
      </c>
      <c r="H311" s="106">
        <v>3.2591826176927102E-2</v>
      </c>
      <c r="I311" s="110">
        <v>1.11504424778761E-2</v>
      </c>
    </row>
    <row r="312" spans="1:9" x14ac:dyDescent="0.25">
      <c r="A312" s="104">
        <v>45213</v>
      </c>
      <c r="B312" s="105" t="s">
        <v>209</v>
      </c>
      <c r="C312" s="105" t="s">
        <v>32</v>
      </c>
      <c r="D312" s="25">
        <v>160537</v>
      </c>
      <c r="E312" s="25">
        <v>79246</v>
      </c>
      <c r="F312" s="106">
        <v>0.49363075178930699</v>
      </c>
      <c r="G312" s="25">
        <v>1845</v>
      </c>
      <c r="H312" s="106">
        <v>2.3281932211089498E-2</v>
      </c>
      <c r="I312" s="110">
        <v>1.14926777004678E-2</v>
      </c>
    </row>
    <row r="313" spans="1:9" x14ac:dyDescent="0.25">
      <c r="A313" s="104">
        <v>45215</v>
      </c>
      <c r="B313" s="105" t="s">
        <v>210</v>
      </c>
      <c r="C313" s="105" t="s">
        <v>32</v>
      </c>
      <c r="D313" s="25">
        <v>134756</v>
      </c>
      <c r="E313" s="25">
        <v>45482</v>
      </c>
      <c r="F313" s="106">
        <v>0.33750000000000002</v>
      </c>
      <c r="G313" s="25">
        <v>1147</v>
      </c>
      <c r="H313" s="106">
        <v>2.52E-2</v>
      </c>
      <c r="I313" s="109">
        <v>8.5000000000000006E-3</v>
      </c>
    </row>
    <row r="314" spans="1:9" x14ac:dyDescent="0.25">
      <c r="A314" s="104">
        <v>45215</v>
      </c>
      <c r="B314" s="105" t="s">
        <v>211</v>
      </c>
      <c r="C314" s="105" t="s">
        <v>32</v>
      </c>
      <c r="D314" s="25">
        <v>4216353</v>
      </c>
      <c r="E314" s="25">
        <v>1391186</v>
      </c>
      <c r="F314" s="106">
        <v>0.32995007770933799</v>
      </c>
      <c r="G314" s="25">
        <v>10846</v>
      </c>
      <c r="H314" s="106">
        <v>7.7962256664457497E-3</v>
      </c>
      <c r="I314" s="110">
        <v>2.5723652644833099E-3</v>
      </c>
    </row>
    <row r="315" spans="1:9" x14ac:dyDescent="0.25">
      <c r="A315" s="104">
        <v>45215</v>
      </c>
      <c r="B315" s="105" t="s">
        <v>211</v>
      </c>
      <c r="C315" s="105" t="s">
        <v>33</v>
      </c>
      <c r="D315" s="25">
        <v>294807</v>
      </c>
      <c r="E315" s="25">
        <v>79151</v>
      </c>
      <c r="F315" s="106">
        <v>0.26848412690336398</v>
      </c>
      <c r="G315" s="25">
        <v>724</v>
      </c>
      <c r="H315" s="106">
        <v>9.1470733155614003E-3</v>
      </c>
      <c r="I315" s="110">
        <v>2.45584399284956E-3</v>
      </c>
    </row>
    <row r="316" spans="1:9" x14ac:dyDescent="0.25">
      <c r="A316" s="104">
        <v>45215</v>
      </c>
      <c r="B316" s="105" t="s">
        <v>212</v>
      </c>
      <c r="C316" s="105" t="s">
        <v>32</v>
      </c>
      <c r="D316" s="25">
        <v>1895433</v>
      </c>
      <c r="E316" s="25">
        <v>635348</v>
      </c>
      <c r="F316" s="106">
        <v>0.33519939771017998</v>
      </c>
      <c r="G316" s="25">
        <v>3076</v>
      </c>
      <c r="H316" s="106">
        <v>4.8414412259108397E-3</v>
      </c>
      <c r="I316" s="110">
        <v>1.6228481829745501E-3</v>
      </c>
    </row>
    <row r="317" spans="1:9" x14ac:dyDescent="0.25">
      <c r="A317" s="104">
        <v>45215</v>
      </c>
      <c r="B317" s="105" t="s">
        <v>212</v>
      </c>
      <c r="C317" s="105" t="s">
        <v>33</v>
      </c>
      <c r="D317" s="25">
        <v>121703</v>
      </c>
      <c r="E317" s="25">
        <v>28042</v>
      </c>
      <c r="F317" s="106">
        <v>0.23041338340057399</v>
      </c>
      <c r="G317" s="25">
        <v>234</v>
      </c>
      <c r="H317" s="106">
        <v>8.3446259182654598E-3</v>
      </c>
      <c r="I317" s="110">
        <v>1.92271349103966E-3</v>
      </c>
    </row>
    <row r="318" spans="1:9" x14ac:dyDescent="0.25">
      <c r="A318" s="104">
        <v>45216</v>
      </c>
      <c r="B318" s="105" t="s">
        <v>213</v>
      </c>
      <c r="C318" s="105" t="s">
        <v>32</v>
      </c>
      <c r="D318" s="25">
        <v>1073993</v>
      </c>
      <c r="E318" s="25">
        <v>356075</v>
      </c>
      <c r="F318" s="106">
        <v>0.331543129238273</v>
      </c>
      <c r="G318" s="25">
        <v>5248</v>
      </c>
      <c r="H318" s="106">
        <v>1.47384680193779E-2</v>
      </c>
      <c r="I318" s="110">
        <v>4.8864378073227698E-3</v>
      </c>
    </row>
    <row r="319" spans="1:9" x14ac:dyDescent="0.25">
      <c r="A319" s="104">
        <v>45216</v>
      </c>
      <c r="B319" s="105" t="s">
        <v>213</v>
      </c>
      <c r="C319" s="105" t="s">
        <v>33</v>
      </c>
      <c r="D319" s="25">
        <v>82539</v>
      </c>
      <c r="E319" s="25">
        <v>24855</v>
      </c>
      <c r="F319" s="106">
        <v>0.30113037473194498</v>
      </c>
      <c r="G319" s="25">
        <v>581</v>
      </c>
      <c r="H319" s="106">
        <v>2.3375578354455799E-2</v>
      </c>
      <c r="I319" s="110">
        <v>7.0390966694532297E-3</v>
      </c>
    </row>
    <row r="320" spans="1:9" x14ac:dyDescent="0.25">
      <c r="A320" s="104">
        <v>45216</v>
      </c>
      <c r="B320" s="105" t="s">
        <v>214</v>
      </c>
      <c r="C320" s="105" t="s">
        <v>32</v>
      </c>
      <c r="D320" s="25">
        <v>4213521</v>
      </c>
      <c r="E320" s="25">
        <v>1432833</v>
      </c>
      <c r="F320" s="106">
        <v>0.34005597693710299</v>
      </c>
      <c r="G320" s="25">
        <v>13361</v>
      </c>
      <c r="H320" s="106">
        <v>9.3248829416966196E-3</v>
      </c>
      <c r="I320" s="110">
        <v>3.1709821785627702E-3</v>
      </c>
    </row>
    <row r="321" spans="1:9" x14ac:dyDescent="0.25">
      <c r="A321" s="104">
        <v>45216</v>
      </c>
      <c r="B321" s="105" t="s">
        <v>214</v>
      </c>
      <c r="C321" s="105" t="s">
        <v>33</v>
      </c>
      <c r="D321" s="25">
        <v>294595</v>
      </c>
      <c r="E321" s="25">
        <v>86679</v>
      </c>
      <c r="F321" s="106">
        <v>0.29423106298477603</v>
      </c>
      <c r="G321" s="25">
        <v>1096</v>
      </c>
      <c r="H321" s="106">
        <v>1.26443544572503E-2</v>
      </c>
      <c r="I321" s="110">
        <v>3.7203618527130501E-3</v>
      </c>
    </row>
    <row r="322" spans="1:9" x14ac:dyDescent="0.25">
      <c r="A322" s="104">
        <v>45216</v>
      </c>
      <c r="B322" s="105" t="s">
        <v>215</v>
      </c>
      <c r="C322" s="105" t="s">
        <v>32</v>
      </c>
      <c r="D322" s="25">
        <v>31706</v>
      </c>
      <c r="E322" s="25">
        <v>16492</v>
      </c>
      <c r="F322" s="106">
        <v>0.52015391408566203</v>
      </c>
      <c r="G322" s="25">
        <v>176</v>
      </c>
      <c r="H322" s="106">
        <v>1.0671840892554E-2</v>
      </c>
      <c r="I322" s="110">
        <v>5.5509998107613704E-3</v>
      </c>
    </row>
    <row r="323" spans="1:9" x14ac:dyDescent="0.25">
      <c r="A323" s="104">
        <v>45217</v>
      </c>
      <c r="B323" s="105" t="s">
        <v>216</v>
      </c>
      <c r="C323" s="105" t="s">
        <v>32</v>
      </c>
      <c r="D323" s="25">
        <v>160721</v>
      </c>
      <c r="E323" s="25">
        <v>80972</v>
      </c>
      <c r="F323" s="106">
        <v>0.503804729935727</v>
      </c>
      <c r="G323" s="25">
        <v>1253</v>
      </c>
      <c r="H323" s="106">
        <v>1.5474485007163001E-2</v>
      </c>
      <c r="I323" s="110">
        <v>7.7961187399281998E-3</v>
      </c>
    </row>
    <row r="324" spans="1:9" x14ac:dyDescent="0.25">
      <c r="A324" s="104">
        <v>45217</v>
      </c>
      <c r="B324" s="105" t="s">
        <v>217</v>
      </c>
      <c r="C324" s="105" t="s">
        <v>32</v>
      </c>
      <c r="D324" s="25">
        <v>687268</v>
      </c>
      <c r="E324" s="25">
        <v>292378</v>
      </c>
      <c r="F324" s="106">
        <v>0.425420651041515</v>
      </c>
      <c r="G324" s="25">
        <v>5507</v>
      </c>
      <c r="H324" s="106">
        <v>1.88352064792837E-2</v>
      </c>
      <c r="I324" s="110">
        <v>8.0128858029182206E-3</v>
      </c>
    </row>
    <row r="325" spans="1:9" x14ac:dyDescent="0.25">
      <c r="A325" s="104">
        <v>45217</v>
      </c>
      <c r="B325" s="105" t="s">
        <v>217</v>
      </c>
      <c r="C325" s="105" t="s">
        <v>33</v>
      </c>
      <c r="D325" s="25">
        <v>35036</v>
      </c>
      <c r="E325" s="25">
        <v>12878</v>
      </c>
      <c r="F325" s="106">
        <v>0.367564790501199</v>
      </c>
      <c r="G325" s="25">
        <v>368</v>
      </c>
      <c r="H325" s="106">
        <v>2.8575865817673601E-2</v>
      </c>
      <c r="I325" s="110">
        <v>1.05034821326635E-2</v>
      </c>
    </row>
    <row r="326" spans="1:9" x14ac:dyDescent="0.25">
      <c r="A326" s="104">
        <v>45218</v>
      </c>
      <c r="B326" s="105" t="s">
        <v>218</v>
      </c>
      <c r="C326" s="105" t="s">
        <v>32</v>
      </c>
      <c r="D326" s="25">
        <v>1348317</v>
      </c>
      <c r="E326" s="25">
        <v>508136</v>
      </c>
      <c r="F326" s="106">
        <v>0.376866864394649</v>
      </c>
      <c r="G326" s="25">
        <v>24412</v>
      </c>
      <c r="H326" s="106">
        <v>4.8042256403797397E-2</v>
      </c>
      <c r="I326" s="110">
        <v>1.8105534529342899E-2</v>
      </c>
    </row>
    <row r="327" spans="1:9" x14ac:dyDescent="0.25">
      <c r="A327" s="104">
        <v>45218</v>
      </c>
      <c r="B327" s="105" t="s">
        <v>218</v>
      </c>
      <c r="C327" s="105" t="s">
        <v>33</v>
      </c>
      <c r="D327" s="25">
        <v>104937</v>
      </c>
      <c r="E327" s="25">
        <v>33899</v>
      </c>
      <c r="F327" s="106">
        <v>0.323041443913967</v>
      </c>
      <c r="G327" s="25">
        <v>1703</v>
      </c>
      <c r="H327" s="106">
        <v>5.0237470131862298E-2</v>
      </c>
      <c r="I327" s="110">
        <v>1.6228784889981598E-2</v>
      </c>
    </row>
    <row r="328" spans="1:9" x14ac:dyDescent="0.25">
      <c r="A328" s="104">
        <v>45218</v>
      </c>
      <c r="B328" s="105" t="s">
        <v>183</v>
      </c>
      <c r="C328" s="105" t="s">
        <v>32</v>
      </c>
      <c r="D328" s="25">
        <v>196031</v>
      </c>
      <c r="E328" s="25">
        <v>59759</v>
      </c>
      <c r="F328" s="106">
        <v>0.30480000000000002</v>
      </c>
      <c r="G328" s="25">
        <v>545</v>
      </c>
      <c r="H328" s="106">
        <v>9.1000000000000004E-3</v>
      </c>
      <c r="I328" s="109">
        <v>2.8E-3</v>
      </c>
    </row>
    <row r="329" spans="1:9" x14ac:dyDescent="0.25">
      <c r="A329" s="104">
        <v>45218</v>
      </c>
      <c r="B329" s="105" t="s">
        <v>184</v>
      </c>
      <c r="C329" s="105" t="s">
        <v>33</v>
      </c>
      <c r="D329" s="25">
        <v>15565</v>
      </c>
      <c r="E329" s="25">
        <v>3826</v>
      </c>
      <c r="F329" s="106">
        <v>0.24579999999999999</v>
      </c>
      <c r="G329" s="25">
        <v>37</v>
      </c>
      <c r="H329" s="106">
        <v>9.7000000000000003E-3</v>
      </c>
      <c r="I329" s="109">
        <v>2.3999999999999998E-3</v>
      </c>
    </row>
    <row r="330" spans="1:9" x14ac:dyDescent="0.25">
      <c r="A330" s="104">
        <v>45218</v>
      </c>
      <c r="B330" s="105" t="s">
        <v>185</v>
      </c>
      <c r="C330" s="105" t="s">
        <v>32</v>
      </c>
      <c r="D330" s="25">
        <v>147780</v>
      </c>
      <c r="E330" s="25">
        <v>47304</v>
      </c>
      <c r="F330" s="106">
        <v>0.3201</v>
      </c>
      <c r="G330" s="25">
        <v>234</v>
      </c>
      <c r="H330" s="106">
        <v>4.8999999999999998E-3</v>
      </c>
      <c r="I330" s="109">
        <v>1.6000000000000001E-3</v>
      </c>
    </row>
    <row r="331" spans="1:9" x14ac:dyDescent="0.25">
      <c r="A331" s="104">
        <v>45218</v>
      </c>
      <c r="B331" s="105" t="s">
        <v>187</v>
      </c>
      <c r="C331" s="105" t="s">
        <v>33</v>
      </c>
      <c r="D331" s="25">
        <v>7662</v>
      </c>
      <c r="E331" s="25">
        <v>1858</v>
      </c>
      <c r="F331" s="106">
        <v>0.24249999999999999</v>
      </c>
      <c r="G331" s="25">
        <v>27</v>
      </c>
      <c r="H331" s="106">
        <v>1.4500000000000001E-2</v>
      </c>
      <c r="I331" s="109">
        <v>3.5000000000000001E-3</v>
      </c>
    </row>
    <row r="332" spans="1:9" x14ac:dyDescent="0.25">
      <c r="A332" s="104">
        <v>45218</v>
      </c>
      <c r="B332" s="105" t="s">
        <v>189</v>
      </c>
      <c r="C332" s="105" t="s">
        <v>32</v>
      </c>
      <c r="D332" s="25">
        <v>423722</v>
      </c>
      <c r="E332" s="25">
        <v>153677</v>
      </c>
      <c r="F332" s="106">
        <v>0.36270000000000002</v>
      </c>
      <c r="G332" s="25">
        <v>1486</v>
      </c>
      <c r="H332" s="106">
        <v>9.7000000000000003E-3</v>
      </c>
      <c r="I332" s="109">
        <v>3.5000000000000001E-3</v>
      </c>
    </row>
    <row r="333" spans="1:9" x14ac:dyDescent="0.25">
      <c r="A333" s="104">
        <v>45218</v>
      </c>
      <c r="B333" s="105" t="s">
        <v>191</v>
      </c>
      <c r="C333" s="105" t="s">
        <v>33</v>
      </c>
      <c r="D333" s="25">
        <v>29006</v>
      </c>
      <c r="E333" s="25">
        <v>9436</v>
      </c>
      <c r="F333" s="106">
        <v>0.32529999999999998</v>
      </c>
      <c r="G333" s="25">
        <v>152</v>
      </c>
      <c r="H333" s="106">
        <v>1.61E-2</v>
      </c>
      <c r="I333" s="109">
        <v>5.1999999999999998E-3</v>
      </c>
    </row>
    <row r="334" spans="1:9" x14ac:dyDescent="0.25">
      <c r="A334" s="104">
        <v>45218</v>
      </c>
      <c r="B334" s="105" t="s">
        <v>201</v>
      </c>
      <c r="C334" s="105" t="s">
        <v>32</v>
      </c>
      <c r="D334" s="25">
        <v>174562</v>
      </c>
      <c r="E334" s="25">
        <v>61121</v>
      </c>
      <c r="F334" s="106">
        <v>0.35010000000000002</v>
      </c>
      <c r="G334" s="25">
        <v>400</v>
      </c>
      <c r="H334" s="106">
        <v>6.4999999999999997E-3</v>
      </c>
      <c r="I334" s="109">
        <v>2.3E-3</v>
      </c>
    </row>
    <row r="335" spans="1:9" x14ac:dyDescent="0.25">
      <c r="A335" s="104">
        <v>45218</v>
      </c>
      <c r="B335" s="105" t="s">
        <v>202</v>
      </c>
      <c r="C335" s="105" t="s">
        <v>33</v>
      </c>
      <c r="D335" s="25">
        <v>10185</v>
      </c>
      <c r="E335" s="25">
        <v>3080</v>
      </c>
      <c r="F335" s="106">
        <v>0.3024</v>
      </c>
      <c r="G335" s="25">
        <v>47</v>
      </c>
      <c r="H335" s="106">
        <v>1.5299999999999999E-2</v>
      </c>
      <c r="I335" s="109">
        <v>4.5999999999999999E-3</v>
      </c>
    </row>
    <row r="336" spans="1:9" x14ac:dyDescent="0.25">
      <c r="A336" s="11">
        <v>45219</v>
      </c>
      <c r="B336" t="s">
        <v>219</v>
      </c>
      <c r="C336" t="s">
        <v>32</v>
      </c>
      <c r="D336" s="1">
        <v>2914297</v>
      </c>
      <c r="E336" s="1">
        <v>1036778</v>
      </c>
      <c r="F336" s="3">
        <v>0.35580000000000001</v>
      </c>
      <c r="G336" s="1">
        <v>12468</v>
      </c>
      <c r="H336" s="3">
        <v>1.2E-2</v>
      </c>
      <c r="I336" s="16">
        <v>4.3E-3</v>
      </c>
    </row>
    <row r="337" spans="1:9" x14ac:dyDescent="0.25">
      <c r="A337" s="11">
        <v>45219</v>
      </c>
      <c r="B337" t="s">
        <v>219</v>
      </c>
      <c r="C337" t="s">
        <v>33</v>
      </c>
      <c r="D337" s="1">
        <v>200026</v>
      </c>
      <c r="E337" s="1">
        <v>63824</v>
      </c>
      <c r="F337" s="3">
        <v>0.31909999999999999</v>
      </c>
      <c r="G337" s="1">
        <v>1356</v>
      </c>
      <c r="H337" s="3">
        <v>2.12E-2</v>
      </c>
      <c r="I337" s="16">
        <v>6.7999999999999996E-3</v>
      </c>
    </row>
    <row r="338" spans="1:9" x14ac:dyDescent="0.25">
      <c r="A338" s="11">
        <v>45219</v>
      </c>
      <c r="B338" t="s">
        <v>220</v>
      </c>
      <c r="C338" t="s">
        <v>32</v>
      </c>
      <c r="D338" s="1">
        <v>8373</v>
      </c>
      <c r="E338" s="1">
        <v>2545</v>
      </c>
      <c r="F338" s="3">
        <v>0.30399999999999999</v>
      </c>
      <c r="G338">
        <v>307</v>
      </c>
      <c r="H338" s="3">
        <v>0.1206</v>
      </c>
      <c r="I338" s="16">
        <v>3.6700000000000003E-2</v>
      </c>
    </row>
    <row r="339" spans="1:9" x14ac:dyDescent="0.25">
      <c r="A339" s="11">
        <v>45219</v>
      </c>
      <c r="B339" t="s">
        <v>221</v>
      </c>
      <c r="C339" t="s">
        <v>33</v>
      </c>
      <c r="D339">
        <v>849</v>
      </c>
      <c r="E339">
        <v>223</v>
      </c>
      <c r="F339" s="3">
        <v>0.26269999999999999</v>
      </c>
      <c r="G339">
        <v>16</v>
      </c>
      <c r="H339" s="3">
        <v>7.17E-2</v>
      </c>
      <c r="I339" s="16">
        <v>1.8800000000000001E-2</v>
      </c>
    </row>
    <row r="340" spans="1:9" x14ac:dyDescent="0.25">
      <c r="A340" s="11">
        <v>45219</v>
      </c>
      <c r="B340" t="s">
        <v>222</v>
      </c>
      <c r="C340" t="s">
        <v>32</v>
      </c>
      <c r="D340" s="1">
        <v>308247</v>
      </c>
      <c r="E340" s="1">
        <v>119171</v>
      </c>
      <c r="F340" s="3">
        <v>0.3866</v>
      </c>
      <c r="G340" s="1">
        <v>1612</v>
      </c>
      <c r="H340" s="3">
        <v>1.35E-2</v>
      </c>
      <c r="I340" s="16">
        <v>5.1999999999999998E-3</v>
      </c>
    </row>
    <row r="341" spans="1:9" x14ac:dyDescent="0.25">
      <c r="A341" s="11">
        <v>45219</v>
      </c>
      <c r="B341" t="s">
        <v>223</v>
      </c>
      <c r="C341" t="s">
        <v>32</v>
      </c>
      <c r="D341" s="1">
        <v>58697</v>
      </c>
      <c r="E341" s="1">
        <v>25534</v>
      </c>
      <c r="F341" s="3">
        <v>0.435</v>
      </c>
      <c r="G341">
        <v>372</v>
      </c>
      <c r="H341" s="3">
        <v>1.46E-2</v>
      </c>
      <c r="I341" s="16">
        <v>6.3E-3</v>
      </c>
    </row>
    <row r="342" spans="1:9" x14ac:dyDescent="0.25">
      <c r="A342" s="11">
        <v>45220</v>
      </c>
      <c r="B342" t="s">
        <v>224</v>
      </c>
      <c r="C342" t="s">
        <v>32</v>
      </c>
      <c r="D342" s="1">
        <v>1039095</v>
      </c>
      <c r="E342" s="1">
        <v>340517</v>
      </c>
      <c r="F342" s="3">
        <v>0.32769999999999999</v>
      </c>
      <c r="G342" s="1">
        <v>7758</v>
      </c>
      <c r="H342" s="3">
        <v>2.2800000000000001E-2</v>
      </c>
      <c r="I342" s="16">
        <v>7.4999999999999997E-3</v>
      </c>
    </row>
    <row r="343" spans="1:9" x14ac:dyDescent="0.25">
      <c r="A343" s="11">
        <v>45220</v>
      </c>
      <c r="B343" t="s">
        <v>224</v>
      </c>
      <c r="C343" t="s">
        <v>33</v>
      </c>
      <c r="D343" s="1">
        <v>86959</v>
      </c>
      <c r="E343" s="1">
        <v>25018</v>
      </c>
      <c r="F343" s="3">
        <v>0.28770000000000001</v>
      </c>
      <c r="G343">
        <v>711</v>
      </c>
      <c r="H343" s="3">
        <v>2.8400000000000002E-2</v>
      </c>
      <c r="I343" s="16">
        <v>8.2000000000000007E-3</v>
      </c>
    </row>
    <row r="344" spans="1:9" x14ac:dyDescent="0.25">
      <c r="A344" s="11">
        <v>45222</v>
      </c>
      <c r="B344" t="s">
        <v>225</v>
      </c>
      <c r="C344" t="s">
        <v>32</v>
      </c>
      <c r="D344" s="1">
        <v>1880936</v>
      </c>
      <c r="E344" s="1">
        <v>689640</v>
      </c>
      <c r="F344" s="3">
        <v>0.36659999999999998</v>
      </c>
      <c r="G344" s="1">
        <v>3521</v>
      </c>
      <c r="H344" s="3">
        <v>5.1000000000000004E-3</v>
      </c>
      <c r="I344" s="16">
        <v>1.9E-3</v>
      </c>
    </row>
    <row r="345" spans="1:9" x14ac:dyDescent="0.25">
      <c r="A345" s="11">
        <v>45222</v>
      </c>
      <c r="B345" t="s">
        <v>225</v>
      </c>
      <c r="C345" t="s">
        <v>33</v>
      </c>
      <c r="D345" s="1">
        <v>120840</v>
      </c>
      <c r="E345" s="1">
        <v>38372</v>
      </c>
      <c r="F345" s="3">
        <v>0.3175</v>
      </c>
      <c r="G345">
        <v>438</v>
      </c>
      <c r="H345" s="3">
        <v>1.14E-2</v>
      </c>
      <c r="I345" s="16">
        <v>3.5999999999999999E-3</v>
      </c>
    </row>
    <row r="346" spans="1:9" x14ac:dyDescent="0.25">
      <c r="A346" s="11">
        <v>45222</v>
      </c>
      <c r="B346" t="s">
        <v>226</v>
      </c>
      <c r="C346" t="s">
        <v>32</v>
      </c>
      <c r="D346" s="1">
        <v>54533</v>
      </c>
      <c r="E346" s="1">
        <v>18249</v>
      </c>
      <c r="F346" s="3">
        <v>0.33460000000000001</v>
      </c>
      <c r="G346">
        <v>171</v>
      </c>
      <c r="H346" s="3">
        <v>9.4000000000000004E-3</v>
      </c>
      <c r="I346" s="16">
        <v>3.0999999999999999E-3</v>
      </c>
    </row>
    <row r="347" spans="1:9" x14ac:dyDescent="0.25">
      <c r="A347" s="11">
        <v>45222</v>
      </c>
      <c r="B347" t="s">
        <v>226</v>
      </c>
      <c r="C347" t="s">
        <v>33</v>
      </c>
      <c r="D347" s="1">
        <v>2688</v>
      </c>
      <c r="E347">
        <v>823</v>
      </c>
      <c r="F347" s="3">
        <v>0.30620000000000003</v>
      </c>
      <c r="G347">
        <v>10</v>
      </c>
      <c r="H347" s="3">
        <v>1.2200000000000001E-2</v>
      </c>
      <c r="I347" s="16">
        <v>3.7000000000000002E-3</v>
      </c>
    </row>
    <row r="348" spans="1:9" x14ac:dyDescent="0.25">
      <c r="A348" s="11">
        <v>45223</v>
      </c>
      <c r="B348" t="s">
        <v>227</v>
      </c>
      <c r="C348" t="s">
        <v>32</v>
      </c>
      <c r="D348" s="1">
        <v>1068510</v>
      </c>
      <c r="E348" s="1">
        <v>399691</v>
      </c>
      <c r="F348" s="3">
        <v>0.37409999999999999</v>
      </c>
      <c r="G348" s="1">
        <v>7385</v>
      </c>
      <c r="H348" s="3">
        <v>1.8499999999999999E-2</v>
      </c>
      <c r="I348" s="16">
        <v>6.8999999999999999E-3</v>
      </c>
    </row>
    <row r="349" spans="1:9" x14ac:dyDescent="0.25">
      <c r="A349" s="11">
        <v>45223</v>
      </c>
      <c r="B349" t="s">
        <v>227</v>
      </c>
      <c r="C349" t="s">
        <v>33</v>
      </c>
      <c r="D349" s="1">
        <v>82265</v>
      </c>
      <c r="E349" s="1">
        <v>29366</v>
      </c>
      <c r="F349" s="3">
        <v>0.35699999999999998</v>
      </c>
      <c r="G349">
        <v>879</v>
      </c>
      <c r="H349" s="3">
        <v>2.9899999999999999E-2</v>
      </c>
      <c r="I349" s="16">
        <v>1.0699999999999999E-2</v>
      </c>
    </row>
    <row r="350" spans="1:9" x14ac:dyDescent="0.25">
      <c r="A350" s="11">
        <v>45224</v>
      </c>
      <c r="B350" t="s">
        <v>228</v>
      </c>
      <c r="C350" t="s">
        <v>32</v>
      </c>
      <c r="D350" s="1">
        <v>318214</v>
      </c>
      <c r="E350" s="1">
        <v>129574</v>
      </c>
      <c r="F350" s="3">
        <v>0.40720000000000001</v>
      </c>
      <c r="G350" s="1">
        <v>1357</v>
      </c>
      <c r="H350" s="3">
        <v>1.0500000000000001E-2</v>
      </c>
      <c r="I350" s="16">
        <v>4.3E-3</v>
      </c>
    </row>
    <row r="351" spans="1:9" x14ac:dyDescent="0.25">
      <c r="A351" s="11">
        <v>45224</v>
      </c>
      <c r="B351" t="s">
        <v>228</v>
      </c>
      <c r="C351" t="s">
        <v>33</v>
      </c>
      <c r="D351" s="1">
        <v>23798</v>
      </c>
      <c r="E351" s="1">
        <v>8324</v>
      </c>
      <c r="F351" s="3">
        <v>0.3498</v>
      </c>
      <c r="G351">
        <v>111</v>
      </c>
      <c r="H351" s="3">
        <v>1.3299999999999999E-2</v>
      </c>
      <c r="I351" s="16">
        <v>4.7000000000000002E-3</v>
      </c>
    </row>
    <row r="352" spans="1:9" x14ac:dyDescent="0.25">
      <c r="A352" s="11">
        <v>45224</v>
      </c>
      <c r="B352" t="s">
        <v>229</v>
      </c>
      <c r="C352" t="s">
        <v>32</v>
      </c>
      <c r="D352" s="1">
        <v>31609</v>
      </c>
      <c r="E352" s="1">
        <v>15703</v>
      </c>
      <c r="F352" s="3">
        <v>0.49680000000000002</v>
      </c>
      <c r="G352">
        <v>450</v>
      </c>
      <c r="H352" s="3">
        <v>2.87E-2</v>
      </c>
      <c r="I352" s="16">
        <v>1.4200000000000001E-2</v>
      </c>
    </row>
    <row r="353" spans="1:9" x14ac:dyDescent="0.25">
      <c r="A353" s="11">
        <v>45224</v>
      </c>
      <c r="B353" t="s">
        <v>230</v>
      </c>
      <c r="C353" t="s">
        <v>32</v>
      </c>
      <c r="D353" s="1">
        <v>159855</v>
      </c>
      <c r="E353" s="1">
        <v>78112</v>
      </c>
      <c r="F353" s="3">
        <v>0.48859999999999998</v>
      </c>
      <c r="G353" s="1">
        <v>2189</v>
      </c>
      <c r="H353" s="3">
        <v>2.8000000000000001E-2</v>
      </c>
      <c r="I353" s="16">
        <v>1.37E-2</v>
      </c>
    </row>
    <row r="354" spans="1:9" x14ac:dyDescent="0.25">
      <c r="A354" s="11">
        <v>45225</v>
      </c>
      <c r="B354" t="s">
        <v>231</v>
      </c>
      <c r="C354" t="s">
        <v>32</v>
      </c>
      <c r="D354" s="1">
        <v>642723</v>
      </c>
      <c r="E354" s="1">
        <v>258393</v>
      </c>
      <c r="F354" s="3">
        <v>0.40200000000000002</v>
      </c>
      <c r="G354" s="1">
        <v>2681</v>
      </c>
      <c r="H354" s="3">
        <v>1.04E-2</v>
      </c>
      <c r="I354" s="16">
        <v>4.1999999999999997E-3</v>
      </c>
    </row>
    <row r="355" spans="1:9" x14ac:dyDescent="0.25">
      <c r="A355" s="11">
        <v>45225</v>
      </c>
      <c r="B355" t="s">
        <v>231</v>
      </c>
      <c r="C355" t="s">
        <v>33</v>
      </c>
      <c r="D355" s="1">
        <v>40512</v>
      </c>
      <c r="E355" s="1">
        <v>15707</v>
      </c>
      <c r="F355" s="3">
        <v>0.38769999999999999</v>
      </c>
      <c r="G355">
        <v>224</v>
      </c>
      <c r="H355" s="3">
        <v>1.43E-2</v>
      </c>
      <c r="I355" s="16">
        <v>5.4999999999999997E-3</v>
      </c>
    </row>
    <row r="356" spans="1:9" x14ac:dyDescent="0.25">
      <c r="A356" s="11">
        <v>45225</v>
      </c>
      <c r="B356" t="s">
        <v>232</v>
      </c>
      <c r="C356" t="s">
        <v>32</v>
      </c>
      <c r="D356" s="1">
        <v>43229</v>
      </c>
      <c r="E356" s="1">
        <v>16175</v>
      </c>
      <c r="F356" s="3">
        <v>0.37419999999999998</v>
      </c>
      <c r="G356">
        <v>301</v>
      </c>
      <c r="H356" s="3">
        <v>1.8599999999999998E-2</v>
      </c>
      <c r="I356" s="16">
        <v>7.0000000000000001E-3</v>
      </c>
    </row>
    <row r="357" spans="1:9" x14ac:dyDescent="0.25">
      <c r="A357" s="11">
        <v>45225</v>
      </c>
      <c r="B357" t="s">
        <v>233</v>
      </c>
      <c r="C357" t="s">
        <v>32</v>
      </c>
      <c r="D357" s="1">
        <v>4953</v>
      </c>
      <c r="E357" s="1">
        <v>2687</v>
      </c>
      <c r="F357" s="3">
        <v>0.54249999999999998</v>
      </c>
      <c r="G357">
        <v>363</v>
      </c>
      <c r="H357" s="3">
        <v>0.1351</v>
      </c>
      <c r="I357" s="16">
        <v>7.3300000000000004E-2</v>
      </c>
    </row>
    <row r="358" spans="1:9" x14ac:dyDescent="0.25">
      <c r="A358" s="11">
        <v>45225</v>
      </c>
      <c r="B358" t="s">
        <v>234</v>
      </c>
      <c r="C358" t="s">
        <v>32</v>
      </c>
      <c r="D358" s="1">
        <v>4949</v>
      </c>
      <c r="E358" s="1">
        <v>2950</v>
      </c>
      <c r="F358" s="3">
        <v>0.59609999999999996</v>
      </c>
      <c r="G358">
        <v>504</v>
      </c>
      <c r="H358" s="3">
        <v>0.17080000000000001</v>
      </c>
      <c r="I358" s="16">
        <v>0.1018</v>
      </c>
    </row>
    <row r="359" spans="1:9" x14ac:dyDescent="0.25">
      <c r="A359" s="11">
        <v>45225</v>
      </c>
      <c r="B359" t="s">
        <v>201</v>
      </c>
      <c r="C359" t="s">
        <v>32</v>
      </c>
      <c r="D359" s="1">
        <v>172261</v>
      </c>
      <c r="E359" s="1">
        <v>56697</v>
      </c>
      <c r="F359" s="3">
        <v>0.3291</v>
      </c>
      <c r="G359">
        <v>352</v>
      </c>
      <c r="H359" s="3">
        <v>6.1999999999999998E-3</v>
      </c>
      <c r="I359" s="16">
        <v>2E-3</v>
      </c>
    </row>
    <row r="360" spans="1:9" x14ac:dyDescent="0.25">
      <c r="A360" s="11">
        <v>45225</v>
      </c>
      <c r="B360" t="s">
        <v>202</v>
      </c>
      <c r="C360" t="s">
        <v>33</v>
      </c>
      <c r="D360" s="1">
        <v>10024</v>
      </c>
      <c r="E360" s="1">
        <v>3055</v>
      </c>
      <c r="F360" s="3">
        <v>0.30480000000000002</v>
      </c>
      <c r="G360">
        <v>47</v>
      </c>
      <c r="H360" s="3">
        <v>1.54E-2</v>
      </c>
      <c r="I360" s="16">
        <v>4.7000000000000002E-3</v>
      </c>
    </row>
    <row r="361" spans="1:9" x14ac:dyDescent="0.25">
      <c r="A361" s="11">
        <v>45226</v>
      </c>
      <c r="B361" t="s">
        <v>235</v>
      </c>
      <c r="C361" t="s">
        <v>32</v>
      </c>
      <c r="D361" s="1">
        <v>2887274</v>
      </c>
      <c r="E361" s="1">
        <v>1000062</v>
      </c>
      <c r="F361" s="2">
        <v>0.34636892792301699</v>
      </c>
      <c r="G361" s="1">
        <v>12404</v>
      </c>
      <c r="H361" s="2">
        <v>1.2403230999678E-2</v>
      </c>
      <c r="I361" s="12">
        <v>4.2960938241400001E-3</v>
      </c>
    </row>
    <row r="362" spans="1:9" x14ac:dyDescent="0.25">
      <c r="A362" s="11">
        <v>45226</v>
      </c>
      <c r="B362" t="s">
        <v>235</v>
      </c>
      <c r="C362" t="s">
        <v>33</v>
      </c>
      <c r="D362" s="1">
        <v>197143</v>
      </c>
      <c r="E362" s="1">
        <v>61564</v>
      </c>
      <c r="F362" s="2">
        <v>0.31228093312975902</v>
      </c>
      <c r="G362" s="1">
        <v>1017</v>
      </c>
      <c r="H362" s="2">
        <v>1.65193944513027E-2</v>
      </c>
      <c r="I362" s="12">
        <v>5.1586919139913704E-3</v>
      </c>
    </row>
    <row r="363" spans="1:9" x14ac:dyDescent="0.25">
      <c r="A363" s="11">
        <v>45226</v>
      </c>
      <c r="B363" t="s">
        <v>236</v>
      </c>
      <c r="C363" t="s">
        <v>32</v>
      </c>
      <c r="D363" s="1">
        <v>307848</v>
      </c>
      <c r="E363" s="1">
        <v>108356</v>
      </c>
      <c r="F363" s="2">
        <v>0.351978898677269</v>
      </c>
      <c r="G363" s="1">
        <v>1308</v>
      </c>
      <c r="H363" s="2">
        <v>1.20713204621802E-2</v>
      </c>
      <c r="I363" s="12">
        <v>4.24885008185858E-3</v>
      </c>
    </row>
    <row r="364" spans="1:9" x14ac:dyDescent="0.25">
      <c r="A364" s="11">
        <v>45226</v>
      </c>
      <c r="B364" t="s">
        <v>236</v>
      </c>
      <c r="C364" t="s">
        <v>33</v>
      </c>
      <c r="D364" s="1">
        <v>16947</v>
      </c>
      <c r="E364" s="1">
        <v>5788</v>
      </c>
      <c r="F364" s="2">
        <v>0.34153537499262399</v>
      </c>
      <c r="G364" s="1">
        <v>169</v>
      </c>
      <c r="H364" s="2">
        <v>2.91983413959917E-2</v>
      </c>
      <c r="I364" s="12">
        <v>9.9722664778426895E-3</v>
      </c>
    </row>
    <row r="365" spans="1:9" x14ac:dyDescent="0.25">
      <c r="A365" s="11">
        <v>45227</v>
      </c>
      <c r="B365" t="s">
        <v>237</v>
      </c>
      <c r="C365" t="s">
        <v>238</v>
      </c>
      <c r="D365" s="1">
        <v>9922</v>
      </c>
      <c r="E365" s="1">
        <v>4236</v>
      </c>
      <c r="F365" s="2">
        <v>0.42693005442451099</v>
      </c>
      <c r="G365" s="1">
        <v>658</v>
      </c>
      <c r="H365" s="2">
        <v>0.15533522190745999</v>
      </c>
      <c r="I365" s="12">
        <v>6.6317274742995397E-2</v>
      </c>
    </row>
    <row r="366" spans="1:9" x14ac:dyDescent="0.25">
      <c r="A366" s="11">
        <v>45227</v>
      </c>
      <c r="B366" t="s">
        <v>237</v>
      </c>
      <c r="C366" t="s">
        <v>239</v>
      </c>
      <c r="D366" s="1">
        <v>19888</v>
      </c>
      <c r="E366" s="1">
        <v>8850</v>
      </c>
      <c r="F366" s="2">
        <v>0.44499195494770699</v>
      </c>
      <c r="G366" s="1">
        <v>1518</v>
      </c>
      <c r="H366" s="2">
        <v>0.17152542372881399</v>
      </c>
      <c r="I366" s="12">
        <v>7.6327433628318606E-2</v>
      </c>
    </row>
    <row r="367" spans="1:9" x14ac:dyDescent="0.25">
      <c r="A367" s="11">
        <v>45230</v>
      </c>
      <c r="B367" t="s">
        <v>240</v>
      </c>
      <c r="C367" t="s">
        <v>32</v>
      </c>
      <c r="D367" s="1">
        <v>1063278</v>
      </c>
      <c r="E367" s="1">
        <v>351941</v>
      </c>
      <c r="F367" s="2">
        <v>0.33099622111997101</v>
      </c>
      <c r="G367" s="1">
        <v>4188</v>
      </c>
      <c r="H367" s="2">
        <v>1.18997218283746E-2</v>
      </c>
      <c r="I367" s="12">
        <v>3.9387629575708301E-3</v>
      </c>
    </row>
    <row r="368" spans="1:9" x14ac:dyDescent="0.25">
      <c r="A368" s="11">
        <v>45230</v>
      </c>
      <c r="B368" t="s">
        <v>240</v>
      </c>
      <c r="C368" t="s">
        <v>33</v>
      </c>
      <c r="D368" s="1">
        <v>81582</v>
      </c>
      <c r="E368" s="1">
        <v>24490</v>
      </c>
      <c r="F368" s="2">
        <v>0.30018876713000398</v>
      </c>
      <c r="G368" s="1">
        <v>442</v>
      </c>
      <c r="H368" s="2">
        <v>1.80481829318089E-2</v>
      </c>
      <c r="I368" s="12">
        <v>5.4178617832365003E-3</v>
      </c>
    </row>
    <row r="369" spans="1:9" x14ac:dyDescent="0.25">
      <c r="A369" s="11">
        <v>45230</v>
      </c>
      <c r="B369" t="s">
        <v>241</v>
      </c>
      <c r="C369" t="s">
        <v>163</v>
      </c>
      <c r="D369" s="1">
        <v>3617</v>
      </c>
      <c r="E369" s="1">
        <v>1262</v>
      </c>
      <c r="F369" s="2">
        <v>0.34890793475255699</v>
      </c>
      <c r="G369" s="1">
        <v>20</v>
      </c>
      <c r="H369" s="2">
        <v>1.5847860538827301E-2</v>
      </c>
      <c r="I369" s="12">
        <v>5.5294442908487701E-3</v>
      </c>
    </row>
    <row r="370" spans="1:9" x14ac:dyDescent="0.25">
      <c r="A370" s="11">
        <v>45230</v>
      </c>
      <c r="B370" t="s">
        <v>241</v>
      </c>
      <c r="C370" t="s">
        <v>162</v>
      </c>
      <c r="D370" s="1">
        <v>67929</v>
      </c>
      <c r="E370" s="1">
        <v>23983</v>
      </c>
      <c r="F370" s="2">
        <v>0.35305981245123602</v>
      </c>
      <c r="G370" s="1">
        <v>384</v>
      </c>
      <c r="H370" s="2">
        <v>1.6011341366801501E-2</v>
      </c>
      <c r="I370" s="12">
        <v>5.6529611800556498E-3</v>
      </c>
    </row>
    <row r="371" spans="1:9" x14ac:dyDescent="0.25">
      <c r="A371" s="11">
        <v>45230</v>
      </c>
      <c r="B371" t="s">
        <v>241</v>
      </c>
      <c r="C371" t="s">
        <v>165</v>
      </c>
      <c r="D371" s="1">
        <v>404</v>
      </c>
      <c r="E371" s="1">
        <v>108</v>
      </c>
      <c r="F371" s="2">
        <v>0.26732673267326701</v>
      </c>
      <c r="G371" s="1">
        <v>8</v>
      </c>
      <c r="H371" s="2">
        <v>7.4074074074074098E-2</v>
      </c>
      <c r="I371" s="12">
        <v>1.9801980198019799E-2</v>
      </c>
    </row>
    <row r="372" spans="1:9" x14ac:dyDescent="0.25">
      <c r="A372" s="11">
        <v>45230</v>
      </c>
      <c r="B372" t="s">
        <v>241</v>
      </c>
      <c r="C372" t="s">
        <v>164</v>
      </c>
      <c r="D372" s="1">
        <v>7694</v>
      </c>
      <c r="E372" s="1">
        <v>2190</v>
      </c>
      <c r="F372" s="2">
        <v>0.28463737977644898</v>
      </c>
      <c r="G372" s="1">
        <v>73</v>
      </c>
      <c r="H372" s="2">
        <v>3.3333333333333298E-2</v>
      </c>
      <c r="I372" s="12">
        <v>9.4879126592149702E-3</v>
      </c>
    </row>
    <row r="373" spans="1:9" x14ac:dyDescent="0.25">
      <c r="A373" s="11">
        <v>45231</v>
      </c>
      <c r="B373" t="s">
        <v>242</v>
      </c>
      <c r="C373" t="s">
        <v>32</v>
      </c>
      <c r="D373" s="1">
        <v>196670</v>
      </c>
      <c r="E373" s="1">
        <v>81039</v>
      </c>
      <c r="F373" s="2">
        <v>0.41205572786901901</v>
      </c>
      <c r="G373" s="1">
        <v>890</v>
      </c>
      <c r="H373" s="2">
        <v>1.09823665148879E-2</v>
      </c>
      <c r="I373" s="12">
        <v>4.5253470280164701E-3</v>
      </c>
    </row>
    <row r="374" spans="1:9" x14ac:dyDescent="0.25">
      <c r="A374" s="11">
        <v>45231</v>
      </c>
      <c r="B374" t="s">
        <v>243</v>
      </c>
      <c r="C374" t="s">
        <v>33</v>
      </c>
      <c r="D374" s="1">
        <v>11790</v>
      </c>
      <c r="E374" s="1">
        <v>4439</v>
      </c>
      <c r="F374" s="2">
        <v>0.37650551314673503</v>
      </c>
      <c r="G374" s="1">
        <v>65</v>
      </c>
      <c r="H374" s="2">
        <v>1.4642937598558199E-2</v>
      </c>
      <c r="I374" s="12">
        <v>5.5131467345207802E-3</v>
      </c>
    </row>
    <row r="375" spans="1:9" x14ac:dyDescent="0.25">
      <c r="A375" s="11">
        <v>45231</v>
      </c>
      <c r="B375" t="s">
        <v>244</v>
      </c>
      <c r="C375" t="s">
        <v>245</v>
      </c>
      <c r="D375" s="1">
        <v>85225</v>
      </c>
      <c r="E375" s="1">
        <v>24169</v>
      </c>
      <c r="F375" s="2">
        <v>0.28359049574655298</v>
      </c>
      <c r="G375" s="1">
        <v>311</v>
      </c>
      <c r="H375" s="2">
        <v>1.2867723116388801E-2</v>
      </c>
      <c r="I375" s="12">
        <v>3.6491639777060702E-3</v>
      </c>
    </row>
    <row r="376" spans="1:9" x14ac:dyDescent="0.25">
      <c r="A376" s="11">
        <v>45231</v>
      </c>
      <c r="B376" t="s">
        <v>244</v>
      </c>
      <c r="C376" t="s">
        <v>246</v>
      </c>
      <c r="D376" s="1">
        <v>93931</v>
      </c>
      <c r="E376" s="1">
        <v>26570</v>
      </c>
      <c r="F376" s="2">
        <v>0.28286721103788998</v>
      </c>
      <c r="G376" s="1">
        <v>559</v>
      </c>
      <c r="H376" s="2">
        <v>2.1038765525028199E-2</v>
      </c>
      <c r="I376" s="12">
        <v>5.9511769277448296E-3</v>
      </c>
    </row>
    <row r="377" spans="1:9" x14ac:dyDescent="0.25">
      <c r="A377" s="11">
        <v>45231</v>
      </c>
      <c r="B377" t="s">
        <v>244</v>
      </c>
      <c r="C377" t="s">
        <v>247</v>
      </c>
      <c r="D377" s="1">
        <v>4147623</v>
      </c>
      <c r="E377" s="1">
        <v>1366158</v>
      </c>
      <c r="F377" s="2">
        <v>0.32938336005948499</v>
      </c>
      <c r="G377" s="1">
        <v>14888</v>
      </c>
      <c r="H377" s="2">
        <v>1.08977146128047E-2</v>
      </c>
      <c r="I377" s="12">
        <v>3.5895258561349499E-3</v>
      </c>
    </row>
    <row r="378" spans="1:9" x14ac:dyDescent="0.25">
      <c r="A378" s="11">
        <v>45231</v>
      </c>
      <c r="B378" t="s">
        <v>244</v>
      </c>
      <c r="C378" t="s">
        <v>248</v>
      </c>
      <c r="D378" s="1">
        <v>13177</v>
      </c>
      <c r="E378" s="1">
        <v>3066</v>
      </c>
      <c r="F378" s="2">
        <v>0.23267815132427699</v>
      </c>
      <c r="G378" s="1">
        <v>51</v>
      </c>
      <c r="H378" s="2">
        <v>1.6634050880626201E-2</v>
      </c>
      <c r="I378" s="12">
        <v>3.8703802079380701E-3</v>
      </c>
    </row>
    <row r="379" spans="1:9" x14ac:dyDescent="0.25">
      <c r="A379" s="11">
        <v>45231</v>
      </c>
      <c r="B379" t="s">
        <v>244</v>
      </c>
      <c r="C379" t="s">
        <v>249</v>
      </c>
      <c r="D379" s="1">
        <v>5596</v>
      </c>
      <c r="E379" s="1">
        <v>1283</v>
      </c>
      <c r="F379" s="2">
        <v>0.22927090779127901</v>
      </c>
      <c r="G379" s="1">
        <v>39</v>
      </c>
      <c r="H379" s="2">
        <v>3.0397505845674199E-2</v>
      </c>
      <c r="I379" s="12">
        <v>6.96926375982845E-3</v>
      </c>
    </row>
    <row r="380" spans="1:9" x14ac:dyDescent="0.25">
      <c r="A380" s="11">
        <v>45231</v>
      </c>
      <c r="B380" t="s">
        <v>244</v>
      </c>
      <c r="C380" t="s">
        <v>250</v>
      </c>
      <c r="D380" s="1">
        <v>287800</v>
      </c>
      <c r="E380" s="1">
        <v>76436</v>
      </c>
      <c r="F380" s="2">
        <v>0.26558721334259899</v>
      </c>
      <c r="G380" s="1">
        <v>1218</v>
      </c>
      <c r="H380" s="2">
        <v>1.5934899785441398E-2</v>
      </c>
      <c r="I380" s="12">
        <v>4.2321056289089604E-3</v>
      </c>
    </row>
    <row r="381" spans="1:9" x14ac:dyDescent="0.25">
      <c r="A381" s="11">
        <v>45231</v>
      </c>
      <c r="B381" t="s">
        <v>251</v>
      </c>
      <c r="C381" t="s">
        <v>252</v>
      </c>
      <c r="D381" s="1">
        <v>94660</v>
      </c>
      <c r="E381" s="1">
        <v>25465</v>
      </c>
      <c r="F381" s="2">
        <v>0.26901542362138198</v>
      </c>
      <c r="G381" s="1">
        <v>591</v>
      </c>
      <c r="H381" s="2">
        <v>2.3208325152169602E-2</v>
      </c>
      <c r="I381" s="12">
        <v>6.2433974223536897E-3</v>
      </c>
    </row>
    <row r="382" spans="1:9" x14ac:dyDescent="0.25">
      <c r="A382" s="11">
        <v>45231</v>
      </c>
      <c r="B382" t="s">
        <v>251</v>
      </c>
      <c r="C382" t="s">
        <v>253</v>
      </c>
      <c r="D382" s="1">
        <v>4851</v>
      </c>
      <c r="E382" s="1">
        <v>986</v>
      </c>
      <c r="F382" s="2">
        <v>0.203257060399918</v>
      </c>
      <c r="G382" s="1">
        <v>33</v>
      </c>
      <c r="H382" s="2">
        <v>3.3468559837728201E-2</v>
      </c>
      <c r="I382" s="12">
        <v>6.8027210884353704E-3</v>
      </c>
    </row>
    <row r="383" spans="1:9" x14ac:dyDescent="0.25">
      <c r="A383" s="11">
        <v>45231</v>
      </c>
      <c r="B383" t="s">
        <v>254</v>
      </c>
      <c r="C383" t="s">
        <v>32</v>
      </c>
      <c r="D383" s="1">
        <v>88794</v>
      </c>
      <c r="E383" s="1">
        <v>33642</v>
      </c>
      <c r="F383" s="2">
        <v>0.37887695114534797</v>
      </c>
      <c r="G383" s="1">
        <v>3701</v>
      </c>
      <c r="H383" s="2">
        <v>0.110011295404554</v>
      </c>
      <c r="I383" s="12">
        <v>4.1680744194427501E-2</v>
      </c>
    </row>
    <row r="384" spans="1:9" x14ac:dyDescent="0.25">
      <c r="A384" s="11">
        <v>45231</v>
      </c>
      <c r="B384" t="s">
        <v>254</v>
      </c>
      <c r="C384" t="s">
        <v>33</v>
      </c>
      <c r="D384" s="1">
        <v>9883</v>
      </c>
      <c r="E384" s="1">
        <v>3583</v>
      </c>
      <c r="F384" s="2">
        <v>0.36254173833856101</v>
      </c>
      <c r="G384" s="1">
        <v>580</v>
      </c>
      <c r="H384" s="2">
        <v>0.16187552330449301</v>
      </c>
      <c r="I384" s="12">
        <v>5.8686633613275301E-2</v>
      </c>
    </row>
    <row r="385" spans="1:9" x14ac:dyDescent="0.25">
      <c r="A385" s="11">
        <v>45231</v>
      </c>
      <c r="B385" t="s">
        <v>255</v>
      </c>
      <c r="C385" t="s">
        <v>33</v>
      </c>
      <c r="D385" s="1">
        <v>4971</v>
      </c>
      <c r="E385" s="1">
        <v>2001</v>
      </c>
      <c r="F385" s="2">
        <v>0.40253470126735102</v>
      </c>
      <c r="G385" s="1">
        <v>198</v>
      </c>
      <c r="H385" s="2">
        <v>9.8950524737631204E-2</v>
      </c>
      <c r="I385" s="12">
        <v>3.9831019915510003E-2</v>
      </c>
    </row>
    <row r="386" spans="1:9" x14ac:dyDescent="0.25">
      <c r="A386" s="11">
        <v>45232</v>
      </c>
      <c r="B386" t="s">
        <v>256</v>
      </c>
      <c r="C386" t="s">
        <v>247</v>
      </c>
      <c r="D386" s="1">
        <v>392526</v>
      </c>
      <c r="E386" s="1">
        <v>117506</v>
      </c>
      <c r="F386" s="2">
        <v>0.29935851383093098</v>
      </c>
      <c r="G386" s="1">
        <v>5541</v>
      </c>
      <c r="H386" s="2">
        <v>4.7155038891631099E-2</v>
      </c>
      <c r="I386" s="12">
        <v>1.41162623622384E-2</v>
      </c>
    </row>
    <row r="387" spans="1:9" x14ac:dyDescent="0.25">
      <c r="A387" s="11">
        <v>45232</v>
      </c>
      <c r="B387" t="s">
        <v>256</v>
      </c>
      <c r="C387" t="s">
        <v>250</v>
      </c>
      <c r="D387" s="1">
        <v>89956</v>
      </c>
      <c r="E387" s="1">
        <v>22606</v>
      </c>
      <c r="F387" s="2">
        <v>0.25130063586642398</v>
      </c>
      <c r="G387" s="1">
        <v>870</v>
      </c>
      <c r="H387" s="2">
        <v>3.8485357869592098E-2</v>
      </c>
      <c r="I387" s="12">
        <v>9.6713949041753802E-3</v>
      </c>
    </row>
    <row r="388" spans="1:9" x14ac:dyDescent="0.25">
      <c r="A388" s="11">
        <v>45232</v>
      </c>
      <c r="B388" t="s">
        <v>257</v>
      </c>
      <c r="C388" t="s">
        <v>258</v>
      </c>
      <c r="D388" s="1">
        <v>192466</v>
      </c>
      <c r="E388" s="1">
        <v>62296</v>
      </c>
      <c r="F388" s="3">
        <v>0.32369999999999999</v>
      </c>
      <c r="G388">
        <v>289</v>
      </c>
      <c r="H388" s="3">
        <v>4.5999999999999999E-3</v>
      </c>
      <c r="I388" s="16">
        <v>1.5E-3</v>
      </c>
    </row>
    <row r="389" spans="1:9" x14ac:dyDescent="0.25">
      <c r="A389" s="11">
        <v>45232</v>
      </c>
      <c r="B389" t="s">
        <v>259</v>
      </c>
      <c r="C389" t="s">
        <v>260</v>
      </c>
      <c r="D389" s="1">
        <v>12093</v>
      </c>
      <c r="E389" s="1">
        <v>3405</v>
      </c>
      <c r="F389" s="3">
        <v>0.28160000000000002</v>
      </c>
      <c r="G389">
        <v>25</v>
      </c>
      <c r="H389" s="3">
        <v>7.3000000000000001E-3</v>
      </c>
      <c r="I389" s="16">
        <v>2.0999999999999999E-3</v>
      </c>
    </row>
    <row r="390" spans="1:9" x14ac:dyDescent="0.25">
      <c r="A390" s="11">
        <v>45233</v>
      </c>
      <c r="B390" t="s">
        <v>261</v>
      </c>
      <c r="C390" t="s">
        <v>33</v>
      </c>
      <c r="D390" s="1">
        <v>182528</v>
      </c>
      <c r="E390" s="1">
        <v>34346</v>
      </c>
      <c r="F390" s="2">
        <v>0.18816839060308599</v>
      </c>
      <c r="G390" s="1">
        <v>369</v>
      </c>
      <c r="H390" s="2">
        <v>1.0743609153904401E-2</v>
      </c>
      <c r="I390" s="12">
        <v>2.0216076437587702E-3</v>
      </c>
    </row>
    <row r="391" spans="1:9" x14ac:dyDescent="0.25">
      <c r="A391" s="11">
        <v>45233</v>
      </c>
      <c r="B391" t="s">
        <v>261</v>
      </c>
      <c r="C391" t="s">
        <v>32</v>
      </c>
      <c r="D391" s="1">
        <v>2773385</v>
      </c>
      <c r="E391" s="1">
        <v>673268</v>
      </c>
      <c r="F391" s="2">
        <v>0.242760381266936</v>
      </c>
      <c r="G391" s="1">
        <v>7497</v>
      </c>
      <c r="H391" s="2">
        <v>1.11352388647611E-2</v>
      </c>
      <c r="I391" s="12">
        <v>2.7031948323078098E-3</v>
      </c>
    </row>
    <row r="392" spans="1:9" x14ac:dyDescent="0.25">
      <c r="A392" s="11">
        <v>45233</v>
      </c>
      <c r="B392" t="s">
        <v>262</v>
      </c>
      <c r="C392" t="s">
        <v>32</v>
      </c>
      <c r="D392" s="1">
        <v>299800</v>
      </c>
      <c r="E392" s="1">
        <v>73400</v>
      </c>
      <c r="F392" s="2">
        <v>0.244829886591061</v>
      </c>
      <c r="G392" s="1">
        <v>739</v>
      </c>
      <c r="H392" s="2">
        <v>1.00681198910082E-2</v>
      </c>
      <c r="I392" s="12">
        <v>2.46497665110073E-3</v>
      </c>
    </row>
    <row r="393" spans="1:9" x14ac:dyDescent="0.25">
      <c r="A393" s="11">
        <v>45233</v>
      </c>
      <c r="B393" t="s">
        <v>263</v>
      </c>
      <c r="C393" t="s">
        <v>32</v>
      </c>
      <c r="D393" s="1">
        <v>1860861</v>
      </c>
      <c r="E393" s="1">
        <v>466008</v>
      </c>
      <c r="F393" s="2">
        <v>0.25042601247487101</v>
      </c>
      <c r="G393" s="1">
        <v>2065</v>
      </c>
      <c r="H393" s="2">
        <v>4.4312543990661099E-3</v>
      </c>
      <c r="I393" s="12">
        <v>1.10970136941985E-3</v>
      </c>
    </row>
    <row r="394" spans="1:9" x14ac:dyDescent="0.25">
      <c r="A394" s="11">
        <v>45233</v>
      </c>
      <c r="B394" t="s">
        <v>263</v>
      </c>
      <c r="C394" t="s">
        <v>33</v>
      </c>
      <c r="D394" s="1">
        <v>118815</v>
      </c>
      <c r="E394" s="1">
        <v>21941</v>
      </c>
      <c r="F394" s="2">
        <v>0.18466523587089201</v>
      </c>
      <c r="G394" s="1">
        <v>191</v>
      </c>
      <c r="H394" s="2">
        <v>8.7051638485027994E-3</v>
      </c>
      <c r="I394" s="12">
        <v>1.6075411353785301E-3</v>
      </c>
    </row>
    <row r="395" spans="1:9" x14ac:dyDescent="0.25">
      <c r="A395" s="11">
        <v>45233</v>
      </c>
      <c r="B395" t="s">
        <v>264</v>
      </c>
      <c r="C395" t="s">
        <v>32</v>
      </c>
      <c r="D395" s="1">
        <v>56843</v>
      </c>
      <c r="E395" s="1">
        <v>20474</v>
      </c>
      <c r="F395" s="2">
        <v>0.36018507116091703</v>
      </c>
      <c r="G395" s="1">
        <v>1082</v>
      </c>
      <c r="H395" s="2">
        <v>5.2847513920093799E-2</v>
      </c>
      <c r="I395" s="12">
        <v>1.90348855619865E-2</v>
      </c>
    </row>
    <row r="396" spans="1:9" x14ac:dyDescent="0.25">
      <c r="A396" s="11">
        <v>45234</v>
      </c>
      <c r="B396" t="s">
        <v>265</v>
      </c>
      <c r="C396" t="s">
        <v>32</v>
      </c>
      <c r="D396" s="1">
        <v>41274</v>
      </c>
      <c r="E396" s="1">
        <v>16694</v>
      </c>
      <c r="F396" s="2">
        <v>0.40539999999999998</v>
      </c>
      <c r="G396" s="1">
        <v>1600</v>
      </c>
      <c r="H396" s="2">
        <v>3.8899999999999997E-2</v>
      </c>
      <c r="I396" s="12">
        <v>9.5799999999999996E-2</v>
      </c>
    </row>
    <row r="397" spans="1:9" x14ac:dyDescent="0.25">
      <c r="A397" s="11">
        <v>45234</v>
      </c>
      <c r="B397" t="s">
        <v>265</v>
      </c>
      <c r="C397" t="s">
        <v>33</v>
      </c>
      <c r="D397" s="1">
        <v>3824</v>
      </c>
      <c r="E397" s="1">
        <v>1377</v>
      </c>
      <c r="F397" s="2">
        <v>0.36059999999999998</v>
      </c>
      <c r="G397" s="1">
        <v>156</v>
      </c>
      <c r="H397" s="2">
        <v>4.0800000000000003E-2</v>
      </c>
      <c r="I397" s="12">
        <v>0.1133</v>
      </c>
    </row>
    <row r="398" spans="1:9" x14ac:dyDescent="0.25">
      <c r="A398" s="11">
        <v>45236</v>
      </c>
      <c r="B398" t="s">
        <v>266</v>
      </c>
      <c r="C398" t="s">
        <v>32</v>
      </c>
      <c r="D398" s="1">
        <v>31829</v>
      </c>
      <c r="E398" s="1">
        <v>12212</v>
      </c>
      <c r="F398" s="2">
        <v>0.383675264695718</v>
      </c>
      <c r="G398" s="1">
        <v>243</v>
      </c>
      <c r="H398" s="2">
        <v>1.9898460530625599E-2</v>
      </c>
      <c r="I398" s="12">
        <v>7.6345471111250703E-3</v>
      </c>
    </row>
    <row r="399" spans="1:9" x14ac:dyDescent="0.25">
      <c r="A399" s="11">
        <v>45236</v>
      </c>
      <c r="B399" t="s">
        <v>267</v>
      </c>
      <c r="C399" t="s">
        <v>163</v>
      </c>
      <c r="D399" s="1">
        <v>7616</v>
      </c>
      <c r="E399" s="1">
        <v>2642</v>
      </c>
      <c r="F399" s="2">
        <v>0.346901260504202</v>
      </c>
      <c r="G399" s="1">
        <v>19</v>
      </c>
      <c r="H399" s="2">
        <v>7.1915215745647198E-3</v>
      </c>
      <c r="I399" s="12">
        <v>2.4947478991596602E-3</v>
      </c>
    </row>
    <row r="400" spans="1:9" x14ac:dyDescent="0.25">
      <c r="A400" s="11">
        <v>45236</v>
      </c>
      <c r="B400" t="s">
        <v>267</v>
      </c>
      <c r="C400" t="s">
        <v>162</v>
      </c>
      <c r="D400" s="1">
        <v>141443</v>
      </c>
      <c r="E400" s="1">
        <v>49881</v>
      </c>
      <c r="F400" s="2">
        <v>0.35265796115749798</v>
      </c>
      <c r="G400" s="1">
        <v>528</v>
      </c>
      <c r="H400" s="2">
        <v>1.0585192758765899E-2</v>
      </c>
      <c r="I400" s="12">
        <v>3.7329524967654802E-3</v>
      </c>
    </row>
    <row r="401" spans="1:9" x14ac:dyDescent="0.25">
      <c r="A401" s="11">
        <v>45236</v>
      </c>
      <c r="B401" t="s">
        <v>267</v>
      </c>
      <c r="C401" t="s">
        <v>165</v>
      </c>
      <c r="D401" s="1">
        <v>183</v>
      </c>
      <c r="E401" s="1">
        <v>53</v>
      </c>
      <c r="F401" s="2">
        <v>0.28961748633879802</v>
      </c>
      <c r="G401" s="1">
        <v>3</v>
      </c>
      <c r="H401" s="2">
        <v>5.6603773584905703E-2</v>
      </c>
      <c r="I401" s="12">
        <v>1.63934426229508E-2</v>
      </c>
    </row>
    <row r="402" spans="1:9" x14ac:dyDescent="0.25">
      <c r="A402" s="11">
        <v>45236</v>
      </c>
      <c r="B402" t="s">
        <v>267</v>
      </c>
      <c r="C402" t="s">
        <v>164</v>
      </c>
      <c r="D402" s="1">
        <v>3828</v>
      </c>
      <c r="E402" s="1">
        <v>1175</v>
      </c>
      <c r="F402" s="2">
        <v>0.30694879832810901</v>
      </c>
      <c r="G402" s="1">
        <v>21</v>
      </c>
      <c r="H402" s="2">
        <v>1.7872340425531898E-2</v>
      </c>
      <c r="I402" s="12">
        <v>5.4858934169278997E-3</v>
      </c>
    </row>
    <row r="403" spans="1:9" x14ac:dyDescent="0.25">
      <c r="A403" s="11">
        <v>45237</v>
      </c>
      <c r="B403" t="s">
        <v>268</v>
      </c>
      <c r="C403" t="s">
        <v>32</v>
      </c>
      <c r="D403" s="1">
        <v>1061091</v>
      </c>
      <c r="E403" s="1">
        <v>343994</v>
      </c>
      <c r="F403" s="2">
        <v>0.32418897153967002</v>
      </c>
      <c r="G403" s="1">
        <v>7715</v>
      </c>
      <c r="H403" s="2">
        <v>2.2427716762501701E-2</v>
      </c>
      <c r="I403" s="12">
        <v>7.27081843121843E-3</v>
      </c>
    </row>
    <row r="404" spans="1:9" x14ac:dyDescent="0.25">
      <c r="A404" s="11">
        <v>45237</v>
      </c>
      <c r="B404" t="s">
        <v>268</v>
      </c>
      <c r="C404" t="s">
        <v>33</v>
      </c>
      <c r="D404" s="1">
        <v>81037</v>
      </c>
      <c r="E404" s="1">
        <v>22542</v>
      </c>
      <c r="F404" s="2">
        <v>0.27816923133877097</v>
      </c>
      <c r="G404" s="1">
        <v>565</v>
      </c>
      <c r="H404" s="2">
        <v>2.5064324372282801E-2</v>
      </c>
      <c r="I404" s="12">
        <v>6.9721238446635503E-3</v>
      </c>
    </row>
    <row r="405" spans="1:9" x14ac:dyDescent="0.25">
      <c r="A405" s="11">
        <v>45237</v>
      </c>
      <c r="B405" t="s">
        <v>269</v>
      </c>
      <c r="C405" t="s">
        <v>32</v>
      </c>
      <c r="D405" s="1">
        <v>58255</v>
      </c>
      <c r="E405" s="1">
        <v>23437</v>
      </c>
      <c r="F405" s="2">
        <v>0.40231739764827101</v>
      </c>
      <c r="G405" s="1">
        <v>546</v>
      </c>
      <c r="H405" s="2">
        <v>2.3296496991935801E-2</v>
      </c>
      <c r="I405" s="12">
        <v>9.3725860441163794E-3</v>
      </c>
    </row>
    <row r="406" spans="1:9" x14ac:dyDescent="0.25">
      <c r="A406" s="11">
        <v>45238</v>
      </c>
      <c r="B406" t="s">
        <v>270</v>
      </c>
      <c r="C406" t="s">
        <v>32</v>
      </c>
      <c r="D406" s="1">
        <v>113489</v>
      </c>
      <c r="E406" s="1">
        <v>37423</v>
      </c>
      <c r="F406" s="2">
        <v>0.32975001982571001</v>
      </c>
      <c r="G406" s="1">
        <v>847</v>
      </c>
      <c r="H406" s="2">
        <v>2.2633140047564299E-2</v>
      </c>
      <c r="I406" s="12">
        <v>7.4632783794024099E-3</v>
      </c>
    </row>
    <row r="407" spans="1:9" x14ac:dyDescent="0.25">
      <c r="A407" s="11">
        <v>45238</v>
      </c>
      <c r="B407" t="s">
        <v>271</v>
      </c>
      <c r="C407" t="s">
        <v>32</v>
      </c>
      <c r="D407" s="1">
        <v>142310</v>
      </c>
      <c r="E407" s="1">
        <v>67958</v>
      </c>
      <c r="F407" s="2">
        <v>0.47753495889255798</v>
      </c>
      <c r="G407" s="1">
        <v>3704</v>
      </c>
      <c r="H407" s="2">
        <v>5.4504252626622299E-2</v>
      </c>
      <c r="I407" s="12">
        <v>2.6027686037523701E-2</v>
      </c>
    </row>
    <row r="408" spans="1:9" x14ac:dyDescent="0.25">
      <c r="A408" s="11">
        <v>45238</v>
      </c>
      <c r="B408" t="s">
        <v>271</v>
      </c>
      <c r="C408" t="s">
        <v>33</v>
      </c>
      <c r="D408" s="1">
        <v>5121</v>
      </c>
      <c r="E408" s="1">
        <v>1780</v>
      </c>
      <c r="F408" s="2">
        <v>0.34758836164811602</v>
      </c>
      <c r="G408" s="1">
        <v>167</v>
      </c>
      <c r="H408" s="2">
        <v>9.3820224719101106E-2</v>
      </c>
      <c r="I408" s="12">
        <v>3.2610818199570402E-2</v>
      </c>
    </row>
    <row r="409" spans="1:9" x14ac:dyDescent="0.25">
      <c r="A409" s="11">
        <v>45239</v>
      </c>
      <c r="B409" t="s">
        <v>272</v>
      </c>
      <c r="C409" t="s">
        <v>32</v>
      </c>
      <c r="D409" s="1">
        <v>508522</v>
      </c>
      <c r="E409" s="1">
        <v>190616</v>
      </c>
      <c r="F409" s="2">
        <v>0.37484317296006903</v>
      </c>
      <c r="G409" s="1">
        <v>2562</v>
      </c>
      <c r="H409" s="2">
        <v>1.3440634574222499E-2</v>
      </c>
      <c r="I409" s="12">
        <v>5.0381301103983702E-3</v>
      </c>
    </row>
    <row r="410" spans="1:9" x14ac:dyDescent="0.25">
      <c r="A410" s="11">
        <v>45239</v>
      </c>
      <c r="B410" t="s">
        <v>272</v>
      </c>
      <c r="C410" t="s">
        <v>33</v>
      </c>
      <c r="D410" s="1">
        <v>29826</v>
      </c>
      <c r="E410" s="1">
        <v>9870</v>
      </c>
      <c r="F410" s="2">
        <v>0.33091933212633301</v>
      </c>
      <c r="G410" s="1">
        <v>185</v>
      </c>
      <c r="H410" s="2">
        <v>1.87436676798379E-2</v>
      </c>
      <c r="I410" s="12">
        <v>6.2026419902098803E-3</v>
      </c>
    </row>
    <row r="411" spans="1:9" x14ac:dyDescent="0.25">
      <c r="A411" s="11">
        <v>45239</v>
      </c>
      <c r="B411" t="s">
        <v>257</v>
      </c>
      <c r="C411" t="s">
        <v>32</v>
      </c>
      <c r="D411" s="1">
        <v>154699</v>
      </c>
      <c r="E411" s="1">
        <v>44038</v>
      </c>
      <c r="F411" s="3">
        <v>0.28470000000000001</v>
      </c>
      <c r="G411">
        <v>200</v>
      </c>
      <c r="H411" s="3">
        <v>4.4999999999999997E-3</v>
      </c>
      <c r="I411" s="16">
        <v>1.2999999999999999E-3</v>
      </c>
    </row>
    <row r="412" spans="1:9" x14ac:dyDescent="0.25">
      <c r="A412" s="11">
        <v>45239</v>
      </c>
      <c r="B412" t="s">
        <v>259</v>
      </c>
      <c r="C412" t="s">
        <v>33</v>
      </c>
      <c r="D412" s="1">
        <v>11063</v>
      </c>
      <c r="E412" s="1">
        <v>2367</v>
      </c>
      <c r="F412" s="3">
        <v>0.214</v>
      </c>
      <c r="G412">
        <v>16</v>
      </c>
      <c r="H412" s="3">
        <v>6.7999999999999996E-3</v>
      </c>
      <c r="I412" s="16">
        <v>1.4E-3</v>
      </c>
    </row>
    <row r="413" spans="1:9" x14ac:dyDescent="0.25">
      <c r="A413" s="11">
        <v>45240</v>
      </c>
      <c r="B413" t="s">
        <v>273</v>
      </c>
      <c r="C413" t="s">
        <v>32</v>
      </c>
      <c r="D413" s="1">
        <v>2854604</v>
      </c>
      <c r="E413" s="1">
        <v>885175</v>
      </c>
      <c r="F413" s="2">
        <v>0.31008679312436999</v>
      </c>
      <c r="G413" s="1">
        <v>12428</v>
      </c>
      <c r="H413" s="2">
        <v>1.4040161549975999E-2</v>
      </c>
      <c r="I413" s="12">
        <v>4.3536686699801397E-3</v>
      </c>
    </row>
    <row r="414" spans="1:9" x14ac:dyDescent="0.25">
      <c r="A414" s="11">
        <v>45240</v>
      </c>
      <c r="B414" t="s">
        <v>273</v>
      </c>
      <c r="C414" t="s">
        <v>33</v>
      </c>
      <c r="D414" s="1">
        <v>193008</v>
      </c>
      <c r="E414" s="1">
        <v>46094</v>
      </c>
      <c r="F414" s="2">
        <v>0.23881911630606001</v>
      </c>
      <c r="G414" s="1">
        <v>717</v>
      </c>
      <c r="H414" s="2">
        <v>1.55551698702651E-2</v>
      </c>
      <c r="I414" s="12">
        <v>3.7148719224073599E-3</v>
      </c>
    </row>
    <row r="415" spans="1:9" x14ac:dyDescent="0.25">
      <c r="A415" s="11">
        <v>45240</v>
      </c>
      <c r="B415" t="s">
        <v>274</v>
      </c>
      <c r="C415" t="s">
        <v>32</v>
      </c>
      <c r="D415" s="1">
        <v>1375871</v>
      </c>
      <c r="E415" s="1">
        <v>451457</v>
      </c>
      <c r="F415" s="2">
        <v>0.32812451167296902</v>
      </c>
      <c r="G415" s="1">
        <v>5374</v>
      </c>
      <c r="H415" s="2">
        <v>1.19036807492186E-2</v>
      </c>
      <c r="I415" s="12">
        <v>3.9058894329482901E-3</v>
      </c>
    </row>
    <row r="416" spans="1:9" x14ac:dyDescent="0.25">
      <c r="A416" s="11">
        <v>45240</v>
      </c>
      <c r="B416" t="s">
        <v>274</v>
      </c>
      <c r="C416" t="s">
        <v>33</v>
      </c>
      <c r="D416" s="1">
        <v>159385</v>
      </c>
      <c r="E416" s="1">
        <v>43639</v>
      </c>
      <c r="F416" s="2">
        <v>0.27379615396681001</v>
      </c>
      <c r="G416" s="1">
        <v>1022</v>
      </c>
      <c r="H416" s="2">
        <v>2.3419418410137699E-2</v>
      </c>
      <c r="I416" s="12">
        <v>6.4121466888352099E-3</v>
      </c>
    </row>
    <row r="417" spans="1:9" x14ac:dyDescent="0.25">
      <c r="A417" s="11">
        <v>45240</v>
      </c>
      <c r="B417" t="s">
        <v>275</v>
      </c>
      <c r="C417" t="s">
        <v>32</v>
      </c>
      <c r="D417" s="1">
        <v>308606</v>
      </c>
      <c r="E417" s="1">
        <v>94904</v>
      </c>
      <c r="F417" s="2">
        <v>0.30752480509128099</v>
      </c>
      <c r="G417" s="1">
        <v>1351</v>
      </c>
      <c r="H417" s="2">
        <v>1.4235437916210099E-2</v>
      </c>
      <c r="I417" s="12">
        <v>4.3777502705715397E-3</v>
      </c>
    </row>
    <row r="418" spans="1:9" x14ac:dyDescent="0.25">
      <c r="A418" s="11">
        <v>45240</v>
      </c>
      <c r="B418" t="s">
        <v>275</v>
      </c>
      <c r="C418" t="s">
        <v>33</v>
      </c>
      <c r="D418" s="1">
        <v>16982</v>
      </c>
      <c r="E418" s="1">
        <v>5756</v>
      </c>
      <c r="F418" s="2">
        <v>0.33894712048050901</v>
      </c>
      <c r="G418" s="1">
        <v>150</v>
      </c>
      <c r="H418" s="2">
        <v>2.60597637248089E-2</v>
      </c>
      <c r="I418" s="12">
        <v>8.8328818749263908E-3</v>
      </c>
    </row>
    <row r="419" spans="1:9" x14ac:dyDescent="0.25">
      <c r="A419" s="11">
        <v>45240</v>
      </c>
      <c r="B419" t="s">
        <v>276</v>
      </c>
      <c r="C419" t="s">
        <v>32</v>
      </c>
      <c r="D419" s="1">
        <v>128261</v>
      </c>
      <c r="E419" s="1">
        <v>42415</v>
      </c>
      <c r="F419" s="2">
        <v>0.330692884041135</v>
      </c>
      <c r="G419" s="1">
        <v>801</v>
      </c>
      <c r="H419" s="2">
        <v>1.88848284804904E-2</v>
      </c>
      <c r="I419" s="12">
        <v>6.24507839483553E-3</v>
      </c>
    </row>
    <row r="420" spans="1:9" x14ac:dyDescent="0.25">
      <c r="A420" s="11">
        <v>45241</v>
      </c>
      <c r="B420" t="s">
        <v>277</v>
      </c>
      <c r="C420" t="s">
        <v>32</v>
      </c>
      <c r="D420" s="1">
        <v>391185</v>
      </c>
      <c r="E420" s="1">
        <v>142487</v>
      </c>
      <c r="F420" s="2">
        <v>0.36424453902884801</v>
      </c>
      <c r="G420" s="1">
        <v>1548</v>
      </c>
      <c r="H420" s="2">
        <v>1.0864149010085099E-2</v>
      </c>
      <c r="I420" s="12">
        <v>3.95720694811918E-3</v>
      </c>
    </row>
    <row r="421" spans="1:9" x14ac:dyDescent="0.25">
      <c r="A421" s="11">
        <v>45243</v>
      </c>
      <c r="B421" t="s">
        <v>278</v>
      </c>
      <c r="C421" t="s">
        <v>32</v>
      </c>
      <c r="D421" s="1">
        <v>160254</v>
      </c>
      <c r="E421" s="1">
        <v>58241</v>
      </c>
      <c r="F421" s="2">
        <v>0.36342930597676198</v>
      </c>
      <c r="G421" s="1">
        <v>819</v>
      </c>
      <c r="H421" s="2">
        <v>1.40622585463848E-2</v>
      </c>
      <c r="I421" s="12">
        <v>5.1106368639784296E-3</v>
      </c>
    </row>
    <row r="422" spans="1:9" x14ac:dyDescent="0.25">
      <c r="A422" s="11">
        <v>45244</v>
      </c>
      <c r="B422" t="s">
        <v>279</v>
      </c>
      <c r="C422" t="s">
        <v>32</v>
      </c>
      <c r="D422" s="1">
        <v>1055431</v>
      </c>
      <c r="E422" s="1">
        <v>338883</v>
      </c>
      <c r="F422" s="2">
        <v>0.32108494065457599</v>
      </c>
      <c r="G422" s="1">
        <v>6052</v>
      </c>
      <c r="H422" s="2">
        <v>1.7858670986741699E-2</v>
      </c>
      <c r="I422" s="12">
        <v>5.7341503139475697E-3</v>
      </c>
    </row>
    <row r="423" spans="1:9" x14ac:dyDescent="0.25">
      <c r="A423" s="11">
        <v>45244</v>
      </c>
      <c r="B423" t="s">
        <v>279</v>
      </c>
      <c r="C423" t="s">
        <v>33</v>
      </c>
      <c r="D423" s="1">
        <v>80625</v>
      </c>
      <c r="E423" s="1">
        <v>22287</v>
      </c>
      <c r="F423" s="2">
        <v>0.27642790697674402</v>
      </c>
      <c r="G423" s="1">
        <v>491</v>
      </c>
      <c r="H423" s="2">
        <v>2.2030780275496899E-2</v>
      </c>
      <c r="I423" s="12">
        <v>6.0899224806201602E-3</v>
      </c>
    </row>
    <row r="424" spans="1:9" x14ac:dyDescent="0.25">
      <c r="A424" s="11">
        <v>45244</v>
      </c>
      <c r="B424" t="s">
        <v>280</v>
      </c>
      <c r="C424" t="s">
        <v>32</v>
      </c>
      <c r="D424" s="1">
        <v>40341</v>
      </c>
      <c r="E424" s="1">
        <v>12987</v>
      </c>
      <c r="F424" s="2">
        <v>0.32193054212835598</v>
      </c>
      <c r="G424" s="1">
        <v>174</v>
      </c>
      <c r="H424" s="2">
        <v>1.33980133980134E-2</v>
      </c>
      <c r="I424" s="12">
        <v>4.3132297166654301E-3</v>
      </c>
    </row>
    <row r="425" spans="1:9" x14ac:dyDescent="0.25">
      <c r="A425" s="11">
        <v>45245</v>
      </c>
      <c r="B425" t="s">
        <v>281</v>
      </c>
      <c r="C425" t="s">
        <v>32</v>
      </c>
      <c r="D425" s="1">
        <v>45758</v>
      </c>
      <c r="E425" s="1">
        <v>15905</v>
      </c>
      <c r="F425" s="2">
        <v>0.34758949254775101</v>
      </c>
      <c r="G425" s="1">
        <v>421</v>
      </c>
      <c r="H425" s="2">
        <v>2.6469663627790001E-2</v>
      </c>
      <c r="I425" s="12">
        <v>9.2005769482931907E-3</v>
      </c>
    </row>
    <row r="426" spans="1:9" x14ac:dyDescent="0.25">
      <c r="A426" s="11">
        <v>45245</v>
      </c>
      <c r="B426" t="s">
        <v>282</v>
      </c>
      <c r="C426" t="s">
        <v>32</v>
      </c>
      <c r="D426" s="1">
        <v>108755</v>
      </c>
      <c r="E426" s="1">
        <v>47964</v>
      </c>
      <c r="F426" s="2">
        <v>0.44102799871270298</v>
      </c>
      <c r="G426" s="1">
        <v>1797</v>
      </c>
      <c r="H426" s="2">
        <v>3.7465599199399499E-2</v>
      </c>
      <c r="I426" s="12">
        <v>1.6523378235483398E-2</v>
      </c>
    </row>
    <row r="427" spans="1:9" x14ac:dyDescent="0.25">
      <c r="A427" s="11">
        <v>45245</v>
      </c>
      <c r="B427" t="s">
        <v>282</v>
      </c>
      <c r="C427" t="s">
        <v>33</v>
      </c>
      <c r="D427" s="1">
        <v>6251</v>
      </c>
      <c r="E427" s="1">
        <v>2697</v>
      </c>
      <c r="F427" s="2">
        <v>0.43145096784514497</v>
      </c>
      <c r="G427" s="1">
        <v>128</v>
      </c>
      <c r="H427" s="2">
        <v>4.74601408972933E-2</v>
      </c>
      <c r="I427" s="12">
        <v>2.0476723724204102E-2</v>
      </c>
    </row>
    <row r="428" spans="1:9" x14ac:dyDescent="0.25">
      <c r="A428" s="11">
        <v>45246</v>
      </c>
      <c r="B428" t="s">
        <v>283</v>
      </c>
      <c r="C428" t="s">
        <v>32</v>
      </c>
      <c r="D428" s="1">
        <v>362</v>
      </c>
      <c r="E428" s="1">
        <v>119</v>
      </c>
      <c r="F428" s="2">
        <v>0.32872928176795602</v>
      </c>
      <c r="G428" s="1">
        <v>21</v>
      </c>
      <c r="H428" s="2">
        <v>0.17647058823529399</v>
      </c>
      <c r="I428" s="12">
        <v>5.8011049723756897E-2</v>
      </c>
    </row>
    <row r="429" spans="1:9" x14ac:dyDescent="0.25">
      <c r="A429" s="11">
        <v>45246</v>
      </c>
      <c r="B429" t="s">
        <v>284</v>
      </c>
      <c r="C429" t="s">
        <v>33</v>
      </c>
      <c r="D429" s="1">
        <v>30</v>
      </c>
      <c r="E429" s="1">
        <v>9</v>
      </c>
      <c r="F429" s="2">
        <v>0.3</v>
      </c>
      <c r="G429" s="1">
        <v>4</v>
      </c>
      <c r="H429" s="2">
        <v>0.44444444444444398</v>
      </c>
      <c r="I429" s="12">
        <v>0.133333333333333</v>
      </c>
    </row>
    <row r="430" spans="1:9" x14ac:dyDescent="0.25">
      <c r="A430" s="11">
        <v>45246</v>
      </c>
      <c r="B430" t="s">
        <v>285</v>
      </c>
      <c r="C430" t="s">
        <v>32</v>
      </c>
      <c r="D430" s="1">
        <v>2195</v>
      </c>
      <c r="E430" s="1">
        <v>989</v>
      </c>
      <c r="F430" s="2">
        <v>0.45056947608200498</v>
      </c>
      <c r="G430" s="1">
        <v>38</v>
      </c>
      <c r="H430" s="2">
        <v>3.8422649140546002E-2</v>
      </c>
      <c r="I430" s="12">
        <v>1.7312072892938499E-2</v>
      </c>
    </row>
    <row r="431" spans="1:9" x14ac:dyDescent="0.25">
      <c r="A431" s="11">
        <v>45246</v>
      </c>
      <c r="B431" t="s">
        <v>286</v>
      </c>
      <c r="C431" t="s">
        <v>32</v>
      </c>
      <c r="D431" s="1">
        <v>61193</v>
      </c>
      <c r="E431" s="1">
        <v>26836</v>
      </c>
      <c r="F431" s="2">
        <v>0.43854689261843699</v>
      </c>
      <c r="G431" s="1">
        <v>1819</v>
      </c>
      <c r="H431" s="2">
        <v>6.7782083768072696E-2</v>
      </c>
      <c r="I431" s="12">
        <v>2.9725622211690901E-2</v>
      </c>
    </row>
    <row r="432" spans="1:9" x14ac:dyDescent="0.25">
      <c r="A432" s="11">
        <v>45246</v>
      </c>
      <c r="B432" t="s">
        <v>286</v>
      </c>
      <c r="C432" t="s">
        <v>33</v>
      </c>
      <c r="D432" s="1">
        <v>2218</v>
      </c>
      <c r="E432" s="1">
        <v>874</v>
      </c>
      <c r="F432" s="2">
        <v>0.39404869251578001</v>
      </c>
      <c r="G432" s="1">
        <v>20</v>
      </c>
      <c r="H432" s="2">
        <v>2.2883295194508001E-2</v>
      </c>
      <c r="I432" s="12">
        <v>9.0171325518485102E-3</v>
      </c>
    </row>
    <row r="433" spans="1:9" x14ac:dyDescent="0.25">
      <c r="A433" s="11">
        <v>45246</v>
      </c>
      <c r="B433" t="s">
        <v>257</v>
      </c>
      <c r="C433" t="s">
        <v>32</v>
      </c>
      <c r="D433" s="1">
        <v>152150</v>
      </c>
      <c r="E433" s="1">
        <v>47559</v>
      </c>
      <c r="F433" s="3">
        <v>0.31259999999999999</v>
      </c>
      <c r="G433">
        <v>205</v>
      </c>
      <c r="H433" s="3">
        <v>4.3E-3</v>
      </c>
      <c r="I433" s="16">
        <v>1.2999999999999999E-3</v>
      </c>
    </row>
    <row r="434" spans="1:9" x14ac:dyDescent="0.25">
      <c r="A434" s="11">
        <v>45246</v>
      </c>
      <c r="B434" t="s">
        <v>259</v>
      </c>
      <c r="C434" t="s">
        <v>33</v>
      </c>
      <c r="D434" s="1">
        <v>10903</v>
      </c>
      <c r="E434" s="1">
        <v>3063</v>
      </c>
      <c r="F434" s="3">
        <v>0.28089999999999998</v>
      </c>
      <c r="G434">
        <v>38</v>
      </c>
      <c r="H434" s="3">
        <v>1.24E-2</v>
      </c>
      <c r="I434" s="16">
        <v>3.5000000000000001E-3</v>
      </c>
    </row>
    <row r="435" spans="1:9" x14ac:dyDescent="0.25">
      <c r="A435" s="11">
        <v>45246</v>
      </c>
      <c r="B435" t="s">
        <v>287</v>
      </c>
      <c r="C435" t="s">
        <v>32</v>
      </c>
      <c r="D435" s="1">
        <v>1444711</v>
      </c>
      <c r="E435" s="1">
        <v>477628</v>
      </c>
      <c r="F435" s="3">
        <v>0.3306</v>
      </c>
      <c r="G435" s="1">
        <v>2166</v>
      </c>
      <c r="H435" s="3">
        <v>4.4999999999999997E-3</v>
      </c>
      <c r="I435" s="16">
        <v>1.5E-3</v>
      </c>
    </row>
    <row r="436" spans="1:9" x14ac:dyDescent="0.25">
      <c r="A436" s="11">
        <v>45246</v>
      </c>
      <c r="B436" t="s">
        <v>288</v>
      </c>
      <c r="C436" t="s">
        <v>33</v>
      </c>
      <c r="D436" s="1">
        <v>82456</v>
      </c>
      <c r="E436" s="1">
        <v>23250</v>
      </c>
      <c r="F436" s="3">
        <v>0.28199999999999997</v>
      </c>
      <c r="G436">
        <v>169</v>
      </c>
      <c r="H436" s="3">
        <v>7.3000000000000001E-3</v>
      </c>
      <c r="I436" s="16">
        <v>2E-3</v>
      </c>
    </row>
    <row r="437" spans="1:9" x14ac:dyDescent="0.25">
      <c r="A437" s="11">
        <v>45247</v>
      </c>
      <c r="B437" t="s">
        <v>289</v>
      </c>
      <c r="C437" t="s">
        <v>32</v>
      </c>
      <c r="D437" s="1">
        <v>2863222</v>
      </c>
      <c r="E437" s="1">
        <v>866905</v>
      </c>
      <c r="F437" s="2">
        <v>0.30277254086480199</v>
      </c>
      <c r="G437" s="1">
        <v>10112</v>
      </c>
      <c r="H437" s="2">
        <v>1.16644845744343E-2</v>
      </c>
      <c r="I437" s="12">
        <v>3.5316856324797701E-3</v>
      </c>
    </row>
    <row r="438" spans="1:9" x14ac:dyDescent="0.25">
      <c r="A438" s="11">
        <v>45247</v>
      </c>
      <c r="B438" t="s">
        <v>289</v>
      </c>
      <c r="C438" t="s">
        <v>33</v>
      </c>
      <c r="D438" s="1">
        <v>192311</v>
      </c>
      <c r="E438" s="1">
        <v>45331</v>
      </c>
      <c r="F438" s="2">
        <v>0.235717145665095</v>
      </c>
      <c r="G438" s="1">
        <v>784</v>
      </c>
      <c r="H438" s="2">
        <v>1.7295007831285399E-2</v>
      </c>
      <c r="I438" s="12">
        <v>4.0767298802460604E-3</v>
      </c>
    </row>
    <row r="439" spans="1:9" x14ac:dyDescent="0.25">
      <c r="A439" s="11">
        <v>45247</v>
      </c>
      <c r="B439" t="s">
        <v>290</v>
      </c>
      <c r="C439" t="s">
        <v>32</v>
      </c>
      <c r="D439" s="1">
        <v>1094920</v>
      </c>
      <c r="E439" s="1">
        <v>361103</v>
      </c>
      <c r="F439" s="2">
        <v>0.32979852409308402</v>
      </c>
      <c r="G439" s="1">
        <v>4876</v>
      </c>
      <c r="H439" s="2">
        <v>1.3503072530552201E-2</v>
      </c>
      <c r="I439" s="12">
        <v>4.4532933912979902E-3</v>
      </c>
    </row>
    <row r="440" spans="1:9" x14ac:dyDescent="0.25">
      <c r="A440" s="11">
        <v>45247</v>
      </c>
      <c r="B440" t="s">
        <v>290</v>
      </c>
      <c r="C440" t="s">
        <v>33</v>
      </c>
      <c r="D440" s="1">
        <v>1971</v>
      </c>
      <c r="E440" s="1">
        <v>601</v>
      </c>
      <c r="F440" s="2">
        <v>0.30492135971588002</v>
      </c>
      <c r="G440" s="1">
        <v>12</v>
      </c>
      <c r="H440" s="2">
        <v>1.99667221297837E-2</v>
      </c>
      <c r="I440" s="12">
        <v>6.0882800608828003E-3</v>
      </c>
    </row>
    <row r="441" spans="1:9" x14ac:dyDescent="0.25">
      <c r="A441" s="11">
        <v>45247</v>
      </c>
      <c r="B441" t="s">
        <v>291</v>
      </c>
      <c r="C441" t="s">
        <v>32</v>
      </c>
      <c r="D441" s="1">
        <v>312358</v>
      </c>
      <c r="E441" s="1">
        <v>94896</v>
      </c>
      <c r="F441" s="2">
        <v>0.30380524910519302</v>
      </c>
      <c r="G441" s="1">
        <v>1234</v>
      </c>
      <c r="H441" s="2">
        <v>1.30037093238914E-2</v>
      </c>
      <c r="I441" s="12">
        <v>3.9505951504363599E-3</v>
      </c>
    </row>
    <row r="442" spans="1:9" x14ac:dyDescent="0.25">
      <c r="A442" s="11">
        <v>45247</v>
      </c>
      <c r="B442" t="s">
        <v>292</v>
      </c>
      <c r="C442" t="s">
        <v>32</v>
      </c>
      <c r="D442" s="1">
        <v>159005</v>
      </c>
      <c r="E442" s="1">
        <v>60212</v>
      </c>
      <c r="F442" s="2">
        <v>0.37867991572592102</v>
      </c>
      <c r="G442" s="1">
        <v>1544</v>
      </c>
      <c r="H442" s="2">
        <v>2.56427290241148E-2</v>
      </c>
      <c r="I442" s="12">
        <v>9.7103864658344106E-3</v>
      </c>
    </row>
    <row r="443" spans="1:9" x14ac:dyDescent="0.25">
      <c r="A443" s="11">
        <v>45247</v>
      </c>
      <c r="B443" t="s">
        <v>293</v>
      </c>
      <c r="C443" t="s">
        <v>32</v>
      </c>
      <c r="D443" s="1">
        <v>313901</v>
      </c>
      <c r="E443" s="1">
        <v>101478</v>
      </c>
      <c r="F443" s="2">
        <v>0.32328026989401099</v>
      </c>
      <c r="G443" s="1">
        <v>675</v>
      </c>
      <c r="H443" s="2">
        <v>6.6516880506119497E-3</v>
      </c>
      <c r="I443" s="12">
        <v>2.1503595082525999E-3</v>
      </c>
    </row>
    <row r="444" spans="1:9" ht="9.9499999999999993" customHeight="1" x14ac:dyDescent="0.25">
      <c r="A444" s="11">
        <v>45248</v>
      </c>
      <c r="B444" t="s">
        <v>294</v>
      </c>
      <c r="C444" t="s">
        <v>32</v>
      </c>
      <c r="D444" s="1">
        <v>40943</v>
      </c>
      <c r="E444" s="1">
        <v>15872</v>
      </c>
      <c r="F444" s="2">
        <v>0.387660894414186</v>
      </c>
      <c r="G444" s="1">
        <v>488</v>
      </c>
      <c r="H444" s="2">
        <v>3.0745967741935502E-2</v>
      </c>
      <c r="I444" s="12">
        <v>1.19190093544684E-2</v>
      </c>
    </row>
    <row r="445" spans="1:9" x14ac:dyDescent="0.25">
      <c r="A445" s="11">
        <v>45248</v>
      </c>
      <c r="B445" t="s">
        <v>295</v>
      </c>
      <c r="C445" t="s">
        <v>32</v>
      </c>
      <c r="D445" s="1">
        <v>1042769</v>
      </c>
      <c r="E445" s="1">
        <v>281508</v>
      </c>
      <c r="F445" s="2">
        <v>0.269961995417969</v>
      </c>
      <c r="G445" s="1">
        <v>8931</v>
      </c>
      <c r="H445" s="2">
        <v>3.1725563749520402E-2</v>
      </c>
      <c r="I445" s="12">
        <v>8.5646964955805194E-3</v>
      </c>
    </row>
    <row r="446" spans="1:9" x14ac:dyDescent="0.25">
      <c r="A446" s="11">
        <v>45248</v>
      </c>
      <c r="B446" t="s">
        <v>295</v>
      </c>
      <c r="C446" t="s">
        <v>33</v>
      </c>
      <c r="D446" s="1">
        <v>86127</v>
      </c>
      <c r="E446" s="1">
        <v>16610</v>
      </c>
      <c r="F446" s="2">
        <v>0.19285473777096601</v>
      </c>
      <c r="G446" s="1">
        <v>557</v>
      </c>
      <c r="H446" s="2">
        <v>3.3534015653220901E-2</v>
      </c>
      <c r="I446" s="12">
        <v>6.4671937952093996E-3</v>
      </c>
    </row>
    <row r="447" spans="1:9" x14ac:dyDescent="0.25">
      <c r="A447" s="11">
        <v>45250</v>
      </c>
      <c r="B447" t="s">
        <v>296</v>
      </c>
      <c r="C447" t="s">
        <v>32</v>
      </c>
      <c r="D447" s="1">
        <v>59523</v>
      </c>
      <c r="E447" s="1">
        <v>23508</v>
      </c>
      <c r="F447" s="2">
        <v>0.39493977118088802</v>
      </c>
      <c r="G447" s="1">
        <v>293</v>
      </c>
      <c r="H447" s="2">
        <v>1.24638420963076E-2</v>
      </c>
      <c r="I447" s="12">
        <v>4.9224669455504603E-3</v>
      </c>
    </row>
    <row r="448" spans="1:9" x14ac:dyDescent="0.25">
      <c r="A448" s="11">
        <v>45251</v>
      </c>
      <c r="B448" t="s">
        <v>297</v>
      </c>
      <c r="C448" t="s">
        <v>32</v>
      </c>
      <c r="D448" s="1">
        <v>1069940</v>
      </c>
      <c r="E448" s="1">
        <v>336792</v>
      </c>
      <c r="F448" s="2">
        <v>0.31477652952502</v>
      </c>
      <c r="G448" s="1">
        <v>4152</v>
      </c>
      <c r="H448" s="2">
        <v>1.2328083802465599E-2</v>
      </c>
      <c r="I448" s="12">
        <v>3.88059143503374E-3</v>
      </c>
    </row>
    <row r="449" spans="1:9" x14ac:dyDescent="0.25">
      <c r="A449" s="11">
        <v>45251</v>
      </c>
      <c r="B449" t="s">
        <v>297</v>
      </c>
      <c r="C449" t="s">
        <v>33</v>
      </c>
      <c r="D449" s="1">
        <v>81105</v>
      </c>
      <c r="E449" s="1">
        <v>21249</v>
      </c>
      <c r="F449" s="2">
        <v>0.26199371185500298</v>
      </c>
      <c r="G449" s="1">
        <v>462</v>
      </c>
      <c r="H449" s="2">
        <v>2.1742199632923901E-2</v>
      </c>
      <c r="I449" s="12">
        <v>5.6963195857222104E-3</v>
      </c>
    </row>
    <row r="450" spans="1:9" x14ac:dyDescent="0.25">
      <c r="A450" s="11">
        <v>45252</v>
      </c>
      <c r="B450" t="s">
        <v>298</v>
      </c>
      <c r="C450" t="s">
        <v>32</v>
      </c>
      <c r="D450" s="1">
        <v>198425</v>
      </c>
      <c r="E450" s="1">
        <v>77572</v>
      </c>
      <c r="F450" s="2">
        <v>0.39093864180420801</v>
      </c>
      <c r="G450" s="1">
        <v>892</v>
      </c>
      <c r="H450" s="2">
        <v>1.14989944825452E-2</v>
      </c>
      <c r="I450" s="12">
        <v>4.4954012851203201E-3</v>
      </c>
    </row>
    <row r="451" spans="1:9" x14ac:dyDescent="0.25">
      <c r="A451" s="11">
        <v>45252</v>
      </c>
      <c r="B451" t="s">
        <v>298</v>
      </c>
      <c r="C451" t="s">
        <v>33</v>
      </c>
      <c r="D451" s="1">
        <v>11868</v>
      </c>
      <c r="E451" s="1">
        <v>4334</v>
      </c>
      <c r="F451" s="2">
        <v>0.36518368722615402</v>
      </c>
      <c r="G451" s="1">
        <v>102</v>
      </c>
      <c r="H451" s="2">
        <v>2.3534840793724001E-2</v>
      </c>
      <c r="I451" s="12">
        <v>8.5945399393326603E-3</v>
      </c>
    </row>
    <row r="452" spans="1:9" x14ac:dyDescent="0.25">
      <c r="A452" s="11">
        <v>45252</v>
      </c>
      <c r="B452" t="s">
        <v>299</v>
      </c>
      <c r="C452" t="s">
        <v>300</v>
      </c>
      <c r="D452" s="1">
        <v>5802</v>
      </c>
      <c r="E452" s="1">
        <v>2177</v>
      </c>
      <c r="F452" s="2">
        <v>0.37521544295070702</v>
      </c>
      <c r="G452" s="1">
        <v>44</v>
      </c>
      <c r="H452" s="2">
        <v>2.02112999540652E-2</v>
      </c>
      <c r="I452" s="12">
        <v>7.5835918648741799E-3</v>
      </c>
    </row>
    <row r="453" spans="1:9" x14ac:dyDescent="0.25">
      <c r="A453" s="11">
        <v>45252</v>
      </c>
      <c r="B453" t="s">
        <v>299</v>
      </c>
      <c r="C453" t="s">
        <v>162</v>
      </c>
      <c r="D453" s="1">
        <v>109287</v>
      </c>
      <c r="E453" s="1">
        <v>40332</v>
      </c>
      <c r="F453" s="2">
        <v>0.369046638666996</v>
      </c>
      <c r="G453" s="1">
        <v>952</v>
      </c>
      <c r="H453" s="2">
        <v>2.3604086085490399E-2</v>
      </c>
      <c r="I453" s="12">
        <v>8.7110086286566607E-3</v>
      </c>
    </row>
    <row r="454" spans="1:9" x14ac:dyDescent="0.25">
      <c r="A454" s="11">
        <v>45252</v>
      </c>
      <c r="B454" t="s">
        <v>299</v>
      </c>
      <c r="C454" t="s">
        <v>301</v>
      </c>
      <c r="D454" s="1">
        <v>874</v>
      </c>
      <c r="E454" s="1">
        <v>321</v>
      </c>
      <c r="F454" s="2">
        <v>0.36727688787185397</v>
      </c>
      <c r="G454" s="1">
        <v>9</v>
      </c>
      <c r="H454" s="2">
        <v>2.80373831775701E-2</v>
      </c>
      <c r="I454" s="12">
        <v>1.02974828375286E-2</v>
      </c>
    </row>
    <row r="455" spans="1:9" x14ac:dyDescent="0.25">
      <c r="A455" s="11">
        <v>45252</v>
      </c>
      <c r="B455" t="s">
        <v>299</v>
      </c>
      <c r="C455" t="s">
        <v>164</v>
      </c>
      <c r="D455" s="1">
        <v>15846</v>
      </c>
      <c r="E455" s="1">
        <v>5430</v>
      </c>
      <c r="F455" s="2">
        <v>0.34267322983718301</v>
      </c>
      <c r="G455" s="1">
        <v>161</v>
      </c>
      <c r="H455" s="2">
        <v>2.9650092081031299E-2</v>
      </c>
      <c r="I455" s="12">
        <v>1.0160292818376901E-2</v>
      </c>
    </row>
    <row r="456" spans="1:9" x14ac:dyDescent="0.25">
      <c r="A456" s="11">
        <v>45252</v>
      </c>
      <c r="B456" t="s">
        <v>302</v>
      </c>
      <c r="C456" t="s">
        <v>32</v>
      </c>
      <c r="D456" s="1">
        <v>204820</v>
      </c>
      <c r="E456" s="1">
        <v>70861</v>
      </c>
      <c r="F456" s="2">
        <v>0.34596719070403298</v>
      </c>
      <c r="G456" s="1">
        <v>832</v>
      </c>
      <c r="H456" s="2">
        <v>1.1741296340723399E-2</v>
      </c>
      <c r="I456" s="12">
        <v>4.0621033102236099E-3</v>
      </c>
    </row>
    <row r="457" spans="1:9" x14ac:dyDescent="0.25">
      <c r="A457" s="11">
        <v>45252</v>
      </c>
      <c r="B457" t="s">
        <v>303</v>
      </c>
      <c r="C457" t="s">
        <v>32</v>
      </c>
      <c r="D457" s="1">
        <v>33828</v>
      </c>
      <c r="E457" s="1">
        <v>14255</v>
      </c>
      <c r="F457" s="2">
        <v>0.42139647629182903</v>
      </c>
      <c r="G457" s="1">
        <v>947</v>
      </c>
      <c r="H457" s="2">
        <v>6.6432830585759398E-2</v>
      </c>
      <c r="I457" s="12">
        <v>2.79945607189311E-2</v>
      </c>
    </row>
    <row r="458" spans="1:9" x14ac:dyDescent="0.25">
      <c r="A458" s="11">
        <v>45253</v>
      </c>
      <c r="B458" t="s">
        <v>304</v>
      </c>
      <c r="C458" t="s">
        <v>163</v>
      </c>
      <c r="D458" s="1">
        <v>2101</v>
      </c>
      <c r="E458" s="1">
        <v>721</v>
      </c>
      <c r="F458" s="2">
        <v>0.34316991908614902</v>
      </c>
      <c r="G458" s="1">
        <v>8</v>
      </c>
      <c r="H458" s="2">
        <v>1.1095700416088801E-2</v>
      </c>
      <c r="I458" s="12">
        <v>3.8077106139933399E-3</v>
      </c>
    </row>
    <row r="459" spans="1:9" x14ac:dyDescent="0.25">
      <c r="A459" s="11">
        <v>45253</v>
      </c>
      <c r="B459" t="s">
        <v>304</v>
      </c>
      <c r="C459" t="s">
        <v>162</v>
      </c>
      <c r="D459" s="1">
        <v>40852</v>
      </c>
      <c r="E459" s="1">
        <v>15093</v>
      </c>
      <c r="F459" s="2">
        <v>0.36945559580926302</v>
      </c>
      <c r="G459" s="1">
        <v>202</v>
      </c>
      <c r="H459" s="2">
        <v>1.33836878022925E-2</v>
      </c>
      <c r="I459" s="12">
        <v>4.9446783511211201E-3</v>
      </c>
    </row>
    <row r="460" spans="1:9" x14ac:dyDescent="0.25">
      <c r="A460" s="11">
        <v>45253</v>
      </c>
      <c r="B460" t="s">
        <v>305</v>
      </c>
      <c r="C460" t="s">
        <v>32</v>
      </c>
      <c r="D460" s="1">
        <v>1826689</v>
      </c>
      <c r="E460" s="1">
        <v>558571</v>
      </c>
      <c r="F460" s="2">
        <v>0.30580000000000002</v>
      </c>
      <c r="G460" s="1">
        <v>2859</v>
      </c>
      <c r="H460" s="2">
        <v>5.1000000000000004E-3</v>
      </c>
      <c r="I460" s="12">
        <v>1.6000000000000001E-3</v>
      </c>
    </row>
    <row r="461" spans="1:9" x14ac:dyDescent="0.25">
      <c r="A461" s="11">
        <v>45253</v>
      </c>
      <c r="B461" t="s">
        <v>306</v>
      </c>
      <c r="C461" t="s">
        <v>33</v>
      </c>
      <c r="D461" s="1">
        <v>130018</v>
      </c>
      <c r="E461" s="1">
        <v>30436</v>
      </c>
      <c r="F461" s="2">
        <v>0.2341</v>
      </c>
      <c r="G461" s="1">
        <v>220</v>
      </c>
      <c r="H461" s="2">
        <v>7.1999999999999998E-3</v>
      </c>
      <c r="I461" s="12">
        <v>1.6999999999999999E-3</v>
      </c>
    </row>
    <row r="462" spans="1:9" x14ac:dyDescent="0.25">
      <c r="A462" s="11">
        <v>45253</v>
      </c>
      <c r="B462" t="s">
        <v>287</v>
      </c>
      <c r="C462" t="s">
        <v>32</v>
      </c>
      <c r="D462" s="1">
        <v>1313060</v>
      </c>
      <c r="E462" s="1">
        <v>389257</v>
      </c>
      <c r="F462" s="2">
        <v>0.29649999999999999</v>
      </c>
      <c r="G462" s="1">
        <v>1577</v>
      </c>
      <c r="H462" s="2">
        <v>4.1000000000000003E-3</v>
      </c>
      <c r="I462" s="12">
        <v>1.1999999999999999E-3</v>
      </c>
    </row>
    <row r="463" spans="1:9" x14ac:dyDescent="0.25">
      <c r="A463" s="11">
        <v>45253</v>
      </c>
      <c r="B463" t="s">
        <v>288</v>
      </c>
      <c r="C463" t="s">
        <v>33</v>
      </c>
      <c r="D463" s="1">
        <v>76284</v>
      </c>
      <c r="E463" s="1">
        <v>18104</v>
      </c>
      <c r="F463" s="2">
        <v>0.23730000000000001</v>
      </c>
      <c r="G463" s="1">
        <v>119</v>
      </c>
      <c r="H463" s="2">
        <v>6.6E-3</v>
      </c>
      <c r="I463" s="12">
        <v>1.6000000000000001E-3</v>
      </c>
    </row>
    <row r="464" spans="1:9" x14ac:dyDescent="0.25">
      <c r="A464" s="11">
        <v>45253</v>
      </c>
      <c r="B464" t="s">
        <v>307</v>
      </c>
      <c r="C464" t="s">
        <v>32</v>
      </c>
      <c r="D464" s="1">
        <v>448384</v>
      </c>
      <c r="E464" s="1">
        <v>134867</v>
      </c>
      <c r="F464" s="2">
        <v>0.30080000000000001</v>
      </c>
      <c r="G464" s="1">
        <v>869</v>
      </c>
      <c r="H464" s="2">
        <v>6.4000000000000003E-3</v>
      </c>
      <c r="I464" s="12">
        <v>1.9E-3</v>
      </c>
    </row>
    <row r="465" spans="1:9" x14ac:dyDescent="0.25">
      <c r="A465" s="11">
        <v>45253</v>
      </c>
      <c r="B465" t="s">
        <v>308</v>
      </c>
      <c r="C465" t="s">
        <v>33</v>
      </c>
      <c r="D465" s="1">
        <v>31080</v>
      </c>
      <c r="E465" s="1">
        <v>6917</v>
      </c>
      <c r="F465" s="2">
        <v>0.22259999999999999</v>
      </c>
      <c r="G465" s="1">
        <v>61</v>
      </c>
      <c r="H465" s="2">
        <v>8.8000000000000005E-3</v>
      </c>
      <c r="I465" s="12">
        <v>2E-3</v>
      </c>
    </row>
    <row r="466" spans="1:9" x14ac:dyDescent="0.25">
      <c r="A466" s="11">
        <v>45254</v>
      </c>
      <c r="B466" t="s">
        <v>309</v>
      </c>
      <c r="C466" t="s">
        <v>32</v>
      </c>
      <c r="D466" s="1">
        <v>2834617</v>
      </c>
      <c r="E466" s="1">
        <v>851146</v>
      </c>
      <c r="F466" s="2">
        <v>0.30026843132599601</v>
      </c>
      <c r="G466" s="1">
        <v>9710</v>
      </c>
      <c r="H466" s="2">
        <v>1.14081485432581E-2</v>
      </c>
      <c r="I466" s="12">
        <v>3.4255068674180701E-3</v>
      </c>
    </row>
    <row r="467" spans="1:9" x14ac:dyDescent="0.25">
      <c r="A467" s="11">
        <v>45254</v>
      </c>
      <c r="B467" t="s">
        <v>309</v>
      </c>
      <c r="C467" t="s">
        <v>33</v>
      </c>
      <c r="D467" s="1">
        <v>189569</v>
      </c>
      <c r="E467" s="1">
        <v>43821</v>
      </c>
      <c r="F467" s="2">
        <v>0.23116121306753701</v>
      </c>
      <c r="G467" s="1">
        <v>771</v>
      </c>
      <c r="H467" s="2">
        <v>1.7594304100773599E-2</v>
      </c>
      <c r="I467" s="12">
        <v>4.0671206790139696E-3</v>
      </c>
    </row>
    <row r="468" spans="1:9" x14ac:dyDescent="0.25">
      <c r="A468" s="11">
        <v>45254</v>
      </c>
      <c r="B468" t="s">
        <v>310</v>
      </c>
      <c r="C468" t="s">
        <v>32</v>
      </c>
      <c r="D468" s="1">
        <v>312591</v>
      </c>
      <c r="E468" s="1">
        <v>94685</v>
      </c>
      <c r="F468" s="2">
        <v>0.30290379441506599</v>
      </c>
      <c r="G468" s="1">
        <v>1845</v>
      </c>
      <c r="H468" s="2">
        <v>1.9485662987801699E-2</v>
      </c>
      <c r="I468" s="12">
        <v>5.9022812556983398E-3</v>
      </c>
    </row>
    <row r="469" spans="1:9" x14ac:dyDescent="0.25">
      <c r="A469" s="11">
        <v>45254</v>
      </c>
      <c r="B469" t="s">
        <v>310</v>
      </c>
      <c r="C469" t="s">
        <v>33</v>
      </c>
      <c r="D469" s="1">
        <v>17169</v>
      </c>
      <c r="E469" s="1">
        <v>5771</v>
      </c>
      <c r="F469" s="2">
        <v>0.33612906983516799</v>
      </c>
      <c r="G469" s="1">
        <v>253</v>
      </c>
      <c r="H469" s="2">
        <v>4.3839889100675801E-2</v>
      </c>
      <c r="I469" s="12">
        <v>1.47358611450871E-2</v>
      </c>
    </row>
    <row r="470" spans="1:9" x14ac:dyDescent="0.25">
      <c r="A470" s="11">
        <v>45254</v>
      </c>
      <c r="B470" t="s">
        <v>311</v>
      </c>
      <c r="C470" t="s">
        <v>312</v>
      </c>
      <c r="D470" s="1">
        <v>4061244</v>
      </c>
      <c r="E470" s="1">
        <v>1253939</v>
      </c>
      <c r="F470" s="2">
        <v>0.30875736596963899</v>
      </c>
      <c r="G470" s="1">
        <v>17084</v>
      </c>
      <c r="H470" s="2">
        <v>1.3624267209170499E-2</v>
      </c>
      <c r="I470" s="12">
        <v>4.2065928567699903E-3</v>
      </c>
    </row>
    <row r="471" spans="1:9" x14ac:dyDescent="0.25">
      <c r="A471" s="11">
        <v>45254</v>
      </c>
      <c r="B471" t="s">
        <v>311</v>
      </c>
      <c r="C471" t="s">
        <v>313</v>
      </c>
      <c r="D471" s="1">
        <v>279365</v>
      </c>
      <c r="E471" s="1">
        <v>69886</v>
      </c>
      <c r="F471" s="2">
        <v>0.250160184704598</v>
      </c>
      <c r="G471" s="1">
        <v>1631</v>
      </c>
      <c r="H471" s="2">
        <v>2.33380076123973E-2</v>
      </c>
      <c r="I471" s="12">
        <v>5.8382402949546299E-3</v>
      </c>
    </row>
    <row r="472" spans="1:9" x14ac:dyDescent="0.25">
      <c r="A472" s="11">
        <v>45254</v>
      </c>
      <c r="B472" t="s">
        <v>311</v>
      </c>
      <c r="C472" t="s">
        <v>314</v>
      </c>
      <c r="D472" s="1">
        <v>82554</v>
      </c>
      <c r="E472" s="1">
        <v>32687</v>
      </c>
      <c r="F472" s="2">
        <v>0.39594689536545802</v>
      </c>
      <c r="G472" s="1">
        <v>1606</v>
      </c>
      <c r="H472" s="2">
        <v>4.9132682717900097E-2</v>
      </c>
      <c r="I472" s="12">
        <v>1.9453933183128599E-2</v>
      </c>
    </row>
    <row r="473" spans="1:9" x14ac:dyDescent="0.25">
      <c r="A473" s="11">
        <v>45254</v>
      </c>
      <c r="B473" t="s">
        <v>311</v>
      </c>
      <c r="C473" t="s">
        <v>315</v>
      </c>
      <c r="D473" s="1">
        <v>3920</v>
      </c>
      <c r="E473" s="1">
        <v>1453</v>
      </c>
      <c r="F473" s="2">
        <v>0.37066326530612198</v>
      </c>
      <c r="G473" s="1">
        <v>89</v>
      </c>
      <c r="H473" s="2">
        <v>6.1252580867171398E-2</v>
      </c>
      <c r="I473" s="12">
        <v>2.2704081632653101E-2</v>
      </c>
    </row>
    <row r="474" spans="1:9" x14ac:dyDescent="0.25">
      <c r="A474" s="11">
        <v>45254</v>
      </c>
      <c r="B474" t="s">
        <v>311</v>
      </c>
      <c r="C474" t="s">
        <v>316</v>
      </c>
      <c r="D474" s="1">
        <v>4058357</v>
      </c>
      <c r="E474" s="1">
        <v>1261509</v>
      </c>
      <c r="F474" s="2">
        <v>0.31084229406136499</v>
      </c>
      <c r="G474" s="1">
        <v>17872</v>
      </c>
      <c r="H474" s="2">
        <v>1.41671601233126E-2</v>
      </c>
      <c r="I474" s="12">
        <v>4.4037525530651904E-3</v>
      </c>
    </row>
    <row r="475" spans="1:9" x14ac:dyDescent="0.25">
      <c r="A475" s="11">
        <v>45254</v>
      </c>
      <c r="B475" t="s">
        <v>311</v>
      </c>
      <c r="C475" t="s">
        <v>317</v>
      </c>
      <c r="D475" s="1">
        <v>279161</v>
      </c>
      <c r="E475" s="1">
        <v>69170</v>
      </c>
      <c r="F475" s="2">
        <v>0.24777816385526599</v>
      </c>
      <c r="G475" s="1">
        <v>1462</v>
      </c>
      <c r="H475" s="2">
        <v>2.1136330779239602E-2</v>
      </c>
      <c r="I475" s="12">
        <v>5.2371212311175296E-3</v>
      </c>
    </row>
    <row r="476" spans="1:9" x14ac:dyDescent="0.25">
      <c r="A476" s="11">
        <v>45254</v>
      </c>
      <c r="B476" t="s">
        <v>311</v>
      </c>
      <c r="C476" t="s">
        <v>318</v>
      </c>
      <c r="D476" s="1">
        <v>82379</v>
      </c>
      <c r="E476" s="1">
        <v>32693</v>
      </c>
      <c r="F476" s="2">
        <v>0.39686085045946201</v>
      </c>
      <c r="G476" s="1">
        <v>1288</v>
      </c>
      <c r="H476" s="2">
        <v>3.9396812773376602E-2</v>
      </c>
      <c r="I476" s="12">
        <v>1.5635052622634399E-2</v>
      </c>
    </row>
    <row r="477" spans="1:9" x14ac:dyDescent="0.25">
      <c r="A477" s="11">
        <v>45254</v>
      </c>
      <c r="B477" t="s">
        <v>311</v>
      </c>
      <c r="C477" t="s">
        <v>319</v>
      </c>
      <c r="D477" s="1">
        <v>3909</v>
      </c>
      <c r="E477" s="1">
        <v>1425</v>
      </c>
      <c r="F477" s="2">
        <v>0.36454336147352301</v>
      </c>
      <c r="G477" s="1">
        <v>44</v>
      </c>
      <c r="H477" s="2">
        <v>3.08771929824561E-2</v>
      </c>
      <c r="I477" s="12">
        <v>1.1256075722691199E-2</v>
      </c>
    </row>
    <row r="478" spans="1:9" x14ac:dyDescent="0.25">
      <c r="A478" s="11">
        <v>45258</v>
      </c>
      <c r="B478" t="s">
        <v>320</v>
      </c>
      <c r="C478" t="s">
        <v>32</v>
      </c>
      <c r="D478" s="1">
        <v>1066231</v>
      </c>
      <c r="E478" s="1">
        <v>366110</v>
      </c>
      <c r="F478" s="2">
        <v>0.34336836951842498</v>
      </c>
      <c r="G478" s="1">
        <v>7415</v>
      </c>
      <c r="H478" s="2">
        <v>2.0253475731337602E-2</v>
      </c>
      <c r="I478" s="12">
        <v>6.9544029389503803E-3</v>
      </c>
    </row>
    <row r="479" spans="1:9" x14ac:dyDescent="0.25">
      <c r="A479" s="11">
        <v>45258</v>
      </c>
      <c r="B479" t="s">
        <v>320</v>
      </c>
      <c r="C479" t="s">
        <v>33</v>
      </c>
      <c r="D479" s="1">
        <v>80882</v>
      </c>
      <c r="E479" s="1">
        <v>24066</v>
      </c>
      <c r="F479" s="2">
        <v>0.29754457110358301</v>
      </c>
      <c r="G479" s="1">
        <v>745</v>
      </c>
      <c r="H479" s="2">
        <v>3.0956536192138302E-2</v>
      </c>
      <c r="I479" s="12">
        <v>9.2109492841423307E-3</v>
      </c>
    </row>
    <row r="480" spans="1:9" x14ac:dyDescent="0.25">
      <c r="A480" s="11">
        <v>45258</v>
      </c>
      <c r="B480" t="s">
        <v>321</v>
      </c>
      <c r="C480" t="s">
        <v>32</v>
      </c>
      <c r="D480" s="1">
        <v>122998</v>
      </c>
      <c r="E480" s="1">
        <v>72882</v>
      </c>
      <c r="F480" s="2">
        <v>0.59254622026374404</v>
      </c>
      <c r="G480" s="1">
        <v>1286</v>
      </c>
      <c r="H480" s="2">
        <v>1.7644960346862099E-2</v>
      </c>
      <c r="I480" s="12">
        <v>1.0455454560236801E-2</v>
      </c>
    </row>
    <row r="481" spans="1:9" x14ac:dyDescent="0.25">
      <c r="A481" s="11">
        <v>45258</v>
      </c>
      <c r="B481" t="s">
        <v>321</v>
      </c>
      <c r="C481" t="s">
        <v>33</v>
      </c>
      <c r="D481" s="1">
        <v>5459</v>
      </c>
      <c r="E481" s="1">
        <v>3535</v>
      </c>
      <c r="F481" s="2">
        <v>0.64755449716065205</v>
      </c>
      <c r="G481" s="1">
        <v>58</v>
      </c>
      <c r="H481" s="2">
        <v>1.6407355021216399E-2</v>
      </c>
      <c r="I481" s="12">
        <v>1.06246565305001E-2</v>
      </c>
    </row>
    <row r="482" spans="1:9" x14ac:dyDescent="0.25">
      <c r="A482" s="11">
        <v>45259</v>
      </c>
      <c r="B482" t="s">
        <v>322</v>
      </c>
      <c r="C482" t="s">
        <v>32</v>
      </c>
      <c r="D482" s="1">
        <v>107920</v>
      </c>
      <c r="E482" s="1">
        <v>46457</v>
      </c>
      <c r="F482" s="2">
        <v>0.43047627872498101</v>
      </c>
      <c r="G482" s="1">
        <v>1467</v>
      </c>
      <c r="H482" s="2">
        <v>3.1577587876961501E-2</v>
      </c>
      <c r="I482" s="12">
        <v>1.35934025203855E-2</v>
      </c>
    </row>
    <row r="483" spans="1:9" x14ac:dyDescent="0.25">
      <c r="A483" s="11">
        <v>45259</v>
      </c>
      <c r="B483" t="s">
        <v>322</v>
      </c>
      <c r="C483" t="s">
        <v>33</v>
      </c>
      <c r="D483" s="1">
        <v>6165</v>
      </c>
      <c r="E483" s="1">
        <v>2702</v>
      </c>
      <c r="F483" s="2">
        <v>0.43828061638280602</v>
      </c>
      <c r="G483" s="1">
        <v>110</v>
      </c>
      <c r="H483" s="2">
        <v>4.0710584752035497E-2</v>
      </c>
      <c r="I483" s="12">
        <v>1.78426601784266E-2</v>
      </c>
    </row>
    <row r="484" spans="1:9" x14ac:dyDescent="0.25">
      <c r="A484" s="11">
        <v>45259</v>
      </c>
      <c r="B484" t="s">
        <v>323</v>
      </c>
      <c r="C484" t="s">
        <v>32</v>
      </c>
      <c r="D484" s="1">
        <v>390533</v>
      </c>
      <c r="E484" s="1">
        <v>135241</v>
      </c>
      <c r="F484" s="2">
        <v>0.34629852022748397</v>
      </c>
      <c r="G484" s="1">
        <v>1185</v>
      </c>
      <c r="H484" s="2">
        <v>8.7621357428590407E-3</v>
      </c>
      <c r="I484" s="12">
        <v>3.03431464178443E-3</v>
      </c>
    </row>
    <row r="485" spans="1:9" x14ac:dyDescent="0.25">
      <c r="A485" s="11">
        <v>45259</v>
      </c>
      <c r="B485" t="s">
        <v>323</v>
      </c>
      <c r="C485" t="s">
        <v>33</v>
      </c>
      <c r="D485" s="1">
        <v>23371</v>
      </c>
      <c r="E485" s="1">
        <v>7106</v>
      </c>
      <c r="F485" s="2">
        <v>0.304052030293954</v>
      </c>
      <c r="G485" s="1">
        <v>111</v>
      </c>
      <c r="H485" s="2">
        <v>1.56206023079088E-2</v>
      </c>
      <c r="I485" s="12">
        <v>4.7494758461340998E-3</v>
      </c>
    </row>
    <row r="486" spans="1:9" x14ac:dyDescent="0.25">
      <c r="A486" s="11">
        <v>45259</v>
      </c>
      <c r="B486" t="s">
        <v>324</v>
      </c>
      <c r="C486" t="s">
        <v>32</v>
      </c>
      <c r="D486" s="1">
        <v>493</v>
      </c>
      <c r="E486" s="1">
        <v>190</v>
      </c>
      <c r="F486" s="2">
        <v>0.38539553752535499</v>
      </c>
      <c r="G486" s="1">
        <v>47</v>
      </c>
      <c r="H486" s="2">
        <v>0.24736842105263199</v>
      </c>
      <c r="I486" s="12">
        <v>9.5334685598377295E-2</v>
      </c>
    </row>
    <row r="487" spans="1:9" x14ac:dyDescent="0.25">
      <c r="A487" s="11">
        <v>45260</v>
      </c>
      <c r="B487" t="s">
        <v>305</v>
      </c>
      <c r="C487" t="s">
        <v>325</v>
      </c>
      <c r="D487" s="1">
        <v>1667584</v>
      </c>
      <c r="E487" s="1">
        <v>569496</v>
      </c>
      <c r="F487" s="3">
        <v>0.34150000000000003</v>
      </c>
      <c r="G487" s="1">
        <v>3762</v>
      </c>
      <c r="H487" s="3">
        <v>6.6E-3</v>
      </c>
      <c r="I487" s="16">
        <v>2.3E-3</v>
      </c>
    </row>
    <row r="488" spans="1:9" x14ac:dyDescent="0.25">
      <c r="A488" s="11">
        <v>45260</v>
      </c>
      <c r="B488" t="s">
        <v>306</v>
      </c>
      <c r="C488" t="s">
        <v>326</v>
      </c>
      <c r="D488" s="1">
        <v>122041</v>
      </c>
      <c r="E488" s="1">
        <v>36158</v>
      </c>
      <c r="F488" s="3">
        <v>0.29630000000000001</v>
      </c>
      <c r="G488">
        <v>412</v>
      </c>
      <c r="H488" s="3">
        <v>1.14E-2</v>
      </c>
      <c r="I488" s="16">
        <v>3.3999999999999998E-3</v>
      </c>
    </row>
    <row r="489" spans="1:9" x14ac:dyDescent="0.25">
      <c r="A489" s="11">
        <v>45260</v>
      </c>
      <c r="B489" t="s">
        <v>327</v>
      </c>
      <c r="C489" t="s">
        <v>328</v>
      </c>
      <c r="D489" s="1">
        <v>832110</v>
      </c>
      <c r="E489" s="1">
        <v>320826</v>
      </c>
      <c r="F489" s="3">
        <v>0.3856</v>
      </c>
      <c r="G489" s="1">
        <v>2879</v>
      </c>
      <c r="H489" s="3">
        <v>8.9999999999999993E-3</v>
      </c>
      <c r="I489" s="16">
        <v>3.5000000000000001E-3</v>
      </c>
    </row>
    <row r="490" spans="1:9" x14ac:dyDescent="0.25">
      <c r="A490" s="11">
        <v>45260</v>
      </c>
      <c r="B490" t="s">
        <v>329</v>
      </c>
      <c r="C490" t="s">
        <v>330</v>
      </c>
      <c r="D490" s="1">
        <v>64589</v>
      </c>
      <c r="E490" s="1">
        <v>24250</v>
      </c>
      <c r="F490" s="3">
        <v>0.3755</v>
      </c>
      <c r="G490">
        <v>372</v>
      </c>
      <c r="H490" s="3">
        <v>1.5299999999999999E-2</v>
      </c>
      <c r="I490" s="16">
        <v>5.7999999999999996E-3</v>
      </c>
    </row>
    <row r="491" spans="1:9" x14ac:dyDescent="0.25">
      <c r="A491" s="11">
        <v>45260</v>
      </c>
      <c r="B491" t="s">
        <v>331</v>
      </c>
      <c r="C491" t="s">
        <v>32</v>
      </c>
      <c r="D491" s="1">
        <v>20120</v>
      </c>
      <c r="E491" s="1">
        <v>7293</v>
      </c>
      <c r="F491" s="2">
        <v>0.36247514910536799</v>
      </c>
      <c r="G491" s="1">
        <v>182</v>
      </c>
      <c r="H491" s="2">
        <v>2.4955436720142599E-2</v>
      </c>
      <c r="I491" s="12">
        <v>9.04572564612326E-3</v>
      </c>
    </row>
    <row r="492" spans="1:9" x14ac:dyDescent="0.25">
      <c r="A492" s="11">
        <v>45260</v>
      </c>
      <c r="B492" t="s">
        <v>331</v>
      </c>
      <c r="C492" t="s">
        <v>33</v>
      </c>
      <c r="D492" s="1">
        <v>20962</v>
      </c>
      <c r="E492" s="1">
        <v>8396</v>
      </c>
      <c r="F492" s="2">
        <v>0.40053430016219799</v>
      </c>
      <c r="G492" s="1">
        <v>266</v>
      </c>
      <c r="H492" s="2">
        <v>3.16817532158171E-2</v>
      </c>
      <c r="I492" s="12">
        <v>1.26896288522088E-2</v>
      </c>
    </row>
    <row r="493" spans="1:9" x14ac:dyDescent="0.25">
      <c r="A493" s="11">
        <v>45260</v>
      </c>
      <c r="B493" t="s">
        <v>287</v>
      </c>
      <c r="C493" t="s">
        <v>332</v>
      </c>
      <c r="D493" s="1">
        <v>1308488</v>
      </c>
      <c r="E493" s="1">
        <v>405873</v>
      </c>
      <c r="F493" s="3">
        <v>0.31019999999999998</v>
      </c>
      <c r="G493" s="1">
        <v>2110</v>
      </c>
      <c r="H493" s="3">
        <v>5.1999999999999998E-3</v>
      </c>
      <c r="I493" s="16">
        <v>1.6000000000000001E-3</v>
      </c>
    </row>
    <row r="494" spans="1:9" x14ac:dyDescent="0.25">
      <c r="A494" s="11">
        <v>45260</v>
      </c>
      <c r="B494" t="s">
        <v>288</v>
      </c>
      <c r="C494" t="s">
        <v>333</v>
      </c>
      <c r="D494" s="1">
        <v>75904</v>
      </c>
      <c r="E494" s="1">
        <v>21124</v>
      </c>
      <c r="F494" s="3">
        <v>0.27829999999999999</v>
      </c>
      <c r="G494">
        <v>181</v>
      </c>
      <c r="H494" s="3">
        <v>8.6E-3</v>
      </c>
      <c r="I494" s="16">
        <v>2.3999999999999998E-3</v>
      </c>
    </row>
    <row r="495" spans="1:9" x14ac:dyDescent="0.25">
      <c r="A495" s="11">
        <v>45260</v>
      </c>
      <c r="B495" t="s">
        <v>307</v>
      </c>
      <c r="C495" t="s">
        <v>325</v>
      </c>
      <c r="D495" s="1">
        <v>392895</v>
      </c>
      <c r="E495" s="1">
        <v>125767</v>
      </c>
      <c r="F495" s="3">
        <v>0.3201</v>
      </c>
      <c r="G495">
        <v>918</v>
      </c>
      <c r="H495" s="3">
        <v>7.3000000000000001E-3</v>
      </c>
      <c r="I495" s="16">
        <v>2.3E-3</v>
      </c>
    </row>
    <row r="496" spans="1:9" x14ac:dyDescent="0.25">
      <c r="A496" s="11">
        <v>45260</v>
      </c>
      <c r="B496" t="s">
        <v>308</v>
      </c>
      <c r="C496" t="s">
        <v>326</v>
      </c>
      <c r="D496" s="1">
        <v>28215</v>
      </c>
      <c r="E496" s="1">
        <v>8156</v>
      </c>
      <c r="F496" s="3">
        <v>0.28910000000000002</v>
      </c>
      <c r="G496">
        <v>89</v>
      </c>
      <c r="H496" s="3">
        <v>1.09E-2</v>
      </c>
      <c r="I496" s="16">
        <v>3.2000000000000002E-3</v>
      </c>
    </row>
    <row r="497" spans="1:9" x14ac:dyDescent="0.25">
      <c r="A497" s="11">
        <v>45260</v>
      </c>
      <c r="B497" t="s">
        <v>334</v>
      </c>
      <c r="C497" t="s">
        <v>328</v>
      </c>
      <c r="D497" s="1">
        <v>1461419</v>
      </c>
      <c r="E497" s="1">
        <v>514058</v>
      </c>
      <c r="F497" s="3">
        <v>0.3518</v>
      </c>
      <c r="G497" s="1">
        <v>3041</v>
      </c>
      <c r="H497" s="3">
        <v>5.8999999999999999E-3</v>
      </c>
      <c r="I497" s="16">
        <v>2.0999999999999999E-3</v>
      </c>
    </row>
    <row r="498" spans="1:9" x14ac:dyDescent="0.25">
      <c r="A498" s="11">
        <v>45260</v>
      </c>
      <c r="B498" t="s">
        <v>335</v>
      </c>
      <c r="C498" t="s">
        <v>330</v>
      </c>
      <c r="D498" s="1">
        <v>110503</v>
      </c>
      <c r="E498" s="1">
        <v>32738</v>
      </c>
      <c r="F498" s="3">
        <v>0.29630000000000001</v>
      </c>
      <c r="G498">
        <v>287</v>
      </c>
      <c r="H498" s="3">
        <v>8.8000000000000005E-3</v>
      </c>
      <c r="I498" s="16">
        <v>2.5999999999999999E-3</v>
      </c>
    </row>
    <row r="499" spans="1:9" x14ac:dyDescent="0.25">
      <c r="A499" s="112">
        <v>45262</v>
      </c>
      <c r="B499" t="s">
        <v>336</v>
      </c>
      <c r="C499" t="s">
        <v>32</v>
      </c>
      <c r="D499" s="1">
        <v>3089169</v>
      </c>
      <c r="E499" s="1">
        <v>1057384</v>
      </c>
      <c r="F499" s="2">
        <v>0.3034</v>
      </c>
      <c r="G499" s="1">
        <v>13320</v>
      </c>
      <c r="H499" s="2">
        <v>2.12E-2</v>
      </c>
      <c r="I499" s="113">
        <v>6.1999999999999998E-3</v>
      </c>
    </row>
    <row r="500" spans="1:9" x14ac:dyDescent="0.25">
      <c r="A500" s="112">
        <v>45262</v>
      </c>
      <c r="B500" t="s">
        <v>336</v>
      </c>
      <c r="C500" t="s">
        <v>33</v>
      </c>
      <c r="D500" s="1">
        <v>211523</v>
      </c>
      <c r="E500" s="1">
        <v>63409</v>
      </c>
      <c r="F500" s="2">
        <v>0.26090000000000002</v>
      </c>
      <c r="G500" s="1">
        <v>1427</v>
      </c>
      <c r="H500" s="2">
        <v>3.8699999999999998E-2</v>
      </c>
      <c r="I500" s="113">
        <v>9.7000000000000003E-3</v>
      </c>
    </row>
    <row r="501" spans="1:9" x14ac:dyDescent="0.25">
      <c r="A501" s="112">
        <v>45262</v>
      </c>
      <c r="B501" t="s">
        <v>337</v>
      </c>
      <c r="C501" t="s">
        <v>32</v>
      </c>
      <c r="D501" s="1">
        <v>310998</v>
      </c>
      <c r="E501" s="1">
        <v>118145</v>
      </c>
      <c r="F501" s="2">
        <v>0.37988990282895702</v>
      </c>
      <c r="G501" s="1">
        <v>1811</v>
      </c>
      <c r="H501" s="2">
        <v>1.5328621609039699E-2</v>
      </c>
      <c r="I501" s="113">
        <v>5.8231885735599599E-3</v>
      </c>
    </row>
    <row r="502" spans="1:9" x14ac:dyDescent="0.25">
      <c r="A502" s="112">
        <v>45262</v>
      </c>
      <c r="B502" t="s">
        <v>338</v>
      </c>
      <c r="C502" t="s">
        <v>32</v>
      </c>
      <c r="D502" s="1">
        <v>88806</v>
      </c>
      <c r="E502" s="1">
        <v>36233</v>
      </c>
      <c r="F502" s="2">
        <v>0.40800171159606302</v>
      </c>
      <c r="G502" s="1">
        <v>4160</v>
      </c>
      <c r="H502" s="2">
        <v>0.11481246377611599</v>
      </c>
      <c r="I502" s="113">
        <v>4.6843681733216201E-2</v>
      </c>
    </row>
    <row r="503" spans="1:9" x14ac:dyDescent="0.25">
      <c r="A503" s="112">
        <v>45262</v>
      </c>
      <c r="B503" t="s">
        <v>338</v>
      </c>
      <c r="C503" t="s">
        <v>33</v>
      </c>
      <c r="D503" s="1">
        <v>9866</v>
      </c>
      <c r="E503" s="1">
        <v>3710</v>
      </c>
      <c r="F503" s="2">
        <v>0.37603892154875301</v>
      </c>
      <c r="G503" s="1">
        <v>653</v>
      </c>
      <c r="H503" s="2">
        <v>0.17601078167115899</v>
      </c>
      <c r="I503" s="113">
        <v>6.6186904520575698E-2</v>
      </c>
    </row>
    <row r="504" spans="1:9" x14ac:dyDescent="0.25">
      <c r="A504" s="112">
        <v>45262</v>
      </c>
      <c r="B504" t="s">
        <v>339</v>
      </c>
      <c r="C504" t="s">
        <v>32</v>
      </c>
      <c r="D504" s="1">
        <v>41567</v>
      </c>
      <c r="E504" s="1">
        <v>17675</v>
      </c>
      <c r="F504" s="2">
        <v>0.42521711934948397</v>
      </c>
      <c r="G504" s="1">
        <v>1012</v>
      </c>
      <c r="H504" s="2">
        <v>5.7256011315417299E-2</v>
      </c>
      <c r="I504" s="113">
        <v>2.4346236196983201E-2</v>
      </c>
    </row>
    <row r="505" spans="1:9" x14ac:dyDescent="0.25">
      <c r="A505" s="112">
        <v>45262</v>
      </c>
      <c r="B505" t="s">
        <v>339</v>
      </c>
      <c r="C505" t="s">
        <v>33</v>
      </c>
      <c r="D505" s="1">
        <v>3852</v>
      </c>
      <c r="E505" s="1">
        <v>1650</v>
      </c>
      <c r="F505" s="2">
        <v>0.42834890965732098</v>
      </c>
      <c r="G505" s="1">
        <v>112</v>
      </c>
      <c r="H505" s="2">
        <v>6.78787878787879E-2</v>
      </c>
      <c r="I505" s="113">
        <v>2.9075804776739399E-2</v>
      </c>
    </row>
    <row r="506" spans="1:9" x14ac:dyDescent="0.25">
      <c r="A506" s="112">
        <v>45264</v>
      </c>
      <c r="B506" t="s">
        <v>340</v>
      </c>
      <c r="C506" t="s">
        <v>32</v>
      </c>
      <c r="D506" s="1">
        <v>2469394</v>
      </c>
      <c r="E506" s="1">
        <v>937826</v>
      </c>
      <c r="F506" s="2">
        <v>0.37977981642459602</v>
      </c>
      <c r="G506" s="1">
        <v>12153</v>
      </c>
      <c r="H506" s="2">
        <v>1.2958693830198801E-2</v>
      </c>
      <c r="I506" s="113">
        <v>4.9214503639354399E-3</v>
      </c>
    </row>
    <row r="507" spans="1:9" x14ac:dyDescent="0.25">
      <c r="A507" s="112">
        <v>45264</v>
      </c>
      <c r="B507" t="s">
        <v>340</v>
      </c>
      <c r="C507" t="s">
        <v>33</v>
      </c>
      <c r="D507" s="1">
        <v>160449</v>
      </c>
      <c r="E507" s="1">
        <v>58222</v>
      </c>
      <c r="F507" s="2">
        <v>0.36286919831223602</v>
      </c>
      <c r="G507" s="1">
        <v>1512</v>
      </c>
      <c r="H507" s="2">
        <v>2.59695647693312E-2</v>
      </c>
      <c r="I507" s="113">
        <v>9.4235551483649004E-3</v>
      </c>
    </row>
    <row r="508" spans="1:9" x14ac:dyDescent="0.25">
      <c r="A508" s="112">
        <v>45264</v>
      </c>
      <c r="B508" t="s">
        <v>341</v>
      </c>
      <c r="C508" t="s">
        <v>32</v>
      </c>
      <c r="D508" s="1">
        <v>176772</v>
      </c>
      <c r="E508" s="1">
        <v>66639</v>
      </c>
      <c r="F508" s="2">
        <v>0.37697712307379</v>
      </c>
      <c r="G508" s="1">
        <v>856</v>
      </c>
      <c r="H508" s="2">
        <v>1.2845330812287101E-2</v>
      </c>
      <c r="I508" s="113">
        <v>4.8423958545471E-3</v>
      </c>
    </row>
    <row r="509" spans="1:9" x14ac:dyDescent="0.25">
      <c r="A509" s="112">
        <v>45264</v>
      </c>
      <c r="B509" t="s">
        <v>342</v>
      </c>
      <c r="C509" t="s">
        <v>32</v>
      </c>
      <c r="D509" s="1">
        <v>493</v>
      </c>
      <c r="E509" s="1">
        <v>223</v>
      </c>
      <c r="F509" s="2">
        <v>0.45233265720081101</v>
      </c>
      <c r="G509" s="1">
        <v>1</v>
      </c>
      <c r="H509" s="2">
        <v>4.4843049327354303E-3</v>
      </c>
      <c r="I509" s="113">
        <v>2.02839756592292E-3</v>
      </c>
    </row>
    <row r="510" spans="1:9" x14ac:dyDescent="0.25">
      <c r="A510" s="112">
        <v>45265</v>
      </c>
      <c r="B510" t="s">
        <v>343</v>
      </c>
      <c r="C510" t="s">
        <v>32</v>
      </c>
      <c r="D510" s="1">
        <v>1059963</v>
      </c>
      <c r="E510" s="1">
        <v>396204</v>
      </c>
      <c r="F510" s="2">
        <v>0.37379040589152601</v>
      </c>
      <c r="G510" s="1">
        <v>7080</v>
      </c>
      <c r="H510" s="2">
        <v>1.7869582336372199E-2</v>
      </c>
      <c r="I510" s="113">
        <v>6.6794784346246002E-3</v>
      </c>
    </row>
    <row r="511" spans="1:9" x14ac:dyDescent="0.25">
      <c r="A511" s="112">
        <v>45265</v>
      </c>
      <c r="B511" t="s">
        <v>343</v>
      </c>
      <c r="C511" t="s">
        <v>33</v>
      </c>
      <c r="D511" s="1">
        <v>80411</v>
      </c>
      <c r="E511" s="1">
        <v>28402</v>
      </c>
      <c r="F511" s="2">
        <v>0.35321038166419999</v>
      </c>
      <c r="G511" s="1">
        <v>776</v>
      </c>
      <c r="H511" s="2">
        <v>2.7322019576086199E-2</v>
      </c>
      <c r="I511" s="113">
        <v>9.6504209623061495E-3</v>
      </c>
    </row>
    <row r="512" spans="1:9" x14ac:dyDescent="0.25">
      <c r="A512" s="112">
        <v>45265</v>
      </c>
      <c r="B512" t="s">
        <v>344</v>
      </c>
      <c r="C512" t="s">
        <v>32</v>
      </c>
      <c r="D512" s="1">
        <v>40933</v>
      </c>
      <c r="E512" s="1">
        <v>15280</v>
      </c>
      <c r="F512" s="2">
        <v>0.37329294212493602</v>
      </c>
      <c r="G512" s="1">
        <v>180</v>
      </c>
      <c r="H512" s="2">
        <v>1.1780104712041901E-2</v>
      </c>
      <c r="I512" s="113">
        <v>4.3974299464979404E-3</v>
      </c>
    </row>
    <row r="513" spans="1:9" x14ac:dyDescent="0.25">
      <c r="A513" s="112">
        <v>45265</v>
      </c>
      <c r="B513" t="s">
        <v>345</v>
      </c>
      <c r="C513" t="s">
        <v>32</v>
      </c>
      <c r="D513" s="1">
        <v>34450</v>
      </c>
      <c r="E513" s="1">
        <v>18059</v>
      </c>
      <c r="F513" s="2">
        <v>0.52420899854862102</v>
      </c>
      <c r="G513" s="1">
        <v>922</v>
      </c>
      <c r="H513" s="2">
        <v>5.1054875685253902E-2</v>
      </c>
      <c r="I513" s="113">
        <v>2.6763425253991301E-2</v>
      </c>
    </row>
    <row r="514" spans="1:9" x14ac:dyDescent="0.25">
      <c r="A514" s="112">
        <v>45266</v>
      </c>
      <c r="B514" t="s">
        <v>346</v>
      </c>
      <c r="C514" t="s">
        <v>32</v>
      </c>
      <c r="D514" s="1">
        <v>308258</v>
      </c>
      <c r="E514" s="1">
        <v>121631</v>
      </c>
      <c r="F514" s="2">
        <v>0.39457532326817102</v>
      </c>
      <c r="G514" s="1">
        <v>1772</v>
      </c>
      <c r="H514" s="2">
        <v>1.45686543726517E-2</v>
      </c>
      <c r="I514" s="113">
        <v>5.74843150867131E-3</v>
      </c>
    </row>
    <row r="515" spans="1:9" x14ac:dyDescent="0.25">
      <c r="A515" s="112">
        <v>45266</v>
      </c>
      <c r="B515" t="s">
        <v>347</v>
      </c>
      <c r="C515" t="s">
        <v>32</v>
      </c>
      <c r="D515" s="1">
        <v>2113281</v>
      </c>
      <c r="E515" s="1">
        <v>784369</v>
      </c>
      <c r="F515" s="2">
        <v>0.37116171488789201</v>
      </c>
      <c r="G515" s="1">
        <v>9465</v>
      </c>
      <c r="H515" s="2">
        <v>1.2067024576443E-2</v>
      </c>
      <c r="I515" s="113">
        <v>4.4788175353869201E-3</v>
      </c>
    </row>
    <row r="516" spans="1:9" x14ac:dyDescent="0.25">
      <c r="A516" s="112">
        <v>45266</v>
      </c>
      <c r="B516" t="s">
        <v>347</v>
      </c>
      <c r="C516" t="s">
        <v>33</v>
      </c>
      <c r="D516" s="1">
        <v>122312</v>
      </c>
      <c r="E516" s="1">
        <v>43569</v>
      </c>
      <c r="F516" s="2">
        <v>0.35621198247105801</v>
      </c>
      <c r="G516" s="1">
        <v>860</v>
      </c>
      <c r="H516" s="2">
        <v>1.9738805113727699E-2</v>
      </c>
      <c r="I516" s="113">
        <v>7.0311989011707801E-3</v>
      </c>
    </row>
    <row r="517" spans="1:9" x14ac:dyDescent="0.25">
      <c r="A517" s="112">
        <v>45266</v>
      </c>
      <c r="B517" t="s">
        <v>348</v>
      </c>
      <c r="C517" t="s">
        <v>32</v>
      </c>
      <c r="D517" s="1">
        <v>30832</v>
      </c>
      <c r="E517" s="1">
        <v>14150</v>
      </c>
      <c r="F517" s="2">
        <v>0.45893876491956398</v>
      </c>
      <c r="G517" s="1">
        <v>291</v>
      </c>
      <c r="H517" s="2">
        <v>2.0565371024735001E-2</v>
      </c>
      <c r="I517" s="113">
        <v>9.4382459782044598E-3</v>
      </c>
    </row>
    <row r="518" spans="1:9" x14ac:dyDescent="0.25">
      <c r="A518" s="112">
        <v>45266</v>
      </c>
      <c r="B518" t="s">
        <v>348</v>
      </c>
      <c r="C518" t="s">
        <v>33</v>
      </c>
      <c r="D518" s="1">
        <v>2817</v>
      </c>
      <c r="E518" s="1">
        <v>1043</v>
      </c>
      <c r="F518" s="2">
        <v>0.37025204117855898</v>
      </c>
      <c r="G518" s="1">
        <v>26</v>
      </c>
      <c r="H518" s="2">
        <v>2.4928092042186E-2</v>
      </c>
      <c r="I518" s="113">
        <v>9.2296769613063497E-3</v>
      </c>
    </row>
    <row r="519" spans="1:9" x14ac:dyDescent="0.25">
      <c r="A519" s="112">
        <v>45266</v>
      </c>
      <c r="B519" t="s">
        <v>349</v>
      </c>
      <c r="C519" t="s">
        <v>32</v>
      </c>
      <c r="D519" s="1">
        <v>123135</v>
      </c>
      <c r="E519" s="1">
        <v>39737</v>
      </c>
      <c r="F519" s="2">
        <v>0.322710845819629</v>
      </c>
      <c r="G519" s="1">
        <v>1244</v>
      </c>
      <c r="H519" s="2">
        <v>3.1305835870850798E-2</v>
      </c>
      <c r="I519" s="113">
        <v>1.01027327729728E-2</v>
      </c>
    </row>
    <row r="520" spans="1:9" x14ac:dyDescent="0.25">
      <c r="A520" s="112">
        <v>45266</v>
      </c>
      <c r="B520" t="s">
        <v>349</v>
      </c>
      <c r="C520" t="s">
        <v>33</v>
      </c>
      <c r="D520" s="1">
        <v>4819</v>
      </c>
      <c r="E520" s="1">
        <v>1376</v>
      </c>
      <c r="F520" s="2">
        <v>0.28553641834405502</v>
      </c>
      <c r="G520" s="1">
        <v>57</v>
      </c>
      <c r="H520" s="2">
        <v>4.1424418604651202E-2</v>
      </c>
      <c r="I520" s="113">
        <v>1.18281801203569E-2</v>
      </c>
    </row>
    <row r="521" spans="1:9" x14ac:dyDescent="0.25">
      <c r="A521" s="112">
        <v>45267</v>
      </c>
      <c r="B521" t="s">
        <v>350</v>
      </c>
      <c r="C521" t="s">
        <v>32</v>
      </c>
      <c r="D521" s="1">
        <v>361</v>
      </c>
      <c r="E521" s="1">
        <v>109</v>
      </c>
      <c r="F521" s="2">
        <v>0.30193905817174499</v>
      </c>
      <c r="G521" s="1">
        <v>12</v>
      </c>
      <c r="H521" s="2">
        <v>0.11009174311926601</v>
      </c>
      <c r="I521" s="113">
        <v>3.3240997229916899E-2</v>
      </c>
    </row>
    <row r="522" spans="1:9" x14ac:dyDescent="0.25">
      <c r="A522" s="112">
        <v>45267</v>
      </c>
      <c r="B522" t="s">
        <v>351</v>
      </c>
      <c r="C522" t="s">
        <v>33</v>
      </c>
      <c r="D522" s="1">
        <v>30</v>
      </c>
      <c r="E522" s="1">
        <v>12</v>
      </c>
      <c r="F522" s="2">
        <v>0.4</v>
      </c>
      <c r="G522" s="1">
        <v>2</v>
      </c>
      <c r="H522" s="2">
        <v>0.16666666666666699</v>
      </c>
      <c r="I522" s="113">
        <v>6.6666666666666693E-2</v>
      </c>
    </row>
    <row r="523" spans="1:9" x14ac:dyDescent="0.25">
      <c r="A523" s="112">
        <v>45267</v>
      </c>
      <c r="B523" t="s">
        <v>352</v>
      </c>
      <c r="C523" t="s">
        <v>32</v>
      </c>
      <c r="D523" s="1">
        <v>387946</v>
      </c>
      <c r="E523" s="1">
        <v>139864</v>
      </c>
      <c r="F523" s="2">
        <v>0.360524402880813</v>
      </c>
      <c r="G523" s="1">
        <v>1745</v>
      </c>
      <c r="H523" s="2">
        <v>1.2476405651204E-2</v>
      </c>
      <c r="I523" s="113">
        <v>4.4980486974991402E-3</v>
      </c>
    </row>
    <row r="524" spans="1:9" x14ac:dyDescent="0.25">
      <c r="A524" s="112">
        <v>45267</v>
      </c>
      <c r="B524" t="s">
        <v>353</v>
      </c>
      <c r="C524" t="s">
        <v>32</v>
      </c>
      <c r="D524" s="1">
        <v>370738</v>
      </c>
      <c r="E524" s="1">
        <v>135067</v>
      </c>
      <c r="F524" s="3">
        <v>0.36430000000000001</v>
      </c>
      <c r="G524" s="1">
        <v>1657</v>
      </c>
      <c r="H524" s="3">
        <v>1.23E-2</v>
      </c>
      <c r="I524" s="114">
        <v>4.4999999999999997E-3</v>
      </c>
    </row>
    <row r="525" spans="1:9" x14ac:dyDescent="0.25">
      <c r="A525" s="112">
        <v>45267</v>
      </c>
      <c r="B525" t="s">
        <v>305</v>
      </c>
      <c r="C525" t="s">
        <v>32</v>
      </c>
      <c r="D525" s="1">
        <v>1654878</v>
      </c>
      <c r="E525" s="1">
        <v>570819</v>
      </c>
      <c r="F525" s="3">
        <v>0.34489999999999998</v>
      </c>
      <c r="G525" s="1">
        <v>3749</v>
      </c>
      <c r="H525" s="3">
        <v>6.6E-3</v>
      </c>
      <c r="I525" s="114">
        <v>2.3E-3</v>
      </c>
    </row>
    <row r="526" spans="1:9" x14ac:dyDescent="0.25">
      <c r="A526" s="112">
        <v>45267</v>
      </c>
      <c r="B526" t="s">
        <v>306</v>
      </c>
      <c r="C526" t="s">
        <v>33</v>
      </c>
      <c r="D526" s="1">
        <v>121143</v>
      </c>
      <c r="E526" s="1">
        <v>36961</v>
      </c>
      <c r="F526" s="3">
        <v>0.30509999999999998</v>
      </c>
      <c r="G526">
        <v>395</v>
      </c>
      <c r="H526" s="3">
        <v>1.0699999999999999E-2</v>
      </c>
      <c r="I526" s="114">
        <v>3.3E-3</v>
      </c>
    </row>
    <row r="527" spans="1:9" x14ac:dyDescent="0.25">
      <c r="A527" s="112">
        <v>45267</v>
      </c>
      <c r="B527" t="s">
        <v>327</v>
      </c>
      <c r="C527" t="s">
        <v>32</v>
      </c>
      <c r="D527" s="1">
        <v>721524</v>
      </c>
      <c r="E527" s="1">
        <v>260692</v>
      </c>
      <c r="F527" s="3">
        <v>0.36130000000000001</v>
      </c>
      <c r="G527" s="1">
        <v>2197</v>
      </c>
      <c r="H527" s="3">
        <v>8.3999999999999995E-3</v>
      </c>
      <c r="I527" s="114">
        <v>3.0000000000000001E-3</v>
      </c>
    </row>
    <row r="528" spans="1:9" x14ac:dyDescent="0.25">
      <c r="A528" s="112">
        <v>45267</v>
      </c>
      <c r="B528" t="s">
        <v>329</v>
      </c>
      <c r="C528" t="s">
        <v>33</v>
      </c>
      <c r="D528" s="1">
        <v>58623</v>
      </c>
      <c r="E528" s="1">
        <v>20814</v>
      </c>
      <c r="F528" s="3">
        <v>0.35499999999999998</v>
      </c>
      <c r="G528">
        <v>302</v>
      </c>
      <c r="H528" s="3">
        <v>1.4500000000000001E-2</v>
      </c>
      <c r="I528" s="114">
        <v>5.1999999999999998E-3</v>
      </c>
    </row>
    <row r="529" spans="1:9" x14ac:dyDescent="0.25">
      <c r="A529" s="112">
        <v>45267</v>
      </c>
      <c r="B529" t="s">
        <v>307</v>
      </c>
      <c r="C529" t="s">
        <v>32</v>
      </c>
      <c r="D529" s="1">
        <v>390673</v>
      </c>
      <c r="E529" s="1">
        <v>126620</v>
      </c>
      <c r="F529" s="3">
        <v>0.3241</v>
      </c>
      <c r="G529">
        <v>946</v>
      </c>
      <c r="H529" s="3">
        <v>7.4999999999999997E-3</v>
      </c>
      <c r="I529" s="114">
        <v>2.3999999999999998E-3</v>
      </c>
    </row>
    <row r="530" spans="1:9" x14ac:dyDescent="0.25">
      <c r="A530" s="112">
        <v>45267</v>
      </c>
      <c r="B530" t="s">
        <v>308</v>
      </c>
      <c r="C530" t="s">
        <v>33</v>
      </c>
      <c r="D530" s="1">
        <v>28036</v>
      </c>
      <c r="E530" s="1">
        <v>8374</v>
      </c>
      <c r="F530" s="3">
        <v>0.29870000000000002</v>
      </c>
      <c r="G530">
        <v>114</v>
      </c>
      <c r="H530" s="3">
        <v>1.3599999999999999E-2</v>
      </c>
      <c r="I530" s="114">
        <v>4.1000000000000003E-3</v>
      </c>
    </row>
    <row r="531" spans="1:9" x14ac:dyDescent="0.25">
      <c r="A531" s="112">
        <v>45267</v>
      </c>
      <c r="B531" t="s">
        <v>334</v>
      </c>
      <c r="C531" t="s">
        <v>32</v>
      </c>
      <c r="D531" s="1">
        <v>1348651</v>
      </c>
      <c r="E531" s="1">
        <v>465084</v>
      </c>
      <c r="F531" s="3">
        <v>0.34489999999999998</v>
      </c>
      <c r="G531" s="1">
        <v>2704</v>
      </c>
      <c r="H531" s="3">
        <v>5.7999999999999996E-3</v>
      </c>
      <c r="I531" s="114">
        <v>2E-3</v>
      </c>
    </row>
    <row r="532" spans="1:9" x14ac:dyDescent="0.25">
      <c r="A532" s="112">
        <v>45267</v>
      </c>
      <c r="B532" t="s">
        <v>335</v>
      </c>
      <c r="C532" t="s">
        <v>33</v>
      </c>
      <c r="D532" s="1">
        <v>104478</v>
      </c>
      <c r="E532" s="1">
        <v>31098</v>
      </c>
      <c r="F532" s="3">
        <v>0.29770000000000002</v>
      </c>
      <c r="G532">
        <v>321</v>
      </c>
      <c r="H532" s="3">
        <v>1.03E-2</v>
      </c>
      <c r="I532" s="114">
        <v>3.0999999999999999E-3</v>
      </c>
    </row>
    <row r="533" spans="1:9" x14ac:dyDescent="0.25">
      <c r="A533" s="112">
        <v>45268</v>
      </c>
      <c r="B533" t="s">
        <v>354</v>
      </c>
      <c r="C533" t="s">
        <v>355</v>
      </c>
      <c r="D533" s="1">
        <v>475163</v>
      </c>
      <c r="E533" s="1">
        <v>175667</v>
      </c>
      <c r="F533" s="2">
        <v>0.36969839823386902</v>
      </c>
      <c r="G533" s="1">
        <v>8061</v>
      </c>
      <c r="H533" s="2">
        <v>4.5887958466871999E-2</v>
      </c>
      <c r="I533" s="113">
        <v>1.6964704743424899E-2</v>
      </c>
    </row>
    <row r="534" spans="1:9" x14ac:dyDescent="0.25">
      <c r="A534" s="112">
        <v>45268</v>
      </c>
      <c r="B534" t="s">
        <v>354</v>
      </c>
      <c r="C534" t="s">
        <v>356</v>
      </c>
      <c r="D534" s="1">
        <v>2795953</v>
      </c>
      <c r="E534" s="1">
        <v>969113</v>
      </c>
      <c r="F534" s="2">
        <v>0.346612764949912</v>
      </c>
      <c r="G534" s="1">
        <v>11508</v>
      </c>
      <c r="H534" s="2">
        <v>1.1874776212887499E-2</v>
      </c>
      <c r="I534" s="113">
        <v>4.11594901631036E-3</v>
      </c>
    </row>
    <row r="535" spans="1:9" x14ac:dyDescent="0.25">
      <c r="A535" s="112">
        <v>45268</v>
      </c>
      <c r="B535" t="s">
        <v>354</v>
      </c>
      <c r="C535" t="s">
        <v>357</v>
      </c>
      <c r="D535" s="1">
        <v>21927</v>
      </c>
      <c r="E535" s="1">
        <v>6074</v>
      </c>
      <c r="F535" s="2">
        <v>0.27701007889816198</v>
      </c>
      <c r="G535" s="1">
        <v>501</v>
      </c>
      <c r="H535" s="2">
        <v>8.2482713203819599E-2</v>
      </c>
      <c r="I535" s="113">
        <v>2.2848542892324498E-2</v>
      </c>
    </row>
    <row r="536" spans="1:9" x14ac:dyDescent="0.25">
      <c r="A536" s="112">
        <v>45268</v>
      </c>
      <c r="B536" t="s">
        <v>354</v>
      </c>
      <c r="C536" t="s">
        <v>358</v>
      </c>
      <c r="D536" s="1">
        <v>186362</v>
      </c>
      <c r="E536" s="1">
        <v>54009</v>
      </c>
      <c r="F536" s="2">
        <v>0.28980693489016002</v>
      </c>
      <c r="G536" s="1">
        <v>1117</v>
      </c>
      <c r="H536" s="2">
        <v>2.0681738228813699E-2</v>
      </c>
      <c r="I536" s="113">
        <v>5.9937111642931499E-3</v>
      </c>
    </row>
    <row r="537" spans="1:9" x14ac:dyDescent="0.25">
      <c r="A537" s="112">
        <v>45268</v>
      </c>
      <c r="B537" t="s">
        <v>359</v>
      </c>
      <c r="C537" t="s">
        <v>32</v>
      </c>
      <c r="D537" s="1">
        <v>309649</v>
      </c>
      <c r="E537" s="1">
        <v>117827</v>
      </c>
      <c r="F537" s="2">
        <v>0.38051794128190303</v>
      </c>
      <c r="G537" s="1">
        <v>1867</v>
      </c>
      <c r="H537" s="2">
        <v>1.58452646676908E-2</v>
      </c>
      <c r="I537" s="113">
        <v>6.0294074904165698E-3</v>
      </c>
    </row>
    <row r="538" spans="1:9" x14ac:dyDescent="0.25">
      <c r="A538" s="112">
        <v>45268</v>
      </c>
      <c r="B538" t="s">
        <v>359</v>
      </c>
      <c r="C538" t="s">
        <v>33</v>
      </c>
      <c r="D538" s="1">
        <v>17054</v>
      </c>
      <c r="E538" s="1">
        <v>5890</v>
      </c>
      <c r="F538" s="2">
        <v>0.34537351940893601</v>
      </c>
      <c r="G538" s="1">
        <v>196</v>
      </c>
      <c r="H538" s="2">
        <v>3.3276740237690998E-2</v>
      </c>
      <c r="I538" s="113">
        <v>1.14929048903483E-2</v>
      </c>
    </row>
    <row r="539" spans="1:9" x14ac:dyDescent="0.25">
      <c r="A539" s="112">
        <v>45268</v>
      </c>
      <c r="B539" t="s">
        <v>360</v>
      </c>
      <c r="C539" t="s">
        <v>32</v>
      </c>
      <c r="D539" s="1">
        <v>176346</v>
      </c>
      <c r="E539" s="1">
        <v>65684</v>
      </c>
      <c r="F539" s="2">
        <v>0.37247229877626897</v>
      </c>
      <c r="G539" s="1">
        <v>1081</v>
      </c>
      <c r="H539" s="2">
        <v>1.64575847999513E-2</v>
      </c>
      <c r="I539" s="113">
        <v>6.1299944427432402E-3</v>
      </c>
    </row>
    <row r="540" spans="1:9" x14ac:dyDescent="0.25">
      <c r="A540" s="112">
        <v>45268</v>
      </c>
      <c r="B540" t="s">
        <v>361</v>
      </c>
      <c r="C540" t="s">
        <v>32</v>
      </c>
      <c r="D540" s="1">
        <v>762477</v>
      </c>
      <c r="E540" s="1">
        <v>270016</v>
      </c>
      <c r="F540" s="2">
        <v>0.35413002621718398</v>
      </c>
      <c r="G540" s="1">
        <v>1954</v>
      </c>
      <c r="H540" s="2">
        <v>7.2366082009955E-3</v>
      </c>
      <c r="I540" s="113">
        <v>2.56270025194203E-3</v>
      </c>
    </row>
    <row r="541" spans="1:9" x14ac:dyDescent="0.25">
      <c r="A541" s="112">
        <v>45268</v>
      </c>
      <c r="B541" t="s">
        <v>361</v>
      </c>
      <c r="C541" t="s">
        <v>33</v>
      </c>
      <c r="D541" s="1">
        <v>59155</v>
      </c>
      <c r="E541" s="1">
        <v>17868</v>
      </c>
      <c r="F541" s="2">
        <v>0.30205392612627802</v>
      </c>
      <c r="G541" s="1">
        <v>182</v>
      </c>
      <c r="H541" s="2">
        <v>1.0185807029326199E-2</v>
      </c>
      <c r="I541" s="113">
        <v>3.0766630039726099E-3</v>
      </c>
    </row>
    <row r="542" spans="1:9" x14ac:dyDescent="0.25">
      <c r="A542" s="112">
        <v>45268</v>
      </c>
      <c r="B542" t="s">
        <v>362</v>
      </c>
      <c r="C542" t="s">
        <v>363</v>
      </c>
      <c r="D542" s="1">
        <v>559796</v>
      </c>
      <c r="E542" s="1">
        <v>216172</v>
      </c>
      <c r="F542" s="2">
        <v>0.38616210190855199</v>
      </c>
      <c r="G542" s="1">
        <v>2896</v>
      </c>
      <c r="H542" s="2">
        <v>1.3396739633255E-2</v>
      </c>
      <c r="I542" s="113">
        <v>5.1733131354993597E-3</v>
      </c>
    </row>
    <row r="543" spans="1:9" x14ac:dyDescent="0.25">
      <c r="A543" s="112">
        <v>45268</v>
      </c>
      <c r="B543" t="s">
        <v>364</v>
      </c>
      <c r="C543" t="s">
        <v>363</v>
      </c>
      <c r="D543" s="1">
        <v>280120</v>
      </c>
      <c r="E543" s="1">
        <v>104147</v>
      </c>
      <c r="F543" s="2">
        <v>0.37179423104383802</v>
      </c>
      <c r="G543" s="1">
        <v>1021</v>
      </c>
      <c r="H543" s="2">
        <v>9.8034508915283199E-3</v>
      </c>
      <c r="I543" s="113">
        <v>3.6448664857918001E-3</v>
      </c>
    </row>
    <row r="544" spans="1:9" x14ac:dyDescent="0.25">
      <c r="A544" s="112">
        <v>45268</v>
      </c>
      <c r="B544" t="s">
        <v>364</v>
      </c>
      <c r="C544" t="s">
        <v>365</v>
      </c>
      <c r="D544" s="1">
        <v>40105</v>
      </c>
      <c r="E544" s="1">
        <v>14810</v>
      </c>
      <c r="F544" s="2">
        <v>0.369280638324398</v>
      </c>
      <c r="G544" s="1">
        <v>576</v>
      </c>
      <c r="H544" s="2">
        <v>3.8892640108035101E-2</v>
      </c>
      <c r="I544" s="113">
        <v>1.43622989652163E-2</v>
      </c>
    </row>
    <row r="545" spans="1:9" x14ac:dyDescent="0.25">
      <c r="A545" s="112">
        <v>45270</v>
      </c>
      <c r="B545" t="s">
        <v>364</v>
      </c>
      <c r="C545" t="s">
        <v>366</v>
      </c>
      <c r="D545" s="1">
        <v>279895</v>
      </c>
      <c r="E545" s="1">
        <v>103792</v>
      </c>
      <c r="F545" s="2">
        <v>0.37082477357580501</v>
      </c>
      <c r="G545" s="1">
        <v>1359</v>
      </c>
      <c r="H545" s="2">
        <v>1.3093494681671E-2</v>
      </c>
      <c r="I545" s="113">
        <v>4.8553922006466703E-3</v>
      </c>
    </row>
    <row r="546" spans="1:9" x14ac:dyDescent="0.25">
      <c r="A546" s="112">
        <v>45270</v>
      </c>
      <c r="B546" t="s">
        <v>364</v>
      </c>
      <c r="C546" t="s">
        <v>367</v>
      </c>
      <c r="D546" s="1">
        <v>40034</v>
      </c>
      <c r="E546" s="1">
        <v>14583</v>
      </c>
      <c r="F546" s="2">
        <v>0.36426537443173301</v>
      </c>
      <c r="G546" s="1">
        <v>582</v>
      </c>
      <c r="H546" s="2">
        <v>3.9909483645340499E-2</v>
      </c>
      <c r="I546" s="113">
        <v>1.45376430034471E-2</v>
      </c>
    </row>
    <row r="547" spans="1:9" x14ac:dyDescent="0.25">
      <c r="A547" s="112">
        <v>45271</v>
      </c>
      <c r="B547" t="s">
        <v>368</v>
      </c>
      <c r="C547" t="s">
        <v>32</v>
      </c>
      <c r="D547" s="1">
        <v>42835</v>
      </c>
      <c r="E547" s="1">
        <v>15420</v>
      </c>
      <c r="F547" s="2">
        <v>0.36083020714402197</v>
      </c>
      <c r="G547" s="1">
        <v>204</v>
      </c>
      <c r="H547" s="2">
        <v>1.6047010961690599E-2</v>
      </c>
      <c r="I547" s="113">
        <v>5.7902462893492102E-3</v>
      </c>
    </row>
    <row r="548" spans="1:9" x14ac:dyDescent="0.25">
      <c r="A548" s="112">
        <v>45271</v>
      </c>
      <c r="B548" t="s">
        <v>369</v>
      </c>
      <c r="C548" t="s">
        <v>32</v>
      </c>
      <c r="D548" s="1">
        <v>13832</v>
      </c>
      <c r="E548" s="1">
        <v>5206</v>
      </c>
      <c r="F548" s="2">
        <v>0.37637362637362598</v>
      </c>
      <c r="G548" s="1">
        <v>46</v>
      </c>
      <c r="H548" s="2">
        <v>8.8359585094122204E-3</v>
      </c>
      <c r="I548" s="113">
        <v>3.3256217466743798E-3</v>
      </c>
    </row>
    <row r="549" spans="1:9" x14ac:dyDescent="0.25">
      <c r="A549" s="112">
        <v>45271</v>
      </c>
      <c r="B549" t="s">
        <v>370</v>
      </c>
      <c r="C549" t="s">
        <v>32</v>
      </c>
      <c r="D549" s="1">
        <v>14979</v>
      </c>
      <c r="E549" s="1">
        <v>5232</v>
      </c>
      <c r="F549" s="2">
        <v>0.34928900460644902</v>
      </c>
      <c r="G549" s="1">
        <v>65</v>
      </c>
      <c r="H549" s="2">
        <v>1.24235474006116E-2</v>
      </c>
      <c r="I549" s="113">
        <v>4.3394085052406699E-3</v>
      </c>
    </row>
    <row r="550" spans="1:9" x14ac:dyDescent="0.25">
      <c r="A550" s="112">
        <v>45272</v>
      </c>
      <c r="B550" t="s">
        <v>371</v>
      </c>
      <c r="C550" t="s">
        <v>32</v>
      </c>
      <c r="D550" s="1">
        <v>1055388</v>
      </c>
      <c r="E550" s="1">
        <v>384230</v>
      </c>
      <c r="F550" s="2">
        <v>0.36406515897470898</v>
      </c>
      <c r="G550" s="1">
        <v>5718</v>
      </c>
      <c r="H550" s="2">
        <v>1.48817114748978E-2</v>
      </c>
      <c r="I550" s="113">
        <v>5.4179126539244298E-3</v>
      </c>
    </row>
    <row r="551" spans="1:9" x14ac:dyDescent="0.25">
      <c r="A551" s="112">
        <v>45272</v>
      </c>
      <c r="B551" t="s">
        <v>371</v>
      </c>
      <c r="C551" t="s">
        <v>33</v>
      </c>
      <c r="D551" s="1">
        <v>80021</v>
      </c>
      <c r="E551" s="1">
        <v>27597</v>
      </c>
      <c r="F551" s="2">
        <v>0.344871971107584</v>
      </c>
      <c r="G551" s="1">
        <v>612</v>
      </c>
      <c r="H551" s="2">
        <v>2.2176323513425401E-2</v>
      </c>
      <c r="I551" s="113">
        <v>7.6479924019944804E-3</v>
      </c>
    </row>
    <row r="552" spans="1:9" x14ac:dyDescent="0.25">
      <c r="A552" s="112">
        <v>45272</v>
      </c>
      <c r="B552" t="s">
        <v>372</v>
      </c>
      <c r="C552" t="s">
        <v>163</v>
      </c>
      <c r="D552" s="1">
        <v>26594</v>
      </c>
      <c r="E552" s="1">
        <v>10161</v>
      </c>
      <c r="F552" s="2">
        <v>0.38207866436038201</v>
      </c>
      <c r="G552" s="1">
        <v>105</v>
      </c>
      <c r="H552" s="2">
        <v>1.0333628579864199E-2</v>
      </c>
      <c r="I552" s="113">
        <v>3.9482590057907802E-3</v>
      </c>
    </row>
    <row r="553" spans="1:9" x14ac:dyDescent="0.25">
      <c r="A553" s="112">
        <v>45272</v>
      </c>
      <c r="B553" t="s">
        <v>372</v>
      </c>
      <c r="C553" t="s">
        <v>162</v>
      </c>
      <c r="D553" s="1">
        <v>507253</v>
      </c>
      <c r="E553" s="1">
        <v>193318</v>
      </c>
      <c r="F553" s="2">
        <v>0.381107652394367</v>
      </c>
      <c r="G553" s="1">
        <v>2061</v>
      </c>
      <c r="H553" s="2">
        <v>1.06611903702707E-2</v>
      </c>
      <c r="I553" s="113">
        <v>4.0630612337433196E-3</v>
      </c>
    </row>
    <row r="554" spans="1:9" x14ac:dyDescent="0.25">
      <c r="A554" s="112">
        <v>45273</v>
      </c>
      <c r="B554" t="s">
        <v>373</v>
      </c>
      <c r="C554" t="s">
        <v>32</v>
      </c>
      <c r="D554" s="1">
        <v>2147205</v>
      </c>
      <c r="E554" s="1">
        <v>1017510</v>
      </c>
      <c r="F554" s="2">
        <v>0.47387650457222302</v>
      </c>
      <c r="G554" s="1">
        <v>11573</v>
      </c>
      <c r="H554" s="2">
        <v>1.13738439917052E-2</v>
      </c>
      <c r="I554" s="113">
        <v>5.3897974343390604E-3</v>
      </c>
    </row>
    <row r="555" spans="1:9" x14ac:dyDescent="0.25">
      <c r="A555" s="112">
        <v>45273</v>
      </c>
      <c r="B555" t="s">
        <v>374</v>
      </c>
      <c r="C555" t="s">
        <v>375</v>
      </c>
      <c r="D555" s="1">
        <v>805761</v>
      </c>
      <c r="E555" s="1">
        <v>330945</v>
      </c>
      <c r="F555" s="2">
        <v>0.41072352719975302</v>
      </c>
      <c r="G555" s="1">
        <v>3490</v>
      </c>
      <c r="H555" s="2">
        <v>1.05455589297315E-2</v>
      </c>
      <c r="I555" s="113">
        <v>4.3313091599121801E-3</v>
      </c>
    </row>
    <row r="556" spans="1:9" x14ac:dyDescent="0.25">
      <c r="A556" s="112">
        <v>45273</v>
      </c>
      <c r="B556" t="s">
        <v>374</v>
      </c>
      <c r="C556" t="s">
        <v>376</v>
      </c>
      <c r="D556" s="1">
        <v>46299</v>
      </c>
      <c r="E556" s="1">
        <v>17818</v>
      </c>
      <c r="F556" s="2">
        <v>0.38484632497462101</v>
      </c>
      <c r="G556" s="1">
        <v>334</v>
      </c>
      <c r="H556" s="2">
        <v>1.87450892356044E-2</v>
      </c>
      <c r="I556" s="113">
        <v>7.2139787036437104E-3</v>
      </c>
    </row>
    <row r="557" spans="1:9" x14ac:dyDescent="0.25">
      <c r="A557" s="112">
        <v>45273</v>
      </c>
      <c r="B557" t="s">
        <v>377</v>
      </c>
      <c r="C557" t="s">
        <v>375</v>
      </c>
      <c r="D557" s="1">
        <v>1569310</v>
      </c>
      <c r="E557" s="1">
        <v>578586</v>
      </c>
      <c r="F557" s="2">
        <v>0.36868814956891899</v>
      </c>
      <c r="G557" s="1">
        <v>4003</v>
      </c>
      <c r="H557" s="2">
        <v>6.9185911860985203E-3</v>
      </c>
      <c r="I557" s="113">
        <v>2.5508025820264999E-3</v>
      </c>
    </row>
    <row r="558" spans="1:9" x14ac:dyDescent="0.25">
      <c r="A558" s="112">
        <v>45273</v>
      </c>
      <c r="B558" t="s">
        <v>377</v>
      </c>
      <c r="C558" t="s">
        <v>376</v>
      </c>
      <c r="D558" s="1">
        <v>88615</v>
      </c>
      <c r="E558" s="1">
        <v>29568</v>
      </c>
      <c r="F558" s="2">
        <v>0.33366811487897102</v>
      </c>
      <c r="G558" s="1">
        <v>353</v>
      </c>
      <c r="H558" s="2">
        <v>1.19385822510823E-2</v>
      </c>
      <c r="I558" s="113">
        <v>3.9835242340461501E-3</v>
      </c>
    </row>
    <row r="559" spans="1:9" x14ac:dyDescent="0.25">
      <c r="A559" s="112">
        <v>45274</v>
      </c>
      <c r="B559" t="s">
        <v>353</v>
      </c>
      <c r="C559" t="s">
        <v>32</v>
      </c>
      <c r="D559" s="1">
        <v>305369</v>
      </c>
      <c r="E559" s="1">
        <v>106059</v>
      </c>
      <c r="F559" s="3">
        <v>0.3473</v>
      </c>
      <c r="G559">
        <v>735</v>
      </c>
      <c r="H559" s="3">
        <v>6.8999999999999999E-3</v>
      </c>
      <c r="I559" s="114">
        <v>2.3999999999999998E-3</v>
      </c>
    </row>
    <row r="560" spans="1:9" x14ac:dyDescent="0.25">
      <c r="A560" s="112">
        <v>45274</v>
      </c>
      <c r="B560" t="s">
        <v>327</v>
      </c>
      <c r="C560" t="s">
        <v>32</v>
      </c>
      <c r="D560" s="1">
        <v>718028</v>
      </c>
      <c r="E560" s="1">
        <v>266479</v>
      </c>
      <c r="F560" s="3">
        <v>0.37109999999999999</v>
      </c>
      <c r="G560" s="1">
        <v>2369</v>
      </c>
      <c r="H560" s="3">
        <v>8.8999999999999999E-3</v>
      </c>
      <c r="I560" s="114">
        <v>3.3E-3</v>
      </c>
    </row>
    <row r="561" spans="1:9" x14ac:dyDescent="0.25">
      <c r="A561" s="112">
        <v>45274</v>
      </c>
      <c r="B561" t="s">
        <v>329</v>
      </c>
      <c r="C561" t="s">
        <v>33</v>
      </c>
      <c r="D561" s="1">
        <v>23985</v>
      </c>
      <c r="E561" s="1">
        <v>8150</v>
      </c>
      <c r="F561" s="2">
        <v>0.33979570564936401</v>
      </c>
      <c r="G561" s="1">
        <v>112</v>
      </c>
      <c r="H561" s="2">
        <v>1.3742331288343601E-2</v>
      </c>
      <c r="I561" s="113">
        <v>4.6695851573900398E-3</v>
      </c>
    </row>
    <row r="562" spans="1:9" x14ac:dyDescent="0.25">
      <c r="A562" s="112">
        <v>45274</v>
      </c>
      <c r="B562" t="s">
        <v>334</v>
      </c>
      <c r="C562" t="s">
        <v>32</v>
      </c>
      <c r="D562" s="1">
        <v>1345065</v>
      </c>
      <c r="E562" s="1">
        <v>467460</v>
      </c>
      <c r="F562" s="3">
        <v>0.34749999999999998</v>
      </c>
      <c r="G562" s="1">
        <v>2906</v>
      </c>
      <c r="H562" s="3">
        <v>6.1999999999999998E-3</v>
      </c>
      <c r="I562" s="114">
        <v>2.2000000000000001E-3</v>
      </c>
    </row>
    <row r="563" spans="1:9" x14ac:dyDescent="0.25">
      <c r="A563" s="112">
        <v>45274</v>
      </c>
      <c r="B563" t="s">
        <v>335</v>
      </c>
      <c r="C563" t="s">
        <v>33</v>
      </c>
      <c r="D563" s="1">
        <v>104000</v>
      </c>
      <c r="E563" s="1">
        <v>31584</v>
      </c>
      <c r="F563" s="3">
        <v>0.30370000000000003</v>
      </c>
      <c r="G563">
        <v>302</v>
      </c>
      <c r="H563" s="3">
        <v>9.5999999999999992E-3</v>
      </c>
      <c r="I563" s="114">
        <v>2.8999999999999998E-3</v>
      </c>
    </row>
    <row r="564" spans="1:9" x14ac:dyDescent="0.25">
      <c r="A564" s="112">
        <v>45275</v>
      </c>
      <c r="B564" t="s">
        <v>378</v>
      </c>
      <c r="C564" t="s">
        <v>32</v>
      </c>
      <c r="D564" s="1">
        <v>3440418</v>
      </c>
      <c r="E564" s="1">
        <v>1227983</v>
      </c>
      <c r="F564" s="2">
        <v>0.36659999999999998</v>
      </c>
      <c r="G564" s="1">
        <v>21234</v>
      </c>
      <c r="H564" s="2">
        <v>2.6100000000000002E-2</v>
      </c>
      <c r="I564" s="113">
        <v>9.7999999999999997E-3</v>
      </c>
    </row>
    <row r="565" spans="1:9" x14ac:dyDescent="0.25">
      <c r="A565" s="112">
        <v>45275</v>
      </c>
      <c r="B565" t="s">
        <v>378</v>
      </c>
      <c r="C565" t="s">
        <v>33</v>
      </c>
      <c r="D565" s="1">
        <v>214842</v>
      </c>
      <c r="E565" s="1">
        <v>31279</v>
      </c>
      <c r="F565" s="2">
        <v>0.2873</v>
      </c>
      <c r="G565" s="1">
        <v>1439</v>
      </c>
      <c r="H565" s="2">
        <v>4.2099999999999999E-2</v>
      </c>
      <c r="I565" s="113">
        <v>1.2E-2</v>
      </c>
    </row>
    <row r="566" spans="1:9" x14ac:dyDescent="0.25">
      <c r="A566" s="112">
        <v>45275</v>
      </c>
      <c r="B566" t="s">
        <v>379</v>
      </c>
      <c r="C566" t="s">
        <v>32</v>
      </c>
      <c r="D566" s="1">
        <v>309171</v>
      </c>
      <c r="E566" s="1">
        <v>115370</v>
      </c>
      <c r="F566" s="2">
        <v>0.373159190221593</v>
      </c>
      <c r="G566" s="1">
        <v>1613</v>
      </c>
      <c r="H566" s="2">
        <v>1.39811042732079E-2</v>
      </c>
      <c r="I566" s="113">
        <v>5.2171775489939197E-3</v>
      </c>
    </row>
    <row r="567" spans="1:9" x14ac:dyDescent="0.25">
      <c r="A567" s="112">
        <v>45275</v>
      </c>
      <c r="B567" t="s">
        <v>380</v>
      </c>
      <c r="C567" t="s">
        <v>312</v>
      </c>
      <c r="D567" s="1">
        <v>3780155</v>
      </c>
      <c r="E567" s="1">
        <v>1341908</v>
      </c>
      <c r="F567" s="2">
        <v>0.35498756003391402</v>
      </c>
      <c r="G567" s="1">
        <v>8777</v>
      </c>
      <c r="H567" s="2">
        <v>6.5406868429132197E-3</v>
      </c>
      <c r="I567" s="113">
        <v>2.3218624633116899E-3</v>
      </c>
    </row>
    <row r="568" spans="1:9" x14ac:dyDescent="0.25">
      <c r="A568" s="112">
        <v>45275</v>
      </c>
      <c r="B568" t="s">
        <v>380</v>
      </c>
      <c r="C568" t="s">
        <v>313</v>
      </c>
      <c r="D568" s="1">
        <v>258964</v>
      </c>
      <c r="E568" s="1">
        <v>82935</v>
      </c>
      <c r="F568" s="2">
        <v>0.32025686968072797</v>
      </c>
      <c r="G568" s="1">
        <v>1001</v>
      </c>
      <c r="H568" s="2">
        <v>1.2069693133176599E-2</v>
      </c>
      <c r="I568" s="113">
        <v>3.8654021408381098E-3</v>
      </c>
    </row>
    <row r="569" spans="1:9" x14ac:dyDescent="0.25">
      <c r="A569" s="112">
        <v>45275</v>
      </c>
      <c r="B569" t="s">
        <v>380</v>
      </c>
      <c r="C569" t="s">
        <v>314</v>
      </c>
      <c r="D569" s="1">
        <v>78782</v>
      </c>
      <c r="E569" s="1">
        <v>33726</v>
      </c>
      <c r="F569" s="2">
        <v>0.42809271153309097</v>
      </c>
      <c r="G569" s="1">
        <v>645</v>
      </c>
      <c r="H569" s="2">
        <v>1.9124710905532801E-2</v>
      </c>
      <c r="I569" s="113">
        <v>8.1871493488360307E-3</v>
      </c>
    </row>
    <row r="570" spans="1:9" x14ac:dyDescent="0.25">
      <c r="A570" s="112">
        <v>45275</v>
      </c>
      <c r="B570" t="s">
        <v>380</v>
      </c>
      <c r="C570" t="s">
        <v>315</v>
      </c>
      <c r="D570" s="1">
        <v>3818</v>
      </c>
      <c r="E570" s="1">
        <v>1664</v>
      </c>
      <c r="F570" s="2">
        <v>0.435830277632268</v>
      </c>
      <c r="G570" s="1">
        <v>48</v>
      </c>
      <c r="H570" s="2">
        <v>2.8846153846153799E-2</v>
      </c>
      <c r="I570" s="113">
        <v>1.25720272393924E-2</v>
      </c>
    </row>
    <row r="571" spans="1:9" x14ac:dyDescent="0.25">
      <c r="A571" s="112">
        <v>45276</v>
      </c>
      <c r="B571" t="s">
        <v>381</v>
      </c>
      <c r="C571" t="s">
        <v>32</v>
      </c>
      <c r="D571" s="1">
        <v>1021104</v>
      </c>
      <c r="E571" s="1">
        <v>369347</v>
      </c>
      <c r="F571" s="2">
        <v>0.36171340039800098</v>
      </c>
      <c r="G571" s="1">
        <v>3921</v>
      </c>
      <c r="H571" s="2">
        <v>1.0616033161227801E-2</v>
      </c>
      <c r="I571" s="113">
        <v>3.8399614534856399E-3</v>
      </c>
    </row>
    <row r="572" spans="1:9" x14ac:dyDescent="0.25">
      <c r="A572" s="112">
        <v>45276</v>
      </c>
      <c r="B572" t="s">
        <v>381</v>
      </c>
      <c r="C572" t="s">
        <v>33</v>
      </c>
      <c r="D572" s="1">
        <v>83852</v>
      </c>
      <c r="E572" s="1">
        <v>26076</v>
      </c>
      <c r="F572" s="2">
        <v>0.31097648237370601</v>
      </c>
      <c r="G572" s="1">
        <v>539</v>
      </c>
      <c r="H572" s="2">
        <v>2.06703482129161E-2</v>
      </c>
      <c r="I572" s="113">
        <v>6.4279921766922698E-3</v>
      </c>
    </row>
    <row r="573" spans="1:9" x14ac:dyDescent="0.25">
      <c r="A573" s="112">
        <v>45277</v>
      </c>
      <c r="B573" t="s">
        <v>382</v>
      </c>
      <c r="C573" t="s">
        <v>32</v>
      </c>
      <c r="D573" s="1">
        <v>40461</v>
      </c>
      <c r="E573" s="1">
        <v>15095</v>
      </c>
      <c r="F573" s="2">
        <v>0.37307530708583603</v>
      </c>
      <c r="G573" s="1">
        <v>424</v>
      </c>
      <c r="H573" s="2">
        <v>2.8088771116263699E-2</v>
      </c>
      <c r="I573" s="113">
        <v>1.04792269098638E-2</v>
      </c>
    </row>
    <row r="574" spans="1:9" x14ac:dyDescent="0.25">
      <c r="A574" s="112">
        <v>45278</v>
      </c>
      <c r="B574" t="s">
        <v>383</v>
      </c>
      <c r="C574" t="s">
        <v>32</v>
      </c>
      <c r="D574" s="1">
        <v>2409495</v>
      </c>
      <c r="E574" s="1">
        <v>916607</v>
      </c>
      <c r="F574" s="2">
        <v>0.38041456819789998</v>
      </c>
      <c r="G574" s="1">
        <v>10853</v>
      </c>
      <c r="H574" s="2">
        <v>1.18404070664963E-2</v>
      </c>
      <c r="I574" s="113">
        <v>4.5042633414885697E-3</v>
      </c>
    </row>
    <row r="575" spans="1:9" x14ac:dyDescent="0.25">
      <c r="A575" s="112">
        <v>45278</v>
      </c>
      <c r="B575" t="s">
        <v>383</v>
      </c>
      <c r="C575" t="s">
        <v>33</v>
      </c>
      <c r="D575" s="1">
        <v>156951</v>
      </c>
      <c r="E575" s="1">
        <v>56513</v>
      </c>
      <c r="F575" s="2">
        <v>0.36006779185860599</v>
      </c>
      <c r="G575" s="1">
        <v>1122</v>
      </c>
      <c r="H575" s="2">
        <v>1.9853838939713001E-2</v>
      </c>
      <c r="I575" s="113">
        <v>7.1487279469388499E-3</v>
      </c>
    </row>
    <row r="576" spans="1:9" x14ac:dyDescent="0.25">
      <c r="A576" s="112">
        <v>45279</v>
      </c>
      <c r="B576" t="s">
        <v>384</v>
      </c>
      <c r="C576" t="s">
        <v>32</v>
      </c>
      <c r="D576" s="1">
        <v>1026043</v>
      </c>
      <c r="E576" s="1">
        <v>380300</v>
      </c>
      <c r="F576" s="2">
        <v>0.370647234082782</v>
      </c>
      <c r="G576" s="1">
        <v>5171</v>
      </c>
      <c r="H576" s="2">
        <v>1.3597160136734201E-2</v>
      </c>
      <c r="I576" s="113">
        <v>5.0397497960611801E-3</v>
      </c>
    </row>
    <row r="577" spans="1:9" x14ac:dyDescent="0.25">
      <c r="A577" s="112">
        <v>45279</v>
      </c>
      <c r="B577" t="s">
        <v>384</v>
      </c>
      <c r="C577" t="s">
        <v>33</v>
      </c>
      <c r="D577" s="1">
        <v>78403</v>
      </c>
      <c r="E577" s="1">
        <v>25253</v>
      </c>
      <c r="F577" s="2">
        <v>0.322092266877543</v>
      </c>
      <c r="G577" s="1">
        <v>581</v>
      </c>
      <c r="H577" s="2">
        <v>2.30071674652517E-2</v>
      </c>
      <c r="I577" s="113">
        <v>7.4104307233141603E-3</v>
      </c>
    </row>
    <row r="578" spans="1:9" x14ac:dyDescent="0.25">
      <c r="A578" s="112">
        <v>45279</v>
      </c>
      <c r="B578" t="s">
        <v>385</v>
      </c>
      <c r="C578" t="s">
        <v>32</v>
      </c>
      <c r="D578" s="1">
        <v>169187</v>
      </c>
      <c r="E578" s="1">
        <v>61670</v>
      </c>
      <c r="F578" s="2">
        <v>0.36450791136434801</v>
      </c>
      <c r="G578" s="1">
        <v>966</v>
      </c>
      <c r="H578" s="2">
        <v>1.5664018161180501E-2</v>
      </c>
      <c r="I578" s="113">
        <v>5.7096585435051197E-3</v>
      </c>
    </row>
    <row r="579" spans="1:9" x14ac:dyDescent="0.25">
      <c r="A579" s="112">
        <v>45279</v>
      </c>
      <c r="B579" t="s">
        <v>386</v>
      </c>
      <c r="C579" t="s">
        <v>32</v>
      </c>
      <c r="D579" s="1">
        <v>489309</v>
      </c>
      <c r="E579" s="1">
        <v>194129</v>
      </c>
      <c r="F579" s="2">
        <v>0.39674111859785899</v>
      </c>
      <c r="G579" s="1">
        <v>1563</v>
      </c>
      <c r="H579" s="2">
        <v>8.0513472999912405E-3</v>
      </c>
      <c r="I579" s="113">
        <v>3.19430053401838E-3</v>
      </c>
    </row>
    <row r="580" spans="1:9" x14ac:dyDescent="0.25">
      <c r="A580" s="112">
        <v>45279</v>
      </c>
      <c r="B580" t="s">
        <v>386</v>
      </c>
      <c r="C580" t="s">
        <v>33</v>
      </c>
      <c r="D580" s="1">
        <v>33311</v>
      </c>
      <c r="E580" s="1">
        <v>11384</v>
      </c>
      <c r="F580" s="2">
        <v>0.34174897181111302</v>
      </c>
      <c r="G580" s="1">
        <v>170</v>
      </c>
      <c r="H580" s="2">
        <v>1.49332396345748E-2</v>
      </c>
      <c r="I580" s="113">
        <v>5.1034192909249201E-3</v>
      </c>
    </row>
    <row r="581" spans="1:9" x14ac:dyDescent="0.25">
      <c r="A581" s="112">
        <v>45280</v>
      </c>
      <c r="B581" t="s">
        <v>387</v>
      </c>
      <c r="C581" t="s">
        <v>32</v>
      </c>
      <c r="D581" s="1">
        <v>384730</v>
      </c>
      <c r="E581" s="1">
        <v>152518</v>
      </c>
      <c r="F581" s="2">
        <v>0.39642866425805101</v>
      </c>
      <c r="G581" s="1">
        <v>2641</v>
      </c>
      <c r="H581" s="2">
        <v>1.73159889324539E-2</v>
      </c>
      <c r="I581" s="113">
        <v>6.8645543627998901E-3</v>
      </c>
    </row>
    <row r="582" spans="1:9" x14ac:dyDescent="0.25">
      <c r="A582" s="112">
        <v>45280</v>
      </c>
      <c r="B582" t="s">
        <v>388</v>
      </c>
      <c r="C582" t="s">
        <v>32</v>
      </c>
      <c r="D582" s="1">
        <v>186662</v>
      </c>
      <c r="E582" s="1">
        <v>83468</v>
      </c>
      <c r="F582" s="2">
        <v>0.447161179029476</v>
      </c>
      <c r="G582" s="1">
        <v>1434</v>
      </c>
      <c r="H582" s="2">
        <v>1.7180236737432301E-2</v>
      </c>
      <c r="I582" s="113">
        <v>7.6823349155157403E-3</v>
      </c>
    </row>
    <row r="583" spans="1:9" x14ac:dyDescent="0.25">
      <c r="A583" s="112">
        <v>45280</v>
      </c>
      <c r="B583" t="s">
        <v>388</v>
      </c>
      <c r="C583" t="s">
        <v>33</v>
      </c>
      <c r="D583" s="1">
        <v>11154</v>
      </c>
      <c r="E583" s="1">
        <v>5163</v>
      </c>
      <c r="F583" s="2">
        <v>0.46288327057557799</v>
      </c>
      <c r="G583" s="1">
        <v>161</v>
      </c>
      <c r="H583" s="2">
        <v>3.1183420491961999E-2</v>
      </c>
      <c r="I583" s="113">
        <v>1.4434283665052901E-2</v>
      </c>
    </row>
    <row r="584" spans="1:9" x14ac:dyDescent="0.25">
      <c r="A584" s="112">
        <v>45280</v>
      </c>
      <c r="B584" t="s">
        <v>389</v>
      </c>
      <c r="C584" t="s">
        <v>32</v>
      </c>
      <c r="D584" s="1">
        <v>197685</v>
      </c>
      <c r="E584" s="1">
        <v>76720</v>
      </c>
      <c r="F584" s="2">
        <v>0.38809216683107001</v>
      </c>
      <c r="G584" s="1">
        <v>412</v>
      </c>
      <c r="H584" s="2">
        <v>5.3701772679874901E-3</v>
      </c>
      <c r="I584" s="113">
        <v>2.08412373220022E-3</v>
      </c>
    </row>
    <row r="585" spans="1:9" x14ac:dyDescent="0.25">
      <c r="A585" s="112">
        <v>45280</v>
      </c>
      <c r="B585" t="s">
        <v>389</v>
      </c>
      <c r="C585" t="s">
        <v>33</v>
      </c>
      <c r="D585" s="1">
        <v>11167</v>
      </c>
      <c r="E585" s="1">
        <v>4169</v>
      </c>
      <c r="F585" s="2">
        <v>0.37333213933912401</v>
      </c>
      <c r="G585" s="1">
        <v>43</v>
      </c>
      <c r="H585" s="2">
        <v>1.03142240345407E-2</v>
      </c>
      <c r="I585" s="113">
        <v>3.8506313244380799E-3</v>
      </c>
    </row>
    <row r="586" spans="1:9" x14ac:dyDescent="0.25">
      <c r="A586" s="112">
        <v>45280</v>
      </c>
      <c r="B586" t="s">
        <v>390</v>
      </c>
      <c r="C586" t="s">
        <v>32</v>
      </c>
      <c r="D586" s="1">
        <v>2024144</v>
      </c>
      <c r="E586" s="1">
        <v>773052</v>
      </c>
      <c r="F586" s="2">
        <v>0.4783</v>
      </c>
      <c r="G586" s="1">
        <v>3371</v>
      </c>
      <c r="H586" s="2">
        <v>5.0700000000000002E-2</v>
      </c>
      <c r="I586" s="113">
        <v>3.2099999999999997E-2</v>
      </c>
    </row>
    <row r="587" spans="1:9" x14ac:dyDescent="0.25">
      <c r="A587" s="112">
        <v>45280</v>
      </c>
      <c r="B587" t="s">
        <v>390</v>
      </c>
      <c r="C587" t="s">
        <v>33</v>
      </c>
      <c r="D587" s="1">
        <v>117757</v>
      </c>
      <c r="E587" s="1">
        <v>42513</v>
      </c>
      <c r="F587" s="3">
        <v>0.36099999999999999</v>
      </c>
      <c r="G587">
        <v>503</v>
      </c>
      <c r="H587" s="3">
        <v>1.18E-2</v>
      </c>
      <c r="I587" s="114">
        <v>4.3E-3</v>
      </c>
    </row>
    <row r="588" spans="1:9" x14ac:dyDescent="0.25">
      <c r="A588" s="112">
        <v>45281</v>
      </c>
      <c r="B588" t="s">
        <v>391</v>
      </c>
      <c r="C588" t="s">
        <v>32</v>
      </c>
      <c r="D588" s="1">
        <v>729767</v>
      </c>
      <c r="E588" s="1">
        <v>249264</v>
      </c>
      <c r="F588" s="3">
        <v>0.34160000000000001</v>
      </c>
      <c r="G588" s="1">
        <v>1529</v>
      </c>
      <c r="H588" s="3">
        <v>6.1000000000000004E-3</v>
      </c>
      <c r="I588" s="114">
        <v>2.0999999999999999E-3</v>
      </c>
    </row>
    <row r="589" spans="1:9" x14ac:dyDescent="0.25">
      <c r="A589" s="112">
        <v>45281</v>
      </c>
      <c r="B589" t="s">
        <v>392</v>
      </c>
      <c r="C589" t="s">
        <v>33</v>
      </c>
      <c r="D589" s="1">
        <v>47158</v>
      </c>
      <c r="E589" s="1">
        <v>13591</v>
      </c>
      <c r="F589" s="3">
        <v>0.28820000000000001</v>
      </c>
      <c r="G589">
        <v>117</v>
      </c>
      <c r="H589" s="3">
        <v>8.6E-3</v>
      </c>
      <c r="I589" s="114">
        <v>2.5000000000000001E-3</v>
      </c>
    </row>
    <row r="590" spans="1:9" x14ac:dyDescent="0.25">
      <c r="A590" s="112">
        <v>45281</v>
      </c>
      <c r="B590" t="s">
        <v>393</v>
      </c>
      <c r="C590" t="s">
        <v>32</v>
      </c>
      <c r="D590" s="1">
        <v>424380</v>
      </c>
      <c r="E590" s="1">
        <v>159395</v>
      </c>
      <c r="F590" s="2">
        <v>0.37559498562609001</v>
      </c>
      <c r="G590" s="1">
        <v>1813</v>
      </c>
      <c r="H590" s="2">
        <v>1.13742589165281E-2</v>
      </c>
      <c r="I590" s="113">
        <v>4.2721146142607998E-3</v>
      </c>
    </row>
    <row r="591" spans="1:9" x14ac:dyDescent="0.25">
      <c r="A591" s="112">
        <v>45281</v>
      </c>
      <c r="B591" t="s">
        <v>393</v>
      </c>
      <c r="C591" t="s">
        <v>33</v>
      </c>
      <c r="D591" s="1">
        <v>27085</v>
      </c>
      <c r="E591" s="1">
        <v>9531</v>
      </c>
      <c r="F591" s="2">
        <v>0.351892191249769</v>
      </c>
      <c r="G591" s="1">
        <v>171</v>
      </c>
      <c r="H591" s="2">
        <v>1.7941454202077399E-2</v>
      </c>
      <c r="I591" s="113">
        <v>6.3134576333764101E-3</v>
      </c>
    </row>
    <row r="592" spans="1:9" x14ac:dyDescent="0.25">
      <c r="A592" s="112">
        <v>45281</v>
      </c>
      <c r="B592" t="s">
        <v>353</v>
      </c>
      <c r="C592" t="s">
        <v>32</v>
      </c>
      <c r="D592" s="1">
        <v>127060</v>
      </c>
      <c r="E592" s="1">
        <v>48209</v>
      </c>
      <c r="F592" s="2">
        <v>0.37941917204470299</v>
      </c>
      <c r="G592" s="1">
        <v>264</v>
      </c>
      <c r="H592" s="2">
        <v>5.4761559044991604E-3</v>
      </c>
      <c r="I592" s="113">
        <v>2.0777585392727799E-3</v>
      </c>
    </row>
    <row r="593" spans="1:9" x14ac:dyDescent="0.25">
      <c r="A593" s="112">
        <v>45282</v>
      </c>
      <c r="B593" t="s">
        <v>394</v>
      </c>
      <c r="C593" t="s">
        <v>32</v>
      </c>
      <c r="D593" s="1">
        <v>3250360</v>
      </c>
      <c r="E593" s="1">
        <v>1117103</v>
      </c>
      <c r="F593" s="3">
        <v>0.35289999999999999</v>
      </c>
      <c r="G593" s="1">
        <v>15997</v>
      </c>
      <c r="H593" s="3">
        <v>2.35E-2</v>
      </c>
      <c r="I593" s="114">
        <v>8.5000000000000006E-3</v>
      </c>
    </row>
    <row r="594" spans="1:9" x14ac:dyDescent="0.25">
      <c r="A594" s="112">
        <v>45282</v>
      </c>
      <c r="B594" t="s">
        <v>394</v>
      </c>
      <c r="C594" t="s">
        <v>33</v>
      </c>
      <c r="D594" s="1">
        <v>204841</v>
      </c>
      <c r="E594" s="1">
        <v>54689</v>
      </c>
      <c r="F594" s="3">
        <v>0.2641</v>
      </c>
      <c r="G594" s="1">
        <v>1229</v>
      </c>
      <c r="H594" s="3">
        <v>4.2900000000000001E-2</v>
      </c>
      <c r="I594" s="114">
        <v>1.12E-2</v>
      </c>
    </row>
    <row r="595" spans="1:9" x14ac:dyDescent="0.25">
      <c r="A595" s="112">
        <v>45282</v>
      </c>
      <c r="B595" t="s">
        <v>395</v>
      </c>
      <c r="C595" t="s">
        <v>32</v>
      </c>
      <c r="D595" s="1">
        <v>288805</v>
      </c>
      <c r="E595" s="1">
        <v>103259</v>
      </c>
      <c r="F595" s="2">
        <v>0.35753882377382701</v>
      </c>
      <c r="G595" s="1">
        <v>1571</v>
      </c>
      <c r="H595" s="2">
        <v>1.52141701933972E-2</v>
      </c>
      <c r="I595" s="113">
        <v>5.4396565156420397E-3</v>
      </c>
    </row>
    <row r="596" spans="1:9" x14ac:dyDescent="0.25">
      <c r="A596" s="112">
        <v>45282</v>
      </c>
      <c r="B596" t="s">
        <v>395</v>
      </c>
      <c r="C596" t="s">
        <v>33</v>
      </c>
      <c r="D596" s="1">
        <v>16012</v>
      </c>
      <c r="E596" s="1">
        <v>4919</v>
      </c>
      <c r="F596" s="2">
        <v>0.30720709467899099</v>
      </c>
      <c r="G596" s="1">
        <v>155</v>
      </c>
      <c r="H596" s="2">
        <v>3.1510469607643803E-2</v>
      </c>
      <c r="I596" s="113">
        <v>9.6802398201348994E-3</v>
      </c>
    </row>
    <row r="597" spans="1:9" x14ac:dyDescent="0.25">
      <c r="A597" s="112">
        <v>45282</v>
      </c>
      <c r="B597" t="s">
        <v>396</v>
      </c>
      <c r="C597" t="s">
        <v>32</v>
      </c>
      <c r="D597" s="1">
        <v>34260</v>
      </c>
      <c r="E597" s="1">
        <v>15467</v>
      </c>
      <c r="F597" s="2">
        <v>0.45145942790426202</v>
      </c>
      <c r="G597" s="1">
        <v>290</v>
      </c>
      <c r="H597" s="2">
        <v>1.8749595913881201E-2</v>
      </c>
      <c r="I597" s="113">
        <v>8.4646818447168693E-3</v>
      </c>
    </row>
    <row r="598" spans="1:9" x14ac:dyDescent="0.25">
      <c r="A598" s="112">
        <v>45282</v>
      </c>
      <c r="B598" t="s">
        <v>396</v>
      </c>
      <c r="C598" t="s">
        <v>33</v>
      </c>
      <c r="D598" s="1">
        <v>3497</v>
      </c>
      <c r="E598" s="1">
        <v>1248</v>
      </c>
      <c r="F598" s="2">
        <v>0.356877323420074</v>
      </c>
      <c r="G598" s="1">
        <v>22</v>
      </c>
      <c r="H598" s="2">
        <v>1.76282051282051E-2</v>
      </c>
      <c r="I598" s="113">
        <v>6.2911066628538702E-3</v>
      </c>
    </row>
    <row r="599" spans="1:9" x14ac:dyDescent="0.25">
      <c r="A599" s="112">
        <v>45282</v>
      </c>
      <c r="B599" t="s">
        <v>397</v>
      </c>
      <c r="C599" t="s">
        <v>32</v>
      </c>
      <c r="D599" s="1">
        <v>725026</v>
      </c>
      <c r="E599" s="1">
        <v>252497</v>
      </c>
      <c r="F599" s="2">
        <v>0.348259234841233</v>
      </c>
      <c r="G599" s="1">
        <v>2167</v>
      </c>
      <c r="H599" s="2">
        <v>8.5822801855071507E-3</v>
      </c>
      <c r="I599" s="113">
        <v>2.9888583305978001E-3</v>
      </c>
    </row>
    <row r="600" spans="1:9" x14ac:dyDescent="0.25">
      <c r="A600" s="112">
        <v>45282</v>
      </c>
      <c r="B600" t="s">
        <v>397</v>
      </c>
      <c r="C600" t="s">
        <v>33</v>
      </c>
      <c r="D600" s="1">
        <v>56883</v>
      </c>
      <c r="E600" s="1">
        <v>16507</v>
      </c>
      <c r="F600" s="2">
        <v>0.290192148796653</v>
      </c>
      <c r="G600" s="1">
        <v>212</v>
      </c>
      <c r="H600" s="2">
        <v>1.2843036287635499E-2</v>
      </c>
      <c r="I600" s="113">
        <v>3.72694829738235E-3</v>
      </c>
    </row>
    <row r="601" spans="1:9" x14ac:dyDescent="0.25">
      <c r="A601" s="112">
        <v>45282</v>
      </c>
      <c r="B601" t="s">
        <v>380</v>
      </c>
      <c r="C601" t="s">
        <v>398</v>
      </c>
      <c r="D601" s="1">
        <v>3772169</v>
      </c>
      <c r="E601" s="1">
        <v>1305857</v>
      </c>
      <c r="F601" s="2">
        <v>0.34618199767825902</v>
      </c>
      <c r="G601" s="1">
        <v>8958</v>
      </c>
      <c r="H601" s="2">
        <v>6.8598629099510897E-3</v>
      </c>
      <c r="I601" s="113">
        <v>2.37476104596586E-3</v>
      </c>
    </row>
    <row r="602" spans="1:9" x14ac:dyDescent="0.25">
      <c r="A602" s="112">
        <v>45282</v>
      </c>
      <c r="B602" t="s">
        <v>380</v>
      </c>
      <c r="C602" t="s">
        <v>399</v>
      </c>
      <c r="D602" s="1">
        <v>258582</v>
      </c>
      <c r="E602" s="1">
        <v>80643</v>
      </c>
      <c r="F602" s="2">
        <v>0.31186625519177702</v>
      </c>
      <c r="G602" s="1">
        <v>1032</v>
      </c>
      <c r="H602" s="2">
        <v>1.27971429634314E-2</v>
      </c>
      <c r="I602" s="113">
        <v>3.9909970531591503E-3</v>
      </c>
    </row>
    <row r="603" spans="1:9" x14ac:dyDescent="0.25">
      <c r="A603" s="112">
        <v>45282</v>
      </c>
      <c r="B603" t="s">
        <v>380</v>
      </c>
      <c r="C603" t="s">
        <v>400</v>
      </c>
      <c r="D603" s="1">
        <v>77147</v>
      </c>
      <c r="E603" s="1">
        <v>33951</v>
      </c>
      <c r="F603" s="2">
        <v>0.44008192152643699</v>
      </c>
      <c r="G603" s="1">
        <v>610</v>
      </c>
      <c r="H603" s="2">
        <v>1.7967070189390599E-2</v>
      </c>
      <c r="I603" s="113">
        <v>7.9069827731473707E-3</v>
      </c>
    </row>
    <row r="604" spans="1:9" x14ac:dyDescent="0.25">
      <c r="A604" s="112">
        <v>45282</v>
      </c>
      <c r="B604" t="s">
        <v>380</v>
      </c>
      <c r="C604" t="s">
        <v>401</v>
      </c>
      <c r="D604" s="1">
        <v>3729</v>
      </c>
      <c r="E604" s="1">
        <v>1636</v>
      </c>
      <c r="F604" s="2">
        <v>0.43872351836953599</v>
      </c>
      <c r="G604" s="1">
        <v>45</v>
      </c>
      <c r="H604" s="2">
        <v>2.75061124694377E-2</v>
      </c>
      <c r="I604" s="113">
        <v>1.20675784392599E-2</v>
      </c>
    </row>
    <row r="605" spans="1:9" x14ac:dyDescent="0.25">
      <c r="A605" s="112">
        <v>45282</v>
      </c>
      <c r="B605" t="s">
        <v>402</v>
      </c>
      <c r="C605" t="s">
        <v>32</v>
      </c>
      <c r="D605" s="1">
        <v>7902</v>
      </c>
      <c r="E605" s="1">
        <v>3263</v>
      </c>
      <c r="F605" s="2">
        <v>0.41293343457352599</v>
      </c>
      <c r="G605" s="1">
        <v>82</v>
      </c>
      <c r="H605" s="2">
        <v>2.5130248237817999E-2</v>
      </c>
      <c r="I605" s="113">
        <v>1.0377119716527499E-2</v>
      </c>
    </row>
    <row r="606" spans="1:9" x14ac:dyDescent="0.25">
      <c r="A606" s="112">
        <v>45283</v>
      </c>
      <c r="B606" t="s">
        <v>403</v>
      </c>
      <c r="C606" t="s">
        <v>32</v>
      </c>
      <c r="D606" s="1">
        <v>150125</v>
      </c>
      <c r="E606" s="1">
        <v>51569</v>
      </c>
      <c r="F606" s="2">
        <v>0.34350707743546999</v>
      </c>
      <c r="G606" s="1">
        <v>1260</v>
      </c>
      <c r="H606" s="2">
        <v>2.4433283561829802E-2</v>
      </c>
      <c r="I606" s="113">
        <v>8.3930058284762705E-3</v>
      </c>
    </row>
    <row r="607" spans="1:9" x14ac:dyDescent="0.25">
      <c r="A607" s="112">
        <v>45284</v>
      </c>
      <c r="B607" t="s">
        <v>404</v>
      </c>
      <c r="C607" t="s">
        <v>32</v>
      </c>
      <c r="D607" s="1">
        <v>6256</v>
      </c>
      <c r="E607" s="1">
        <v>1907</v>
      </c>
      <c r="F607" s="2">
        <v>0.30482736572890001</v>
      </c>
      <c r="G607" s="1">
        <v>158</v>
      </c>
      <c r="H607" s="2">
        <v>8.2852648138437304E-2</v>
      </c>
      <c r="I607" s="113">
        <v>2.5255754475703301E-2</v>
      </c>
    </row>
    <row r="608" spans="1:9" x14ac:dyDescent="0.25">
      <c r="A608" s="112">
        <v>45286</v>
      </c>
      <c r="B608" t="s">
        <v>405</v>
      </c>
      <c r="C608" t="s">
        <v>32</v>
      </c>
      <c r="D608" s="1">
        <v>994133</v>
      </c>
      <c r="E608" s="1">
        <v>273204</v>
      </c>
      <c r="F608" s="2">
        <v>0.27481634751084599</v>
      </c>
      <c r="G608" s="1">
        <v>3783</v>
      </c>
      <c r="H608" s="2">
        <v>1.384679580094E-2</v>
      </c>
      <c r="I608" s="113">
        <v>3.8053258467428399E-3</v>
      </c>
    </row>
    <row r="609" spans="1:9" x14ac:dyDescent="0.25">
      <c r="A609" s="112">
        <v>45286</v>
      </c>
      <c r="B609" t="s">
        <v>405</v>
      </c>
      <c r="C609" t="s">
        <v>33</v>
      </c>
      <c r="D609" s="1">
        <v>73434</v>
      </c>
      <c r="E609" s="1">
        <v>11305</v>
      </c>
      <c r="F609" s="2">
        <v>0.15394776261677201</v>
      </c>
      <c r="G609" s="1">
        <v>320</v>
      </c>
      <c r="H609" s="2">
        <v>2.83060592658116E-2</v>
      </c>
      <c r="I609" s="113">
        <v>4.3576544924694297E-3</v>
      </c>
    </row>
    <row r="610" spans="1:9" x14ac:dyDescent="0.25">
      <c r="A610" s="112">
        <v>45286</v>
      </c>
      <c r="B610" t="s">
        <v>406</v>
      </c>
      <c r="C610" t="s">
        <v>407</v>
      </c>
      <c r="D610" s="1">
        <v>3826915</v>
      </c>
      <c r="E610" s="1">
        <v>959490</v>
      </c>
      <c r="F610" s="2">
        <v>0.25072153418615301</v>
      </c>
      <c r="G610" s="1">
        <v>6087</v>
      </c>
      <c r="H610" s="2">
        <v>6.3439952474752198E-3</v>
      </c>
      <c r="I610" s="113">
        <v>1.5905762213166499E-3</v>
      </c>
    </row>
    <row r="611" spans="1:9" x14ac:dyDescent="0.25">
      <c r="A611" s="112">
        <v>45286</v>
      </c>
      <c r="B611" t="s">
        <v>406</v>
      </c>
      <c r="C611" t="s">
        <v>408</v>
      </c>
      <c r="D611" s="1">
        <v>254703</v>
      </c>
      <c r="E611" s="1">
        <v>38109</v>
      </c>
      <c r="F611" s="2">
        <v>0.14962132365932099</v>
      </c>
      <c r="G611" s="1">
        <v>304</v>
      </c>
      <c r="H611" s="2">
        <v>7.9771182660264006E-3</v>
      </c>
      <c r="I611" s="113">
        <v>1.19354699394982E-3</v>
      </c>
    </row>
    <row r="612" spans="1:9" x14ac:dyDescent="0.25">
      <c r="A612" s="112">
        <v>45286</v>
      </c>
      <c r="B612" t="s">
        <v>406</v>
      </c>
      <c r="C612" t="s">
        <v>409</v>
      </c>
      <c r="D612" s="1">
        <v>62841</v>
      </c>
      <c r="E612" s="1">
        <v>19478</v>
      </c>
      <c r="F612" s="2">
        <v>0.30995687528842603</v>
      </c>
      <c r="G612" s="1">
        <v>260</v>
      </c>
      <c r="H612" s="2">
        <v>1.33483930588356E-2</v>
      </c>
      <c r="I612" s="113">
        <v>4.1374262026383996E-3</v>
      </c>
    </row>
    <row r="613" spans="1:9" x14ac:dyDescent="0.25">
      <c r="A613" s="112">
        <v>45286</v>
      </c>
      <c r="B613" t="s">
        <v>406</v>
      </c>
      <c r="C613" t="s">
        <v>410</v>
      </c>
      <c r="D613" s="1">
        <v>2968</v>
      </c>
      <c r="E613" s="1">
        <v>536</v>
      </c>
      <c r="F613" s="2">
        <v>0.180592991913747</v>
      </c>
      <c r="G613" s="1">
        <v>6</v>
      </c>
      <c r="H613" s="2">
        <v>1.1194029850746299E-2</v>
      </c>
      <c r="I613" s="113">
        <v>2.0215633423180598E-3</v>
      </c>
    </row>
    <row r="614" spans="1:9" x14ac:dyDescent="0.25">
      <c r="A614" s="112">
        <v>45287</v>
      </c>
      <c r="B614" t="s">
        <v>411</v>
      </c>
      <c r="C614" t="s">
        <v>412</v>
      </c>
      <c r="D614" s="1">
        <v>164514</v>
      </c>
      <c r="E614" s="1">
        <v>41434</v>
      </c>
      <c r="F614" s="2">
        <v>0.25185698481588198</v>
      </c>
      <c r="G614" s="1">
        <v>436</v>
      </c>
      <c r="H614" s="2">
        <v>1.0522759086740399E-2</v>
      </c>
      <c r="I614" s="113">
        <v>2.6502303755303498E-3</v>
      </c>
    </row>
    <row r="615" spans="1:9" x14ac:dyDescent="0.25">
      <c r="A615" s="112">
        <v>45287</v>
      </c>
      <c r="B615" t="s">
        <v>390</v>
      </c>
      <c r="C615" t="s">
        <v>412</v>
      </c>
      <c r="D615" s="1">
        <v>1996468</v>
      </c>
      <c r="E615" s="1">
        <v>535695</v>
      </c>
      <c r="F615" s="3">
        <v>0.31719999999999998</v>
      </c>
      <c r="G615">
        <v>2619</v>
      </c>
      <c r="H615" s="3">
        <v>5.5100000000000003E-2</v>
      </c>
      <c r="I615" s="114">
        <v>1.7899999999999999E-2</v>
      </c>
    </row>
    <row r="616" spans="1:9" x14ac:dyDescent="0.25">
      <c r="A616" s="112">
        <v>45287</v>
      </c>
      <c r="B616" t="s">
        <v>390</v>
      </c>
      <c r="C616" t="s">
        <v>413</v>
      </c>
      <c r="D616" s="1">
        <v>110171</v>
      </c>
      <c r="E616" s="1">
        <v>21185</v>
      </c>
      <c r="F616" s="3">
        <v>0.1923</v>
      </c>
      <c r="G616">
        <v>245</v>
      </c>
      <c r="H616" s="3">
        <v>1.1599999999999999E-2</v>
      </c>
      <c r="I616" s="114">
        <v>2.2000000000000001E-3</v>
      </c>
    </row>
    <row r="617" spans="1:9" x14ac:dyDescent="0.25">
      <c r="A617" s="112">
        <v>45288</v>
      </c>
      <c r="B617" t="s">
        <v>414</v>
      </c>
      <c r="C617" t="s">
        <v>415</v>
      </c>
      <c r="D617" s="1">
        <v>705849</v>
      </c>
      <c r="E617" s="1">
        <v>172984</v>
      </c>
      <c r="F617" s="3">
        <v>0.24510000000000001</v>
      </c>
      <c r="G617" s="1">
        <v>1144</v>
      </c>
      <c r="H617" s="3">
        <v>6.6E-3</v>
      </c>
      <c r="I617" s="114">
        <v>1.6000000000000001E-3</v>
      </c>
    </row>
    <row r="618" spans="1:9" x14ac:dyDescent="0.25">
      <c r="A618" s="112">
        <v>45288</v>
      </c>
      <c r="B618" t="s">
        <v>416</v>
      </c>
      <c r="C618" t="s">
        <v>417</v>
      </c>
      <c r="D618" s="1">
        <v>53602</v>
      </c>
      <c r="E618" s="1">
        <v>8387</v>
      </c>
      <c r="F618" s="3">
        <v>0.1565</v>
      </c>
      <c r="G618">
        <v>62</v>
      </c>
      <c r="H618" s="3">
        <v>7.4000000000000003E-3</v>
      </c>
      <c r="I618" s="114">
        <v>1.1999999999999999E-3</v>
      </c>
    </row>
    <row r="619" spans="1:9" x14ac:dyDescent="0.25">
      <c r="A619" s="112">
        <v>45288</v>
      </c>
      <c r="B619" t="s">
        <v>418</v>
      </c>
      <c r="C619" t="s">
        <v>415</v>
      </c>
      <c r="D619" s="1">
        <v>378485</v>
      </c>
      <c r="E619" s="1">
        <v>98095</v>
      </c>
      <c r="F619" s="3">
        <v>0.25919999999999999</v>
      </c>
      <c r="G619">
        <v>830</v>
      </c>
      <c r="H619" s="3">
        <v>8.5000000000000006E-3</v>
      </c>
      <c r="I619" s="114">
        <v>2.2000000000000001E-3</v>
      </c>
    </row>
    <row r="620" spans="1:9" x14ac:dyDescent="0.25">
      <c r="A620" s="112">
        <v>45288</v>
      </c>
      <c r="B620" t="s">
        <v>419</v>
      </c>
      <c r="C620" t="s">
        <v>417</v>
      </c>
      <c r="D620" s="1">
        <v>25645</v>
      </c>
      <c r="E620" s="1">
        <v>4237</v>
      </c>
      <c r="F620" s="3">
        <v>0.16520000000000001</v>
      </c>
      <c r="G620">
        <v>54</v>
      </c>
      <c r="H620" s="3">
        <v>1.2699999999999999E-2</v>
      </c>
      <c r="I620" s="114">
        <v>2.0999999999999999E-3</v>
      </c>
    </row>
    <row r="621" spans="1:9" x14ac:dyDescent="0.25">
      <c r="A621" s="112">
        <v>45288</v>
      </c>
      <c r="B621" t="s">
        <v>391</v>
      </c>
      <c r="C621" t="s">
        <v>325</v>
      </c>
      <c r="D621" s="1">
        <v>634200</v>
      </c>
      <c r="E621" s="1">
        <v>151509</v>
      </c>
      <c r="F621" s="3">
        <v>0.2389</v>
      </c>
      <c r="G621" s="1">
        <v>1001</v>
      </c>
      <c r="H621" s="3">
        <v>6.6E-3</v>
      </c>
      <c r="I621" s="114">
        <v>1.6000000000000001E-3</v>
      </c>
    </row>
    <row r="622" spans="1:9" x14ac:dyDescent="0.25">
      <c r="A622" s="112">
        <v>45288</v>
      </c>
      <c r="B622" t="s">
        <v>392</v>
      </c>
      <c r="C622" t="s">
        <v>326</v>
      </c>
      <c r="D622" s="1">
        <v>41195</v>
      </c>
      <c r="E622" s="1">
        <v>6181</v>
      </c>
      <c r="F622" s="3">
        <v>0.15</v>
      </c>
      <c r="G622">
        <v>65</v>
      </c>
      <c r="H622" s="3">
        <v>1.0500000000000001E-2</v>
      </c>
      <c r="I622" s="114">
        <v>1.6000000000000001E-3</v>
      </c>
    </row>
    <row r="623" spans="1:9" x14ac:dyDescent="0.25">
      <c r="A623" s="112">
        <v>45288</v>
      </c>
      <c r="B623" t="s">
        <v>420</v>
      </c>
      <c r="C623" t="s">
        <v>415</v>
      </c>
      <c r="D623" s="1">
        <v>909774</v>
      </c>
      <c r="E623" s="1">
        <v>251008</v>
      </c>
      <c r="F623" s="3">
        <v>0.27589999999999998</v>
      </c>
      <c r="G623" s="1">
        <v>1359</v>
      </c>
      <c r="H623" s="3">
        <v>5.4000000000000003E-3</v>
      </c>
      <c r="I623" s="114">
        <v>1.5E-3</v>
      </c>
    </row>
    <row r="624" spans="1:9" x14ac:dyDescent="0.25">
      <c r="A624" s="112">
        <v>45288</v>
      </c>
      <c r="B624" t="s">
        <v>421</v>
      </c>
      <c r="C624" t="s">
        <v>417</v>
      </c>
      <c r="D624" s="1">
        <v>65644</v>
      </c>
      <c r="E624" s="1">
        <v>12519</v>
      </c>
      <c r="F624" s="3">
        <v>0.19070000000000001</v>
      </c>
      <c r="G624">
        <v>86</v>
      </c>
      <c r="H624" s="3">
        <v>6.8999999999999999E-3</v>
      </c>
      <c r="I624" s="114">
        <v>1.2999999999999999E-3</v>
      </c>
    </row>
    <row r="625" spans="1:9" x14ac:dyDescent="0.25">
      <c r="A625" s="112">
        <v>45288</v>
      </c>
      <c r="B625" t="s">
        <v>422</v>
      </c>
      <c r="C625" t="s">
        <v>415</v>
      </c>
      <c r="D625" s="1">
        <v>220497</v>
      </c>
      <c r="E625" s="1">
        <v>74689</v>
      </c>
      <c r="F625" s="2">
        <v>0.33873023215735398</v>
      </c>
      <c r="G625" s="1">
        <v>668</v>
      </c>
      <c r="H625" s="2">
        <v>8.9437534308934395E-3</v>
      </c>
      <c r="I625" s="113">
        <v>3.0295196760046599E-3</v>
      </c>
    </row>
    <row r="626" spans="1:9" x14ac:dyDescent="0.25">
      <c r="A626" s="112">
        <v>45288</v>
      </c>
      <c r="B626" t="s">
        <v>423</v>
      </c>
      <c r="C626" t="s">
        <v>412</v>
      </c>
      <c r="D626" s="1">
        <v>39703</v>
      </c>
      <c r="E626" s="1">
        <v>9705</v>
      </c>
      <c r="F626" s="2">
        <v>0.244439966753142</v>
      </c>
      <c r="G626" s="1">
        <v>102</v>
      </c>
      <c r="H626" s="2">
        <v>1.05100463678516E-2</v>
      </c>
      <c r="I626" s="113">
        <v>2.5690753847316299E-3</v>
      </c>
    </row>
    <row r="627" spans="1:9" x14ac:dyDescent="0.25">
      <c r="A627" s="112">
        <v>45289</v>
      </c>
      <c r="B627" t="s">
        <v>424</v>
      </c>
      <c r="C627" t="s">
        <v>32</v>
      </c>
      <c r="D627" s="1">
        <v>4070697</v>
      </c>
      <c r="E627" s="1">
        <v>1128162</v>
      </c>
      <c r="F627" s="2">
        <v>0.27714221913347997</v>
      </c>
      <c r="G627" s="1">
        <v>25678</v>
      </c>
      <c r="H627" s="2">
        <v>2.2760915542271401E-2</v>
      </c>
      <c r="I627" s="113">
        <v>6.30801064289482E-3</v>
      </c>
    </row>
    <row r="628" spans="1:9" x14ac:dyDescent="0.25">
      <c r="A628" s="112">
        <v>45289</v>
      </c>
      <c r="B628" t="s">
        <v>424</v>
      </c>
      <c r="C628" t="s">
        <v>33</v>
      </c>
      <c r="D628" s="1">
        <v>237550</v>
      </c>
      <c r="E628" s="1">
        <v>36601</v>
      </c>
      <c r="F628" s="2">
        <v>0.15407703641338699</v>
      </c>
      <c r="G628" s="1">
        <v>1260</v>
      </c>
      <c r="H628" s="2">
        <v>3.4425288926532099E-2</v>
      </c>
      <c r="I628" s="113">
        <v>5.3041464954746396E-3</v>
      </c>
    </row>
    <row r="629" spans="1:9" x14ac:dyDescent="0.25">
      <c r="A629" s="112">
        <v>45289</v>
      </c>
      <c r="B629" t="s">
        <v>425</v>
      </c>
      <c r="C629" t="s">
        <v>32</v>
      </c>
      <c r="D629" s="1">
        <v>293018</v>
      </c>
      <c r="E629" s="1">
        <v>71794</v>
      </c>
      <c r="F629" s="2">
        <v>0.245015664566682</v>
      </c>
      <c r="G629" s="1">
        <v>1086</v>
      </c>
      <c r="H629" s="2">
        <v>1.51266122517202E-2</v>
      </c>
      <c r="I629" s="113">
        <v>3.7062569534977402E-3</v>
      </c>
    </row>
    <row r="630" spans="1:9" x14ac:dyDescent="0.25">
      <c r="A630" s="112">
        <v>45290</v>
      </c>
      <c r="B630" t="s">
        <v>404</v>
      </c>
      <c r="C630" t="s">
        <v>426</v>
      </c>
      <c r="D630" s="1">
        <v>6111</v>
      </c>
      <c r="E630" s="1">
        <v>1752</v>
      </c>
      <c r="F630" s="2">
        <v>0.28669612174766801</v>
      </c>
      <c r="G630" s="1">
        <v>93</v>
      </c>
      <c r="H630" s="2">
        <v>5.3082191780821901E-2</v>
      </c>
      <c r="I630" s="113">
        <v>1.52184585174276E-2</v>
      </c>
    </row>
    <row r="631" spans="1:9" ht="15.75" thickBot="1" x14ac:dyDescent="0.3">
      <c r="A631" s="45" t="s">
        <v>427</v>
      </c>
      <c r="B631" s="46"/>
      <c r="C631" s="46"/>
      <c r="D631" s="47">
        <f>SUM(D2:D630)</f>
        <v>285342901</v>
      </c>
      <c r="E631" s="47">
        <f>SUM(E2:E630)</f>
        <v>95815976</v>
      </c>
      <c r="F631" s="48">
        <f>_xlfn.AGGREGATE(1,7,F2:F630)</f>
        <v>0.33819206821833814</v>
      </c>
      <c r="G631" s="47">
        <f>SUM(G2:G630)</f>
        <v>1480778</v>
      </c>
      <c r="H631" s="48">
        <f>_xlfn.AGGREGATE(1,7,H2:H630)</f>
        <v>3.0279502652500699E-2</v>
      </c>
      <c r="I631" s="48">
        <f>_xlfn.AGGREGATE(1,7,I2:I630)</f>
        <v>1.1371629267106716E-2</v>
      </c>
    </row>
  </sheetData>
  <autoFilter ref="A1:I631" xr:uid="{44D9B75B-0DED-4505-9872-7E39608551D1}">
    <sortState xmlns:xlrd2="http://schemas.microsoft.com/office/spreadsheetml/2017/richdata2" ref="A284:I631">
      <sortCondition ref="A1:A6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B03F-7A47-42A2-90EC-4C2914CEB2B1}">
  <sheetPr filterMode="1">
    <tabColor theme="4"/>
  </sheetPr>
  <dimension ref="A1:O846"/>
  <sheetViews>
    <sheetView workbookViewId="0">
      <pane ySplit="1" topLeftCell="A722" activePane="bottomLeft" state="frozen"/>
      <selection activeCell="Q158" sqref="Q158"/>
      <selection pane="bottomLeft" activeCell="Q158" sqref="Q158"/>
    </sheetView>
  </sheetViews>
  <sheetFormatPr defaultRowHeight="15" x14ac:dyDescent="0.25"/>
  <cols>
    <col min="1" max="1" width="44.42578125" bestFit="1" customWidth="1"/>
    <col min="2" max="2" width="16.85546875" bestFit="1" customWidth="1"/>
    <col min="3" max="3" width="15.5703125" bestFit="1" customWidth="1"/>
    <col min="4" max="4" width="10.42578125" bestFit="1" customWidth="1"/>
    <col min="6" max="6" width="12" bestFit="1" customWidth="1"/>
    <col min="7" max="7" width="14.5703125" bestFit="1" customWidth="1"/>
    <col min="8" max="8" width="12.85546875" bestFit="1" customWidth="1"/>
    <col min="9" max="9" width="9.5703125" bestFit="1" customWidth="1"/>
    <col min="10" max="10" width="12.42578125" bestFit="1" customWidth="1"/>
    <col min="11" max="12" width="7" bestFit="1" customWidth="1"/>
    <col min="13" max="13" width="12.140625" bestFit="1" customWidth="1"/>
    <col min="14" max="15" width="15.5703125" bestFit="1" customWidth="1"/>
  </cols>
  <sheetData>
    <row r="1" spans="1:15" x14ac:dyDescent="0.25">
      <c r="A1" s="49" t="s">
        <v>428</v>
      </c>
      <c r="B1" s="50" t="s">
        <v>429</v>
      </c>
      <c r="C1" s="50" t="s">
        <v>430</v>
      </c>
      <c r="D1" s="29" t="s">
        <v>0</v>
      </c>
      <c r="E1" s="30" t="s">
        <v>431</v>
      </c>
      <c r="F1" s="31" t="s">
        <v>432</v>
      </c>
      <c r="G1" s="30" t="s">
        <v>433</v>
      </c>
      <c r="H1" s="30" t="s">
        <v>4</v>
      </c>
      <c r="I1" s="31" t="s">
        <v>434</v>
      </c>
      <c r="J1" s="30" t="s">
        <v>6</v>
      </c>
      <c r="K1" s="31" t="s">
        <v>8</v>
      </c>
      <c r="L1" s="31" t="s">
        <v>7</v>
      </c>
      <c r="M1" s="30" t="s">
        <v>435</v>
      </c>
      <c r="N1" s="31" t="s">
        <v>436</v>
      </c>
      <c r="O1" s="51" t="s">
        <v>437</v>
      </c>
    </row>
    <row r="2" spans="1:15" hidden="1" x14ac:dyDescent="0.25">
      <c r="A2" s="52" t="s">
        <v>438</v>
      </c>
      <c r="B2" s="53" t="s">
        <v>439</v>
      </c>
      <c r="C2" s="53" t="s">
        <v>440</v>
      </c>
      <c r="D2" s="54">
        <v>44928</v>
      </c>
      <c r="E2" s="55">
        <v>13198</v>
      </c>
      <c r="F2" s="56">
        <f t="shared" ref="F2:F61" si="0">(E2-G2)/E2</f>
        <v>0.99712077587513259</v>
      </c>
      <c r="G2" s="55">
        <v>38</v>
      </c>
      <c r="H2" s="55">
        <v>5485</v>
      </c>
      <c r="I2" s="56">
        <f t="shared" ref="I2:I61" si="1">H2/E2</f>
        <v>0.4155932717078345</v>
      </c>
      <c r="J2" s="55">
        <v>299</v>
      </c>
      <c r="K2" s="56">
        <f t="shared" ref="K2:K61" si="2">J2/E2</f>
        <v>2.2654947719351417E-2</v>
      </c>
      <c r="L2" s="56">
        <f t="shared" ref="L2:L61" si="3">J2/H2</f>
        <v>5.4512306289881497E-2</v>
      </c>
      <c r="M2" s="55">
        <v>90</v>
      </c>
      <c r="N2" s="56">
        <f t="shared" ref="N2:N61" si="4">M2/E2</f>
        <v>6.8192150325806942E-3</v>
      </c>
      <c r="O2" s="53" t="s">
        <v>440</v>
      </c>
    </row>
    <row r="3" spans="1:15" hidden="1" x14ac:dyDescent="0.25">
      <c r="A3" s="52" t="s">
        <v>441</v>
      </c>
      <c r="B3" s="53" t="s">
        <v>439</v>
      </c>
      <c r="C3" s="53" t="s">
        <v>440</v>
      </c>
      <c r="D3" s="54">
        <v>44928</v>
      </c>
      <c r="E3" s="55">
        <v>12645</v>
      </c>
      <c r="F3" s="56">
        <f t="shared" si="0"/>
        <v>0.99596678529062865</v>
      </c>
      <c r="G3" s="55">
        <v>51</v>
      </c>
      <c r="H3" s="55">
        <v>5245</v>
      </c>
      <c r="I3" s="56">
        <f t="shared" si="1"/>
        <v>0.41478845393436142</v>
      </c>
      <c r="J3" s="55">
        <v>196</v>
      </c>
      <c r="K3" s="56">
        <f t="shared" si="2"/>
        <v>1.5500197706603401E-2</v>
      </c>
      <c r="L3" s="56">
        <f t="shared" si="3"/>
        <v>3.7368922783603431E-2</v>
      </c>
      <c r="M3" s="55">
        <v>64</v>
      </c>
      <c r="N3" s="56">
        <f t="shared" si="4"/>
        <v>5.0612890470541714E-3</v>
      </c>
      <c r="O3" s="53" t="s">
        <v>440</v>
      </c>
    </row>
    <row r="4" spans="1:15" hidden="1" x14ac:dyDescent="0.25">
      <c r="A4" s="52" t="s">
        <v>442</v>
      </c>
      <c r="B4" s="53" t="s">
        <v>439</v>
      </c>
      <c r="C4" s="53" t="s">
        <v>440</v>
      </c>
      <c r="D4" s="54">
        <v>44928</v>
      </c>
      <c r="E4" s="55">
        <v>11705</v>
      </c>
      <c r="F4" s="56">
        <f t="shared" si="0"/>
        <v>0.99589918838103375</v>
      </c>
      <c r="G4" s="55">
        <v>48</v>
      </c>
      <c r="H4" s="55">
        <v>4726</v>
      </c>
      <c r="I4" s="56">
        <f t="shared" si="1"/>
        <v>0.40375907731738575</v>
      </c>
      <c r="J4" s="55">
        <v>265</v>
      </c>
      <c r="K4" s="56">
        <f t="shared" si="2"/>
        <v>2.2639897479709525E-2</v>
      </c>
      <c r="L4" s="56">
        <f t="shared" si="3"/>
        <v>5.6072788827761323E-2</v>
      </c>
      <c r="M4" s="55">
        <v>81</v>
      </c>
      <c r="N4" s="56">
        <f t="shared" si="4"/>
        <v>6.9201196070055532E-3</v>
      </c>
      <c r="O4" s="53" t="s">
        <v>440</v>
      </c>
    </row>
    <row r="5" spans="1:15" hidden="1" x14ac:dyDescent="0.25">
      <c r="A5" s="52" t="s">
        <v>18</v>
      </c>
      <c r="B5" s="53" t="s">
        <v>439</v>
      </c>
      <c r="C5" s="53" t="s">
        <v>443</v>
      </c>
      <c r="D5" s="54">
        <v>44929</v>
      </c>
      <c r="E5" s="55">
        <v>22244</v>
      </c>
      <c r="F5" s="56">
        <f t="shared" si="0"/>
        <v>0.99878618953425646</v>
      </c>
      <c r="G5" s="55">
        <v>27</v>
      </c>
      <c r="H5" s="55">
        <v>7887</v>
      </c>
      <c r="I5" s="56">
        <f t="shared" si="1"/>
        <v>0.35456752382664991</v>
      </c>
      <c r="J5" s="55">
        <v>378</v>
      </c>
      <c r="K5" s="56">
        <f t="shared" si="2"/>
        <v>1.6993346520409999E-2</v>
      </c>
      <c r="L5" s="56">
        <f t="shared" si="3"/>
        <v>4.7926968429060482E-2</v>
      </c>
      <c r="M5" s="55">
        <v>19</v>
      </c>
      <c r="N5" s="56">
        <f t="shared" si="4"/>
        <v>8.5416292033806867E-4</v>
      </c>
      <c r="O5" s="53" t="s">
        <v>443</v>
      </c>
    </row>
    <row r="6" spans="1:15" hidden="1" x14ac:dyDescent="0.25">
      <c r="A6" s="52" t="s">
        <v>19</v>
      </c>
      <c r="B6" s="53" t="s">
        <v>439</v>
      </c>
      <c r="C6" s="53" t="s">
        <v>443</v>
      </c>
      <c r="D6" s="54">
        <v>44929</v>
      </c>
      <c r="E6" s="55">
        <v>194636</v>
      </c>
      <c r="F6" s="56">
        <f t="shared" si="0"/>
        <v>0.998145255759469</v>
      </c>
      <c r="G6" s="55">
        <v>361</v>
      </c>
      <c r="H6" s="55">
        <v>69766</v>
      </c>
      <c r="I6" s="56">
        <f t="shared" si="1"/>
        <v>0.35844345342074435</v>
      </c>
      <c r="J6" s="55">
        <v>1647</v>
      </c>
      <c r="K6" s="56">
        <f t="shared" si="2"/>
        <v>8.4619494851928736E-3</v>
      </c>
      <c r="L6" s="56">
        <f t="shared" si="3"/>
        <v>2.360748788808302E-2</v>
      </c>
      <c r="M6" s="55">
        <v>157</v>
      </c>
      <c r="N6" s="56">
        <f t="shared" si="4"/>
        <v>8.066339217821986E-4</v>
      </c>
      <c r="O6" s="53" t="s">
        <v>443</v>
      </c>
    </row>
    <row r="7" spans="1:15" hidden="1" x14ac:dyDescent="0.25">
      <c r="A7" s="52" t="s">
        <v>18</v>
      </c>
      <c r="B7" s="53" t="s">
        <v>444</v>
      </c>
      <c r="C7" s="53" t="s">
        <v>443</v>
      </c>
      <c r="D7" s="54">
        <v>44929</v>
      </c>
      <c r="E7" s="55">
        <v>17887</v>
      </c>
      <c r="F7" s="56">
        <f t="shared" si="0"/>
        <v>0.99921730865992064</v>
      </c>
      <c r="G7" s="55">
        <v>14</v>
      </c>
      <c r="H7" s="55">
        <v>6856</v>
      </c>
      <c r="I7" s="56">
        <f t="shared" si="1"/>
        <v>0.3832951305417342</v>
      </c>
      <c r="J7" s="55">
        <v>224</v>
      </c>
      <c r="K7" s="56">
        <f t="shared" si="2"/>
        <v>1.2523061441270196E-2</v>
      </c>
      <c r="L7" s="56">
        <f t="shared" si="3"/>
        <v>3.2672112018669777E-2</v>
      </c>
      <c r="M7" s="55">
        <v>38</v>
      </c>
      <c r="N7" s="56">
        <f t="shared" si="4"/>
        <v>2.1244479230726225E-3</v>
      </c>
      <c r="O7" s="53" t="s">
        <v>443</v>
      </c>
    </row>
    <row r="8" spans="1:15" hidden="1" x14ac:dyDescent="0.25">
      <c r="A8" s="52" t="s">
        <v>19</v>
      </c>
      <c r="B8" s="53" t="s">
        <v>444</v>
      </c>
      <c r="C8" s="53" t="s">
        <v>443</v>
      </c>
      <c r="D8" s="54">
        <v>44929</v>
      </c>
      <c r="E8" s="55">
        <v>354949</v>
      </c>
      <c r="F8" s="56">
        <f t="shared" si="0"/>
        <v>0.99838286627092909</v>
      </c>
      <c r="G8" s="55">
        <v>574</v>
      </c>
      <c r="H8" s="55">
        <v>141863</v>
      </c>
      <c r="I8" s="56">
        <f t="shared" si="1"/>
        <v>0.39967150210311903</v>
      </c>
      <c r="J8" s="55">
        <v>2270</v>
      </c>
      <c r="K8" s="56">
        <f t="shared" si="2"/>
        <v>6.3952849564303605E-3</v>
      </c>
      <c r="L8" s="56">
        <f t="shared" si="3"/>
        <v>1.6001353418438915E-2</v>
      </c>
      <c r="M8" s="55">
        <v>606</v>
      </c>
      <c r="N8" s="56">
        <f t="shared" si="4"/>
        <v>1.7072875258135676E-3</v>
      </c>
      <c r="O8" s="53" t="s">
        <v>443</v>
      </c>
    </row>
    <row r="9" spans="1:15" hidden="1" x14ac:dyDescent="0.25">
      <c r="A9" s="52" t="s">
        <v>445</v>
      </c>
      <c r="B9" s="53"/>
      <c r="C9" s="53" t="s">
        <v>446</v>
      </c>
      <c r="D9" s="54">
        <v>44930</v>
      </c>
      <c r="E9" s="55">
        <v>321</v>
      </c>
      <c r="F9" s="56">
        <f t="shared" si="0"/>
        <v>1</v>
      </c>
      <c r="G9" s="55">
        <v>0</v>
      </c>
      <c r="H9" s="55">
        <v>108</v>
      </c>
      <c r="I9" s="56">
        <f t="shared" si="1"/>
        <v>0.3364485981308411</v>
      </c>
      <c r="J9" s="55">
        <v>4</v>
      </c>
      <c r="K9" s="56">
        <f t="shared" si="2"/>
        <v>1.2461059190031152E-2</v>
      </c>
      <c r="L9" s="56">
        <f t="shared" si="3"/>
        <v>3.7037037037037035E-2</v>
      </c>
      <c r="M9" s="55">
        <v>0</v>
      </c>
      <c r="N9" s="56">
        <f t="shared" si="4"/>
        <v>0</v>
      </c>
      <c r="O9" s="53" t="s">
        <v>446</v>
      </c>
    </row>
    <row r="10" spans="1:15" hidden="1" x14ac:dyDescent="0.25">
      <c r="A10" s="52" t="s">
        <v>15</v>
      </c>
      <c r="B10" s="53" t="s">
        <v>439</v>
      </c>
      <c r="C10" s="53" t="s">
        <v>447</v>
      </c>
      <c r="D10" s="54">
        <v>44931</v>
      </c>
      <c r="E10" s="55">
        <v>9491</v>
      </c>
      <c r="F10" s="56">
        <f t="shared" si="0"/>
        <v>0.98672426509324618</v>
      </c>
      <c r="G10" s="55">
        <v>126</v>
      </c>
      <c r="H10" s="55">
        <v>2942</v>
      </c>
      <c r="I10" s="56">
        <f t="shared" si="1"/>
        <v>0.3099778737751554</v>
      </c>
      <c r="J10" s="55">
        <v>391</v>
      </c>
      <c r="K10" s="56">
        <f t="shared" si="2"/>
        <v>4.1196923401116844E-2</v>
      </c>
      <c r="L10" s="56">
        <f t="shared" si="3"/>
        <v>0.13290278721957852</v>
      </c>
      <c r="M10" s="55">
        <v>17</v>
      </c>
      <c r="N10" s="56">
        <f t="shared" si="4"/>
        <v>1.7911705826572542E-3</v>
      </c>
      <c r="O10" s="53" t="s">
        <v>448</v>
      </c>
    </row>
    <row r="11" spans="1:15" hidden="1" x14ac:dyDescent="0.25">
      <c r="A11" s="52" t="s">
        <v>17</v>
      </c>
      <c r="B11" s="53" t="s">
        <v>439</v>
      </c>
      <c r="C11" s="53" t="s">
        <v>447</v>
      </c>
      <c r="D11" s="54">
        <v>44931</v>
      </c>
      <c r="E11" s="55">
        <v>85400</v>
      </c>
      <c r="F11" s="56">
        <f t="shared" si="0"/>
        <v>0.97702576112412176</v>
      </c>
      <c r="G11" s="55">
        <v>1962</v>
      </c>
      <c r="H11" s="55">
        <v>30869</v>
      </c>
      <c r="I11" s="56">
        <f t="shared" si="1"/>
        <v>0.36146370023419205</v>
      </c>
      <c r="J11" s="55">
        <v>3607</v>
      </c>
      <c r="K11" s="56">
        <f t="shared" si="2"/>
        <v>4.2236533957845435E-2</v>
      </c>
      <c r="L11" s="56">
        <f t="shared" si="3"/>
        <v>0.11684861835498396</v>
      </c>
      <c r="M11" s="55">
        <v>336</v>
      </c>
      <c r="N11" s="56">
        <f t="shared" si="4"/>
        <v>3.9344262295081967E-3</v>
      </c>
      <c r="O11" s="53" t="s">
        <v>448</v>
      </c>
    </row>
    <row r="12" spans="1:15" hidden="1" x14ac:dyDescent="0.25">
      <c r="A12" s="52" t="s">
        <v>449</v>
      </c>
      <c r="B12" s="53"/>
      <c r="C12" s="53" t="s">
        <v>446</v>
      </c>
      <c r="D12" s="54">
        <v>44931</v>
      </c>
      <c r="E12" s="55">
        <v>1678</v>
      </c>
      <c r="F12" s="56">
        <f t="shared" si="0"/>
        <v>0.99880810488676997</v>
      </c>
      <c r="G12" s="55">
        <v>2</v>
      </c>
      <c r="H12" s="55">
        <v>591</v>
      </c>
      <c r="I12" s="56">
        <f t="shared" si="1"/>
        <v>0.35220500595947557</v>
      </c>
      <c r="J12" s="55">
        <v>23</v>
      </c>
      <c r="K12" s="56">
        <f t="shared" si="2"/>
        <v>1.3706793802145411E-2</v>
      </c>
      <c r="L12" s="56">
        <f t="shared" si="3"/>
        <v>3.8917089678510999E-2</v>
      </c>
      <c r="M12" s="55">
        <v>0</v>
      </c>
      <c r="N12" s="56">
        <f t="shared" si="4"/>
        <v>0</v>
      </c>
      <c r="O12" s="53" t="s">
        <v>446</v>
      </c>
    </row>
    <row r="13" spans="1:15" hidden="1" x14ac:dyDescent="0.25">
      <c r="A13" s="52" t="s">
        <v>22</v>
      </c>
      <c r="B13" s="53" t="s">
        <v>439</v>
      </c>
      <c r="C13" s="53" t="s">
        <v>443</v>
      </c>
      <c r="D13" s="54">
        <v>44932</v>
      </c>
      <c r="E13" s="55">
        <v>95994</v>
      </c>
      <c r="F13" s="56">
        <f t="shared" si="0"/>
        <v>0.99888534700085418</v>
      </c>
      <c r="G13" s="55">
        <v>107</v>
      </c>
      <c r="H13" s="55">
        <v>30775</v>
      </c>
      <c r="I13" s="56">
        <f t="shared" si="1"/>
        <v>0.32059295372627455</v>
      </c>
      <c r="J13" s="55">
        <v>946</v>
      </c>
      <c r="K13" s="56">
        <f t="shared" si="2"/>
        <v>9.8547825905785785E-3</v>
      </c>
      <c r="L13" s="56">
        <f t="shared" si="3"/>
        <v>3.0739236393176279E-2</v>
      </c>
      <c r="M13" s="55">
        <v>86</v>
      </c>
      <c r="N13" s="56">
        <f t="shared" si="4"/>
        <v>8.958893264162344E-4</v>
      </c>
      <c r="O13" s="53" t="s">
        <v>443</v>
      </c>
    </row>
    <row r="14" spans="1:15" hidden="1" x14ac:dyDescent="0.25">
      <c r="A14" s="52" t="s">
        <v>23</v>
      </c>
      <c r="B14" s="53" t="s">
        <v>439</v>
      </c>
      <c r="C14" s="53" t="s">
        <v>443</v>
      </c>
      <c r="D14" s="54">
        <v>44932</v>
      </c>
      <c r="E14" s="55">
        <v>1750473</v>
      </c>
      <c r="F14" s="56">
        <f t="shared" si="0"/>
        <v>0.99671403100761913</v>
      </c>
      <c r="G14" s="55">
        <v>5752</v>
      </c>
      <c r="H14" s="55">
        <v>625509</v>
      </c>
      <c r="I14" s="56">
        <f t="shared" si="1"/>
        <v>0.35733713116397681</v>
      </c>
      <c r="J14" s="55">
        <v>12915</v>
      </c>
      <c r="K14" s="56">
        <f t="shared" si="2"/>
        <v>7.3780058304241201E-3</v>
      </c>
      <c r="L14" s="56">
        <f t="shared" si="3"/>
        <v>2.0647184932590899E-2</v>
      </c>
      <c r="M14" s="55">
        <v>2797</v>
      </c>
      <c r="N14" s="56">
        <f t="shared" si="4"/>
        <v>1.5978538372199971E-3</v>
      </c>
      <c r="O14" s="53" t="s">
        <v>443</v>
      </c>
    </row>
    <row r="15" spans="1:15" hidden="1" x14ac:dyDescent="0.25">
      <c r="A15" s="52" t="s">
        <v>22</v>
      </c>
      <c r="B15" s="53" t="s">
        <v>444</v>
      </c>
      <c r="C15" s="53" t="s">
        <v>443</v>
      </c>
      <c r="D15" s="54">
        <v>44932</v>
      </c>
      <c r="E15" s="55">
        <v>223652</v>
      </c>
      <c r="F15" s="56">
        <f t="shared" si="0"/>
        <v>0.99710711283601305</v>
      </c>
      <c r="G15" s="55">
        <v>647</v>
      </c>
      <c r="H15" s="55">
        <v>78135</v>
      </c>
      <c r="I15" s="56">
        <f t="shared" si="1"/>
        <v>0.34935971956432316</v>
      </c>
      <c r="J15" s="55">
        <v>3430</v>
      </c>
      <c r="K15" s="56">
        <f t="shared" si="2"/>
        <v>1.5336326078014058E-2</v>
      </c>
      <c r="L15" s="56">
        <f t="shared" si="3"/>
        <v>4.3898381007231077E-2</v>
      </c>
      <c r="M15" s="55">
        <v>1896</v>
      </c>
      <c r="N15" s="56">
        <f t="shared" si="4"/>
        <v>8.4774560477885279E-3</v>
      </c>
      <c r="O15" s="53" t="s">
        <v>443</v>
      </c>
    </row>
    <row r="16" spans="1:15" hidden="1" x14ac:dyDescent="0.25">
      <c r="A16" s="52" t="s">
        <v>23</v>
      </c>
      <c r="B16" s="53" t="s">
        <v>444</v>
      </c>
      <c r="C16" s="53" t="s">
        <v>443</v>
      </c>
      <c r="D16" s="54">
        <v>44932</v>
      </c>
      <c r="E16" s="55">
        <v>2511131</v>
      </c>
      <c r="F16" s="56">
        <f t="shared" si="0"/>
        <v>0.99525074558037796</v>
      </c>
      <c r="G16" s="55">
        <v>11926</v>
      </c>
      <c r="H16" s="55">
        <v>923449</v>
      </c>
      <c r="I16" s="56">
        <f t="shared" si="1"/>
        <v>0.36774226434224261</v>
      </c>
      <c r="J16" s="55">
        <v>23859</v>
      </c>
      <c r="K16" s="56">
        <f t="shared" si="2"/>
        <v>9.5012964277849301E-3</v>
      </c>
      <c r="L16" s="56">
        <f t="shared" si="3"/>
        <v>2.5836835602182688E-2</v>
      </c>
      <c r="M16" s="55">
        <v>11684</v>
      </c>
      <c r="N16" s="56">
        <f t="shared" si="4"/>
        <v>4.6528835014979309E-3</v>
      </c>
      <c r="O16" s="53" t="s">
        <v>443</v>
      </c>
    </row>
    <row r="17" spans="1:15" hidden="1" x14ac:dyDescent="0.25">
      <c r="A17" s="52" t="s">
        <v>450</v>
      </c>
      <c r="B17" s="53" t="s">
        <v>439</v>
      </c>
      <c r="C17" s="53" t="s">
        <v>443</v>
      </c>
      <c r="D17" s="54">
        <v>44932</v>
      </c>
      <c r="E17" s="55">
        <v>4172</v>
      </c>
      <c r="F17" s="56">
        <f t="shared" si="0"/>
        <v>0.99856184084372002</v>
      </c>
      <c r="G17" s="55">
        <v>6</v>
      </c>
      <c r="H17" s="55">
        <v>1614</v>
      </c>
      <c r="I17" s="56">
        <f t="shared" si="1"/>
        <v>0.3868648130393097</v>
      </c>
      <c r="J17" s="55">
        <v>24</v>
      </c>
      <c r="K17" s="56">
        <f t="shared" si="2"/>
        <v>5.7526366251198467E-3</v>
      </c>
      <c r="L17" s="56">
        <f t="shared" si="3"/>
        <v>1.4869888475836431E-2</v>
      </c>
      <c r="M17" s="55">
        <v>4</v>
      </c>
      <c r="N17" s="56">
        <f t="shared" si="4"/>
        <v>9.5877277085330771E-4</v>
      </c>
      <c r="O17" s="53" t="s">
        <v>443</v>
      </c>
    </row>
    <row r="18" spans="1:15" hidden="1" x14ac:dyDescent="0.25">
      <c r="A18" s="52" t="s">
        <v>450</v>
      </c>
      <c r="B18" s="53" t="s">
        <v>444</v>
      </c>
      <c r="C18" s="53" t="s">
        <v>443</v>
      </c>
      <c r="D18" s="54">
        <v>44932</v>
      </c>
      <c r="E18" s="55">
        <v>2196</v>
      </c>
      <c r="F18" s="56">
        <f t="shared" si="0"/>
        <v>0.99908925318761388</v>
      </c>
      <c r="G18" s="55">
        <v>2</v>
      </c>
      <c r="H18" s="55">
        <v>865</v>
      </c>
      <c r="I18" s="56">
        <f t="shared" si="1"/>
        <v>0.39389799635701273</v>
      </c>
      <c r="J18" s="55">
        <v>15</v>
      </c>
      <c r="K18" s="56">
        <f t="shared" si="2"/>
        <v>6.8306010928961746E-3</v>
      </c>
      <c r="L18" s="56">
        <f t="shared" si="3"/>
        <v>1.7341040462427744E-2</v>
      </c>
      <c r="M18" s="55">
        <v>4</v>
      </c>
      <c r="N18" s="56">
        <f t="shared" si="4"/>
        <v>1.8214936247723133E-3</v>
      </c>
      <c r="O18" s="53" t="s">
        <v>443</v>
      </c>
    </row>
    <row r="19" spans="1:15" x14ac:dyDescent="0.25">
      <c r="A19" s="52" t="s">
        <v>451</v>
      </c>
      <c r="B19" s="53" t="s">
        <v>444</v>
      </c>
      <c r="C19" s="53" t="s">
        <v>452</v>
      </c>
      <c r="D19" s="54">
        <v>44932</v>
      </c>
      <c r="E19" s="55">
        <v>229503</v>
      </c>
      <c r="F19" s="56">
        <f t="shared" si="0"/>
        <v>0.99866232685411516</v>
      </c>
      <c r="G19" s="55">
        <v>307</v>
      </c>
      <c r="H19" s="55">
        <v>105460</v>
      </c>
      <c r="I19" s="56">
        <f t="shared" si="1"/>
        <v>0.45951469043977639</v>
      </c>
      <c r="J19" s="55">
        <v>2616</v>
      </c>
      <c r="K19" s="56">
        <f t="shared" si="2"/>
        <v>1.1398543809884839E-2</v>
      </c>
      <c r="L19" s="56">
        <f t="shared" si="3"/>
        <v>2.4805613502749856E-2</v>
      </c>
      <c r="M19" s="55">
        <v>317</v>
      </c>
      <c r="N19" s="56">
        <f t="shared" si="4"/>
        <v>1.3812455610602041E-3</v>
      </c>
      <c r="O19" s="53" t="s">
        <v>452</v>
      </c>
    </row>
    <row r="20" spans="1:15" x14ac:dyDescent="0.25">
      <c r="A20" s="52" t="s">
        <v>453</v>
      </c>
      <c r="B20" s="53" t="s">
        <v>444</v>
      </c>
      <c r="C20" s="53" t="s">
        <v>452</v>
      </c>
      <c r="D20" s="54">
        <v>44932</v>
      </c>
      <c r="E20" s="55">
        <v>327320</v>
      </c>
      <c r="F20" s="56">
        <f t="shared" si="0"/>
        <v>0.99716179885127709</v>
      </c>
      <c r="G20" s="55">
        <v>929</v>
      </c>
      <c r="H20" s="55">
        <v>123722</v>
      </c>
      <c r="I20" s="56">
        <f t="shared" si="1"/>
        <v>0.37798484663326409</v>
      </c>
      <c r="J20" s="55">
        <v>3484</v>
      </c>
      <c r="K20" s="56">
        <f t="shared" si="2"/>
        <v>1.0644018086276427E-2</v>
      </c>
      <c r="L20" s="56">
        <f t="shared" si="3"/>
        <v>2.815990688802315E-2</v>
      </c>
      <c r="M20" s="55">
        <v>473</v>
      </c>
      <c r="N20" s="56">
        <f t="shared" si="4"/>
        <v>1.4450690455823049E-3</v>
      </c>
      <c r="O20" s="53" t="s">
        <v>452</v>
      </c>
    </row>
    <row r="21" spans="1:15" x14ac:dyDescent="0.25">
      <c r="A21" s="52" t="s">
        <v>454</v>
      </c>
      <c r="B21" s="53" t="s">
        <v>444</v>
      </c>
      <c r="C21" s="53" t="s">
        <v>452</v>
      </c>
      <c r="D21" s="54">
        <v>44933</v>
      </c>
      <c r="E21" s="55">
        <v>13458</v>
      </c>
      <c r="F21" s="56">
        <f t="shared" si="0"/>
        <v>0.99903403180264527</v>
      </c>
      <c r="G21" s="55">
        <v>13</v>
      </c>
      <c r="H21" s="55">
        <v>4436</v>
      </c>
      <c r="I21" s="56">
        <f t="shared" si="1"/>
        <v>0.32961807103581514</v>
      </c>
      <c r="J21" s="55">
        <v>200</v>
      </c>
      <c r="K21" s="56">
        <f t="shared" si="2"/>
        <v>1.486104919007282E-2</v>
      </c>
      <c r="L21" s="56">
        <f t="shared" si="3"/>
        <v>4.5085662759242563E-2</v>
      </c>
      <c r="M21" s="55">
        <v>42</v>
      </c>
      <c r="N21" s="56">
        <f t="shared" si="4"/>
        <v>3.120820329915292E-3</v>
      </c>
      <c r="O21" s="53" t="s">
        <v>452</v>
      </c>
    </row>
    <row r="22" spans="1:15" hidden="1" x14ac:dyDescent="0.25">
      <c r="A22" s="52" t="s">
        <v>12</v>
      </c>
      <c r="B22" s="53" t="s">
        <v>439</v>
      </c>
      <c r="C22" s="53" t="s">
        <v>443</v>
      </c>
      <c r="D22" s="54">
        <v>44933</v>
      </c>
      <c r="E22" s="55">
        <v>1320</v>
      </c>
      <c r="F22" s="56">
        <f t="shared" si="0"/>
        <v>0.99848484848484853</v>
      </c>
      <c r="G22" s="55">
        <v>2</v>
      </c>
      <c r="H22" s="55">
        <v>655</v>
      </c>
      <c r="I22" s="56">
        <f t="shared" si="1"/>
        <v>0.49621212121212122</v>
      </c>
      <c r="J22" s="55">
        <v>100</v>
      </c>
      <c r="K22" s="56">
        <f t="shared" si="2"/>
        <v>7.575757575757576E-2</v>
      </c>
      <c r="L22" s="56">
        <f t="shared" si="3"/>
        <v>0.15267175572519084</v>
      </c>
      <c r="M22" s="55">
        <v>4</v>
      </c>
      <c r="N22" s="56">
        <f t="shared" si="4"/>
        <v>3.0303030303030303E-3</v>
      </c>
      <c r="O22" s="53" t="s">
        <v>443</v>
      </c>
    </row>
    <row r="23" spans="1:15" hidden="1" x14ac:dyDescent="0.25">
      <c r="A23" s="52" t="s">
        <v>9</v>
      </c>
      <c r="B23" s="53" t="s">
        <v>439</v>
      </c>
      <c r="C23" s="53" t="s">
        <v>443</v>
      </c>
      <c r="D23" s="54">
        <v>44933</v>
      </c>
      <c r="E23" s="55">
        <v>10010</v>
      </c>
      <c r="F23" s="56">
        <f t="shared" si="0"/>
        <v>0.99890109890109891</v>
      </c>
      <c r="G23" s="55">
        <v>11</v>
      </c>
      <c r="H23" s="55">
        <v>4668</v>
      </c>
      <c r="I23" s="56">
        <f t="shared" si="1"/>
        <v>0.46633366633366635</v>
      </c>
      <c r="J23" s="55">
        <v>555</v>
      </c>
      <c r="K23" s="56">
        <f t="shared" si="2"/>
        <v>5.5444555444555448E-2</v>
      </c>
      <c r="L23" s="56">
        <f t="shared" si="3"/>
        <v>0.11889460154241645</v>
      </c>
      <c r="M23" s="55">
        <v>7</v>
      </c>
      <c r="N23" s="56">
        <f t="shared" si="4"/>
        <v>6.993006993006993E-4</v>
      </c>
      <c r="O23" s="53" t="s">
        <v>443</v>
      </c>
    </row>
    <row r="24" spans="1:15" hidden="1" x14ac:dyDescent="0.25">
      <c r="A24" s="52" t="s">
        <v>12</v>
      </c>
      <c r="B24" s="53" t="s">
        <v>444</v>
      </c>
      <c r="C24" s="53" t="s">
        <v>443</v>
      </c>
      <c r="D24" s="54">
        <v>44933</v>
      </c>
      <c r="E24" s="55">
        <v>571</v>
      </c>
      <c r="F24" s="56">
        <f t="shared" si="0"/>
        <v>0.99649737302977237</v>
      </c>
      <c r="G24" s="55">
        <v>2</v>
      </c>
      <c r="H24" s="55">
        <v>268</v>
      </c>
      <c r="I24" s="56">
        <f t="shared" si="1"/>
        <v>0.46935201401050786</v>
      </c>
      <c r="J24" s="55">
        <v>18</v>
      </c>
      <c r="K24" s="56">
        <f t="shared" si="2"/>
        <v>3.1523642732049037E-2</v>
      </c>
      <c r="L24" s="56">
        <f t="shared" si="3"/>
        <v>6.7164179104477612E-2</v>
      </c>
      <c r="M24" s="55">
        <v>4</v>
      </c>
      <c r="N24" s="56">
        <f t="shared" si="4"/>
        <v>7.0052539404553416E-3</v>
      </c>
      <c r="O24" s="53" t="s">
        <v>443</v>
      </c>
    </row>
    <row r="25" spans="1:15" hidden="1" x14ac:dyDescent="0.25">
      <c r="A25" s="52" t="s">
        <v>9</v>
      </c>
      <c r="B25" s="53" t="s">
        <v>444</v>
      </c>
      <c r="C25" s="53" t="s">
        <v>443</v>
      </c>
      <c r="D25" s="54">
        <v>44933</v>
      </c>
      <c r="E25" s="55">
        <v>7319</v>
      </c>
      <c r="F25" s="56">
        <f t="shared" si="0"/>
        <v>0.99863369312747641</v>
      </c>
      <c r="G25" s="55">
        <v>10</v>
      </c>
      <c r="H25" s="55">
        <v>3426</v>
      </c>
      <c r="I25" s="56">
        <f t="shared" si="1"/>
        <v>0.46809673452657469</v>
      </c>
      <c r="J25" s="55">
        <v>303</v>
      </c>
      <c r="K25" s="56">
        <f t="shared" si="2"/>
        <v>4.1399098237464134E-2</v>
      </c>
      <c r="L25" s="56">
        <f t="shared" si="3"/>
        <v>8.8441330998248691E-2</v>
      </c>
      <c r="M25" s="55">
        <v>21</v>
      </c>
      <c r="N25" s="56">
        <f t="shared" si="4"/>
        <v>2.8692444322994943E-3</v>
      </c>
      <c r="O25" s="53" t="s">
        <v>443</v>
      </c>
    </row>
    <row r="26" spans="1:15" hidden="1" x14ac:dyDescent="0.25">
      <c r="A26" s="52" t="s">
        <v>455</v>
      </c>
      <c r="B26" s="53" t="s">
        <v>439</v>
      </c>
      <c r="C26" s="53" t="s">
        <v>443</v>
      </c>
      <c r="D26" s="54">
        <v>44935</v>
      </c>
      <c r="E26" s="55">
        <v>103766</v>
      </c>
      <c r="F26" s="56">
        <f t="shared" si="0"/>
        <v>0.99888210010986256</v>
      </c>
      <c r="G26" s="55">
        <v>116</v>
      </c>
      <c r="H26" s="55">
        <v>36997</v>
      </c>
      <c r="I26" s="56">
        <f t="shared" si="1"/>
        <v>0.35654260547770944</v>
      </c>
      <c r="J26" s="55">
        <v>611</v>
      </c>
      <c r="K26" s="56">
        <f t="shared" si="2"/>
        <v>5.8882485592583311E-3</v>
      </c>
      <c r="L26" s="56">
        <f t="shared" si="3"/>
        <v>1.6514852555612618E-2</v>
      </c>
      <c r="M26" s="55">
        <v>97</v>
      </c>
      <c r="N26" s="56">
        <f t="shared" si="4"/>
        <v>9.3479559778732917E-4</v>
      </c>
      <c r="O26" s="53" t="s">
        <v>443</v>
      </c>
    </row>
    <row r="27" spans="1:15" hidden="1" x14ac:dyDescent="0.25">
      <c r="A27" s="52" t="s">
        <v>455</v>
      </c>
      <c r="B27" s="53" t="s">
        <v>444</v>
      </c>
      <c r="C27" s="53" t="s">
        <v>443</v>
      </c>
      <c r="D27" s="54">
        <v>44935</v>
      </c>
      <c r="E27" s="55">
        <v>82482</v>
      </c>
      <c r="F27" s="56">
        <f t="shared" si="0"/>
        <v>0.99904221527121073</v>
      </c>
      <c r="G27" s="55">
        <v>79</v>
      </c>
      <c r="H27" s="55">
        <v>30721</v>
      </c>
      <c r="I27" s="56">
        <f t="shared" si="1"/>
        <v>0.37245702092577776</v>
      </c>
      <c r="J27" s="55">
        <v>805</v>
      </c>
      <c r="K27" s="56">
        <f t="shared" si="2"/>
        <v>9.7597051477898208E-3</v>
      </c>
      <c r="L27" s="56">
        <f t="shared" si="3"/>
        <v>2.6203574102405522E-2</v>
      </c>
      <c r="M27" s="55">
        <v>714</v>
      </c>
      <c r="N27" s="56">
        <f t="shared" si="4"/>
        <v>8.6564341310831454E-3</v>
      </c>
      <c r="O27" s="53" t="s">
        <v>443</v>
      </c>
    </row>
    <row r="28" spans="1:15" hidden="1" x14ac:dyDescent="0.25">
      <c r="A28" s="52" t="s">
        <v>456</v>
      </c>
      <c r="B28" s="53" t="s">
        <v>439</v>
      </c>
      <c r="C28" s="53" t="s">
        <v>443</v>
      </c>
      <c r="D28" s="54">
        <v>44935</v>
      </c>
      <c r="E28" s="55">
        <v>1576166</v>
      </c>
      <c r="F28" s="56">
        <f t="shared" si="0"/>
        <v>0.99788410611572642</v>
      </c>
      <c r="G28" s="55">
        <v>3335</v>
      </c>
      <c r="H28" s="55">
        <v>611099</v>
      </c>
      <c r="I28" s="56">
        <f t="shared" si="1"/>
        <v>0.38771233486828166</v>
      </c>
      <c r="J28" s="55">
        <v>7493</v>
      </c>
      <c r="K28" s="56">
        <f t="shared" si="2"/>
        <v>4.7539408920126433E-3</v>
      </c>
      <c r="L28" s="56">
        <f t="shared" si="3"/>
        <v>1.2261515728220795E-2</v>
      </c>
      <c r="M28" s="55">
        <v>2036</v>
      </c>
      <c r="N28" s="56">
        <f t="shared" si="4"/>
        <v>1.2917421134575927E-3</v>
      </c>
      <c r="O28" s="53" t="s">
        <v>443</v>
      </c>
    </row>
    <row r="29" spans="1:15" hidden="1" x14ac:dyDescent="0.25">
      <c r="A29" s="52" t="s">
        <v>456</v>
      </c>
      <c r="B29" s="53" t="s">
        <v>444</v>
      </c>
      <c r="C29" s="53" t="s">
        <v>443</v>
      </c>
      <c r="D29" s="54">
        <v>44935</v>
      </c>
      <c r="E29" s="55">
        <v>1067678</v>
      </c>
      <c r="F29" s="56">
        <f t="shared" si="0"/>
        <v>0.99833657713280599</v>
      </c>
      <c r="G29" s="55">
        <v>1776</v>
      </c>
      <c r="H29" s="55">
        <v>417805</v>
      </c>
      <c r="I29" s="56">
        <f t="shared" si="1"/>
        <v>0.39132116611937307</v>
      </c>
      <c r="J29" s="55">
        <v>6897</v>
      </c>
      <c r="K29" s="56">
        <f t="shared" si="2"/>
        <v>6.459812789998483E-3</v>
      </c>
      <c r="L29" s="56">
        <f t="shared" si="3"/>
        <v>1.6507700960974616E-2</v>
      </c>
      <c r="M29" s="55">
        <v>4269</v>
      </c>
      <c r="N29" s="56">
        <f t="shared" si="4"/>
        <v>3.9983965202991913E-3</v>
      </c>
      <c r="O29" s="53" t="s">
        <v>443</v>
      </c>
    </row>
    <row r="30" spans="1:15" hidden="1" x14ac:dyDescent="0.25">
      <c r="A30" s="52" t="s">
        <v>18</v>
      </c>
      <c r="B30" s="53" t="s">
        <v>444</v>
      </c>
      <c r="C30" s="53" t="s">
        <v>443</v>
      </c>
      <c r="D30" s="54">
        <v>44936</v>
      </c>
      <c r="E30" s="55">
        <v>18438</v>
      </c>
      <c r="F30" s="56">
        <f t="shared" si="0"/>
        <v>0.99940340600932853</v>
      </c>
      <c r="G30" s="55">
        <v>11</v>
      </c>
      <c r="H30" s="55">
        <v>7217</v>
      </c>
      <c r="I30" s="56">
        <f t="shared" si="1"/>
        <v>0.391419893697798</v>
      </c>
      <c r="J30" s="55">
        <v>237</v>
      </c>
      <c r="K30" s="56">
        <f t="shared" si="2"/>
        <v>1.2853888708102831E-2</v>
      </c>
      <c r="L30" s="56">
        <f t="shared" si="3"/>
        <v>3.2839129832340309E-2</v>
      </c>
      <c r="M30" s="55">
        <v>34</v>
      </c>
      <c r="N30" s="56">
        <f t="shared" si="4"/>
        <v>1.8440177893480855E-3</v>
      </c>
      <c r="O30" s="53" t="s">
        <v>443</v>
      </c>
    </row>
    <row r="31" spans="1:15" hidden="1" x14ac:dyDescent="0.25">
      <c r="A31" s="52" t="s">
        <v>18</v>
      </c>
      <c r="B31" s="53" t="s">
        <v>439</v>
      </c>
      <c r="C31" s="53" t="s">
        <v>443</v>
      </c>
      <c r="D31" s="54">
        <v>44936</v>
      </c>
      <c r="E31" s="55">
        <v>22406</v>
      </c>
      <c r="F31" s="56">
        <f t="shared" si="0"/>
        <v>0.99928590556101049</v>
      </c>
      <c r="G31" s="55">
        <v>16</v>
      </c>
      <c r="H31" s="55">
        <v>8105</v>
      </c>
      <c r="I31" s="56">
        <f t="shared" si="1"/>
        <v>0.36173346425064717</v>
      </c>
      <c r="J31" s="55">
        <v>343</v>
      </c>
      <c r="K31" s="56">
        <f t="shared" si="2"/>
        <v>1.5308399535838615E-2</v>
      </c>
      <c r="L31" s="56">
        <f t="shared" si="3"/>
        <v>4.2319555829734734E-2</v>
      </c>
      <c r="M31" s="55">
        <v>13</v>
      </c>
      <c r="N31" s="56">
        <f t="shared" si="4"/>
        <v>5.802017316790146E-4</v>
      </c>
      <c r="O31" s="53" t="s">
        <v>443</v>
      </c>
    </row>
    <row r="32" spans="1:15" hidden="1" x14ac:dyDescent="0.25">
      <c r="A32" s="52" t="s">
        <v>19</v>
      </c>
      <c r="B32" s="53" t="s">
        <v>439</v>
      </c>
      <c r="C32" s="53" t="s">
        <v>443</v>
      </c>
      <c r="D32" s="54">
        <v>44936</v>
      </c>
      <c r="E32" s="55">
        <v>196490</v>
      </c>
      <c r="F32" s="56">
        <f t="shared" si="0"/>
        <v>0.99831543590004579</v>
      </c>
      <c r="G32" s="55">
        <v>331</v>
      </c>
      <c r="H32" s="55">
        <v>71868</v>
      </c>
      <c r="I32" s="56">
        <f t="shared" si="1"/>
        <v>0.36575907170848387</v>
      </c>
      <c r="J32" s="55">
        <v>1795</v>
      </c>
      <c r="K32" s="56">
        <f t="shared" si="2"/>
        <v>9.135324952923813E-3</v>
      </c>
      <c r="L32" s="56">
        <f t="shared" si="3"/>
        <v>2.4976345522346524E-2</v>
      </c>
      <c r="M32" s="55">
        <v>123</v>
      </c>
      <c r="N32" s="56">
        <f t="shared" si="4"/>
        <v>6.2598605526998827E-4</v>
      </c>
      <c r="O32" s="53" t="s">
        <v>443</v>
      </c>
    </row>
    <row r="33" spans="1:15" hidden="1" x14ac:dyDescent="0.25">
      <c r="A33" s="52" t="s">
        <v>19</v>
      </c>
      <c r="B33" s="53" t="s">
        <v>444</v>
      </c>
      <c r="C33" s="53" t="s">
        <v>443</v>
      </c>
      <c r="D33" s="54">
        <v>44936</v>
      </c>
      <c r="E33" s="55">
        <v>358419</v>
      </c>
      <c r="F33" s="56">
        <f t="shared" si="0"/>
        <v>0.99861056473010634</v>
      </c>
      <c r="G33" s="55">
        <v>498</v>
      </c>
      <c r="H33" s="55">
        <v>141898</v>
      </c>
      <c r="I33" s="56">
        <f t="shared" si="1"/>
        <v>0.39589977093848261</v>
      </c>
      <c r="J33" s="55">
        <v>2425</v>
      </c>
      <c r="K33" s="56">
        <f t="shared" si="2"/>
        <v>6.7658243564096771E-3</v>
      </c>
      <c r="L33" s="56">
        <f t="shared" si="3"/>
        <v>1.7089740517836755E-2</v>
      </c>
      <c r="M33" s="55">
        <v>556</v>
      </c>
      <c r="N33" s="56">
        <f t="shared" si="4"/>
        <v>1.5512570483149611E-3</v>
      </c>
      <c r="O33" s="53" t="s">
        <v>443</v>
      </c>
    </row>
    <row r="34" spans="1:15" x14ac:dyDescent="0.25">
      <c r="A34" s="52" t="s">
        <v>457</v>
      </c>
      <c r="B34" s="53" t="s">
        <v>444</v>
      </c>
      <c r="C34" s="53" t="s">
        <v>452</v>
      </c>
      <c r="D34" s="54">
        <v>44936</v>
      </c>
      <c r="E34" s="55">
        <v>8498</v>
      </c>
      <c r="F34" s="56">
        <f t="shared" si="0"/>
        <v>0.99917627677100496</v>
      </c>
      <c r="G34" s="55">
        <v>7</v>
      </c>
      <c r="H34" s="55">
        <v>3081</v>
      </c>
      <c r="I34" s="56">
        <f t="shared" si="1"/>
        <v>0.36255589550482464</v>
      </c>
      <c r="J34" s="55">
        <v>77</v>
      </c>
      <c r="K34" s="56">
        <f t="shared" si="2"/>
        <v>9.0609555189456337E-3</v>
      </c>
      <c r="L34" s="56">
        <f t="shared" si="3"/>
        <v>2.4991885751379422E-2</v>
      </c>
      <c r="M34" s="55">
        <v>24</v>
      </c>
      <c r="N34" s="56">
        <f t="shared" si="4"/>
        <v>2.824193927983055E-3</v>
      </c>
      <c r="O34" s="53" t="s">
        <v>452</v>
      </c>
    </row>
    <row r="35" spans="1:15" x14ac:dyDescent="0.25">
      <c r="A35" s="52" t="s">
        <v>457</v>
      </c>
      <c r="B35" s="53" t="s">
        <v>439</v>
      </c>
      <c r="C35" s="53" t="s">
        <v>452</v>
      </c>
      <c r="D35" s="54">
        <v>44936</v>
      </c>
      <c r="E35" s="55">
        <v>8577</v>
      </c>
      <c r="F35" s="56">
        <f t="shared" si="0"/>
        <v>0.99918386382184909</v>
      </c>
      <c r="G35" s="55">
        <v>7</v>
      </c>
      <c r="H35" s="55">
        <v>2955</v>
      </c>
      <c r="I35" s="56">
        <f t="shared" si="1"/>
        <v>0.34452605806225955</v>
      </c>
      <c r="J35" s="55">
        <v>68</v>
      </c>
      <c r="K35" s="56">
        <f t="shared" si="2"/>
        <v>7.9281800163227244E-3</v>
      </c>
      <c r="L35" s="56">
        <f t="shared" si="3"/>
        <v>2.3011844331641287E-2</v>
      </c>
      <c r="M35" s="55">
        <v>14</v>
      </c>
      <c r="N35" s="56">
        <f t="shared" si="4"/>
        <v>1.6322723563017372E-3</v>
      </c>
      <c r="O35" s="53" t="s">
        <v>452</v>
      </c>
    </row>
    <row r="36" spans="1:15" x14ac:dyDescent="0.25">
      <c r="A36" s="52" t="s">
        <v>458</v>
      </c>
      <c r="B36" s="53" t="s">
        <v>444</v>
      </c>
      <c r="C36" s="53" t="s">
        <v>452</v>
      </c>
      <c r="D36" s="54">
        <v>44936</v>
      </c>
      <c r="E36" s="55">
        <v>153349</v>
      </c>
      <c r="F36" s="56">
        <f t="shared" si="0"/>
        <v>0.99861101148360931</v>
      </c>
      <c r="G36" s="55">
        <v>213</v>
      </c>
      <c r="H36" s="55">
        <v>73892</v>
      </c>
      <c r="I36" s="56">
        <f t="shared" si="1"/>
        <v>0.48185511480348747</v>
      </c>
      <c r="J36" s="55">
        <v>1128</v>
      </c>
      <c r="K36" s="56">
        <f t="shared" si="2"/>
        <v>7.3557701713085838E-3</v>
      </c>
      <c r="L36" s="56">
        <f t="shared" si="3"/>
        <v>1.5265522654685216E-2</v>
      </c>
      <c r="M36" s="55">
        <v>359</v>
      </c>
      <c r="N36" s="56">
        <f t="shared" si="4"/>
        <v>2.3410651520388132E-3</v>
      </c>
      <c r="O36" s="53" t="s">
        <v>452</v>
      </c>
    </row>
    <row r="37" spans="1:15" x14ac:dyDescent="0.25">
      <c r="A37" s="52" t="s">
        <v>458</v>
      </c>
      <c r="B37" s="53" t="s">
        <v>439</v>
      </c>
      <c r="C37" s="53" t="s">
        <v>452</v>
      </c>
      <c r="D37" s="57">
        <v>44936</v>
      </c>
      <c r="E37" s="55">
        <v>169230</v>
      </c>
      <c r="F37" s="56">
        <f t="shared" si="0"/>
        <v>0.99881817644625659</v>
      </c>
      <c r="G37" s="55">
        <v>200</v>
      </c>
      <c r="H37" s="55">
        <v>74958</v>
      </c>
      <c r="I37" s="56">
        <f t="shared" si="1"/>
        <v>0.44293564970749866</v>
      </c>
      <c r="J37" s="55">
        <v>970</v>
      </c>
      <c r="K37" s="56">
        <f t="shared" si="2"/>
        <v>5.7318442356556164E-3</v>
      </c>
      <c r="L37" s="56">
        <f t="shared" si="3"/>
        <v>1.2940580058165906E-2</v>
      </c>
      <c r="M37" s="55">
        <v>184</v>
      </c>
      <c r="N37" s="56">
        <f t="shared" si="4"/>
        <v>1.0872776694439521E-3</v>
      </c>
      <c r="O37" s="53" t="s">
        <v>452</v>
      </c>
    </row>
    <row r="38" spans="1:15" hidden="1" x14ac:dyDescent="0.25">
      <c r="A38" s="52" t="s">
        <v>449</v>
      </c>
      <c r="B38" s="53"/>
      <c r="C38" s="53" t="s">
        <v>446</v>
      </c>
      <c r="D38" s="57">
        <v>44938</v>
      </c>
      <c r="E38" s="55">
        <v>1672</v>
      </c>
      <c r="F38" s="56">
        <f t="shared" si="0"/>
        <v>1</v>
      </c>
      <c r="G38" s="55">
        <v>0</v>
      </c>
      <c r="H38" s="55">
        <v>601</v>
      </c>
      <c r="I38" s="56">
        <f t="shared" si="1"/>
        <v>0.35944976076555024</v>
      </c>
      <c r="J38" s="55">
        <v>18</v>
      </c>
      <c r="K38" s="56">
        <f t="shared" si="2"/>
        <v>1.076555023923445E-2</v>
      </c>
      <c r="L38" s="56">
        <f t="shared" si="3"/>
        <v>2.9950083194675542E-2</v>
      </c>
      <c r="M38" s="55">
        <v>0</v>
      </c>
      <c r="N38" s="56">
        <f t="shared" si="4"/>
        <v>0</v>
      </c>
      <c r="O38" s="53" t="s">
        <v>446</v>
      </c>
    </row>
    <row r="39" spans="1:15" hidden="1" x14ac:dyDescent="0.25">
      <c r="A39" s="52" t="s">
        <v>459</v>
      </c>
      <c r="B39" s="53" t="s">
        <v>444</v>
      </c>
      <c r="C39" s="53" t="s">
        <v>443</v>
      </c>
      <c r="D39" s="57">
        <v>44938</v>
      </c>
      <c r="E39" s="55">
        <v>33268</v>
      </c>
      <c r="F39" s="56">
        <f t="shared" si="0"/>
        <v>0.99819646507154025</v>
      </c>
      <c r="G39" s="55">
        <v>60</v>
      </c>
      <c r="H39" s="55">
        <v>10310</v>
      </c>
      <c r="I39" s="56">
        <f t="shared" si="1"/>
        <v>0.30990741854033904</v>
      </c>
      <c r="J39" s="55">
        <v>198</v>
      </c>
      <c r="K39" s="56">
        <f t="shared" si="2"/>
        <v>5.9516652639172779E-3</v>
      </c>
      <c r="L39" s="56">
        <f t="shared" si="3"/>
        <v>1.9204655674102813E-2</v>
      </c>
      <c r="M39" s="55">
        <v>161</v>
      </c>
      <c r="N39" s="56">
        <f t="shared" si="4"/>
        <v>4.8394853913670795E-3</v>
      </c>
      <c r="O39" s="53" t="s">
        <v>443</v>
      </c>
    </row>
    <row r="40" spans="1:15" hidden="1" x14ac:dyDescent="0.25">
      <c r="A40" s="52" t="s">
        <v>459</v>
      </c>
      <c r="B40" s="53" t="s">
        <v>439</v>
      </c>
      <c r="C40" s="53" t="s">
        <v>443</v>
      </c>
      <c r="D40" s="57">
        <v>44938</v>
      </c>
      <c r="E40" s="55">
        <v>57823</v>
      </c>
      <c r="F40" s="56">
        <f t="shared" si="0"/>
        <v>0.9991525863410754</v>
      </c>
      <c r="G40" s="55">
        <v>49</v>
      </c>
      <c r="H40" s="55">
        <v>15025</v>
      </c>
      <c r="I40" s="56">
        <f t="shared" si="1"/>
        <v>0.25984469847638481</v>
      </c>
      <c r="J40" s="55">
        <v>136</v>
      </c>
      <c r="K40" s="56">
        <f t="shared" si="2"/>
        <v>2.3520052574235164E-3</v>
      </c>
      <c r="L40" s="56">
        <f t="shared" si="3"/>
        <v>9.0515806988352744E-3</v>
      </c>
      <c r="M40" s="55">
        <v>31</v>
      </c>
      <c r="N40" s="56">
        <f t="shared" si="4"/>
        <v>5.3611884544212509E-4</v>
      </c>
      <c r="O40" s="53" t="s">
        <v>443</v>
      </c>
    </row>
    <row r="41" spans="1:15" hidden="1" x14ac:dyDescent="0.25">
      <c r="A41" s="52" t="s">
        <v>460</v>
      </c>
      <c r="B41" s="53" t="s">
        <v>444</v>
      </c>
      <c r="C41" s="53" t="s">
        <v>443</v>
      </c>
      <c r="D41" s="57">
        <v>44938</v>
      </c>
      <c r="E41" s="55">
        <v>503909</v>
      </c>
      <c r="F41" s="56">
        <f t="shared" si="0"/>
        <v>0.99717409294138426</v>
      </c>
      <c r="G41" s="55">
        <v>1424</v>
      </c>
      <c r="H41" s="55">
        <v>185312</v>
      </c>
      <c r="I41" s="56">
        <f t="shared" si="1"/>
        <v>0.36774893879648907</v>
      </c>
      <c r="J41" s="55">
        <v>2675</v>
      </c>
      <c r="K41" s="56">
        <f t="shared" si="2"/>
        <v>5.3084981613743748E-3</v>
      </c>
      <c r="L41" s="56">
        <f t="shared" si="3"/>
        <v>1.4435114833362114E-2</v>
      </c>
      <c r="M41" s="55">
        <v>1796</v>
      </c>
      <c r="N41" s="56">
        <f t="shared" si="4"/>
        <v>3.5641355879732252E-3</v>
      </c>
      <c r="O41" s="53" t="s">
        <v>443</v>
      </c>
    </row>
    <row r="42" spans="1:15" hidden="1" x14ac:dyDescent="0.25">
      <c r="A42" s="52" t="s">
        <v>460</v>
      </c>
      <c r="B42" s="53" t="s">
        <v>439</v>
      </c>
      <c r="C42" s="53" t="s">
        <v>443</v>
      </c>
      <c r="D42" s="57">
        <v>44938</v>
      </c>
      <c r="E42" s="55">
        <v>933758</v>
      </c>
      <c r="F42" s="56">
        <f t="shared" si="0"/>
        <v>0.99778743528837233</v>
      </c>
      <c r="G42" s="55">
        <v>2066</v>
      </c>
      <c r="H42" s="55">
        <v>328255</v>
      </c>
      <c r="I42" s="56">
        <f t="shared" si="1"/>
        <v>0.35154183417973395</v>
      </c>
      <c r="J42" s="55">
        <v>3131</v>
      </c>
      <c r="K42" s="56">
        <f t="shared" si="2"/>
        <v>3.353117188821943E-3</v>
      </c>
      <c r="L42" s="56">
        <f t="shared" si="3"/>
        <v>9.5383162480388722E-3</v>
      </c>
      <c r="M42" s="55">
        <v>1083</v>
      </c>
      <c r="N42" s="56">
        <f t="shared" si="4"/>
        <v>1.1598294204708285E-3</v>
      </c>
      <c r="O42" s="53" t="s">
        <v>443</v>
      </c>
    </row>
    <row r="43" spans="1:15" hidden="1" x14ac:dyDescent="0.25">
      <c r="A43" s="52" t="s">
        <v>22</v>
      </c>
      <c r="B43" s="53" t="s">
        <v>439</v>
      </c>
      <c r="C43" s="53" t="s">
        <v>443</v>
      </c>
      <c r="D43" s="57">
        <v>44939</v>
      </c>
      <c r="E43" s="55">
        <v>96595</v>
      </c>
      <c r="F43" s="56">
        <f t="shared" si="0"/>
        <v>0.99883016719291884</v>
      </c>
      <c r="G43" s="55">
        <v>113</v>
      </c>
      <c r="H43" s="55">
        <v>31810</v>
      </c>
      <c r="I43" s="56">
        <f t="shared" si="1"/>
        <v>0.32931311144469178</v>
      </c>
      <c r="J43" s="55">
        <v>847</v>
      </c>
      <c r="K43" s="56">
        <f t="shared" si="2"/>
        <v>8.7685698017495733E-3</v>
      </c>
      <c r="L43" s="56">
        <f t="shared" si="3"/>
        <v>2.662684690348947E-2</v>
      </c>
      <c r="M43" s="55">
        <v>78</v>
      </c>
      <c r="N43" s="56">
        <f t="shared" si="4"/>
        <v>8.0749521196749312E-4</v>
      </c>
      <c r="O43" s="53" t="s">
        <v>443</v>
      </c>
    </row>
    <row r="44" spans="1:15" hidden="1" x14ac:dyDescent="0.25">
      <c r="A44" s="52" t="s">
        <v>22</v>
      </c>
      <c r="B44" s="53" t="s">
        <v>444</v>
      </c>
      <c r="C44" s="53" t="s">
        <v>443</v>
      </c>
      <c r="D44" s="57">
        <v>44939</v>
      </c>
      <c r="E44" s="55">
        <v>226314</v>
      </c>
      <c r="F44" s="56">
        <f t="shared" si="0"/>
        <v>0.99721183841918748</v>
      </c>
      <c r="G44" s="55">
        <v>631</v>
      </c>
      <c r="H44" s="55">
        <v>81138</v>
      </c>
      <c r="I44" s="56">
        <f t="shared" si="1"/>
        <v>0.35851957899201992</v>
      </c>
      <c r="J44" s="55">
        <v>2838</v>
      </c>
      <c r="K44" s="56">
        <f t="shared" si="2"/>
        <v>1.2540099154272382E-2</v>
      </c>
      <c r="L44" s="56">
        <f t="shared" si="3"/>
        <v>3.4977445833025214E-2</v>
      </c>
      <c r="M44" s="55">
        <v>1339</v>
      </c>
      <c r="N44" s="56">
        <f t="shared" si="4"/>
        <v>5.9165584099967299E-3</v>
      </c>
      <c r="O44" s="53" t="s">
        <v>443</v>
      </c>
    </row>
    <row r="45" spans="1:15" hidden="1" x14ac:dyDescent="0.25">
      <c r="A45" s="52" t="s">
        <v>23</v>
      </c>
      <c r="B45" s="53" t="s">
        <v>439</v>
      </c>
      <c r="C45" s="53" t="s">
        <v>443</v>
      </c>
      <c r="D45" s="57">
        <v>44939</v>
      </c>
      <c r="E45" s="55">
        <v>1768850</v>
      </c>
      <c r="F45" s="56">
        <f t="shared" si="0"/>
        <v>0.99685219210221332</v>
      </c>
      <c r="G45" s="55">
        <v>5568</v>
      </c>
      <c r="H45" s="55">
        <v>643388</v>
      </c>
      <c r="I45" s="56">
        <f t="shared" si="1"/>
        <v>0.36373236848800067</v>
      </c>
      <c r="J45" s="55">
        <v>11627</v>
      </c>
      <c r="K45" s="56">
        <f t="shared" si="2"/>
        <v>6.5731972750657204E-3</v>
      </c>
      <c r="L45" s="56">
        <f t="shared" si="3"/>
        <v>1.8071521383675168E-2</v>
      </c>
      <c r="M45" s="55">
        <v>2397</v>
      </c>
      <c r="N45" s="56">
        <f t="shared" si="4"/>
        <v>1.3551177318596827E-3</v>
      </c>
      <c r="O45" s="53" t="s">
        <v>443</v>
      </c>
    </row>
    <row r="46" spans="1:15" hidden="1" x14ac:dyDescent="0.25">
      <c r="A46" s="52" t="s">
        <v>23</v>
      </c>
      <c r="B46" s="53" t="s">
        <v>444</v>
      </c>
      <c r="C46" s="53" t="s">
        <v>443</v>
      </c>
      <c r="D46" s="57">
        <v>44939</v>
      </c>
      <c r="E46" s="55">
        <v>2523494</v>
      </c>
      <c r="F46" s="56">
        <f t="shared" si="0"/>
        <v>0.99528154217921661</v>
      </c>
      <c r="G46" s="55">
        <v>11907</v>
      </c>
      <c r="H46" s="55">
        <v>918692</v>
      </c>
      <c r="I46" s="56">
        <f t="shared" si="1"/>
        <v>0.36405555154876534</v>
      </c>
      <c r="J46" s="55">
        <v>20283</v>
      </c>
      <c r="K46" s="56">
        <f t="shared" si="2"/>
        <v>8.0376652371671967E-3</v>
      </c>
      <c r="L46" s="56">
        <f t="shared" si="3"/>
        <v>2.207812846960679E-2</v>
      </c>
      <c r="M46" s="55">
        <v>9972</v>
      </c>
      <c r="N46" s="56">
        <f t="shared" si="4"/>
        <v>3.9516638438609327E-3</v>
      </c>
      <c r="O46" s="53" t="s">
        <v>443</v>
      </c>
    </row>
    <row r="47" spans="1:15" x14ac:dyDescent="0.25">
      <c r="A47" s="52" t="s">
        <v>451</v>
      </c>
      <c r="B47" s="53" t="s">
        <v>444</v>
      </c>
      <c r="C47" s="53" t="s">
        <v>452</v>
      </c>
      <c r="D47" s="57">
        <v>44939</v>
      </c>
      <c r="E47" s="55">
        <v>252620</v>
      </c>
      <c r="F47" s="56">
        <f t="shared" si="0"/>
        <v>0.99887974032143145</v>
      </c>
      <c r="G47" s="55">
        <v>283</v>
      </c>
      <c r="H47" s="55">
        <v>95330</v>
      </c>
      <c r="I47" s="56">
        <f t="shared" si="1"/>
        <v>0.37736521257224287</v>
      </c>
      <c r="J47" s="55">
        <v>2226</v>
      </c>
      <c r="K47" s="56">
        <f t="shared" si="2"/>
        <v>8.8116538674689257E-3</v>
      </c>
      <c r="L47" s="56">
        <f t="shared" si="3"/>
        <v>2.3350466799538446E-2</v>
      </c>
      <c r="M47" s="55">
        <v>330</v>
      </c>
      <c r="N47" s="56">
        <f t="shared" si="4"/>
        <v>1.3063098725358245E-3</v>
      </c>
      <c r="O47" s="53" t="s">
        <v>452</v>
      </c>
    </row>
    <row r="48" spans="1:15" x14ac:dyDescent="0.25">
      <c r="A48" s="52" t="s">
        <v>453</v>
      </c>
      <c r="B48" s="53" t="s">
        <v>444</v>
      </c>
      <c r="C48" s="53" t="s">
        <v>452</v>
      </c>
      <c r="D48" s="57">
        <v>44939</v>
      </c>
      <c r="E48" s="55">
        <v>334315</v>
      </c>
      <c r="F48" s="56">
        <f t="shared" si="0"/>
        <v>0.99789121038541495</v>
      </c>
      <c r="G48" s="55">
        <v>705</v>
      </c>
      <c r="H48" s="55">
        <v>101194</v>
      </c>
      <c r="I48" s="56">
        <f t="shared" si="1"/>
        <v>0.30269057625293511</v>
      </c>
      <c r="J48" s="55">
        <v>2570</v>
      </c>
      <c r="K48" s="56">
        <f t="shared" si="2"/>
        <v>7.6873607226717313E-3</v>
      </c>
      <c r="L48" s="56">
        <f t="shared" si="3"/>
        <v>2.5396762653912289E-2</v>
      </c>
      <c r="M48" s="55">
        <v>321</v>
      </c>
      <c r="N48" s="56">
        <f t="shared" si="4"/>
        <v>9.6017229259829804E-4</v>
      </c>
      <c r="O48" s="53" t="s">
        <v>452</v>
      </c>
    </row>
    <row r="49" spans="1:15" hidden="1" x14ac:dyDescent="0.25">
      <c r="A49" s="52" t="s">
        <v>461</v>
      </c>
      <c r="B49" s="53" t="s">
        <v>439</v>
      </c>
      <c r="C49" s="53" t="s">
        <v>443</v>
      </c>
      <c r="D49" s="57">
        <v>44942</v>
      </c>
      <c r="E49" s="55">
        <v>117955</v>
      </c>
      <c r="F49" s="56">
        <f t="shared" si="0"/>
        <v>0.99886397354923484</v>
      </c>
      <c r="G49" s="55">
        <v>134</v>
      </c>
      <c r="H49" s="55">
        <v>42090</v>
      </c>
      <c r="I49" s="56">
        <f t="shared" si="1"/>
        <v>0.35683099487092534</v>
      </c>
      <c r="J49" s="55">
        <v>693</v>
      </c>
      <c r="K49" s="56">
        <f t="shared" si="2"/>
        <v>5.8751218685091774E-3</v>
      </c>
      <c r="L49" s="56">
        <f t="shared" si="3"/>
        <v>1.646471846044191E-2</v>
      </c>
      <c r="M49" s="55">
        <v>104</v>
      </c>
      <c r="N49" s="56">
        <f t="shared" si="4"/>
        <v>8.8169217074307994E-4</v>
      </c>
      <c r="O49" s="53" t="s">
        <v>443</v>
      </c>
    </row>
    <row r="50" spans="1:15" hidden="1" x14ac:dyDescent="0.25">
      <c r="A50" s="52" t="s">
        <v>461</v>
      </c>
      <c r="B50" s="53" t="s">
        <v>444</v>
      </c>
      <c r="C50" s="53" t="s">
        <v>443</v>
      </c>
      <c r="D50" s="57">
        <v>44942</v>
      </c>
      <c r="E50" s="55">
        <v>227708</v>
      </c>
      <c r="F50" s="56">
        <f t="shared" si="0"/>
        <v>0.99702689409243417</v>
      </c>
      <c r="G50" s="55">
        <v>677</v>
      </c>
      <c r="H50" s="55">
        <v>86575</v>
      </c>
      <c r="I50" s="56">
        <f t="shared" si="1"/>
        <v>0.38020183744093311</v>
      </c>
      <c r="J50" s="55">
        <v>2769</v>
      </c>
      <c r="K50" s="56">
        <f t="shared" si="2"/>
        <v>1.2160310573190227E-2</v>
      </c>
      <c r="L50" s="56">
        <f t="shared" si="3"/>
        <v>3.1983829049956683E-2</v>
      </c>
      <c r="M50" s="55">
        <v>2077</v>
      </c>
      <c r="N50" s="56">
        <f t="shared" si="4"/>
        <v>9.1213308271997466E-3</v>
      </c>
      <c r="O50" s="53" t="s">
        <v>443</v>
      </c>
    </row>
    <row r="51" spans="1:15" hidden="1" x14ac:dyDescent="0.25">
      <c r="A51" s="52" t="s">
        <v>462</v>
      </c>
      <c r="B51" s="53" t="s">
        <v>439</v>
      </c>
      <c r="C51" s="53" t="s">
        <v>443</v>
      </c>
      <c r="D51" s="57">
        <v>44942</v>
      </c>
      <c r="E51" s="55">
        <v>2047772</v>
      </c>
      <c r="F51" s="56">
        <f t="shared" si="0"/>
        <v>0.99697866754697295</v>
      </c>
      <c r="G51" s="55">
        <v>6187</v>
      </c>
      <c r="H51" s="55">
        <v>1001982</v>
      </c>
      <c r="I51" s="56">
        <f t="shared" si="1"/>
        <v>0.48930349667834117</v>
      </c>
      <c r="J51" s="55">
        <v>22127</v>
      </c>
      <c r="K51" s="56">
        <f t="shared" si="2"/>
        <v>1.080540216391278E-2</v>
      </c>
      <c r="L51" s="56">
        <f t="shared" si="3"/>
        <v>2.2083231036086476E-2</v>
      </c>
      <c r="M51" s="55">
        <v>4114</v>
      </c>
      <c r="N51" s="56">
        <f t="shared" si="4"/>
        <v>2.0090127221194546E-3</v>
      </c>
      <c r="O51" s="53" t="s">
        <v>443</v>
      </c>
    </row>
    <row r="52" spans="1:15" hidden="1" x14ac:dyDescent="0.25">
      <c r="A52" s="52" t="s">
        <v>462</v>
      </c>
      <c r="B52" s="53" t="s">
        <v>444</v>
      </c>
      <c r="C52" s="53" t="s">
        <v>443</v>
      </c>
      <c r="D52" s="57">
        <v>44942</v>
      </c>
      <c r="E52" s="55">
        <v>2413301</v>
      </c>
      <c r="F52" s="56">
        <f t="shared" si="0"/>
        <v>0.99528695343017715</v>
      </c>
      <c r="G52" s="55">
        <v>11374</v>
      </c>
      <c r="H52" s="55">
        <v>1113405</v>
      </c>
      <c r="I52" s="56">
        <f t="shared" si="1"/>
        <v>0.46136184421255366</v>
      </c>
      <c r="J52" s="55">
        <v>29958</v>
      </c>
      <c r="K52" s="56">
        <f t="shared" si="2"/>
        <v>1.2413702227778467E-2</v>
      </c>
      <c r="L52" s="56">
        <f t="shared" si="3"/>
        <v>2.6906651218559285E-2</v>
      </c>
      <c r="M52" s="55">
        <v>18021</v>
      </c>
      <c r="N52" s="56">
        <f t="shared" si="4"/>
        <v>7.4673652395619112E-3</v>
      </c>
      <c r="O52" s="53" t="s">
        <v>443</v>
      </c>
    </row>
    <row r="53" spans="1:15" hidden="1" x14ac:dyDescent="0.25">
      <c r="A53" s="52" t="s">
        <v>18</v>
      </c>
      <c r="B53" s="53" t="s">
        <v>439</v>
      </c>
      <c r="C53" s="53" t="s">
        <v>443</v>
      </c>
      <c r="D53" s="57">
        <v>44943</v>
      </c>
      <c r="E53" s="55">
        <v>22648</v>
      </c>
      <c r="F53" s="56">
        <f t="shared" si="0"/>
        <v>0.99920522783468735</v>
      </c>
      <c r="G53" s="55">
        <v>18</v>
      </c>
      <c r="H53" s="55">
        <v>8068</v>
      </c>
      <c r="I53" s="56">
        <f t="shared" si="1"/>
        <v>0.35623454609678556</v>
      </c>
      <c r="J53" s="55">
        <v>265</v>
      </c>
      <c r="K53" s="56">
        <f t="shared" si="2"/>
        <v>1.1700812433768986E-2</v>
      </c>
      <c r="L53" s="56">
        <f t="shared" si="3"/>
        <v>3.2845810609816561E-2</v>
      </c>
      <c r="M53" s="55">
        <v>17</v>
      </c>
      <c r="N53" s="56">
        <f t="shared" si="4"/>
        <v>7.5061815612857653E-4</v>
      </c>
      <c r="O53" s="53" t="s">
        <v>443</v>
      </c>
    </row>
    <row r="54" spans="1:15" hidden="1" x14ac:dyDescent="0.25">
      <c r="A54" s="52" t="s">
        <v>18</v>
      </c>
      <c r="B54" s="53" t="s">
        <v>444</v>
      </c>
      <c r="C54" s="53" t="s">
        <v>443</v>
      </c>
      <c r="D54" s="57">
        <v>44943</v>
      </c>
      <c r="E54" s="55">
        <v>25216</v>
      </c>
      <c r="F54" s="56">
        <f t="shared" si="0"/>
        <v>0.99857233502538068</v>
      </c>
      <c r="G54" s="55">
        <v>36</v>
      </c>
      <c r="H54" s="55">
        <v>9722</v>
      </c>
      <c r="I54" s="56">
        <f t="shared" si="1"/>
        <v>0.38554885786802029</v>
      </c>
      <c r="J54" s="55">
        <v>289</v>
      </c>
      <c r="K54" s="56">
        <f t="shared" si="2"/>
        <v>1.1460977157360407E-2</v>
      </c>
      <c r="L54" s="56">
        <f t="shared" si="3"/>
        <v>2.9726393746142769E-2</v>
      </c>
      <c r="M54" s="55">
        <v>116</v>
      </c>
      <c r="N54" s="56">
        <f t="shared" si="4"/>
        <v>4.6002538071065989E-3</v>
      </c>
      <c r="O54" s="53" t="s">
        <v>443</v>
      </c>
    </row>
    <row r="55" spans="1:15" hidden="1" x14ac:dyDescent="0.25">
      <c r="A55" s="52" t="s">
        <v>19</v>
      </c>
      <c r="B55" s="53" t="s">
        <v>439</v>
      </c>
      <c r="C55" s="53" t="s">
        <v>443</v>
      </c>
      <c r="D55" s="57">
        <v>44943</v>
      </c>
      <c r="E55" s="55">
        <v>207913</v>
      </c>
      <c r="F55" s="56">
        <f t="shared" si="0"/>
        <v>0.99800878251961156</v>
      </c>
      <c r="G55" s="55">
        <v>414</v>
      </c>
      <c r="H55" s="55">
        <v>77636</v>
      </c>
      <c r="I55" s="56">
        <f t="shared" si="1"/>
        <v>0.37340618431747896</v>
      </c>
      <c r="J55" s="55">
        <v>1924</v>
      </c>
      <c r="K55" s="56">
        <f t="shared" si="2"/>
        <v>9.253870609341408E-3</v>
      </c>
      <c r="L55" s="56">
        <f t="shared" si="3"/>
        <v>2.4782317481580711E-2</v>
      </c>
      <c r="M55" s="55">
        <v>141</v>
      </c>
      <c r="N55" s="56">
        <f t="shared" si="4"/>
        <v>6.7816827230620497E-4</v>
      </c>
      <c r="O55" s="53" t="s">
        <v>443</v>
      </c>
    </row>
    <row r="56" spans="1:15" hidden="1" x14ac:dyDescent="0.25">
      <c r="A56" s="52" t="s">
        <v>19</v>
      </c>
      <c r="B56" s="53" t="s">
        <v>444</v>
      </c>
      <c r="C56" s="53" t="s">
        <v>443</v>
      </c>
      <c r="D56" s="57">
        <v>44943</v>
      </c>
      <c r="E56" s="55">
        <v>418744</v>
      </c>
      <c r="F56" s="56">
        <f t="shared" si="0"/>
        <v>0.99802743442294095</v>
      </c>
      <c r="G56" s="55">
        <v>826</v>
      </c>
      <c r="H56" s="55">
        <v>168010</v>
      </c>
      <c r="I56" s="56">
        <f t="shared" si="1"/>
        <v>0.40122365932407389</v>
      </c>
      <c r="J56" s="55">
        <v>3250</v>
      </c>
      <c r="K56" s="56">
        <f t="shared" si="2"/>
        <v>7.7613052366123456E-3</v>
      </c>
      <c r="L56" s="56">
        <f t="shared" si="3"/>
        <v>1.9344086661508244E-2</v>
      </c>
      <c r="M56" s="55">
        <v>1139</v>
      </c>
      <c r="N56" s="56">
        <f t="shared" si="4"/>
        <v>2.7200389736927572E-3</v>
      </c>
      <c r="O56" s="53" t="s">
        <v>443</v>
      </c>
    </row>
    <row r="57" spans="1:15" hidden="1" x14ac:dyDescent="0.25">
      <c r="A57" s="52" t="s">
        <v>463</v>
      </c>
      <c r="B57" s="53" t="s">
        <v>439</v>
      </c>
      <c r="C57" s="53" t="s">
        <v>443</v>
      </c>
      <c r="D57" s="57">
        <v>44944</v>
      </c>
      <c r="E57" s="55">
        <v>8805</v>
      </c>
      <c r="F57" s="56">
        <f t="shared" si="0"/>
        <v>0.99681998864281662</v>
      </c>
      <c r="G57" s="55">
        <v>28</v>
      </c>
      <c r="H57" s="55">
        <v>4066</v>
      </c>
      <c r="I57" s="56">
        <f t="shared" si="1"/>
        <v>0.46178307779670641</v>
      </c>
      <c r="J57" s="55">
        <v>52</v>
      </c>
      <c r="K57" s="56">
        <f t="shared" si="2"/>
        <v>5.9057353776263491E-3</v>
      </c>
      <c r="L57" s="56">
        <f t="shared" si="3"/>
        <v>1.278898180029513E-2</v>
      </c>
      <c r="M57" s="55">
        <v>7</v>
      </c>
      <c r="N57" s="56">
        <f t="shared" si="4"/>
        <v>7.9500283929585466E-4</v>
      </c>
      <c r="O57" s="53" t="s">
        <v>443</v>
      </c>
    </row>
    <row r="58" spans="1:15" hidden="1" x14ac:dyDescent="0.25">
      <c r="A58" s="52" t="s">
        <v>463</v>
      </c>
      <c r="B58" s="53" t="s">
        <v>444</v>
      </c>
      <c r="C58" s="53" t="s">
        <v>443</v>
      </c>
      <c r="D58" s="57">
        <v>44944</v>
      </c>
      <c r="E58" s="55">
        <v>3805</v>
      </c>
      <c r="F58" s="56">
        <f t="shared" si="0"/>
        <v>0.99763469119579495</v>
      </c>
      <c r="G58" s="55">
        <v>9</v>
      </c>
      <c r="H58" s="55">
        <v>1624</v>
      </c>
      <c r="I58" s="56">
        <f t="shared" si="1"/>
        <v>0.42680683311432327</v>
      </c>
      <c r="J58" s="55">
        <v>35</v>
      </c>
      <c r="K58" s="56">
        <f t="shared" si="2"/>
        <v>9.1984231274638631E-3</v>
      </c>
      <c r="L58" s="56">
        <f t="shared" si="3"/>
        <v>2.1551724137931036E-2</v>
      </c>
      <c r="M58" s="55">
        <v>24</v>
      </c>
      <c r="N58" s="56">
        <f t="shared" si="4"/>
        <v>6.3074901445466488E-3</v>
      </c>
      <c r="O58" s="53" t="s">
        <v>443</v>
      </c>
    </row>
    <row r="59" spans="1:15" hidden="1" x14ac:dyDescent="0.25">
      <c r="A59" s="52" t="s">
        <v>464</v>
      </c>
      <c r="B59" s="53" t="s">
        <v>444</v>
      </c>
      <c r="C59" s="53" t="s">
        <v>443</v>
      </c>
      <c r="D59" s="57">
        <v>44944</v>
      </c>
      <c r="E59" s="55">
        <v>183395</v>
      </c>
      <c r="F59" s="56">
        <f t="shared" si="0"/>
        <v>0.99721366449466997</v>
      </c>
      <c r="G59" s="55">
        <v>511</v>
      </c>
      <c r="H59" s="55">
        <v>81537</v>
      </c>
      <c r="I59" s="56">
        <f t="shared" si="1"/>
        <v>0.44459772621936255</v>
      </c>
      <c r="J59" s="55">
        <v>2387</v>
      </c>
      <c r="K59" s="56">
        <f t="shared" si="2"/>
        <v>1.3015622018048475E-2</v>
      </c>
      <c r="L59" s="56">
        <f t="shared" si="3"/>
        <v>2.9275053043403609E-2</v>
      </c>
      <c r="M59" s="55">
        <v>466</v>
      </c>
      <c r="N59" s="56">
        <f t="shared" si="4"/>
        <v>2.5409634940974399E-3</v>
      </c>
      <c r="O59" s="53" t="s">
        <v>443</v>
      </c>
    </row>
    <row r="60" spans="1:15" hidden="1" x14ac:dyDescent="0.25">
      <c r="A60" s="52" t="s">
        <v>464</v>
      </c>
      <c r="B60" s="53" t="s">
        <v>439</v>
      </c>
      <c r="C60" s="53" t="s">
        <v>443</v>
      </c>
      <c r="D60" s="57">
        <v>44944</v>
      </c>
      <c r="E60" s="55">
        <v>288246</v>
      </c>
      <c r="F60" s="56">
        <f t="shared" si="0"/>
        <v>0.99808843834780014</v>
      </c>
      <c r="G60" s="55">
        <v>551</v>
      </c>
      <c r="H60" s="55">
        <v>170575</v>
      </c>
      <c r="I60" s="56">
        <f t="shared" si="1"/>
        <v>0.59176883634118083</v>
      </c>
      <c r="J60" s="55">
        <v>4871</v>
      </c>
      <c r="K60" s="56">
        <f t="shared" si="2"/>
        <v>1.6898760086870242E-2</v>
      </c>
      <c r="L60" s="56">
        <f t="shared" si="3"/>
        <v>2.8556353510186136E-2</v>
      </c>
      <c r="M60" s="55">
        <v>276</v>
      </c>
      <c r="N60" s="56">
        <f t="shared" si="4"/>
        <v>9.5751545554838573E-4</v>
      </c>
      <c r="O60" s="53" t="s">
        <v>443</v>
      </c>
    </row>
    <row r="61" spans="1:15" hidden="1" x14ac:dyDescent="0.25">
      <c r="A61" s="52" t="s">
        <v>445</v>
      </c>
      <c r="B61" s="53"/>
      <c r="C61" s="53" t="s">
        <v>446</v>
      </c>
      <c r="D61" s="57">
        <v>44944</v>
      </c>
      <c r="E61" s="55">
        <v>315</v>
      </c>
      <c r="F61" s="56">
        <f t="shared" si="0"/>
        <v>1</v>
      </c>
      <c r="G61" s="55">
        <v>0</v>
      </c>
      <c r="H61" s="55">
        <v>82</v>
      </c>
      <c r="I61" s="56">
        <f t="shared" si="1"/>
        <v>0.26031746031746034</v>
      </c>
      <c r="J61" s="55">
        <v>7</v>
      </c>
      <c r="K61" s="56">
        <f t="shared" si="2"/>
        <v>2.2222222222222223E-2</v>
      </c>
      <c r="L61" s="56">
        <f t="shared" si="3"/>
        <v>8.5365853658536592E-2</v>
      </c>
      <c r="M61" s="55">
        <v>0</v>
      </c>
      <c r="N61" s="56">
        <f t="shared" si="4"/>
        <v>0</v>
      </c>
      <c r="O61" s="53" t="s">
        <v>446</v>
      </c>
    </row>
    <row r="62" spans="1:15" hidden="1" x14ac:dyDescent="0.25">
      <c r="A62" s="52" t="s">
        <v>465</v>
      </c>
      <c r="B62" s="53" t="s">
        <v>439</v>
      </c>
      <c r="C62" s="53" t="s">
        <v>443</v>
      </c>
      <c r="D62" s="54">
        <v>44944</v>
      </c>
      <c r="E62" s="55">
        <v>111097</v>
      </c>
      <c r="F62" s="56">
        <f>(E62-G62)/E62</f>
        <v>0.99912688911491765</v>
      </c>
      <c r="G62" s="55">
        <v>97</v>
      </c>
      <c r="H62" s="55">
        <v>39756</v>
      </c>
      <c r="I62" s="56">
        <f>H62/E62</f>
        <v>0.35784944687975373</v>
      </c>
      <c r="J62" s="55">
        <v>1074</v>
      </c>
      <c r="K62" s="56">
        <f>J62/E62</f>
        <v>9.6672277379227164E-3</v>
      </c>
      <c r="L62" s="56">
        <f>J62/H62</f>
        <v>2.7014790220344097E-2</v>
      </c>
      <c r="M62" s="55">
        <v>54</v>
      </c>
      <c r="N62" s="56">
        <f>M62/E62</f>
        <v>4.8606172983968964E-4</v>
      </c>
      <c r="O62" s="53" t="s">
        <v>443</v>
      </c>
    </row>
    <row r="63" spans="1:15" hidden="1" x14ac:dyDescent="0.25">
      <c r="A63" s="52" t="s">
        <v>466</v>
      </c>
      <c r="B63" s="53" t="s">
        <v>439</v>
      </c>
      <c r="C63" s="53" t="s">
        <v>443</v>
      </c>
      <c r="D63" s="54">
        <v>44944</v>
      </c>
      <c r="E63" s="55">
        <v>1896017</v>
      </c>
      <c r="F63" s="56">
        <f>(E63-G63)/E63</f>
        <v>0.99711500477052684</v>
      </c>
      <c r="G63" s="55">
        <v>5470</v>
      </c>
      <c r="H63" s="55">
        <v>860136</v>
      </c>
      <c r="I63" s="56">
        <f>H63/E63</f>
        <v>0.45365416027387939</v>
      </c>
      <c r="J63" s="55">
        <v>19533</v>
      </c>
      <c r="K63" s="56">
        <f>J63/E63</f>
        <v>1.0302122818519032E-2</v>
      </c>
      <c r="L63" s="56">
        <f>J63/H63</f>
        <v>2.2709199475431791E-2</v>
      </c>
      <c r="M63" s="55">
        <v>2275</v>
      </c>
      <c r="N63" s="56">
        <f>M63/E63</f>
        <v>1.199883756316531E-3</v>
      </c>
      <c r="O63" s="53" t="s">
        <v>443</v>
      </c>
    </row>
    <row r="64" spans="1:15" x14ac:dyDescent="0.25">
      <c r="A64" s="52" t="s">
        <v>465</v>
      </c>
      <c r="B64" s="53" t="s">
        <v>439</v>
      </c>
      <c r="C64" s="53" t="s">
        <v>452</v>
      </c>
      <c r="D64" s="54">
        <v>44944</v>
      </c>
      <c r="E64" s="55">
        <v>13312</v>
      </c>
      <c r="F64" s="56">
        <f>(E64-G64)/E64</f>
        <v>0.99939903846153844</v>
      </c>
      <c r="G64" s="55">
        <v>8</v>
      </c>
      <c r="H64" s="55">
        <v>4857</v>
      </c>
      <c r="I64" s="56">
        <f>H64/E64</f>
        <v>0.36485877403846156</v>
      </c>
      <c r="J64" s="55">
        <v>100</v>
      </c>
      <c r="K64" s="56">
        <f>J64/E64</f>
        <v>7.512019230769231E-3</v>
      </c>
      <c r="L64" s="56">
        <f>J64/H64</f>
        <v>2.0588840848260244E-2</v>
      </c>
      <c r="M64" s="55">
        <v>21</v>
      </c>
      <c r="N64" s="56">
        <f>M64/E64</f>
        <v>1.5775240384615385E-3</v>
      </c>
      <c r="O64" s="53" t="s">
        <v>452</v>
      </c>
    </row>
    <row r="65" spans="1:15" x14ac:dyDescent="0.25">
      <c r="A65" s="52" t="s">
        <v>465</v>
      </c>
      <c r="B65" s="53" t="s">
        <v>467</v>
      </c>
      <c r="C65" s="53" t="s">
        <v>452</v>
      </c>
      <c r="D65" s="54">
        <v>44944</v>
      </c>
      <c r="E65" s="55">
        <v>12562</v>
      </c>
      <c r="F65" s="56">
        <f>(E65-G65)/E65</f>
        <v>0.99872631746537177</v>
      </c>
      <c r="G65" s="55">
        <v>16</v>
      </c>
      <c r="H65" s="55">
        <v>4407</v>
      </c>
      <c r="I65" s="56">
        <f>H65/E65</f>
        <v>0.35081993313166693</v>
      </c>
      <c r="J65" s="55">
        <v>124</v>
      </c>
      <c r="K65" s="56">
        <f>J65/E65</f>
        <v>9.871039643368891E-3</v>
      </c>
      <c r="L65" s="56">
        <f>J65/H65</f>
        <v>2.8137054685727251E-2</v>
      </c>
      <c r="M65" s="55">
        <v>42</v>
      </c>
      <c r="N65" s="56">
        <f>M65/E65</f>
        <v>3.3434166533991404E-3</v>
      </c>
      <c r="O65" s="53" t="s">
        <v>452</v>
      </c>
    </row>
    <row r="66" spans="1:15" x14ac:dyDescent="0.25">
      <c r="A66" s="52" t="s">
        <v>466</v>
      </c>
      <c r="B66" s="53" t="s">
        <v>439</v>
      </c>
      <c r="C66" s="53" t="s">
        <v>452</v>
      </c>
      <c r="D66" s="54">
        <v>44944</v>
      </c>
      <c r="E66" s="55">
        <v>267738</v>
      </c>
      <c r="F66" s="56">
        <f t="shared" ref="F66:F129" si="5">(E66-G66)/E66</f>
        <v>0.998763716767885</v>
      </c>
      <c r="G66" s="55">
        <v>331</v>
      </c>
      <c r="H66" s="55">
        <v>128054</v>
      </c>
      <c r="I66" s="56">
        <f t="shared" ref="I66:I129" si="6">H66/E66</f>
        <v>0.47828100605816132</v>
      </c>
      <c r="J66" s="55">
        <v>2534</v>
      </c>
      <c r="K66" s="56">
        <f t="shared" ref="K66:K129" si="7">J66/E66</f>
        <v>9.4644764657986543E-3</v>
      </c>
      <c r="L66" s="56">
        <f t="shared" ref="L66:L129" si="8">J66/H66</f>
        <v>1.9788526715291986E-2</v>
      </c>
      <c r="M66" s="55">
        <v>182</v>
      </c>
      <c r="N66" s="56">
        <f t="shared" ref="N66:N129" si="9">M66/E66</f>
        <v>6.7976902793029001E-4</v>
      </c>
      <c r="O66" s="53" t="s">
        <v>452</v>
      </c>
    </row>
    <row r="67" spans="1:15" x14ac:dyDescent="0.25">
      <c r="A67" s="52" t="s">
        <v>466</v>
      </c>
      <c r="B67" s="53" t="s">
        <v>467</v>
      </c>
      <c r="C67" s="53" t="s">
        <v>452</v>
      </c>
      <c r="D67" s="54">
        <v>44944</v>
      </c>
      <c r="E67" s="55">
        <v>216958</v>
      </c>
      <c r="F67" s="56">
        <f t="shared" si="5"/>
        <v>0.99808257819485802</v>
      </c>
      <c r="G67" s="55">
        <v>416</v>
      </c>
      <c r="H67" s="55">
        <v>109518</v>
      </c>
      <c r="I67" s="56">
        <f t="shared" si="6"/>
        <v>0.50478894532582341</v>
      </c>
      <c r="J67" s="55">
        <v>2556</v>
      </c>
      <c r="K67" s="56">
        <f t="shared" si="7"/>
        <v>1.1781082052747537E-2</v>
      </c>
      <c r="L67" s="56">
        <f t="shared" si="8"/>
        <v>2.3338629266421957E-2</v>
      </c>
      <c r="M67" s="55">
        <v>504</v>
      </c>
      <c r="N67" s="56">
        <f t="shared" si="9"/>
        <v>2.3230302639220494E-3</v>
      </c>
      <c r="O67" s="53" t="s">
        <v>452</v>
      </c>
    </row>
    <row r="68" spans="1:15" hidden="1" x14ac:dyDescent="0.25">
      <c r="A68" s="52" t="s">
        <v>449</v>
      </c>
      <c r="B68" s="53"/>
      <c r="C68" s="53" t="s">
        <v>446</v>
      </c>
      <c r="D68" s="57">
        <v>44945</v>
      </c>
      <c r="E68" s="55">
        <v>1675</v>
      </c>
      <c r="F68" s="56">
        <f t="shared" si="5"/>
        <v>0.99880597014925376</v>
      </c>
      <c r="G68" s="55">
        <v>2</v>
      </c>
      <c r="H68" s="55">
        <v>575</v>
      </c>
      <c r="I68" s="56">
        <f t="shared" si="6"/>
        <v>0.34328358208955223</v>
      </c>
      <c r="J68" s="55">
        <v>20</v>
      </c>
      <c r="K68" s="56">
        <f t="shared" si="7"/>
        <v>1.1940298507462687E-2</v>
      </c>
      <c r="L68" s="56">
        <f t="shared" si="8"/>
        <v>3.4782608695652174E-2</v>
      </c>
      <c r="M68" s="55">
        <v>0</v>
      </c>
      <c r="N68" s="56">
        <f t="shared" si="9"/>
        <v>0</v>
      </c>
      <c r="O68" s="53" t="s">
        <v>446</v>
      </c>
    </row>
    <row r="69" spans="1:15" hidden="1" x14ac:dyDescent="0.25">
      <c r="A69" s="52" t="s">
        <v>468</v>
      </c>
      <c r="B69" s="53" t="s">
        <v>439</v>
      </c>
      <c r="C69" s="53" t="s">
        <v>443</v>
      </c>
      <c r="D69" s="57">
        <v>44945</v>
      </c>
      <c r="E69" s="55">
        <v>58305</v>
      </c>
      <c r="F69" s="56">
        <f t="shared" si="5"/>
        <v>0.99938255724208902</v>
      </c>
      <c r="G69" s="55">
        <v>36</v>
      </c>
      <c r="H69" s="55">
        <v>20830</v>
      </c>
      <c r="I69" s="56">
        <f t="shared" si="6"/>
        <v>0.35725924020238403</v>
      </c>
      <c r="J69" s="55">
        <v>405</v>
      </c>
      <c r="K69" s="56">
        <f t="shared" si="7"/>
        <v>6.9462310264985852E-3</v>
      </c>
      <c r="L69" s="56">
        <f t="shared" si="8"/>
        <v>1.9443110897743639E-2</v>
      </c>
      <c r="M69" s="55">
        <v>23</v>
      </c>
      <c r="N69" s="56">
        <f t="shared" si="9"/>
        <v>3.9447731755424062E-4</v>
      </c>
      <c r="O69" s="53" t="s">
        <v>469</v>
      </c>
    </row>
    <row r="70" spans="1:15" hidden="1" x14ac:dyDescent="0.25">
      <c r="A70" s="52" t="s">
        <v>470</v>
      </c>
      <c r="B70" s="53" t="s">
        <v>439</v>
      </c>
      <c r="C70" s="53" t="s">
        <v>443</v>
      </c>
      <c r="D70" s="57">
        <v>44945</v>
      </c>
      <c r="E70" s="55">
        <v>1048165</v>
      </c>
      <c r="F70" s="56">
        <f t="shared" si="5"/>
        <v>0.99827985097766092</v>
      </c>
      <c r="G70" s="55">
        <v>1803</v>
      </c>
      <c r="H70" s="55">
        <v>420124</v>
      </c>
      <c r="I70" s="56">
        <f t="shared" si="6"/>
        <v>0.40081857341162891</v>
      </c>
      <c r="J70" s="55">
        <v>5939</v>
      </c>
      <c r="K70" s="56">
        <f t="shared" si="7"/>
        <v>5.6660926476270433E-3</v>
      </c>
      <c r="L70" s="56">
        <f t="shared" si="8"/>
        <v>1.4136302615418305E-2</v>
      </c>
      <c r="M70" s="55">
        <v>513</v>
      </c>
      <c r="N70" s="56">
        <f t="shared" si="9"/>
        <v>4.8942676009979349E-4</v>
      </c>
      <c r="O70" s="53" t="s">
        <v>469</v>
      </c>
    </row>
    <row r="71" spans="1:15" hidden="1" x14ac:dyDescent="0.25">
      <c r="A71" s="52" t="s">
        <v>22</v>
      </c>
      <c r="B71" s="53" t="s">
        <v>444</v>
      </c>
      <c r="C71" s="53" t="s">
        <v>443</v>
      </c>
      <c r="D71" s="57">
        <v>44946</v>
      </c>
      <c r="E71" s="55">
        <v>198628</v>
      </c>
      <c r="F71" s="56">
        <f t="shared" si="5"/>
        <v>0.99706486497371971</v>
      </c>
      <c r="G71" s="55">
        <v>583</v>
      </c>
      <c r="H71" s="55">
        <v>68163</v>
      </c>
      <c r="I71" s="56">
        <f t="shared" si="6"/>
        <v>0.34316914030247497</v>
      </c>
      <c r="J71" s="55">
        <v>2069</v>
      </c>
      <c r="K71" s="56">
        <f t="shared" si="7"/>
        <v>1.0416456894294863E-2</v>
      </c>
      <c r="L71" s="56">
        <f t="shared" si="8"/>
        <v>3.0353710957557619E-2</v>
      </c>
      <c r="M71" s="55">
        <v>989</v>
      </c>
      <c r="N71" s="56">
        <f t="shared" si="9"/>
        <v>4.9791570171375636E-3</v>
      </c>
      <c r="O71" s="53" t="s">
        <v>443</v>
      </c>
    </row>
    <row r="72" spans="1:15" hidden="1" x14ac:dyDescent="0.25">
      <c r="A72" s="52" t="s">
        <v>22</v>
      </c>
      <c r="B72" s="53" t="s">
        <v>439</v>
      </c>
      <c r="C72" s="53" t="s">
        <v>443</v>
      </c>
      <c r="D72" s="57">
        <v>44946</v>
      </c>
      <c r="E72" s="55">
        <v>96804</v>
      </c>
      <c r="F72" s="56">
        <f t="shared" si="5"/>
        <v>0.99904962604851044</v>
      </c>
      <c r="G72" s="55">
        <v>92</v>
      </c>
      <c r="H72" s="55">
        <v>31041</v>
      </c>
      <c r="I72" s="56">
        <f t="shared" si="6"/>
        <v>0.32065823726292303</v>
      </c>
      <c r="J72" s="55">
        <v>747</v>
      </c>
      <c r="K72" s="56">
        <f t="shared" si="7"/>
        <v>7.7166232800297508E-3</v>
      </c>
      <c r="L72" s="56">
        <f t="shared" si="8"/>
        <v>2.4064946361264133E-2</v>
      </c>
      <c r="M72" s="55">
        <v>60</v>
      </c>
      <c r="N72" s="56">
        <f t="shared" si="9"/>
        <v>6.1980909879757031E-4</v>
      </c>
      <c r="O72" s="53" t="s">
        <v>443</v>
      </c>
    </row>
    <row r="73" spans="1:15" hidden="1" x14ac:dyDescent="0.25">
      <c r="A73" s="52" t="s">
        <v>23</v>
      </c>
      <c r="B73" s="53" t="s">
        <v>439</v>
      </c>
      <c r="C73" s="53" t="s">
        <v>443</v>
      </c>
      <c r="D73" s="57">
        <v>44946</v>
      </c>
      <c r="E73" s="55">
        <v>1657825</v>
      </c>
      <c r="F73" s="56">
        <f t="shared" si="5"/>
        <v>0.99766501289339948</v>
      </c>
      <c r="G73" s="55">
        <v>3871</v>
      </c>
      <c r="H73" s="55">
        <v>754373</v>
      </c>
      <c r="I73" s="56">
        <f t="shared" si="6"/>
        <v>0.455037775398489</v>
      </c>
      <c r="J73" s="55">
        <v>13840</v>
      </c>
      <c r="K73" s="56">
        <f t="shared" si="7"/>
        <v>8.3482876660684931E-3</v>
      </c>
      <c r="L73" s="56">
        <f t="shared" si="8"/>
        <v>1.8346361813055344E-2</v>
      </c>
      <c r="M73" s="55">
        <v>2343</v>
      </c>
      <c r="N73" s="56">
        <f t="shared" si="9"/>
        <v>1.4132975434680982E-3</v>
      </c>
      <c r="O73" s="53" t="s">
        <v>443</v>
      </c>
    </row>
    <row r="74" spans="1:15" hidden="1" x14ac:dyDescent="0.25">
      <c r="A74" s="52" t="s">
        <v>23</v>
      </c>
      <c r="B74" s="53" t="s">
        <v>444</v>
      </c>
      <c r="C74" s="53" t="s">
        <v>443</v>
      </c>
      <c r="D74" s="57">
        <v>44946</v>
      </c>
      <c r="E74" s="55">
        <v>2181188</v>
      </c>
      <c r="F74" s="56">
        <f t="shared" si="5"/>
        <v>0.99528330432773338</v>
      </c>
      <c r="G74" s="55">
        <v>10288</v>
      </c>
      <c r="H74" s="55">
        <v>789271</v>
      </c>
      <c r="I74" s="56">
        <f t="shared" si="6"/>
        <v>0.36185372375054325</v>
      </c>
      <c r="J74" s="55">
        <v>15872</v>
      </c>
      <c r="K74" s="56">
        <f t="shared" si="7"/>
        <v>7.2767684399510724E-3</v>
      </c>
      <c r="L74" s="56">
        <f t="shared" si="8"/>
        <v>2.0109696162661495E-2</v>
      </c>
      <c r="M74" s="55">
        <v>6565</v>
      </c>
      <c r="N74" s="56">
        <f t="shared" si="9"/>
        <v>3.0098276718925651E-3</v>
      </c>
      <c r="O74" s="53" t="s">
        <v>443</v>
      </c>
    </row>
    <row r="75" spans="1:15" x14ac:dyDescent="0.25">
      <c r="A75" s="52" t="s">
        <v>451</v>
      </c>
      <c r="B75" s="53" t="s">
        <v>444</v>
      </c>
      <c r="C75" s="53" t="s">
        <v>452</v>
      </c>
      <c r="D75" s="57">
        <v>44946</v>
      </c>
      <c r="E75" s="55">
        <v>251190</v>
      </c>
      <c r="F75" s="56">
        <f t="shared" si="5"/>
        <v>0.99849914407420681</v>
      </c>
      <c r="G75" s="55">
        <v>377</v>
      </c>
      <c r="H75" s="55">
        <v>116570</v>
      </c>
      <c r="I75" s="56">
        <f t="shared" si="6"/>
        <v>0.46407102193558658</v>
      </c>
      <c r="J75" s="55">
        <v>2464</v>
      </c>
      <c r="K75" s="56">
        <f t="shared" si="7"/>
        <v>9.8093076953700391E-3</v>
      </c>
      <c r="L75" s="56">
        <f t="shared" si="8"/>
        <v>2.1137513940121814E-2</v>
      </c>
      <c r="M75" s="55">
        <v>385</v>
      </c>
      <c r="N75" s="56">
        <f t="shared" si="9"/>
        <v>1.5327043274015685E-3</v>
      </c>
      <c r="O75" s="53" t="s">
        <v>452</v>
      </c>
    </row>
    <row r="76" spans="1:15" x14ac:dyDescent="0.25">
      <c r="A76" s="52" t="s">
        <v>453</v>
      </c>
      <c r="B76" s="53" t="s">
        <v>444</v>
      </c>
      <c r="C76" s="53" t="s">
        <v>452</v>
      </c>
      <c r="D76" s="57">
        <v>44946</v>
      </c>
      <c r="E76" s="55">
        <v>334231</v>
      </c>
      <c r="F76" s="56">
        <f t="shared" si="5"/>
        <v>0.99706789615565283</v>
      </c>
      <c r="G76" s="55">
        <v>980</v>
      </c>
      <c r="H76" s="55">
        <v>127214</v>
      </c>
      <c r="I76" s="56">
        <f t="shared" si="6"/>
        <v>0.3806169984232462</v>
      </c>
      <c r="J76" s="55">
        <v>3076</v>
      </c>
      <c r="K76" s="56">
        <f t="shared" si="7"/>
        <v>9.2032157400121477E-3</v>
      </c>
      <c r="L76" s="56">
        <f t="shared" si="8"/>
        <v>2.4179728646218184E-2</v>
      </c>
      <c r="M76" s="55">
        <v>473</v>
      </c>
      <c r="N76" s="56">
        <f t="shared" si="9"/>
        <v>1.4151888963022581E-3</v>
      </c>
      <c r="O76" s="53" t="s">
        <v>452</v>
      </c>
    </row>
    <row r="77" spans="1:15" x14ac:dyDescent="0.25">
      <c r="A77" s="52" t="s">
        <v>454</v>
      </c>
      <c r="B77" s="53" t="s">
        <v>444</v>
      </c>
      <c r="C77" s="53" t="s">
        <v>452</v>
      </c>
      <c r="D77" s="57">
        <v>44947</v>
      </c>
      <c r="E77" s="55">
        <v>15444</v>
      </c>
      <c r="F77" s="56">
        <f t="shared" si="5"/>
        <v>0.99909349909349909</v>
      </c>
      <c r="G77" s="55">
        <v>14</v>
      </c>
      <c r="H77" s="55">
        <v>5022</v>
      </c>
      <c r="I77" s="56">
        <f t="shared" si="6"/>
        <v>0.32517482517482516</v>
      </c>
      <c r="J77" s="55">
        <v>173</v>
      </c>
      <c r="K77" s="56">
        <f t="shared" si="7"/>
        <v>1.1201761201761203E-2</v>
      </c>
      <c r="L77" s="56">
        <f t="shared" si="8"/>
        <v>3.4448426921545199E-2</v>
      </c>
      <c r="M77" s="55">
        <v>17</v>
      </c>
      <c r="N77" s="56">
        <f t="shared" si="9"/>
        <v>1.1007511007511007E-3</v>
      </c>
      <c r="O77" s="53" t="s">
        <v>452</v>
      </c>
    </row>
    <row r="78" spans="1:15" hidden="1" x14ac:dyDescent="0.25">
      <c r="A78" s="52" t="s">
        <v>29</v>
      </c>
      <c r="B78" s="53" t="s">
        <v>439</v>
      </c>
      <c r="C78" s="53" t="s">
        <v>443</v>
      </c>
      <c r="D78" s="57">
        <v>44947</v>
      </c>
      <c r="E78" s="55">
        <v>28459</v>
      </c>
      <c r="F78" s="56">
        <f t="shared" si="5"/>
        <v>0.99943778769457814</v>
      </c>
      <c r="G78" s="55">
        <v>16</v>
      </c>
      <c r="H78" s="55">
        <v>8736</v>
      </c>
      <c r="I78" s="56">
        <f t="shared" si="6"/>
        <v>0.30696791876032187</v>
      </c>
      <c r="J78" s="55">
        <v>256</v>
      </c>
      <c r="K78" s="56">
        <f t="shared" si="7"/>
        <v>8.995396886749359E-3</v>
      </c>
      <c r="L78" s="56">
        <f t="shared" si="8"/>
        <v>2.9304029304029304E-2</v>
      </c>
      <c r="M78" s="55">
        <v>13</v>
      </c>
      <c r="N78" s="56">
        <f t="shared" si="9"/>
        <v>4.5679749815524085E-4</v>
      </c>
      <c r="O78" s="53" t="s">
        <v>443</v>
      </c>
    </row>
    <row r="79" spans="1:15" hidden="1" x14ac:dyDescent="0.25">
      <c r="A79" s="52" t="s">
        <v>30</v>
      </c>
      <c r="B79" s="53" t="s">
        <v>439</v>
      </c>
      <c r="C79" s="53" t="s">
        <v>443</v>
      </c>
      <c r="D79" s="57">
        <v>44947</v>
      </c>
      <c r="E79" s="55">
        <v>394270</v>
      </c>
      <c r="F79" s="56">
        <f t="shared" si="5"/>
        <v>0.99824485758490378</v>
      </c>
      <c r="G79" s="55">
        <v>692</v>
      </c>
      <c r="H79" s="55">
        <v>139694</v>
      </c>
      <c r="I79" s="56">
        <f t="shared" si="6"/>
        <v>0.35431049788216196</v>
      </c>
      <c r="J79" s="55">
        <v>3402</v>
      </c>
      <c r="K79" s="56">
        <f t="shared" si="7"/>
        <v>8.6286047632333166E-3</v>
      </c>
      <c r="L79" s="56">
        <f t="shared" si="8"/>
        <v>2.435322920096783E-2</v>
      </c>
      <c r="M79" s="55">
        <v>293</v>
      </c>
      <c r="N79" s="56">
        <f t="shared" si="9"/>
        <v>7.4314556014913634E-4</v>
      </c>
      <c r="O79" s="53" t="s">
        <v>443</v>
      </c>
    </row>
    <row r="80" spans="1:15" hidden="1" x14ac:dyDescent="0.25">
      <c r="A80" s="52" t="s">
        <v>471</v>
      </c>
      <c r="B80" s="53" t="s">
        <v>444</v>
      </c>
      <c r="C80" s="53" t="s">
        <v>443</v>
      </c>
      <c r="D80" s="57">
        <v>44950</v>
      </c>
      <c r="E80" s="55">
        <v>35988</v>
      </c>
      <c r="F80" s="56">
        <f t="shared" si="5"/>
        <v>0.99930532399688787</v>
      </c>
      <c r="G80" s="55">
        <v>25</v>
      </c>
      <c r="H80" s="55">
        <v>29052</v>
      </c>
      <c r="I80" s="56">
        <f t="shared" si="6"/>
        <v>0.80726908969656552</v>
      </c>
      <c r="J80" s="55">
        <v>625</v>
      </c>
      <c r="K80" s="56">
        <f t="shared" si="7"/>
        <v>1.7366900077803712E-2</v>
      </c>
      <c r="L80" s="56">
        <f t="shared" si="8"/>
        <v>2.1513148836568911E-2</v>
      </c>
      <c r="M80" s="55">
        <v>80</v>
      </c>
      <c r="N80" s="56">
        <f t="shared" si="9"/>
        <v>2.222963209958875E-3</v>
      </c>
      <c r="O80" s="53" t="s">
        <v>443</v>
      </c>
    </row>
    <row r="81" spans="1:15" hidden="1" x14ac:dyDescent="0.25">
      <c r="A81" s="52" t="s">
        <v>471</v>
      </c>
      <c r="B81" s="53" t="s">
        <v>439</v>
      </c>
      <c r="C81" s="53" t="s">
        <v>443</v>
      </c>
      <c r="D81" s="57">
        <v>44950</v>
      </c>
      <c r="E81" s="55">
        <v>76737</v>
      </c>
      <c r="F81" s="56">
        <f t="shared" si="5"/>
        <v>0.99951783363957414</v>
      </c>
      <c r="G81" s="55">
        <v>37</v>
      </c>
      <c r="H81" s="55">
        <v>61198</v>
      </c>
      <c r="I81" s="56">
        <f t="shared" si="6"/>
        <v>0.79750316014438927</v>
      </c>
      <c r="J81" s="55">
        <v>1318</v>
      </c>
      <c r="K81" s="56">
        <f t="shared" si="7"/>
        <v>1.717554764976478E-2</v>
      </c>
      <c r="L81" s="56">
        <f t="shared" si="8"/>
        <v>2.1536651524559625E-2</v>
      </c>
      <c r="M81" s="55">
        <v>109</v>
      </c>
      <c r="N81" s="56">
        <f t="shared" si="9"/>
        <v>1.4204360347681039E-3</v>
      </c>
      <c r="O81" s="53" t="s">
        <v>443</v>
      </c>
    </row>
    <row r="82" spans="1:15" hidden="1" x14ac:dyDescent="0.25">
      <c r="A82" s="52" t="s">
        <v>472</v>
      </c>
      <c r="B82" s="53" t="s">
        <v>444</v>
      </c>
      <c r="C82" s="53" t="s">
        <v>443</v>
      </c>
      <c r="D82" s="57">
        <v>44950</v>
      </c>
      <c r="E82" s="55">
        <v>1563</v>
      </c>
      <c r="F82" s="56">
        <f t="shared" si="5"/>
        <v>0.99936020473448495</v>
      </c>
      <c r="G82" s="55">
        <v>1</v>
      </c>
      <c r="H82" s="55">
        <v>756</v>
      </c>
      <c r="I82" s="56">
        <f t="shared" si="6"/>
        <v>0.48368522072936659</v>
      </c>
      <c r="J82" s="55">
        <v>112</v>
      </c>
      <c r="K82" s="56">
        <f t="shared" si="7"/>
        <v>7.1657069737683945E-2</v>
      </c>
      <c r="L82" s="56">
        <f t="shared" si="8"/>
        <v>0.14814814814814814</v>
      </c>
      <c r="M82" s="55">
        <v>1</v>
      </c>
      <c r="N82" s="56">
        <f t="shared" si="9"/>
        <v>6.3979526551503517E-4</v>
      </c>
      <c r="O82" s="53" t="s">
        <v>443</v>
      </c>
    </row>
    <row r="83" spans="1:15" hidden="1" x14ac:dyDescent="0.25">
      <c r="A83" s="52" t="s">
        <v>472</v>
      </c>
      <c r="B83" s="53" t="s">
        <v>439</v>
      </c>
      <c r="C83" s="53" t="s">
        <v>443</v>
      </c>
      <c r="D83" s="57">
        <v>44950</v>
      </c>
      <c r="E83" s="55">
        <v>2161</v>
      </c>
      <c r="F83" s="56">
        <f t="shared" si="5"/>
        <v>0.99814900509023596</v>
      </c>
      <c r="G83" s="55">
        <v>4</v>
      </c>
      <c r="H83" s="55">
        <v>1375</v>
      </c>
      <c r="I83" s="56">
        <f t="shared" si="6"/>
        <v>0.63627950023137436</v>
      </c>
      <c r="J83" s="55">
        <v>209</v>
      </c>
      <c r="K83" s="56">
        <f t="shared" si="7"/>
        <v>9.6714484035168899E-2</v>
      </c>
      <c r="L83" s="56">
        <f t="shared" si="8"/>
        <v>0.152</v>
      </c>
      <c r="M83" s="55">
        <v>3</v>
      </c>
      <c r="N83" s="56">
        <f t="shared" si="9"/>
        <v>1.3882461823229986E-3</v>
      </c>
      <c r="O83" s="53" t="s">
        <v>443</v>
      </c>
    </row>
    <row r="84" spans="1:15" hidden="1" x14ac:dyDescent="0.25">
      <c r="A84" s="52" t="s">
        <v>18</v>
      </c>
      <c r="B84" s="53" t="s">
        <v>439</v>
      </c>
      <c r="C84" s="53" t="s">
        <v>443</v>
      </c>
      <c r="D84" s="57">
        <v>44950</v>
      </c>
      <c r="E84" s="55">
        <v>22739</v>
      </c>
      <c r="F84" s="56">
        <f t="shared" si="5"/>
        <v>0.99925238576894326</v>
      </c>
      <c r="G84" s="55">
        <v>17</v>
      </c>
      <c r="H84" s="55">
        <v>8196</v>
      </c>
      <c r="I84" s="56">
        <f t="shared" si="6"/>
        <v>0.36043801398478387</v>
      </c>
      <c r="J84" s="55">
        <v>352</v>
      </c>
      <c r="K84" s="56">
        <f t="shared" si="7"/>
        <v>1.5480012313646159E-2</v>
      </c>
      <c r="L84" s="56">
        <f t="shared" si="8"/>
        <v>4.2947779404587605E-2</v>
      </c>
      <c r="M84" s="55">
        <v>8</v>
      </c>
      <c r="N84" s="56">
        <f t="shared" si="9"/>
        <v>3.5181846167377636E-4</v>
      </c>
      <c r="O84" s="53" t="s">
        <v>443</v>
      </c>
    </row>
    <row r="85" spans="1:15" hidden="1" x14ac:dyDescent="0.25">
      <c r="A85" s="52" t="s">
        <v>18</v>
      </c>
      <c r="B85" s="53" t="s">
        <v>444</v>
      </c>
      <c r="C85" s="53" t="s">
        <v>443</v>
      </c>
      <c r="D85" s="57">
        <v>44950</v>
      </c>
      <c r="E85" s="55">
        <v>25135</v>
      </c>
      <c r="F85" s="56">
        <f t="shared" si="5"/>
        <v>0.99900537099661824</v>
      </c>
      <c r="G85" s="55">
        <v>25</v>
      </c>
      <c r="H85" s="55">
        <v>9658</v>
      </c>
      <c r="I85" s="56">
        <f t="shared" si="6"/>
        <v>0.38424507658643325</v>
      </c>
      <c r="J85" s="55">
        <v>331</v>
      </c>
      <c r="K85" s="56">
        <f t="shared" si="7"/>
        <v>1.3168888004774219E-2</v>
      </c>
      <c r="L85" s="56">
        <f t="shared" si="8"/>
        <v>3.4272106026092361E-2</v>
      </c>
      <c r="M85" s="55">
        <v>66</v>
      </c>
      <c r="N85" s="56">
        <f t="shared" si="9"/>
        <v>2.6258205689277899E-3</v>
      </c>
      <c r="O85" s="53" t="s">
        <v>443</v>
      </c>
    </row>
    <row r="86" spans="1:15" hidden="1" x14ac:dyDescent="0.25">
      <c r="A86" s="52" t="s">
        <v>19</v>
      </c>
      <c r="B86" s="53" t="s">
        <v>439</v>
      </c>
      <c r="C86" s="53" t="s">
        <v>443</v>
      </c>
      <c r="D86" s="57">
        <v>44950</v>
      </c>
      <c r="E86" s="55">
        <v>209346</v>
      </c>
      <c r="F86" s="56">
        <f t="shared" si="5"/>
        <v>0.99794598416019409</v>
      </c>
      <c r="G86" s="55">
        <v>430</v>
      </c>
      <c r="H86" s="55">
        <v>96776</v>
      </c>
      <c r="I86" s="56">
        <f t="shared" si="6"/>
        <v>0.46227776026291401</v>
      </c>
      <c r="J86" s="55">
        <v>3125</v>
      </c>
      <c r="K86" s="56">
        <f t="shared" si="7"/>
        <v>1.4927440696263602E-2</v>
      </c>
      <c r="L86" s="56">
        <f t="shared" si="8"/>
        <v>3.2291063900140533E-2</v>
      </c>
      <c r="M86" s="55">
        <v>151</v>
      </c>
      <c r="N86" s="56">
        <f t="shared" si="9"/>
        <v>7.212939344434572E-4</v>
      </c>
      <c r="O86" s="53" t="s">
        <v>443</v>
      </c>
    </row>
    <row r="87" spans="1:15" hidden="1" x14ac:dyDescent="0.25">
      <c r="A87" s="52" t="s">
        <v>19</v>
      </c>
      <c r="B87" s="53" t="s">
        <v>444</v>
      </c>
      <c r="C87" s="53" t="s">
        <v>443</v>
      </c>
      <c r="D87" s="57">
        <v>44950</v>
      </c>
      <c r="E87" s="55">
        <v>419454</v>
      </c>
      <c r="F87" s="56">
        <f t="shared" si="5"/>
        <v>0.99802362118372934</v>
      </c>
      <c r="G87" s="55">
        <v>829</v>
      </c>
      <c r="H87" s="55">
        <v>210787</v>
      </c>
      <c r="I87" s="56">
        <f t="shared" si="6"/>
        <v>0.50252709474698065</v>
      </c>
      <c r="J87" s="55">
        <v>5194</v>
      </c>
      <c r="K87" s="56">
        <f t="shared" si="7"/>
        <v>1.2382764260204933E-2</v>
      </c>
      <c r="L87" s="56">
        <f t="shared" si="8"/>
        <v>2.4640988296242179E-2</v>
      </c>
      <c r="M87" s="55">
        <v>912</v>
      </c>
      <c r="N87" s="56">
        <f t="shared" si="9"/>
        <v>2.1742551030625528E-3</v>
      </c>
      <c r="O87" s="53" t="s">
        <v>443</v>
      </c>
    </row>
    <row r="88" spans="1:15" hidden="1" x14ac:dyDescent="0.25">
      <c r="A88" s="52" t="s">
        <v>473</v>
      </c>
      <c r="B88" s="53"/>
      <c r="C88" s="53" t="s">
        <v>474</v>
      </c>
      <c r="D88" s="57">
        <v>44950</v>
      </c>
      <c r="E88" s="55">
        <v>100</v>
      </c>
      <c r="F88" s="56">
        <f t="shared" si="5"/>
        <v>0.95</v>
      </c>
      <c r="G88" s="55">
        <v>5</v>
      </c>
      <c r="H88" s="55">
        <v>29</v>
      </c>
      <c r="I88" s="56">
        <f t="shared" si="6"/>
        <v>0.28999999999999998</v>
      </c>
      <c r="J88" s="55">
        <v>2</v>
      </c>
      <c r="K88" s="56">
        <f t="shared" si="7"/>
        <v>0.02</v>
      </c>
      <c r="L88" s="56">
        <f t="shared" si="8"/>
        <v>6.8965517241379309E-2</v>
      </c>
      <c r="M88" s="55">
        <v>0</v>
      </c>
      <c r="N88" s="56">
        <f t="shared" si="9"/>
        <v>0</v>
      </c>
      <c r="O88" s="53" t="s">
        <v>474</v>
      </c>
    </row>
    <row r="89" spans="1:15" hidden="1" x14ac:dyDescent="0.25">
      <c r="A89" s="52" t="s">
        <v>475</v>
      </c>
      <c r="B89" s="53" t="s">
        <v>444</v>
      </c>
      <c r="C89" s="53" t="s">
        <v>443</v>
      </c>
      <c r="D89" s="57">
        <v>44951</v>
      </c>
      <c r="E89" s="55">
        <v>22295</v>
      </c>
      <c r="F89" s="56">
        <f t="shared" si="5"/>
        <v>0.99860955371159454</v>
      </c>
      <c r="G89" s="55">
        <v>31</v>
      </c>
      <c r="H89" s="55">
        <v>12223</v>
      </c>
      <c r="I89" s="56">
        <f t="shared" si="6"/>
        <v>0.54823951558645434</v>
      </c>
      <c r="J89" s="55">
        <v>232</v>
      </c>
      <c r="K89" s="56">
        <f t="shared" si="7"/>
        <v>1.0405920610002242E-2</v>
      </c>
      <c r="L89" s="56">
        <f t="shared" si="8"/>
        <v>1.8980610324797514E-2</v>
      </c>
      <c r="M89" s="55">
        <v>106</v>
      </c>
      <c r="N89" s="56">
        <f t="shared" si="9"/>
        <v>4.7544292442251628E-3</v>
      </c>
      <c r="O89" s="53" t="s">
        <v>443</v>
      </c>
    </row>
    <row r="90" spans="1:15" hidden="1" x14ac:dyDescent="0.25">
      <c r="A90" s="52" t="s">
        <v>475</v>
      </c>
      <c r="B90" s="53" t="s">
        <v>439</v>
      </c>
      <c r="C90" s="53" t="s">
        <v>443</v>
      </c>
      <c r="D90" s="57">
        <v>44951</v>
      </c>
      <c r="E90" s="55">
        <v>44707</v>
      </c>
      <c r="F90" s="56">
        <f t="shared" si="5"/>
        <v>0.99821057105151323</v>
      </c>
      <c r="G90" s="55">
        <v>80</v>
      </c>
      <c r="H90" s="55">
        <v>22793</v>
      </c>
      <c r="I90" s="56">
        <f t="shared" si="6"/>
        <v>0.50983067528574944</v>
      </c>
      <c r="J90" s="55">
        <v>285</v>
      </c>
      <c r="K90" s="56">
        <f t="shared" si="7"/>
        <v>6.3748406289842758E-3</v>
      </c>
      <c r="L90" s="56">
        <f t="shared" si="8"/>
        <v>1.2503838897907252E-2</v>
      </c>
      <c r="M90" s="55">
        <v>69</v>
      </c>
      <c r="N90" s="56">
        <f t="shared" si="9"/>
        <v>1.5433824680698772E-3</v>
      </c>
      <c r="O90" s="53" t="s">
        <v>443</v>
      </c>
    </row>
    <row r="91" spans="1:15" hidden="1" x14ac:dyDescent="0.25">
      <c r="A91" s="52" t="s">
        <v>476</v>
      </c>
      <c r="B91" s="53" t="s">
        <v>444</v>
      </c>
      <c r="C91" s="53" t="s">
        <v>443</v>
      </c>
      <c r="D91" s="57">
        <v>44951</v>
      </c>
      <c r="E91" s="55">
        <v>27803</v>
      </c>
      <c r="F91" s="56">
        <f t="shared" si="5"/>
        <v>0.99838146962557994</v>
      </c>
      <c r="G91" s="55">
        <v>45</v>
      </c>
      <c r="H91" s="55">
        <v>16120</v>
      </c>
      <c r="I91" s="56">
        <f t="shared" si="6"/>
        <v>0.57979354745890732</v>
      </c>
      <c r="J91" s="55">
        <v>701</v>
      </c>
      <c r="K91" s="56">
        <f t="shared" si="7"/>
        <v>2.5213106499298636E-2</v>
      </c>
      <c r="L91" s="56">
        <f t="shared" si="8"/>
        <v>4.3486352357320096E-2</v>
      </c>
      <c r="M91" s="55">
        <v>86</v>
      </c>
      <c r="N91" s="56">
        <f t="shared" si="9"/>
        <v>3.0931913822249395E-3</v>
      </c>
      <c r="O91" s="53" t="s">
        <v>443</v>
      </c>
    </row>
    <row r="92" spans="1:15" hidden="1" x14ac:dyDescent="0.25">
      <c r="A92" s="52" t="s">
        <v>476</v>
      </c>
      <c r="B92" s="53" t="s">
        <v>439</v>
      </c>
      <c r="C92" s="53" t="s">
        <v>443</v>
      </c>
      <c r="D92" s="57">
        <v>44951</v>
      </c>
      <c r="E92" s="55">
        <v>17557</v>
      </c>
      <c r="F92" s="56">
        <f t="shared" si="5"/>
        <v>0.99908868257674999</v>
      </c>
      <c r="G92" s="55">
        <v>16</v>
      </c>
      <c r="H92" s="55">
        <v>8887</v>
      </c>
      <c r="I92" s="56">
        <f t="shared" si="6"/>
        <v>0.50617987127641395</v>
      </c>
      <c r="J92" s="55">
        <v>312</v>
      </c>
      <c r="K92" s="56">
        <f t="shared" si="7"/>
        <v>1.7770689753374723E-2</v>
      </c>
      <c r="L92" s="56">
        <f t="shared" si="8"/>
        <v>3.5107460335321257E-2</v>
      </c>
      <c r="M92" s="55">
        <v>20</v>
      </c>
      <c r="N92" s="56">
        <f t="shared" si="9"/>
        <v>1.1391467790624822E-3</v>
      </c>
      <c r="O92" s="53" t="s">
        <v>443</v>
      </c>
    </row>
    <row r="93" spans="1:15" hidden="1" x14ac:dyDescent="0.25">
      <c r="A93" s="52" t="s">
        <v>477</v>
      </c>
      <c r="B93" s="53" t="s">
        <v>444</v>
      </c>
      <c r="C93" s="53" t="s">
        <v>443</v>
      </c>
      <c r="D93" s="57">
        <v>44951</v>
      </c>
      <c r="E93" s="55">
        <v>30260</v>
      </c>
      <c r="F93" s="56">
        <f t="shared" si="5"/>
        <v>0.99881031064111037</v>
      </c>
      <c r="G93" s="55">
        <v>36</v>
      </c>
      <c r="H93" s="55">
        <v>12987</v>
      </c>
      <c r="I93" s="56">
        <f t="shared" si="6"/>
        <v>0.42918043621943158</v>
      </c>
      <c r="J93" s="55">
        <v>254</v>
      </c>
      <c r="K93" s="56">
        <f t="shared" si="7"/>
        <v>8.3939193654990092E-3</v>
      </c>
      <c r="L93" s="56">
        <f t="shared" si="8"/>
        <v>1.9558019558019557E-2</v>
      </c>
      <c r="M93" s="55">
        <v>157</v>
      </c>
      <c r="N93" s="56">
        <f t="shared" si="9"/>
        <v>5.1883674818241901E-3</v>
      </c>
      <c r="O93" s="53" t="s">
        <v>443</v>
      </c>
    </row>
    <row r="94" spans="1:15" hidden="1" x14ac:dyDescent="0.25">
      <c r="A94" s="52" t="s">
        <v>477</v>
      </c>
      <c r="B94" s="53" t="s">
        <v>439</v>
      </c>
      <c r="C94" s="53" t="s">
        <v>443</v>
      </c>
      <c r="D94" s="57">
        <v>44951</v>
      </c>
      <c r="E94" s="55">
        <v>39440</v>
      </c>
      <c r="F94" s="56">
        <f t="shared" si="5"/>
        <v>0.99931541582150096</v>
      </c>
      <c r="G94" s="55">
        <v>27</v>
      </c>
      <c r="H94" s="55">
        <v>14623</v>
      </c>
      <c r="I94" s="56">
        <f t="shared" si="6"/>
        <v>0.3707657200811359</v>
      </c>
      <c r="J94" s="55">
        <v>190</v>
      </c>
      <c r="K94" s="56">
        <f t="shared" si="7"/>
        <v>4.8174442190669371E-3</v>
      </c>
      <c r="L94" s="56">
        <f t="shared" si="8"/>
        <v>1.2993229843397387E-2</v>
      </c>
      <c r="M94" s="55">
        <v>22</v>
      </c>
      <c r="N94" s="56">
        <f t="shared" si="9"/>
        <v>5.5780933062880324E-4</v>
      </c>
      <c r="O94" s="53" t="s">
        <v>443</v>
      </c>
    </row>
    <row r="95" spans="1:15" hidden="1" x14ac:dyDescent="0.25">
      <c r="A95" s="52" t="s">
        <v>478</v>
      </c>
      <c r="B95" s="53" t="s">
        <v>444</v>
      </c>
      <c r="C95" s="53" t="s">
        <v>443</v>
      </c>
      <c r="D95" s="57">
        <v>44951</v>
      </c>
      <c r="E95" s="55">
        <v>363896</v>
      </c>
      <c r="F95" s="56">
        <f t="shared" si="5"/>
        <v>0.99766691582210298</v>
      </c>
      <c r="G95" s="55">
        <v>849</v>
      </c>
      <c r="H95" s="55">
        <v>168347</v>
      </c>
      <c r="I95" s="56">
        <f t="shared" si="6"/>
        <v>0.46262393650933231</v>
      </c>
      <c r="J95" s="55">
        <v>2721</v>
      </c>
      <c r="K95" s="56">
        <f t="shared" si="7"/>
        <v>7.4774111284542834E-3</v>
      </c>
      <c r="L95" s="56">
        <f t="shared" si="8"/>
        <v>1.6163044188491626E-2</v>
      </c>
      <c r="M95" s="55">
        <v>1513</v>
      </c>
      <c r="N95" s="56">
        <f t="shared" si="9"/>
        <v>4.1577813441202984E-3</v>
      </c>
      <c r="O95" s="53" t="s">
        <v>443</v>
      </c>
    </row>
    <row r="96" spans="1:15" hidden="1" x14ac:dyDescent="0.25">
      <c r="A96" s="52" t="s">
        <v>478</v>
      </c>
      <c r="B96" s="53" t="s">
        <v>439</v>
      </c>
      <c r="C96" s="53" t="s">
        <v>443</v>
      </c>
      <c r="D96" s="57">
        <v>44951</v>
      </c>
      <c r="E96" s="55">
        <v>484846</v>
      </c>
      <c r="F96" s="56">
        <f t="shared" si="5"/>
        <v>0.99849230477306194</v>
      </c>
      <c r="G96" s="55">
        <v>731</v>
      </c>
      <c r="H96" s="55">
        <v>223677</v>
      </c>
      <c r="I96" s="56">
        <f t="shared" si="6"/>
        <v>0.46133617684790634</v>
      </c>
      <c r="J96" s="55">
        <v>2356</v>
      </c>
      <c r="K96" s="56">
        <f t="shared" si="7"/>
        <v>4.8592749037838822E-3</v>
      </c>
      <c r="L96" s="56">
        <f t="shared" si="8"/>
        <v>1.053304541816995E-2</v>
      </c>
      <c r="M96" s="55">
        <v>438</v>
      </c>
      <c r="N96" s="56">
        <f t="shared" si="9"/>
        <v>9.0337962982060284E-4</v>
      </c>
      <c r="O96" s="53" t="s">
        <v>443</v>
      </c>
    </row>
    <row r="97" spans="1:15" hidden="1" x14ac:dyDescent="0.25">
      <c r="A97" s="52" t="s">
        <v>479</v>
      </c>
      <c r="B97" s="53" t="s">
        <v>439</v>
      </c>
      <c r="C97" s="53" t="s">
        <v>443</v>
      </c>
      <c r="D97" s="57">
        <v>44952</v>
      </c>
      <c r="E97" s="55">
        <v>90560</v>
      </c>
      <c r="F97" s="56">
        <f t="shared" si="5"/>
        <v>0.99833259717314493</v>
      </c>
      <c r="G97" s="55">
        <v>151</v>
      </c>
      <c r="H97" s="55">
        <v>35653</v>
      </c>
      <c r="I97" s="56">
        <f t="shared" si="6"/>
        <v>0.39369478798586571</v>
      </c>
      <c r="J97" s="55">
        <v>589</v>
      </c>
      <c r="K97" s="56">
        <f t="shared" si="7"/>
        <v>6.5039752650176679E-3</v>
      </c>
      <c r="L97" s="56">
        <f t="shared" si="8"/>
        <v>1.6520348918744567E-2</v>
      </c>
      <c r="M97" s="55">
        <v>97</v>
      </c>
      <c r="N97" s="56">
        <f t="shared" si="9"/>
        <v>1.0711130742049469E-3</v>
      </c>
      <c r="O97" s="53" t="s">
        <v>443</v>
      </c>
    </row>
    <row r="98" spans="1:15" hidden="1" x14ac:dyDescent="0.25">
      <c r="A98" s="52" t="s">
        <v>449</v>
      </c>
      <c r="B98" s="53"/>
      <c r="C98" s="53" t="s">
        <v>446</v>
      </c>
      <c r="D98" s="57">
        <v>44952</v>
      </c>
      <c r="E98" s="55">
        <v>1672</v>
      </c>
      <c r="F98" s="56">
        <f t="shared" si="5"/>
        <v>0.99880382775119614</v>
      </c>
      <c r="G98" s="55">
        <v>2</v>
      </c>
      <c r="H98" s="55">
        <v>585</v>
      </c>
      <c r="I98" s="56">
        <f t="shared" si="6"/>
        <v>0.34988038277511962</v>
      </c>
      <c r="J98" s="55">
        <v>20</v>
      </c>
      <c r="K98" s="56">
        <f t="shared" si="7"/>
        <v>1.1961722488038277E-2</v>
      </c>
      <c r="L98" s="56">
        <f t="shared" si="8"/>
        <v>3.4188034188034191E-2</v>
      </c>
      <c r="M98" s="55">
        <v>1</v>
      </c>
      <c r="N98" s="56">
        <f t="shared" si="9"/>
        <v>5.9808612440191385E-4</v>
      </c>
      <c r="O98" s="53" t="s">
        <v>446</v>
      </c>
    </row>
    <row r="99" spans="1:15" hidden="1" x14ac:dyDescent="0.25">
      <c r="A99" s="52" t="s">
        <v>480</v>
      </c>
      <c r="B99" s="53" t="s">
        <v>444</v>
      </c>
      <c r="C99" s="53" t="s">
        <v>443</v>
      </c>
      <c r="D99" s="57">
        <v>44952</v>
      </c>
      <c r="E99" s="55">
        <v>15373</v>
      </c>
      <c r="F99" s="56">
        <f t="shared" si="5"/>
        <v>0.99746308462889477</v>
      </c>
      <c r="G99" s="55">
        <v>39</v>
      </c>
      <c r="H99" s="55">
        <v>6352</v>
      </c>
      <c r="I99" s="56">
        <f t="shared" si="6"/>
        <v>0.41319195992974694</v>
      </c>
      <c r="J99" s="55">
        <v>162</v>
      </c>
      <c r="K99" s="56">
        <f t="shared" si="7"/>
        <v>1.0537956156898459E-2</v>
      </c>
      <c r="L99" s="56">
        <f t="shared" si="8"/>
        <v>2.5503778337531487E-2</v>
      </c>
      <c r="M99" s="55">
        <v>14</v>
      </c>
      <c r="N99" s="56">
        <f t="shared" si="9"/>
        <v>9.1068756911468157E-4</v>
      </c>
      <c r="O99" s="53" t="s">
        <v>443</v>
      </c>
    </row>
    <row r="100" spans="1:15" hidden="1" x14ac:dyDescent="0.25">
      <c r="A100" s="52" t="s">
        <v>480</v>
      </c>
      <c r="B100" s="53" t="s">
        <v>439</v>
      </c>
      <c r="C100" s="53" t="s">
        <v>443</v>
      </c>
      <c r="D100" s="57">
        <v>44952</v>
      </c>
      <c r="E100" s="55">
        <v>57135</v>
      </c>
      <c r="F100" s="56">
        <f t="shared" si="5"/>
        <v>0.99865231469327032</v>
      </c>
      <c r="G100" s="55">
        <v>77</v>
      </c>
      <c r="H100" s="55">
        <v>21142</v>
      </c>
      <c r="I100" s="56">
        <f t="shared" si="6"/>
        <v>0.37003587993349085</v>
      </c>
      <c r="J100" s="55">
        <v>427</v>
      </c>
      <c r="K100" s="56">
        <f t="shared" si="7"/>
        <v>7.4735276100463812E-3</v>
      </c>
      <c r="L100" s="56">
        <f t="shared" si="8"/>
        <v>2.0196764733705422E-2</v>
      </c>
      <c r="M100" s="55">
        <v>27</v>
      </c>
      <c r="N100" s="56">
        <f t="shared" si="9"/>
        <v>4.7256497768443159E-4</v>
      </c>
      <c r="O100" s="53" t="s">
        <v>443</v>
      </c>
    </row>
    <row r="101" spans="1:15" hidden="1" x14ac:dyDescent="0.25">
      <c r="A101" s="52" t="s">
        <v>481</v>
      </c>
      <c r="B101" s="53" t="s">
        <v>444</v>
      </c>
      <c r="C101" s="53" t="s">
        <v>443</v>
      </c>
      <c r="D101" s="57">
        <v>44952</v>
      </c>
      <c r="E101" s="55">
        <v>953</v>
      </c>
      <c r="F101" s="56">
        <f t="shared" si="5"/>
        <v>0.99895068205666315</v>
      </c>
      <c r="G101" s="55">
        <v>1</v>
      </c>
      <c r="H101" s="55">
        <v>389</v>
      </c>
      <c r="I101" s="56">
        <f t="shared" si="6"/>
        <v>0.40818467995802726</v>
      </c>
      <c r="J101" s="55">
        <v>11</v>
      </c>
      <c r="K101" s="56">
        <f t="shared" si="7"/>
        <v>1.1542497376705142E-2</v>
      </c>
      <c r="L101" s="56">
        <f t="shared" si="8"/>
        <v>2.8277634961439587E-2</v>
      </c>
      <c r="M101" s="55">
        <v>1</v>
      </c>
      <c r="N101" s="56">
        <f t="shared" si="9"/>
        <v>1.0493179433368311E-3</v>
      </c>
      <c r="O101" s="53" t="s">
        <v>443</v>
      </c>
    </row>
    <row r="102" spans="1:15" hidden="1" x14ac:dyDescent="0.25">
      <c r="A102" s="52" t="s">
        <v>481</v>
      </c>
      <c r="B102" s="53" t="s">
        <v>439</v>
      </c>
      <c r="C102" s="53" t="s">
        <v>443</v>
      </c>
      <c r="D102" s="57">
        <v>44952</v>
      </c>
      <c r="E102" s="55">
        <v>3483</v>
      </c>
      <c r="F102" s="56">
        <f t="shared" si="5"/>
        <v>0.99971289118575946</v>
      </c>
      <c r="G102" s="55">
        <v>1</v>
      </c>
      <c r="H102" s="55">
        <v>1244</v>
      </c>
      <c r="I102" s="56">
        <f t="shared" si="6"/>
        <v>0.35716336491530287</v>
      </c>
      <c r="J102" s="55">
        <v>51</v>
      </c>
      <c r="K102" s="56">
        <f t="shared" si="7"/>
        <v>1.4642549526270457E-2</v>
      </c>
      <c r="L102" s="56">
        <f t="shared" si="8"/>
        <v>4.0996784565916398E-2</v>
      </c>
      <c r="M102" s="55">
        <v>1</v>
      </c>
      <c r="N102" s="56">
        <f t="shared" si="9"/>
        <v>2.871088142405972E-4</v>
      </c>
      <c r="O102" s="53" t="s">
        <v>443</v>
      </c>
    </row>
    <row r="103" spans="1:15" hidden="1" x14ac:dyDescent="0.25">
      <c r="A103" s="52" t="s">
        <v>482</v>
      </c>
      <c r="B103" s="53" t="s">
        <v>444</v>
      </c>
      <c r="C103" s="53" t="s">
        <v>443</v>
      </c>
      <c r="D103" s="57">
        <v>44952</v>
      </c>
      <c r="E103" s="55">
        <v>2517285</v>
      </c>
      <c r="F103" s="56">
        <f t="shared" si="5"/>
        <v>0.99691572467956546</v>
      </c>
      <c r="G103" s="55">
        <v>7764</v>
      </c>
      <c r="H103" s="55">
        <v>965859</v>
      </c>
      <c r="I103" s="56">
        <f t="shared" si="6"/>
        <v>0.3836907620710408</v>
      </c>
      <c r="J103" s="55">
        <v>17823</v>
      </c>
      <c r="K103" s="56">
        <f t="shared" si="7"/>
        <v>7.0802471710592957E-3</v>
      </c>
      <c r="L103" s="56">
        <f t="shared" si="8"/>
        <v>1.8453004009902067E-2</v>
      </c>
      <c r="M103" s="55">
        <v>10534</v>
      </c>
      <c r="N103" s="56">
        <f t="shared" si="9"/>
        <v>4.1846672109038113E-3</v>
      </c>
      <c r="O103" s="53" t="s">
        <v>443</v>
      </c>
    </row>
    <row r="104" spans="1:15" hidden="1" x14ac:dyDescent="0.25">
      <c r="A104" s="52" t="s">
        <v>482</v>
      </c>
      <c r="B104" s="53" t="s">
        <v>439</v>
      </c>
      <c r="C104" s="53" t="s">
        <v>443</v>
      </c>
      <c r="D104" s="57">
        <v>44952</v>
      </c>
      <c r="E104" s="55">
        <v>2119055</v>
      </c>
      <c r="F104" s="56">
        <f t="shared" si="5"/>
        <v>0.9976437610161133</v>
      </c>
      <c r="G104" s="55">
        <v>4993</v>
      </c>
      <c r="H104" s="55">
        <v>828565</v>
      </c>
      <c r="I104" s="56">
        <f t="shared" si="6"/>
        <v>0.39100684031325283</v>
      </c>
      <c r="J104" s="55">
        <v>13761</v>
      </c>
      <c r="K104" s="56">
        <f t="shared" si="7"/>
        <v>6.4939324368645454E-3</v>
      </c>
      <c r="L104" s="56">
        <f t="shared" si="8"/>
        <v>1.6608232305250645E-2</v>
      </c>
      <c r="M104" s="55">
        <v>2467</v>
      </c>
      <c r="N104" s="56">
        <f t="shared" si="9"/>
        <v>1.1641981921186567E-3</v>
      </c>
      <c r="O104" s="53" t="s">
        <v>443</v>
      </c>
    </row>
    <row r="105" spans="1:15" hidden="1" x14ac:dyDescent="0.25">
      <c r="A105" s="52" t="s">
        <v>483</v>
      </c>
      <c r="B105" s="53" t="s">
        <v>444</v>
      </c>
      <c r="C105" s="53" t="s">
        <v>443</v>
      </c>
      <c r="D105" s="57">
        <v>44952</v>
      </c>
      <c r="E105" s="55">
        <v>237916</v>
      </c>
      <c r="F105" s="56">
        <f t="shared" si="5"/>
        <v>0.99833554699978144</v>
      </c>
      <c r="G105" s="55">
        <v>396</v>
      </c>
      <c r="H105" s="55">
        <v>85937</v>
      </c>
      <c r="I105" s="56">
        <f t="shared" si="6"/>
        <v>0.36120731686813834</v>
      </c>
      <c r="J105" s="55">
        <v>2037</v>
      </c>
      <c r="K105" s="56">
        <f t="shared" si="7"/>
        <v>8.5618453571848895E-3</v>
      </c>
      <c r="L105" s="56">
        <f t="shared" si="8"/>
        <v>2.3703410638025529E-2</v>
      </c>
      <c r="M105" s="55">
        <v>1577</v>
      </c>
      <c r="N105" s="56">
        <f t="shared" si="9"/>
        <v>6.628389851880496E-3</v>
      </c>
      <c r="O105" s="53" t="s">
        <v>443</v>
      </c>
    </row>
    <row r="106" spans="1:15" hidden="1" x14ac:dyDescent="0.25">
      <c r="A106" s="52" t="s">
        <v>483</v>
      </c>
      <c r="B106" s="53" t="s">
        <v>439</v>
      </c>
      <c r="C106" s="53" t="s">
        <v>443</v>
      </c>
      <c r="D106" s="57">
        <v>44952</v>
      </c>
      <c r="E106" s="55">
        <v>121175</v>
      </c>
      <c r="F106" s="56">
        <f t="shared" si="5"/>
        <v>0.99914998968434088</v>
      </c>
      <c r="G106" s="55">
        <v>103</v>
      </c>
      <c r="H106" s="55">
        <v>41912</v>
      </c>
      <c r="I106" s="56">
        <f t="shared" si="6"/>
        <v>0.34587992572725396</v>
      </c>
      <c r="J106" s="55">
        <v>594</v>
      </c>
      <c r="K106" s="56">
        <f t="shared" si="7"/>
        <v>4.9020012378791005E-3</v>
      </c>
      <c r="L106" s="56">
        <f t="shared" si="8"/>
        <v>1.4172552013743081E-2</v>
      </c>
      <c r="M106" s="55">
        <v>71</v>
      </c>
      <c r="N106" s="56">
        <f t="shared" si="9"/>
        <v>5.8592944089127293E-4</v>
      </c>
      <c r="O106" s="53" t="s">
        <v>443</v>
      </c>
    </row>
    <row r="107" spans="1:15" hidden="1" x14ac:dyDescent="0.25">
      <c r="A107" s="52" t="s">
        <v>484</v>
      </c>
      <c r="B107" s="53" t="s">
        <v>439</v>
      </c>
      <c r="C107" s="53" t="s">
        <v>440</v>
      </c>
      <c r="D107" s="57">
        <v>44952</v>
      </c>
      <c r="E107" s="55">
        <v>242854</v>
      </c>
      <c r="F107" s="56">
        <f t="shared" si="5"/>
        <v>0.99771467630757571</v>
      </c>
      <c r="G107" s="55">
        <v>555</v>
      </c>
      <c r="H107" s="55">
        <v>91924</v>
      </c>
      <c r="I107" s="56">
        <f t="shared" si="6"/>
        <v>0.37851548667100399</v>
      </c>
      <c r="J107" s="55">
        <v>0</v>
      </c>
      <c r="K107" s="56">
        <f t="shared" si="7"/>
        <v>0</v>
      </c>
      <c r="L107" s="56">
        <f t="shared" si="8"/>
        <v>0</v>
      </c>
      <c r="M107" s="55">
        <v>200</v>
      </c>
      <c r="N107" s="56">
        <f t="shared" si="9"/>
        <v>8.2354006934207385E-4</v>
      </c>
      <c r="O107" s="53" t="s">
        <v>440</v>
      </c>
    </row>
    <row r="108" spans="1:15" hidden="1" x14ac:dyDescent="0.25">
      <c r="A108" s="52" t="s">
        <v>22</v>
      </c>
      <c r="B108" s="53" t="s">
        <v>444</v>
      </c>
      <c r="C108" s="53" t="s">
        <v>443</v>
      </c>
      <c r="D108" s="57">
        <v>44953</v>
      </c>
      <c r="E108" s="55">
        <v>198423</v>
      </c>
      <c r="F108" s="56">
        <f t="shared" si="5"/>
        <v>0.99889629730424401</v>
      </c>
      <c r="G108" s="55">
        <v>219</v>
      </c>
      <c r="H108" s="55">
        <v>67539</v>
      </c>
      <c r="I108" s="56">
        <f t="shared" si="6"/>
        <v>0.34037888752815953</v>
      </c>
      <c r="J108" s="55">
        <v>2066</v>
      </c>
      <c r="K108" s="56">
        <f t="shared" si="7"/>
        <v>1.0412099403798955E-2</v>
      </c>
      <c r="L108" s="56">
        <f t="shared" si="8"/>
        <v>3.0589733339255836E-2</v>
      </c>
      <c r="M108" s="55">
        <v>1215</v>
      </c>
      <c r="N108" s="56">
        <f t="shared" si="9"/>
        <v>6.1232820791944486E-3</v>
      </c>
      <c r="O108" s="53" t="s">
        <v>443</v>
      </c>
    </row>
    <row r="109" spans="1:15" hidden="1" x14ac:dyDescent="0.25">
      <c r="A109" s="52" t="s">
        <v>22</v>
      </c>
      <c r="B109" s="53" t="s">
        <v>439</v>
      </c>
      <c r="C109" s="53" t="s">
        <v>443</v>
      </c>
      <c r="D109" s="57">
        <v>44953</v>
      </c>
      <c r="E109" s="55">
        <v>97005</v>
      </c>
      <c r="F109" s="56">
        <f t="shared" si="5"/>
        <v>0.99915468274831198</v>
      </c>
      <c r="G109" s="55">
        <v>82</v>
      </c>
      <c r="H109" s="55">
        <v>31269</v>
      </c>
      <c r="I109" s="56">
        <f t="shared" si="6"/>
        <v>0.32234420906138861</v>
      </c>
      <c r="J109" s="55">
        <v>689</v>
      </c>
      <c r="K109" s="56">
        <f t="shared" si="7"/>
        <v>7.1027266635740422E-3</v>
      </c>
      <c r="L109" s="56">
        <f t="shared" si="8"/>
        <v>2.2034602961399471E-2</v>
      </c>
      <c r="M109" s="55">
        <v>58</v>
      </c>
      <c r="N109" s="56">
        <f t="shared" si="9"/>
        <v>5.9790732436472351E-4</v>
      </c>
      <c r="O109" s="53" t="s">
        <v>443</v>
      </c>
    </row>
    <row r="110" spans="1:15" hidden="1" x14ac:dyDescent="0.25">
      <c r="A110" s="52" t="s">
        <v>23</v>
      </c>
      <c r="B110" s="53" t="s">
        <v>444</v>
      </c>
      <c r="C110" s="53" t="s">
        <v>443</v>
      </c>
      <c r="D110" s="57">
        <v>44953</v>
      </c>
      <c r="E110" s="55">
        <v>2178172</v>
      </c>
      <c r="F110" s="56">
        <f t="shared" si="5"/>
        <v>0.998045149786151</v>
      </c>
      <c r="G110" s="55">
        <v>4258</v>
      </c>
      <c r="H110" s="55">
        <v>782787</v>
      </c>
      <c r="I110" s="56">
        <f t="shared" si="6"/>
        <v>0.35937795545989942</v>
      </c>
      <c r="J110" s="55">
        <v>15959</v>
      </c>
      <c r="K110" s="56">
        <f t="shared" si="7"/>
        <v>7.3267859471152878E-3</v>
      </c>
      <c r="L110" s="56">
        <f t="shared" si="8"/>
        <v>2.0387410623835093E-2</v>
      </c>
      <c r="M110" s="55">
        <v>7995</v>
      </c>
      <c r="N110" s="56">
        <f t="shared" si="9"/>
        <v>3.670509032344553E-3</v>
      </c>
      <c r="O110" s="53" t="s">
        <v>443</v>
      </c>
    </row>
    <row r="111" spans="1:15" hidden="1" x14ac:dyDescent="0.25">
      <c r="A111" s="52" t="s">
        <v>23</v>
      </c>
      <c r="B111" s="53" t="s">
        <v>439</v>
      </c>
      <c r="C111" s="53" t="s">
        <v>443</v>
      </c>
      <c r="D111" s="57">
        <v>44953</v>
      </c>
      <c r="E111" s="55">
        <v>1671088</v>
      </c>
      <c r="F111" s="56">
        <f t="shared" si="5"/>
        <v>0.99787743075170188</v>
      </c>
      <c r="G111" s="55">
        <v>3547</v>
      </c>
      <c r="H111" s="55">
        <v>595762</v>
      </c>
      <c r="I111" s="56">
        <f t="shared" si="6"/>
        <v>0.35651144643489752</v>
      </c>
      <c r="J111" s="55">
        <v>8334</v>
      </c>
      <c r="K111" s="56">
        <f t="shared" si="7"/>
        <v>4.987170035330276E-3</v>
      </c>
      <c r="L111" s="56">
        <f t="shared" si="8"/>
        <v>1.3988807611093021E-2</v>
      </c>
      <c r="M111" s="55">
        <v>2431</v>
      </c>
      <c r="N111" s="56">
        <f t="shared" si="9"/>
        <v>1.4547408634374732E-3</v>
      </c>
      <c r="O111" s="53" t="s">
        <v>443</v>
      </c>
    </row>
    <row r="112" spans="1:15" x14ac:dyDescent="0.25">
      <c r="A112" s="52" t="s">
        <v>453</v>
      </c>
      <c r="B112" s="53" t="s">
        <v>444</v>
      </c>
      <c r="C112" s="53" t="s">
        <v>452</v>
      </c>
      <c r="D112" s="57">
        <v>44953</v>
      </c>
      <c r="E112" s="55">
        <v>334048</v>
      </c>
      <c r="F112" s="56">
        <f t="shared" si="5"/>
        <v>0.99770092920777853</v>
      </c>
      <c r="G112" s="55">
        <v>768</v>
      </c>
      <c r="H112" s="55">
        <v>122888</v>
      </c>
      <c r="I112" s="56">
        <f t="shared" si="6"/>
        <v>0.36787527540952197</v>
      </c>
      <c r="J112" s="55">
        <v>3571</v>
      </c>
      <c r="K112" s="56">
        <f t="shared" si="7"/>
        <v>1.0690080467477728E-2</v>
      </c>
      <c r="L112" s="56">
        <f t="shared" si="8"/>
        <v>2.9058980535121411E-2</v>
      </c>
      <c r="M112" s="55">
        <v>581</v>
      </c>
      <c r="N112" s="56">
        <f t="shared" si="9"/>
        <v>1.7392710029696331E-3</v>
      </c>
      <c r="O112" s="53" t="s">
        <v>452</v>
      </c>
    </row>
    <row r="113" spans="1:15" x14ac:dyDescent="0.25">
      <c r="A113" s="52" t="s">
        <v>451</v>
      </c>
      <c r="B113" s="53" t="s">
        <v>444</v>
      </c>
      <c r="C113" s="53" t="s">
        <v>452</v>
      </c>
      <c r="D113" s="57">
        <v>44953</v>
      </c>
      <c r="E113" s="55">
        <v>250619</v>
      </c>
      <c r="F113" s="56">
        <f t="shared" si="5"/>
        <v>0.99901444024595099</v>
      </c>
      <c r="G113" s="55">
        <v>247</v>
      </c>
      <c r="H113" s="55">
        <v>114442</v>
      </c>
      <c r="I113" s="56">
        <f t="shared" si="6"/>
        <v>0.45663736588207599</v>
      </c>
      <c r="J113" s="55">
        <v>3246</v>
      </c>
      <c r="K113" s="56">
        <f t="shared" si="7"/>
        <v>1.2951931018797458E-2</v>
      </c>
      <c r="L113" s="56">
        <f t="shared" si="8"/>
        <v>2.8363712622988063E-2</v>
      </c>
      <c r="M113" s="55">
        <v>438</v>
      </c>
      <c r="N113" s="56">
        <f t="shared" si="9"/>
        <v>1.747672762240692E-3</v>
      </c>
      <c r="O113" s="53" t="s">
        <v>452</v>
      </c>
    </row>
    <row r="114" spans="1:15" hidden="1" x14ac:dyDescent="0.25">
      <c r="A114" s="52" t="s">
        <v>18</v>
      </c>
      <c r="B114" s="53" t="s">
        <v>444</v>
      </c>
      <c r="C114" s="53" t="s">
        <v>443</v>
      </c>
      <c r="D114" s="54">
        <v>44957</v>
      </c>
      <c r="E114" s="55">
        <v>25183</v>
      </c>
      <c r="F114" s="56">
        <f t="shared" si="5"/>
        <v>0.99908668546241508</v>
      </c>
      <c r="G114" s="55">
        <v>23</v>
      </c>
      <c r="H114" s="55">
        <v>9403</v>
      </c>
      <c r="I114" s="56">
        <f t="shared" si="6"/>
        <v>0.37338680856133105</v>
      </c>
      <c r="J114" s="55">
        <v>221</v>
      </c>
      <c r="K114" s="56">
        <f t="shared" si="7"/>
        <v>8.7757614263590522E-3</v>
      </c>
      <c r="L114" s="56">
        <f t="shared" si="8"/>
        <v>2.3503137296607465E-2</v>
      </c>
      <c r="M114" s="55">
        <v>56</v>
      </c>
      <c r="N114" s="56">
        <f t="shared" si="9"/>
        <v>2.2237223523805744E-3</v>
      </c>
      <c r="O114" s="53" t="s">
        <v>443</v>
      </c>
    </row>
    <row r="115" spans="1:15" hidden="1" x14ac:dyDescent="0.25">
      <c r="A115" s="52" t="s">
        <v>18</v>
      </c>
      <c r="B115" s="53" t="s">
        <v>439</v>
      </c>
      <c r="C115" s="53" t="s">
        <v>443</v>
      </c>
      <c r="D115" s="54">
        <v>44957</v>
      </c>
      <c r="E115" s="55">
        <v>22796</v>
      </c>
      <c r="F115" s="56">
        <f t="shared" si="5"/>
        <v>0.99938585716792416</v>
      </c>
      <c r="G115" s="55">
        <v>14</v>
      </c>
      <c r="H115" s="55">
        <v>8007</v>
      </c>
      <c r="I115" s="56">
        <f t="shared" si="6"/>
        <v>0.35124583260221093</v>
      </c>
      <c r="J115" s="55">
        <v>248</v>
      </c>
      <c r="K115" s="56">
        <f t="shared" si="7"/>
        <v>1.0879101596771364E-2</v>
      </c>
      <c r="L115" s="56">
        <f t="shared" si="8"/>
        <v>3.0972898713625577E-2</v>
      </c>
      <c r="M115" s="55">
        <v>9</v>
      </c>
      <c r="N115" s="56">
        <f t="shared" si="9"/>
        <v>3.9480610633444465E-4</v>
      </c>
      <c r="O115" s="53" t="s">
        <v>443</v>
      </c>
    </row>
    <row r="116" spans="1:15" hidden="1" x14ac:dyDescent="0.25">
      <c r="A116" s="52" t="s">
        <v>19</v>
      </c>
      <c r="B116" s="53" t="s">
        <v>444</v>
      </c>
      <c r="C116" s="53" t="s">
        <v>443</v>
      </c>
      <c r="D116" s="54">
        <v>44957</v>
      </c>
      <c r="E116" s="55">
        <v>421318</v>
      </c>
      <c r="F116" s="56">
        <f t="shared" si="5"/>
        <v>0.99821749842161978</v>
      </c>
      <c r="G116" s="55">
        <v>751</v>
      </c>
      <c r="H116" s="55">
        <v>163380</v>
      </c>
      <c r="I116" s="56">
        <f t="shared" si="6"/>
        <v>0.38778309970141317</v>
      </c>
      <c r="J116" s="55">
        <v>2326</v>
      </c>
      <c r="K116" s="56">
        <f t="shared" si="7"/>
        <v>5.520770534370713E-3</v>
      </c>
      <c r="L116" s="56">
        <f t="shared" si="8"/>
        <v>1.4236748684049455E-2</v>
      </c>
      <c r="M116" s="55">
        <v>595</v>
      </c>
      <c r="N116" s="56">
        <f t="shared" si="9"/>
        <v>1.4122349389297396E-3</v>
      </c>
      <c r="O116" s="53" t="s">
        <v>443</v>
      </c>
    </row>
    <row r="117" spans="1:15" hidden="1" x14ac:dyDescent="0.25">
      <c r="A117" s="52" t="s">
        <v>19</v>
      </c>
      <c r="B117" s="53" t="s">
        <v>439</v>
      </c>
      <c r="C117" s="53" t="s">
        <v>443</v>
      </c>
      <c r="D117" s="54">
        <v>44957</v>
      </c>
      <c r="E117" s="55">
        <v>210778</v>
      </c>
      <c r="F117" s="56">
        <f t="shared" si="5"/>
        <v>0.99817817798821507</v>
      </c>
      <c r="G117" s="55">
        <v>384</v>
      </c>
      <c r="H117" s="55">
        <v>80412</v>
      </c>
      <c r="I117" s="56">
        <f t="shared" si="6"/>
        <v>0.38150091565533406</v>
      </c>
      <c r="J117" s="55">
        <v>1824</v>
      </c>
      <c r="K117" s="56">
        <f t="shared" si="7"/>
        <v>8.6536545559783278E-3</v>
      </c>
      <c r="L117" s="56">
        <f t="shared" si="8"/>
        <v>2.2683181614684376E-2</v>
      </c>
      <c r="M117" s="55">
        <v>148</v>
      </c>
      <c r="N117" s="56">
        <f t="shared" si="9"/>
        <v>7.0216056704210117E-4</v>
      </c>
      <c r="O117" s="53" t="s">
        <v>443</v>
      </c>
    </row>
    <row r="118" spans="1:15" hidden="1" x14ac:dyDescent="0.25">
      <c r="A118" s="52" t="s">
        <v>485</v>
      </c>
      <c r="B118" s="53" t="s">
        <v>444</v>
      </c>
      <c r="C118" s="53" t="s">
        <v>443</v>
      </c>
      <c r="D118" s="54">
        <v>44957</v>
      </c>
      <c r="E118" s="55">
        <v>110822</v>
      </c>
      <c r="F118" s="56">
        <f t="shared" si="5"/>
        <v>0.99822237461875796</v>
      </c>
      <c r="G118" s="55">
        <v>197</v>
      </c>
      <c r="H118" s="55">
        <v>56329</v>
      </c>
      <c r="I118" s="56">
        <f t="shared" si="6"/>
        <v>0.50828355380700585</v>
      </c>
      <c r="J118" s="55">
        <v>847</v>
      </c>
      <c r="K118" s="56">
        <f t="shared" si="7"/>
        <v>7.6428867914313039E-3</v>
      </c>
      <c r="L118" s="56">
        <f t="shared" si="8"/>
        <v>1.5036659624704858E-2</v>
      </c>
      <c r="M118" s="55">
        <v>241</v>
      </c>
      <c r="N118" s="56">
        <f t="shared" si="9"/>
        <v>2.1746584613163453E-3</v>
      </c>
      <c r="O118" s="53" t="s">
        <v>443</v>
      </c>
    </row>
    <row r="119" spans="1:15" hidden="1" x14ac:dyDescent="0.25">
      <c r="A119" s="52" t="s">
        <v>485</v>
      </c>
      <c r="B119" s="53" t="s">
        <v>439</v>
      </c>
      <c r="C119" s="53" t="s">
        <v>443</v>
      </c>
      <c r="D119" s="54">
        <v>44957</v>
      </c>
      <c r="E119" s="55">
        <v>328837</v>
      </c>
      <c r="F119" s="56">
        <f t="shared" si="5"/>
        <v>0.9984794898384306</v>
      </c>
      <c r="G119" s="55">
        <v>500</v>
      </c>
      <c r="H119" s="55">
        <v>150121</v>
      </c>
      <c r="I119" s="56">
        <f t="shared" si="6"/>
        <v>0.45652101192992273</v>
      </c>
      <c r="J119" s="55">
        <v>2210</v>
      </c>
      <c r="K119" s="56">
        <f t="shared" si="7"/>
        <v>6.720654914136791E-3</v>
      </c>
      <c r="L119" s="56">
        <f t="shared" si="8"/>
        <v>1.4721458023860752E-2</v>
      </c>
      <c r="M119" s="55">
        <v>199</v>
      </c>
      <c r="N119" s="56">
        <f t="shared" si="9"/>
        <v>6.0516304430462511E-4</v>
      </c>
      <c r="O119" s="53" t="s">
        <v>443</v>
      </c>
    </row>
    <row r="120" spans="1:15" hidden="1" x14ac:dyDescent="0.25">
      <c r="A120" s="52" t="s">
        <v>486</v>
      </c>
      <c r="B120" s="53" t="s">
        <v>439</v>
      </c>
      <c r="C120" s="53" t="s">
        <v>440</v>
      </c>
      <c r="D120" s="54">
        <v>44958</v>
      </c>
      <c r="E120" s="55">
        <v>12388</v>
      </c>
      <c r="F120" s="56">
        <f t="shared" si="5"/>
        <v>0.99846625766871167</v>
      </c>
      <c r="G120" s="55">
        <v>19</v>
      </c>
      <c r="H120" s="55">
        <v>5083</v>
      </c>
      <c r="I120" s="56">
        <f t="shared" si="6"/>
        <v>0.41031643525992895</v>
      </c>
      <c r="J120" s="55">
        <v>242</v>
      </c>
      <c r="K120" s="56">
        <f t="shared" si="7"/>
        <v>1.9535033903777848E-2</v>
      </c>
      <c r="L120" s="56">
        <f t="shared" si="8"/>
        <v>4.7609679323234309E-2</v>
      </c>
      <c r="M120" s="55">
        <v>40</v>
      </c>
      <c r="N120" s="56">
        <f t="shared" si="9"/>
        <v>3.2289312237649337E-3</v>
      </c>
      <c r="O120" s="53" t="s">
        <v>440</v>
      </c>
    </row>
    <row r="121" spans="1:15" hidden="1" x14ac:dyDescent="0.25">
      <c r="A121" s="52" t="s">
        <v>487</v>
      </c>
      <c r="B121" s="53" t="s">
        <v>439</v>
      </c>
      <c r="C121" s="53" t="s">
        <v>440</v>
      </c>
      <c r="D121" s="54">
        <v>44958</v>
      </c>
      <c r="E121" s="55">
        <v>11340</v>
      </c>
      <c r="F121" s="56">
        <f t="shared" si="5"/>
        <v>0.99664902998236327</v>
      </c>
      <c r="G121" s="55">
        <v>38</v>
      </c>
      <c r="H121" s="55">
        <v>4543</v>
      </c>
      <c r="I121" s="56">
        <f t="shared" si="6"/>
        <v>0.4006172839506173</v>
      </c>
      <c r="J121" s="55">
        <v>127</v>
      </c>
      <c r="K121" s="56">
        <f t="shared" si="7"/>
        <v>1.1199294532627866E-2</v>
      </c>
      <c r="L121" s="56">
        <f t="shared" si="8"/>
        <v>2.7955095751705922E-2</v>
      </c>
      <c r="M121" s="55">
        <v>34</v>
      </c>
      <c r="N121" s="56">
        <f t="shared" si="9"/>
        <v>2.998236331569665E-3</v>
      </c>
      <c r="O121" s="53" t="s">
        <v>440</v>
      </c>
    </row>
    <row r="122" spans="1:15" hidden="1" x14ac:dyDescent="0.25">
      <c r="A122" s="52" t="s">
        <v>488</v>
      </c>
      <c r="B122" s="53" t="s">
        <v>439</v>
      </c>
      <c r="C122" s="53" t="s">
        <v>440</v>
      </c>
      <c r="D122" s="54">
        <v>44958</v>
      </c>
      <c r="E122" s="55">
        <v>10568</v>
      </c>
      <c r="F122" s="56">
        <f t="shared" si="5"/>
        <v>0.99678274034822101</v>
      </c>
      <c r="G122" s="55">
        <v>34</v>
      </c>
      <c r="H122" s="55">
        <v>4086</v>
      </c>
      <c r="I122" s="56">
        <f t="shared" si="6"/>
        <v>0.38663890991672972</v>
      </c>
      <c r="J122" s="55">
        <v>217</v>
      </c>
      <c r="K122" s="56">
        <f t="shared" si="7"/>
        <v>2.0533686601059802E-2</v>
      </c>
      <c r="L122" s="56">
        <f t="shared" si="8"/>
        <v>5.3108174253548704E-2</v>
      </c>
      <c r="M122" s="55">
        <v>59</v>
      </c>
      <c r="N122" s="56">
        <f t="shared" si="9"/>
        <v>5.5828917486752463E-3</v>
      </c>
      <c r="O122" s="53" t="s">
        <v>440</v>
      </c>
    </row>
    <row r="123" spans="1:15" hidden="1" x14ac:dyDescent="0.25">
      <c r="A123" s="52" t="s">
        <v>489</v>
      </c>
      <c r="B123" s="53" t="s">
        <v>439</v>
      </c>
      <c r="C123" s="53" t="s">
        <v>440</v>
      </c>
      <c r="D123" s="54">
        <v>44958</v>
      </c>
      <c r="E123" s="55">
        <v>270045</v>
      </c>
      <c r="F123" s="56">
        <f t="shared" si="5"/>
        <v>0.9974226517802588</v>
      </c>
      <c r="G123" s="55">
        <v>696</v>
      </c>
      <c r="H123" s="55">
        <v>89399</v>
      </c>
      <c r="I123" s="56">
        <f t="shared" si="6"/>
        <v>0.33105223203540152</v>
      </c>
      <c r="J123" s="55">
        <v>2571</v>
      </c>
      <c r="K123" s="56">
        <f t="shared" si="7"/>
        <v>9.5206354496472807E-3</v>
      </c>
      <c r="L123" s="56">
        <f t="shared" si="8"/>
        <v>2.875871094754975E-2</v>
      </c>
      <c r="M123" s="55">
        <v>1879</v>
      </c>
      <c r="N123" s="56">
        <f t="shared" si="9"/>
        <v>6.958099575996593E-3</v>
      </c>
      <c r="O123" s="53" t="s">
        <v>440</v>
      </c>
    </row>
    <row r="124" spans="1:15" hidden="1" x14ac:dyDescent="0.25">
      <c r="A124" s="52" t="s">
        <v>490</v>
      </c>
      <c r="B124" s="53" t="s">
        <v>439</v>
      </c>
      <c r="C124" s="53" t="s">
        <v>469</v>
      </c>
      <c r="D124" s="54">
        <v>44958</v>
      </c>
      <c r="E124" s="55">
        <v>118612</v>
      </c>
      <c r="F124" s="56">
        <f t="shared" si="5"/>
        <v>0.99920750008430848</v>
      </c>
      <c r="G124" s="55">
        <v>94</v>
      </c>
      <c r="H124" s="55">
        <v>41444</v>
      </c>
      <c r="I124" s="56">
        <f t="shared" si="6"/>
        <v>0.34940815431828148</v>
      </c>
      <c r="J124" s="55">
        <v>3187</v>
      </c>
      <c r="K124" s="56">
        <f t="shared" si="7"/>
        <v>2.6869119482008565E-2</v>
      </c>
      <c r="L124" s="56">
        <f t="shared" si="8"/>
        <v>7.6898947977994403E-2</v>
      </c>
      <c r="M124" s="55">
        <v>67</v>
      </c>
      <c r="N124" s="56">
        <f t="shared" si="9"/>
        <v>5.6486696118436585E-4</v>
      </c>
      <c r="O124" s="53" t="s">
        <v>469</v>
      </c>
    </row>
    <row r="125" spans="1:15" hidden="1" x14ac:dyDescent="0.25">
      <c r="A125" s="52" t="s">
        <v>490</v>
      </c>
      <c r="B125" s="53" t="s">
        <v>444</v>
      </c>
      <c r="C125" s="53" t="s">
        <v>469</v>
      </c>
      <c r="D125" s="54">
        <v>44958</v>
      </c>
      <c r="E125" s="55">
        <v>225370</v>
      </c>
      <c r="F125" s="56">
        <f t="shared" si="5"/>
        <v>0.99866441851178067</v>
      </c>
      <c r="G125" s="55">
        <v>301</v>
      </c>
      <c r="H125" s="55">
        <v>78840</v>
      </c>
      <c r="I125" s="56">
        <f t="shared" si="6"/>
        <v>0.34982473266184494</v>
      </c>
      <c r="J125" s="55">
        <v>2842</v>
      </c>
      <c r="K125" s="56">
        <f t="shared" si="7"/>
        <v>1.2610374051559658E-2</v>
      </c>
      <c r="L125" s="56">
        <f t="shared" si="8"/>
        <v>3.6047691527143579E-2</v>
      </c>
      <c r="M125" s="55">
        <v>1119</v>
      </c>
      <c r="N125" s="56">
        <f t="shared" si="9"/>
        <v>4.9651683897590625E-3</v>
      </c>
      <c r="O125" s="53" t="s">
        <v>469</v>
      </c>
    </row>
    <row r="126" spans="1:15" hidden="1" x14ac:dyDescent="0.25">
      <c r="A126" s="52" t="s">
        <v>491</v>
      </c>
      <c r="B126" s="53" t="s">
        <v>439</v>
      </c>
      <c r="C126" s="53" t="s">
        <v>469</v>
      </c>
      <c r="D126" s="54">
        <v>44958</v>
      </c>
      <c r="E126" s="55">
        <v>2084287</v>
      </c>
      <c r="F126" s="56">
        <f t="shared" si="5"/>
        <v>0.99772823992089377</v>
      </c>
      <c r="G126" s="55">
        <v>4735</v>
      </c>
      <c r="H126" s="55">
        <v>801636</v>
      </c>
      <c r="I126" s="56">
        <f t="shared" si="6"/>
        <v>0.38460922128286557</v>
      </c>
      <c r="J126" s="55">
        <v>47678</v>
      </c>
      <c r="K126" s="56">
        <f t="shared" si="7"/>
        <v>2.2874968754303029E-2</v>
      </c>
      <c r="L126" s="56">
        <f t="shared" si="8"/>
        <v>5.9475871842082938E-2</v>
      </c>
      <c r="M126" s="55">
        <v>1805</v>
      </c>
      <c r="N126" s="56">
        <f t="shared" si="9"/>
        <v>8.6600357820204219E-4</v>
      </c>
      <c r="O126" s="53" t="s">
        <v>469</v>
      </c>
    </row>
    <row r="127" spans="1:15" hidden="1" x14ac:dyDescent="0.25">
      <c r="A127" s="52" t="s">
        <v>491</v>
      </c>
      <c r="B127" s="53" t="s">
        <v>444</v>
      </c>
      <c r="C127" s="53" t="s">
        <v>469</v>
      </c>
      <c r="D127" s="54">
        <v>44958</v>
      </c>
      <c r="E127" s="55">
        <v>2403003</v>
      </c>
      <c r="F127" s="56">
        <f t="shared" si="5"/>
        <v>0.99798626968006288</v>
      </c>
      <c r="G127" s="55">
        <v>4839</v>
      </c>
      <c r="H127" s="55">
        <v>889875</v>
      </c>
      <c r="I127" s="56">
        <f t="shared" si="6"/>
        <v>0.37031788974046226</v>
      </c>
      <c r="J127" s="55">
        <v>21323</v>
      </c>
      <c r="K127" s="56">
        <f t="shared" si="7"/>
        <v>8.8734803909941012E-3</v>
      </c>
      <c r="L127" s="56">
        <f t="shared" si="8"/>
        <v>2.3961792386571149E-2</v>
      </c>
      <c r="M127" s="55">
        <v>8219</v>
      </c>
      <c r="N127" s="56">
        <f t="shared" si="9"/>
        <v>3.4203036783557908E-3</v>
      </c>
      <c r="O127" s="53" t="s">
        <v>469</v>
      </c>
    </row>
    <row r="128" spans="1:15" hidden="1" x14ac:dyDescent="0.25">
      <c r="A128" s="52" t="s">
        <v>445</v>
      </c>
      <c r="B128" s="53"/>
      <c r="C128" s="53" t="s">
        <v>446</v>
      </c>
      <c r="D128" s="54">
        <v>44958</v>
      </c>
      <c r="E128" s="55">
        <v>314</v>
      </c>
      <c r="F128" s="56">
        <f t="shared" si="5"/>
        <v>1</v>
      </c>
      <c r="G128" s="55">
        <v>0</v>
      </c>
      <c r="H128" s="55">
        <v>85</v>
      </c>
      <c r="I128" s="56">
        <f t="shared" si="6"/>
        <v>0.27070063694267515</v>
      </c>
      <c r="J128" s="55">
        <v>7</v>
      </c>
      <c r="K128" s="56">
        <f t="shared" si="7"/>
        <v>2.2292993630573247E-2</v>
      </c>
      <c r="L128" s="56">
        <f t="shared" si="8"/>
        <v>8.2352941176470587E-2</v>
      </c>
      <c r="M128" s="55">
        <v>0</v>
      </c>
      <c r="N128" s="56">
        <f t="shared" si="9"/>
        <v>0</v>
      </c>
      <c r="O128" s="53" t="s">
        <v>446</v>
      </c>
    </row>
    <row r="129" spans="1:15" hidden="1" x14ac:dyDescent="0.25">
      <c r="A129" s="52" t="s">
        <v>15</v>
      </c>
      <c r="B129" s="53" t="s">
        <v>439</v>
      </c>
      <c r="C129" s="53" t="s">
        <v>447</v>
      </c>
      <c r="D129" s="54">
        <v>44958</v>
      </c>
      <c r="E129" s="55">
        <v>9437</v>
      </c>
      <c r="F129" s="56">
        <f t="shared" si="5"/>
        <v>0.9866482992476423</v>
      </c>
      <c r="G129" s="55">
        <v>126</v>
      </c>
      <c r="H129" s="55">
        <v>2962</v>
      </c>
      <c r="I129" s="56">
        <f t="shared" si="6"/>
        <v>0.31387093355939388</v>
      </c>
      <c r="J129" s="55">
        <v>321</v>
      </c>
      <c r="K129" s="56">
        <f t="shared" si="7"/>
        <v>3.4015047154816153E-2</v>
      </c>
      <c r="L129" s="56">
        <f t="shared" si="8"/>
        <v>0.10837272113436867</v>
      </c>
      <c r="M129" s="55">
        <v>25</v>
      </c>
      <c r="N129" s="56">
        <f t="shared" si="9"/>
        <v>2.649146974674155E-3</v>
      </c>
      <c r="O129" s="53" t="s">
        <v>448</v>
      </c>
    </row>
    <row r="130" spans="1:15" hidden="1" x14ac:dyDescent="0.25">
      <c r="A130" s="52" t="s">
        <v>17</v>
      </c>
      <c r="B130" s="53" t="s">
        <v>439</v>
      </c>
      <c r="C130" s="53" t="s">
        <v>447</v>
      </c>
      <c r="D130" s="54">
        <v>44958</v>
      </c>
      <c r="E130" s="55">
        <v>85387</v>
      </c>
      <c r="F130" s="56">
        <f t="shared" ref="F130:F193" si="10">(E130-G130)/E130</f>
        <v>0.97784206026678533</v>
      </c>
      <c r="G130" s="55">
        <v>1892</v>
      </c>
      <c r="H130" s="55">
        <v>32168</v>
      </c>
      <c r="I130" s="56">
        <f t="shared" ref="I130:I193" si="11">H130/E130</f>
        <v>0.37673182100319719</v>
      </c>
      <c r="J130" s="55">
        <v>3462</v>
      </c>
      <c r="K130" s="56">
        <f t="shared" ref="K130:K193" si="12">J130/E130</f>
        <v>4.0544813613313503E-2</v>
      </c>
      <c r="L130" s="56">
        <f t="shared" ref="L130:L193" si="13">J130/H130</f>
        <v>0.10762248196965929</v>
      </c>
      <c r="M130" s="55">
        <v>337</v>
      </c>
      <c r="N130" s="56">
        <f t="shared" ref="N130:N193" si="14">M130/E130</f>
        <v>3.9467366226708985E-3</v>
      </c>
      <c r="O130" s="53" t="s">
        <v>448</v>
      </c>
    </row>
    <row r="131" spans="1:15" hidden="1" x14ac:dyDescent="0.25">
      <c r="A131" s="52" t="s">
        <v>492</v>
      </c>
      <c r="B131" s="53" t="s">
        <v>444</v>
      </c>
      <c r="C131" s="53" t="s">
        <v>469</v>
      </c>
      <c r="D131" s="54">
        <v>44959</v>
      </c>
      <c r="E131" s="55">
        <v>5558</v>
      </c>
      <c r="F131" s="56">
        <f t="shared" si="10"/>
        <v>0.9992803166606693</v>
      </c>
      <c r="G131" s="55">
        <v>4</v>
      </c>
      <c r="H131" s="55">
        <v>1870</v>
      </c>
      <c r="I131" s="56">
        <f t="shared" si="11"/>
        <v>0.33645196113709969</v>
      </c>
      <c r="J131" s="55">
        <v>48</v>
      </c>
      <c r="K131" s="56">
        <f t="shared" si="12"/>
        <v>8.6362000719683342E-3</v>
      </c>
      <c r="L131" s="56">
        <f t="shared" si="13"/>
        <v>2.5668449197860963E-2</v>
      </c>
      <c r="M131" s="55">
        <v>47</v>
      </c>
      <c r="N131" s="56">
        <f t="shared" si="14"/>
        <v>8.4562792371356606E-3</v>
      </c>
      <c r="O131" s="53" t="s">
        <v>469</v>
      </c>
    </row>
    <row r="132" spans="1:15" hidden="1" x14ac:dyDescent="0.25">
      <c r="A132" s="52" t="s">
        <v>493</v>
      </c>
      <c r="B132" s="53" t="s">
        <v>444</v>
      </c>
      <c r="C132" s="53" t="s">
        <v>469</v>
      </c>
      <c r="D132" s="54">
        <v>44959</v>
      </c>
      <c r="E132" s="55">
        <v>49754</v>
      </c>
      <c r="F132" s="56">
        <f t="shared" si="10"/>
        <v>0.99784941914217951</v>
      </c>
      <c r="G132" s="55">
        <v>107</v>
      </c>
      <c r="H132" s="55">
        <v>17854</v>
      </c>
      <c r="I132" s="56">
        <f t="shared" si="11"/>
        <v>0.3588455199581943</v>
      </c>
      <c r="J132" s="55">
        <v>414</v>
      </c>
      <c r="K132" s="56">
        <f t="shared" si="12"/>
        <v>8.3209390199782927E-3</v>
      </c>
      <c r="L132" s="56">
        <f t="shared" si="13"/>
        <v>2.3188081102274001E-2</v>
      </c>
      <c r="M132" s="55">
        <v>258</v>
      </c>
      <c r="N132" s="56">
        <f t="shared" si="14"/>
        <v>5.1855127225951684E-3</v>
      </c>
      <c r="O132" s="53" t="s">
        <v>469</v>
      </c>
    </row>
    <row r="133" spans="1:15" hidden="1" x14ac:dyDescent="0.25">
      <c r="A133" s="52" t="s">
        <v>494</v>
      </c>
      <c r="B133" s="53" t="s">
        <v>444</v>
      </c>
      <c r="C133" s="53" t="s">
        <v>469</v>
      </c>
      <c r="D133" s="54">
        <v>44959</v>
      </c>
      <c r="E133" s="55">
        <v>5547</v>
      </c>
      <c r="F133" s="56">
        <f t="shared" si="10"/>
        <v>0.99801694609698932</v>
      </c>
      <c r="G133" s="55">
        <v>11</v>
      </c>
      <c r="H133" s="55">
        <v>1904</v>
      </c>
      <c r="I133" s="56">
        <f t="shared" si="11"/>
        <v>0.34324860284838654</v>
      </c>
      <c r="J133" s="55">
        <v>45</v>
      </c>
      <c r="K133" s="56">
        <f t="shared" si="12"/>
        <v>8.1124932395889669E-3</v>
      </c>
      <c r="L133" s="56">
        <f t="shared" si="13"/>
        <v>2.3634453781512604E-2</v>
      </c>
      <c r="M133" s="55">
        <v>43</v>
      </c>
      <c r="N133" s="56">
        <f t="shared" si="14"/>
        <v>7.7519379844961239E-3</v>
      </c>
      <c r="O133" s="53" t="s">
        <v>469</v>
      </c>
    </row>
    <row r="134" spans="1:15" hidden="1" x14ac:dyDescent="0.25">
      <c r="A134" s="52" t="s">
        <v>495</v>
      </c>
      <c r="B134" s="53" t="s">
        <v>444</v>
      </c>
      <c r="C134" s="53" t="s">
        <v>469</v>
      </c>
      <c r="D134" s="54">
        <v>44959</v>
      </c>
      <c r="E134" s="55">
        <v>49774</v>
      </c>
      <c r="F134" s="56">
        <f t="shared" si="10"/>
        <v>0.99762928436533127</v>
      </c>
      <c r="G134" s="55">
        <v>118</v>
      </c>
      <c r="H134" s="55">
        <v>17936</v>
      </c>
      <c r="I134" s="56">
        <f t="shared" si="11"/>
        <v>0.36034877646964281</v>
      </c>
      <c r="J134" s="55">
        <v>350</v>
      </c>
      <c r="K134" s="56">
        <f t="shared" si="12"/>
        <v>7.0317836621529312E-3</v>
      </c>
      <c r="L134" s="56">
        <f t="shared" si="13"/>
        <v>1.9513826940231935E-2</v>
      </c>
      <c r="M134" s="55">
        <v>261</v>
      </c>
      <c r="N134" s="56">
        <f t="shared" si="14"/>
        <v>5.2437015309197577E-3</v>
      </c>
      <c r="O134" s="53" t="s">
        <v>469</v>
      </c>
    </row>
    <row r="135" spans="1:15" hidden="1" x14ac:dyDescent="0.25">
      <c r="A135" s="52" t="s">
        <v>496</v>
      </c>
      <c r="B135" s="53" t="s">
        <v>439</v>
      </c>
      <c r="C135" s="53" t="s">
        <v>443</v>
      </c>
      <c r="D135" s="54">
        <v>44959</v>
      </c>
      <c r="E135" s="55">
        <v>81038</v>
      </c>
      <c r="F135" s="56">
        <f t="shared" si="10"/>
        <v>0.99835879463955179</v>
      </c>
      <c r="G135" s="55">
        <v>133</v>
      </c>
      <c r="H135" s="55">
        <v>32466</v>
      </c>
      <c r="I135" s="56">
        <f t="shared" si="11"/>
        <v>0.40062686640835166</v>
      </c>
      <c r="J135" s="55">
        <v>479</v>
      </c>
      <c r="K135" s="56">
        <f t="shared" si="12"/>
        <v>5.9108072755991014E-3</v>
      </c>
      <c r="L135" s="56">
        <f t="shared" si="13"/>
        <v>1.475389638390932E-2</v>
      </c>
      <c r="M135" s="55">
        <v>82</v>
      </c>
      <c r="N135" s="56">
        <f t="shared" si="14"/>
        <v>1.0118709741109109E-3</v>
      </c>
      <c r="O135" s="53" t="s">
        <v>443</v>
      </c>
    </row>
    <row r="136" spans="1:15" hidden="1" x14ac:dyDescent="0.25">
      <c r="A136" s="52" t="s">
        <v>449</v>
      </c>
      <c r="B136" s="53"/>
      <c r="C136" s="53" t="s">
        <v>446</v>
      </c>
      <c r="D136" s="54">
        <v>44959</v>
      </c>
      <c r="E136" s="55">
        <v>1670</v>
      </c>
      <c r="F136" s="56">
        <f t="shared" si="10"/>
        <v>0.9994011976047904</v>
      </c>
      <c r="G136" s="55">
        <v>1</v>
      </c>
      <c r="H136" s="55">
        <v>584</v>
      </c>
      <c r="I136" s="56">
        <f t="shared" si="11"/>
        <v>0.34970059880239523</v>
      </c>
      <c r="J136" s="55">
        <v>18</v>
      </c>
      <c r="K136" s="56">
        <f t="shared" si="12"/>
        <v>1.0778443113772455E-2</v>
      </c>
      <c r="L136" s="56">
        <f t="shared" si="13"/>
        <v>3.0821917808219176E-2</v>
      </c>
      <c r="M136" s="55">
        <v>0</v>
      </c>
      <c r="N136" s="56">
        <f t="shared" si="14"/>
        <v>0</v>
      </c>
      <c r="O136" s="53" t="s">
        <v>446</v>
      </c>
    </row>
    <row r="137" spans="1:15" x14ac:dyDescent="0.25">
      <c r="A137" s="52" t="s">
        <v>497</v>
      </c>
      <c r="B137" s="53" t="s">
        <v>439</v>
      </c>
      <c r="C137" s="53" t="s">
        <v>452</v>
      </c>
      <c r="D137" s="54">
        <v>44959</v>
      </c>
      <c r="E137" s="55">
        <v>7688</v>
      </c>
      <c r="F137" s="56">
        <f t="shared" si="10"/>
        <v>0.99947970863683666</v>
      </c>
      <c r="G137" s="55">
        <v>4</v>
      </c>
      <c r="H137" s="55">
        <v>2600</v>
      </c>
      <c r="I137" s="56">
        <f t="shared" si="11"/>
        <v>0.33818938605619148</v>
      </c>
      <c r="J137" s="55">
        <v>36</v>
      </c>
      <c r="K137" s="56">
        <f t="shared" si="12"/>
        <v>4.6826222684703432E-3</v>
      </c>
      <c r="L137" s="56">
        <f t="shared" si="13"/>
        <v>1.3846153846153847E-2</v>
      </c>
      <c r="M137" s="55">
        <v>8</v>
      </c>
      <c r="N137" s="56">
        <f t="shared" si="14"/>
        <v>1.0405827263267431E-3</v>
      </c>
      <c r="O137" s="53" t="s">
        <v>452</v>
      </c>
    </row>
    <row r="138" spans="1:15" x14ac:dyDescent="0.25">
      <c r="A138" s="52" t="s">
        <v>497</v>
      </c>
      <c r="B138" s="53" t="s">
        <v>444</v>
      </c>
      <c r="C138" s="53" t="s">
        <v>452</v>
      </c>
      <c r="D138" s="54">
        <v>44959</v>
      </c>
      <c r="E138" s="55">
        <v>10194</v>
      </c>
      <c r="F138" s="56">
        <f t="shared" si="10"/>
        <v>0.99950951540121635</v>
      </c>
      <c r="G138" s="55">
        <v>5</v>
      </c>
      <c r="H138" s="55">
        <v>3402</v>
      </c>
      <c r="I138" s="56">
        <f t="shared" si="11"/>
        <v>0.3337257210123602</v>
      </c>
      <c r="J138" s="55">
        <v>54</v>
      </c>
      <c r="K138" s="56">
        <f t="shared" si="12"/>
        <v>5.2972336668628602E-3</v>
      </c>
      <c r="L138" s="56">
        <f t="shared" si="13"/>
        <v>1.5873015873015872E-2</v>
      </c>
      <c r="M138" s="55">
        <v>24</v>
      </c>
      <c r="N138" s="56">
        <f t="shared" si="14"/>
        <v>2.3543260741612712E-3</v>
      </c>
      <c r="O138" s="53" t="s">
        <v>452</v>
      </c>
    </row>
    <row r="139" spans="1:15" x14ac:dyDescent="0.25">
      <c r="A139" s="52" t="s">
        <v>498</v>
      </c>
      <c r="B139" s="53" t="s">
        <v>439</v>
      </c>
      <c r="C139" s="53" t="s">
        <v>452</v>
      </c>
      <c r="D139" s="54">
        <v>44959</v>
      </c>
      <c r="E139" s="55">
        <v>156474</v>
      </c>
      <c r="F139" s="56">
        <f t="shared" si="10"/>
        <v>0.99884325830489407</v>
      </c>
      <c r="G139" s="55">
        <v>181</v>
      </c>
      <c r="H139" s="55">
        <v>66727</v>
      </c>
      <c r="I139" s="56">
        <f t="shared" si="11"/>
        <v>0.42644145353221624</v>
      </c>
      <c r="J139" s="55">
        <v>687</v>
      </c>
      <c r="K139" s="56">
        <f t="shared" si="12"/>
        <v>4.3905057709267992E-3</v>
      </c>
      <c r="L139" s="56">
        <f t="shared" si="13"/>
        <v>1.0295682407421283E-2</v>
      </c>
      <c r="M139" s="55">
        <v>117</v>
      </c>
      <c r="N139" s="56">
        <f t="shared" si="14"/>
        <v>7.4772805705740255E-4</v>
      </c>
      <c r="O139" s="53" t="s">
        <v>452</v>
      </c>
    </row>
    <row r="140" spans="1:15" x14ac:dyDescent="0.25">
      <c r="A140" s="52" t="s">
        <v>498</v>
      </c>
      <c r="B140" s="53" t="s">
        <v>444</v>
      </c>
      <c r="C140" s="53" t="s">
        <v>452</v>
      </c>
      <c r="D140" s="54">
        <v>44959</v>
      </c>
      <c r="E140" s="55">
        <v>170431</v>
      </c>
      <c r="F140" s="56">
        <f t="shared" si="10"/>
        <v>0.99862701034436219</v>
      </c>
      <c r="G140" s="55">
        <v>234</v>
      </c>
      <c r="H140" s="55">
        <v>80800</v>
      </c>
      <c r="I140" s="56">
        <f t="shared" si="11"/>
        <v>0.47409215459628823</v>
      </c>
      <c r="J140" s="55">
        <v>1027</v>
      </c>
      <c r="K140" s="56">
        <f t="shared" si="12"/>
        <v>6.0258990441879705E-3</v>
      </c>
      <c r="L140" s="56">
        <f t="shared" si="13"/>
        <v>1.271039603960396E-2</v>
      </c>
      <c r="M140" s="55">
        <v>332</v>
      </c>
      <c r="N140" s="56">
        <f t="shared" si="14"/>
        <v>1.9480024174005903E-3</v>
      </c>
      <c r="O140" s="53" t="s">
        <v>452</v>
      </c>
    </row>
    <row r="141" spans="1:15" hidden="1" x14ac:dyDescent="0.25">
      <c r="A141" s="52" t="s">
        <v>22</v>
      </c>
      <c r="B141" s="53" t="s">
        <v>439</v>
      </c>
      <c r="C141" s="53" t="s">
        <v>443</v>
      </c>
      <c r="D141" s="54">
        <v>44960</v>
      </c>
      <c r="E141" s="55">
        <v>97142</v>
      </c>
      <c r="F141" s="56">
        <f t="shared" si="10"/>
        <v>0.99924852278108334</v>
      </c>
      <c r="G141" s="55">
        <v>73</v>
      </c>
      <c r="H141" s="55">
        <v>31023</v>
      </c>
      <c r="I141" s="56">
        <f t="shared" si="11"/>
        <v>0.31935722962261431</v>
      </c>
      <c r="J141" s="55">
        <v>648</v>
      </c>
      <c r="K141" s="56">
        <f t="shared" si="12"/>
        <v>6.6706470939449465E-3</v>
      </c>
      <c r="L141" s="56">
        <f t="shared" si="13"/>
        <v>2.0887728459530026E-2</v>
      </c>
      <c r="M141" s="55">
        <v>54</v>
      </c>
      <c r="N141" s="56">
        <f t="shared" si="14"/>
        <v>5.5588725782874558E-4</v>
      </c>
      <c r="O141" s="53" t="s">
        <v>443</v>
      </c>
    </row>
    <row r="142" spans="1:15" hidden="1" x14ac:dyDescent="0.25">
      <c r="A142" s="52" t="s">
        <v>22</v>
      </c>
      <c r="B142" s="53" t="s">
        <v>444</v>
      </c>
      <c r="C142" s="53" t="s">
        <v>443</v>
      </c>
      <c r="D142" s="54">
        <v>44960</v>
      </c>
      <c r="E142" s="55">
        <v>196771</v>
      </c>
      <c r="F142" s="56">
        <f t="shared" si="10"/>
        <v>0.99887178496831341</v>
      </c>
      <c r="G142" s="55">
        <v>222</v>
      </c>
      <c r="H142" s="55">
        <v>66486</v>
      </c>
      <c r="I142" s="56">
        <f t="shared" si="11"/>
        <v>0.33788515584105383</v>
      </c>
      <c r="J142" s="55">
        <v>1573</v>
      </c>
      <c r="K142" s="56">
        <f t="shared" si="12"/>
        <v>7.994064165959415E-3</v>
      </c>
      <c r="L142" s="56">
        <f t="shared" si="13"/>
        <v>2.3659116204915322E-2</v>
      </c>
      <c r="M142" s="55">
        <v>793</v>
      </c>
      <c r="N142" s="56">
        <f t="shared" si="14"/>
        <v>4.0300654059795393E-3</v>
      </c>
      <c r="O142" s="53" t="s">
        <v>443</v>
      </c>
    </row>
    <row r="143" spans="1:15" hidden="1" x14ac:dyDescent="0.25">
      <c r="A143" s="52" t="s">
        <v>23</v>
      </c>
      <c r="B143" s="53" t="s">
        <v>439</v>
      </c>
      <c r="C143" s="53" t="s">
        <v>443</v>
      </c>
      <c r="D143" s="54">
        <v>44960</v>
      </c>
      <c r="E143" s="55">
        <v>1689355</v>
      </c>
      <c r="F143" s="56">
        <f t="shared" si="10"/>
        <v>0.99800278804632536</v>
      </c>
      <c r="G143" s="55">
        <v>3374</v>
      </c>
      <c r="H143" s="55">
        <v>600658</v>
      </c>
      <c r="I143" s="56">
        <f t="shared" si="11"/>
        <v>0.35555463475705223</v>
      </c>
      <c r="J143" s="55">
        <v>8152</v>
      </c>
      <c r="K143" s="56">
        <f t="shared" si="12"/>
        <v>4.8255103279062125E-3</v>
      </c>
      <c r="L143" s="56">
        <f t="shared" si="13"/>
        <v>1.3571782944703974E-2</v>
      </c>
      <c r="M143" s="55">
        <v>1766</v>
      </c>
      <c r="N143" s="56">
        <f t="shared" si="14"/>
        <v>1.0453693865410171E-3</v>
      </c>
      <c r="O143" s="53" t="s">
        <v>443</v>
      </c>
    </row>
    <row r="144" spans="1:15" hidden="1" x14ac:dyDescent="0.25">
      <c r="A144" s="52" t="s">
        <v>23</v>
      </c>
      <c r="B144" s="53" t="s">
        <v>444</v>
      </c>
      <c r="C144" s="53" t="s">
        <v>443</v>
      </c>
      <c r="D144" s="54">
        <v>44960</v>
      </c>
      <c r="E144" s="55">
        <v>2178700</v>
      </c>
      <c r="F144" s="56">
        <f t="shared" si="10"/>
        <v>0.99819800798641389</v>
      </c>
      <c r="G144" s="55">
        <v>3926</v>
      </c>
      <c r="H144" s="55">
        <v>762166</v>
      </c>
      <c r="I144" s="56">
        <f t="shared" si="11"/>
        <v>0.34982604305319687</v>
      </c>
      <c r="J144" s="55">
        <v>11968</v>
      </c>
      <c r="K144" s="56">
        <f t="shared" si="12"/>
        <v>5.4931840088125947E-3</v>
      </c>
      <c r="L144" s="56">
        <f t="shared" si="13"/>
        <v>1.5702615965550813E-2</v>
      </c>
      <c r="M144" s="55">
        <v>6509</v>
      </c>
      <c r="N144" s="56">
        <f t="shared" si="14"/>
        <v>2.9875613898196172E-3</v>
      </c>
      <c r="O144" s="53" t="s">
        <v>443</v>
      </c>
    </row>
    <row r="145" spans="1:15" x14ac:dyDescent="0.25">
      <c r="A145" s="52" t="s">
        <v>451</v>
      </c>
      <c r="B145" s="53" t="s">
        <v>444</v>
      </c>
      <c r="C145" s="53" t="s">
        <v>452</v>
      </c>
      <c r="D145" s="54">
        <v>44960</v>
      </c>
      <c r="E145" s="55">
        <v>249719</v>
      </c>
      <c r="F145" s="56">
        <f t="shared" si="10"/>
        <v>0.99873457766529583</v>
      </c>
      <c r="G145" s="55">
        <v>316</v>
      </c>
      <c r="H145" s="55">
        <v>113555</v>
      </c>
      <c r="I145" s="56">
        <f t="shared" si="11"/>
        <v>0.45473111777638064</v>
      </c>
      <c r="J145" s="55">
        <v>1651</v>
      </c>
      <c r="K145" s="56">
        <f t="shared" si="12"/>
        <v>6.6114312487235653E-3</v>
      </c>
      <c r="L145" s="56">
        <f t="shared" si="13"/>
        <v>1.453921007441328E-2</v>
      </c>
      <c r="M145" s="55">
        <v>348</v>
      </c>
      <c r="N145" s="56">
        <f t="shared" si="14"/>
        <v>1.3935663685983046E-3</v>
      </c>
      <c r="O145" s="53" t="s">
        <v>452</v>
      </c>
    </row>
    <row r="146" spans="1:15" x14ac:dyDescent="0.25">
      <c r="A146" s="52" t="s">
        <v>453</v>
      </c>
      <c r="B146" s="53" t="s">
        <v>444</v>
      </c>
      <c r="C146" s="53" t="s">
        <v>452</v>
      </c>
      <c r="D146" s="54">
        <v>44960</v>
      </c>
      <c r="E146" s="55">
        <v>333398</v>
      </c>
      <c r="F146" s="56">
        <f t="shared" si="10"/>
        <v>0.99789140906664109</v>
      </c>
      <c r="G146" s="55">
        <v>703</v>
      </c>
      <c r="H146" s="55">
        <v>124313</v>
      </c>
      <c r="I146" s="56">
        <f t="shared" si="11"/>
        <v>0.37286666386720974</v>
      </c>
      <c r="J146" s="55">
        <v>2170</v>
      </c>
      <c r="K146" s="56">
        <f t="shared" si="12"/>
        <v>6.5087373049628368E-3</v>
      </c>
      <c r="L146" s="56">
        <f t="shared" si="13"/>
        <v>1.745593783433752E-2</v>
      </c>
      <c r="M146" s="55">
        <v>394</v>
      </c>
      <c r="N146" s="56">
        <f t="shared" si="14"/>
        <v>1.1817707364771234E-3</v>
      </c>
      <c r="O146" s="53" t="s">
        <v>452</v>
      </c>
    </row>
    <row r="147" spans="1:15" x14ac:dyDescent="0.25">
      <c r="A147" s="52" t="s">
        <v>454</v>
      </c>
      <c r="B147" s="53" t="s">
        <v>444</v>
      </c>
      <c r="C147" s="53" t="s">
        <v>452</v>
      </c>
      <c r="D147" s="54">
        <v>44961</v>
      </c>
      <c r="E147" s="55">
        <v>15415</v>
      </c>
      <c r="F147" s="56">
        <f t="shared" si="10"/>
        <v>0.99948102497567304</v>
      </c>
      <c r="G147" s="55">
        <v>8</v>
      </c>
      <c r="H147" s="55">
        <v>5477</v>
      </c>
      <c r="I147" s="56">
        <f t="shared" si="11"/>
        <v>0.35530327602984108</v>
      </c>
      <c r="J147" s="55">
        <v>195</v>
      </c>
      <c r="K147" s="56">
        <f t="shared" si="12"/>
        <v>1.2650016217969511E-2</v>
      </c>
      <c r="L147" s="56">
        <f t="shared" si="13"/>
        <v>3.5603432536059888E-2</v>
      </c>
      <c r="M147" s="55">
        <v>31</v>
      </c>
      <c r="N147" s="56">
        <f t="shared" si="14"/>
        <v>2.0110282192669477E-3</v>
      </c>
      <c r="O147" s="53" t="s">
        <v>452</v>
      </c>
    </row>
    <row r="148" spans="1:15" hidden="1" x14ac:dyDescent="0.25">
      <c r="A148" s="52" t="s">
        <v>12</v>
      </c>
      <c r="B148" s="53" t="s">
        <v>439</v>
      </c>
      <c r="C148" s="53" t="s">
        <v>443</v>
      </c>
      <c r="D148" s="54">
        <v>44961</v>
      </c>
      <c r="E148" s="55">
        <v>1466</v>
      </c>
      <c r="F148" s="56">
        <f t="shared" si="10"/>
        <v>0.99863574351978168</v>
      </c>
      <c r="G148" s="55">
        <v>2</v>
      </c>
      <c r="H148" s="55">
        <v>740</v>
      </c>
      <c r="I148" s="56">
        <f t="shared" si="11"/>
        <v>0.504774897680764</v>
      </c>
      <c r="J148" s="55">
        <v>62</v>
      </c>
      <c r="K148" s="56">
        <f t="shared" si="12"/>
        <v>4.229195088676671E-2</v>
      </c>
      <c r="L148" s="56">
        <f t="shared" si="13"/>
        <v>8.3783783783783788E-2</v>
      </c>
      <c r="M148" s="55">
        <v>0</v>
      </c>
      <c r="N148" s="56">
        <f t="shared" si="14"/>
        <v>0</v>
      </c>
      <c r="O148" s="53" t="s">
        <v>443</v>
      </c>
    </row>
    <row r="149" spans="1:15" hidden="1" x14ac:dyDescent="0.25">
      <c r="A149" s="52" t="s">
        <v>12</v>
      </c>
      <c r="B149" s="53" t="s">
        <v>444</v>
      </c>
      <c r="C149" s="53" t="s">
        <v>443</v>
      </c>
      <c r="D149" s="54">
        <v>44961</v>
      </c>
      <c r="E149" s="55">
        <v>1398</v>
      </c>
      <c r="F149" s="56">
        <f t="shared" si="10"/>
        <v>0.99928469241773965</v>
      </c>
      <c r="G149" s="55">
        <v>1</v>
      </c>
      <c r="H149" s="55">
        <v>636</v>
      </c>
      <c r="I149" s="56">
        <f t="shared" si="11"/>
        <v>0.45493562231759654</v>
      </c>
      <c r="J149" s="55">
        <v>54</v>
      </c>
      <c r="K149" s="56">
        <f t="shared" si="12"/>
        <v>3.8626609442060089E-2</v>
      </c>
      <c r="L149" s="56">
        <f t="shared" si="13"/>
        <v>8.4905660377358486E-2</v>
      </c>
      <c r="M149" s="55">
        <v>14</v>
      </c>
      <c r="N149" s="56">
        <f t="shared" si="14"/>
        <v>1.0014306151645207E-2</v>
      </c>
      <c r="O149" s="53" t="s">
        <v>443</v>
      </c>
    </row>
    <row r="150" spans="1:15" hidden="1" x14ac:dyDescent="0.25">
      <c r="A150" s="52" t="s">
        <v>9</v>
      </c>
      <c r="B150" s="53" t="s">
        <v>439</v>
      </c>
      <c r="C150" s="53" t="s">
        <v>443</v>
      </c>
      <c r="D150" s="54">
        <v>44961</v>
      </c>
      <c r="E150" s="55">
        <v>12127</v>
      </c>
      <c r="F150" s="56">
        <f t="shared" si="10"/>
        <v>0.99818586624886618</v>
      </c>
      <c r="G150" s="55">
        <v>22</v>
      </c>
      <c r="H150" s="55">
        <v>5622</v>
      </c>
      <c r="I150" s="56">
        <f t="shared" si="11"/>
        <v>0.46359363403974602</v>
      </c>
      <c r="J150" s="55">
        <v>480</v>
      </c>
      <c r="K150" s="56">
        <f t="shared" si="12"/>
        <v>3.9581100024738185E-2</v>
      </c>
      <c r="L150" s="56">
        <f t="shared" si="13"/>
        <v>8.537886872998933E-2</v>
      </c>
      <c r="M150" s="55">
        <v>17</v>
      </c>
      <c r="N150" s="56">
        <f t="shared" si="14"/>
        <v>1.4018306258761441E-3</v>
      </c>
      <c r="O150" s="53" t="s">
        <v>443</v>
      </c>
    </row>
    <row r="151" spans="1:15" hidden="1" x14ac:dyDescent="0.25">
      <c r="A151" s="52" t="s">
        <v>9</v>
      </c>
      <c r="B151" s="53" t="s">
        <v>444</v>
      </c>
      <c r="C151" s="53" t="s">
        <v>443</v>
      </c>
      <c r="D151" s="54">
        <v>44961</v>
      </c>
      <c r="E151" s="55">
        <v>16629</v>
      </c>
      <c r="F151" s="56">
        <f t="shared" si="10"/>
        <v>0.99723374827109268</v>
      </c>
      <c r="G151" s="55">
        <v>46</v>
      </c>
      <c r="H151" s="55">
        <v>7117</v>
      </c>
      <c r="I151" s="56">
        <f t="shared" si="11"/>
        <v>0.42798725118768416</v>
      </c>
      <c r="J151" s="55">
        <v>440</v>
      </c>
      <c r="K151" s="56">
        <f t="shared" si="12"/>
        <v>2.6459799146070117E-2</v>
      </c>
      <c r="L151" s="56">
        <f t="shared" si="13"/>
        <v>6.1823802163833076E-2</v>
      </c>
      <c r="M151" s="55">
        <v>99</v>
      </c>
      <c r="N151" s="56">
        <f t="shared" si="14"/>
        <v>5.9534548078657764E-3</v>
      </c>
      <c r="O151" s="53" t="s">
        <v>443</v>
      </c>
    </row>
    <row r="152" spans="1:15" hidden="1" x14ac:dyDescent="0.25">
      <c r="A152" s="52" t="s">
        <v>499</v>
      </c>
      <c r="B152" s="53" t="s">
        <v>439</v>
      </c>
      <c r="C152" s="53" t="s">
        <v>447</v>
      </c>
      <c r="D152" s="54">
        <v>44961</v>
      </c>
      <c r="E152" s="55">
        <v>15076</v>
      </c>
      <c r="F152" s="56">
        <f t="shared" si="10"/>
        <v>0.9992040328999735</v>
      </c>
      <c r="G152" s="55">
        <v>12</v>
      </c>
      <c r="H152" s="55">
        <v>5056</v>
      </c>
      <c r="I152" s="56">
        <f t="shared" si="11"/>
        <v>0.33536747147784557</v>
      </c>
      <c r="J152" s="55">
        <v>763</v>
      </c>
      <c r="K152" s="56">
        <f t="shared" si="12"/>
        <v>5.0610241443353673E-2</v>
      </c>
      <c r="L152" s="56">
        <f t="shared" si="13"/>
        <v>0.15090981012658228</v>
      </c>
      <c r="M152" s="55">
        <v>4</v>
      </c>
      <c r="N152" s="56">
        <f t="shared" si="14"/>
        <v>2.6532236667551072E-4</v>
      </c>
      <c r="O152" s="53" t="s">
        <v>448</v>
      </c>
    </row>
    <row r="153" spans="1:15" hidden="1" x14ac:dyDescent="0.25">
      <c r="A153" s="52" t="s">
        <v>500</v>
      </c>
      <c r="B153" s="53" t="s">
        <v>439</v>
      </c>
      <c r="C153" s="53" t="s">
        <v>447</v>
      </c>
      <c r="D153" s="54">
        <v>44961</v>
      </c>
      <c r="E153" s="55">
        <v>45726</v>
      </c>
      <c r="F153" s="56">
        <f t="shared" si="10"/>
        <v>0.99849101167825749</v>
      </c>
      <c r="G153" s="55">
        <v>69</v>
      </c>
      <c r="H153" s="55">
        <v>17175</v>
      </c>
      <c r="I153" s="56">
        <f t="shared" si="11"/>
        <v>0.37560687573809209</v>
      </c>
      <c r="J153" s="55">
        <v>2116</v>
      </c>
      <c r="K153" s="56">
        <f t="shared" si="12"/>
        <v>4.627564186677164E-2</v>
      </c>
      <c r="L153" s="56">
        <f t="shared" si="13"/>
        <v>0.12320232896652111</v>
      </c>
      <c r="M153" s="55">
        <v>19</v>
      </c>
      <c r="N153" s="56">
        <f t="shared" si="14"/>
        <v>4.1551852337838428E-4</v>
      </c>
      <c r="O153" s="53" t="s">
        <v>448</v>
      </c>
    </row>
    <row r="154" spans="1:15" hidden="1" x14ac:dyDescent="0.25">
      <c r="A154" s="52" t="s">
        <v>501</v>
      </c>
      <c r="B154" s="53" t="s">
        <v>439</v>
      </c>
      <c r="C154" s="53" t="s">
        <v>440</v>
      </c>
      <c r="D154" s="54">
        <v>44961</v>
      </c>
      <c r="E154" s="55">
        <v>241865</v>
      </c>
      <c r="F154" s="56">
        <f t="shared" si="10"/>
        <v>0.99813945796208625</v>
      </c>
      <c r="G154" s="55">
        <v>450</v>
      </c>
      <c r="H154" s="55">
        <v>96768</v>
      </c>
      <c r="I154" s="56">
        <f t="shared" si="11"/>
        <v>0.40009095983296467</v>
      </c>
      <c r="J154" s="55">
        <v>2277</v>
      </c>
      <c r="K154" s="56">
        <f t="shared" si="12"/>
        <v>9.4143427118433837E-3</v>
      </c>
      <c r="L154" s="56">
        <f t="shared" si="13"/>
        <v>2.3530505952380952E-2</v>
      </c>
      <c r="M154" s="55">
        <v>1993</v>
      </c>
      <c r="N154" s="56">
        <f t="shared" si="14"/>
        <v>8.2401339590267297E-3</v>
      </c>
      <c r="O154" s="53" t="s">
        <v>440</v>
      </c>
    </row>
    <row r="155" spans="1:15" x14ac:dyDescent="0.25">
      <c r="A155" s="58" t="s">
        <v>502</v>
      </c>
      <c r="B155" s="53" t="s">
        <v>444</v>
      </c>
      <c r="C155" s="53" t="s">
        <v>452</v>
      </c>
      <c r="D155" s="54">
        <v>44964</v>
      </c>
      <c r="E155" s="55">
        <v>352852</v>
      </c>
      <c r="F155" s="56">
        <f t="shared" si="10"/>
        <v>0.99834491514856083</v>
      </c>
      <c r="G155" s="55">
        <v>584</v>
      </c>
      <c r="H155" s="55">
        <v>175969</v>
      </c>
      <c r="I155" s="56">
        <f t="shared" si="11"/>
        <v>0.49870483942276084</v>
      </c>
      <c r="J155" s="55">
        <v>2407</v>
      </c>
      <c r="K155" s="56">
        <f t="shared" si="12"/>
        <v>6.8215569133801141E-3</v>
      </c>
      <c r="L155" s="56">
        <f t="shared" si="13"/>
        <v>1.3678545652927504E-2</v>
      </c>
      <c r="M155" s="55">
        <v>972</v>
      </c>
      <c r="N155" s="56">
        <f t="shared" si="14"/>
        <v>2.7546960198610183E-3</v>
      </c>
      <c r="O155" s="53" t="s">
        <v>452</v>
      </c>
    </row>
    <row r="156" spans="1:15" x14ac:dyDescent="0.25">
      <c r="A156" s="58" t="s">
        <v>502</v>
      </c>
      <c r="B156" s="53" t="s">
        <v>439</v>
      </c>
      <c r="C156" s="53" t="s">
        <v>452</v>
      </c>
      <c r="D156" s="54">
        <v>44964</v>
      </c>
      <c r="E156" s="55">
        <v>278630</v>
      </c>
      <c r="F156" s="56">
        <f t="shared" si="10"/>
        <v>0.99820191652011625</v>
      </c>
      <c r="G156" s="55">
        <v>501</v>
      </c>
      <c r="H156" s="55">
        <v>133398</v>
      </c>
      <c r="I156" s="56">
        <f t="shared" si="11"/>
        <v>0.47876395219466678</v>
      </c>
      <c r="J156" s="55">
        <v>2024</v>
      </c>
      <c r="K156" s="56">
        <f t="shared" si="12"/>
        <v>7.2641136991709434E-3</v>
      </c>
      <c r="L156" s="56">
        <f t="shared" si="13"/>
        <v>1.5172641268984542E-2</v>
      </c>
      <c r="M156" s="55">
        <v>298</v>
      </c>
      <c r="N156" s="56">
        <f t="shared" si="14"/>
        <v>1.0695187165775401E-3</v>
      </c>
      <c r="O156" s="53" t="s">
        <v>452</v>
      </c>
    </row>
    <row r="157" spans="1:15" x14ac:dyDescent="0.25">
      <c r="A157" s="58" t="s">
        <v>503</v>
      </c>
      <c r="B157" s="53" t="s">
        <v>444</v>
      </c>
      <c r="C157" s="53" t="s">
        <v>452</v>
      </c>
      <c r="D157" s="54">
        <v>44964</v>
      </c>
      <c r="E157" s="55">
        <v>19548</v>
      </c>
      <c r="F157" s="56">
        <f t="shared" si="10"/>
        <v>0.99866994065889092</v>
      </c>
      <c r="G157" s="55">
        <v>26</v>
      </c>
      <c r="H157" s="55">
        <v>7601</v>
      </c>
      <c r="I157" s="56">
        <f t="shared" si="11"/>
        <v>0.38883773276038469</v>
      </c>
      <c r="J157" s="55">
        <v>147</v>
      </c>
      <c r="K157" s="56">
        <f t="shared" si="12"/>
        <v>7.5199508901166359E-3</v>
      </c>
      <c r="L157" s="56">
        <f t="shared" si="13"/>
        <v>1.9339560584133667E-2</v>
      </c>
      <c r="M157" s="55">
        <v>56</v>
      </c>
      <c r="N157" s="56">
        <f t="shared" si="14"/>
        <v>2.8647431962349089E-3</v>
      </c>
      <c r="O157" s="53" t="s">
        <v>452</v>
      </c>
    </row>
    <row r="158" spans="1:15" x14ac:dyDescent="0.25">
      <c r="A158" s="58" t="s">
        <v>503</v>
      </c>
      <c r="B158" s="53" t="s">
        <v>439</v>
      </c>
      <c r="C158" s="53" t="s">
        <v>452</v>
      </c>
      <c r="D158" s="54">
        <v>44964</v>
      </c>
      <c r="E158" s="55">
        <v>21578</v>
      </c>
      <c r="F158" s="56">
        <f t="shared" si="10"/>
        <v>0.99888775604782654</v>
      </c>
      <c r="G158" s="55">
        <v>24</v>
      </c>
      <c r="H158" s="55">
        <v>8888</v>
      </c>
      <c r="I158" s="56">
        <f t="shared" si="11"/>
        <v>0.41190101028825654</v>
      </c>
      <c r="J158" s="55">
        <v>140</v>
      </c>
      <c r="K158" s="56">
        <f t="shared" si="12"/>
        <v>6.4880897210121422E-3</v>
      </c>
      <c r="L158" s="56">
        <f t="shared" si="13"/>
        <v>1.5751575157515751E-2</v>
      </c>
      <c r="M158" s="55">
        <v>34</v>
      </c>
      <c r="N158" s="56">
        <f t="shared" si="14"/>
        <v>1.575678932245806E-3</v>
      </c>
      <c r="O158" s="53" t="s">
        <v>452</v>
      </c>
    </row>
    <row r="159" spans="1:15" hidden="1" x14ac:dyDescent="0.25">
      <c r="A159" s="58" t="s">
        <v>19</v>
      </c>
      <c r="B159" s="53" t="s">
        <v>444</v>
      </c>
      <c r="C159" s="53" t="s">
        <v>443</v>
      </c>
      <c r="D159" s="54">
        <v>44964</v>
      </c>
      <c r="E159" s="55">
        <v>423191</v>
      </c>
      <c r="F159" s="56">
        <f t="shared" si="10"/>
        <v>0.99862000845953713</v>
      </c>
      <c r="G159" s="55">
        <v>584</v>
      </c>
      <c r="H159" s="55">
        <v>165354</v>
      </c>
      <c r="I159" s="56">
        <f t="shared" si="11"/>
        <v>0.39073137188645318</v>
      </c>
      <c r="J159" s="55">
        <v>2220</v>
      </c>
      <c r="K159" s="56">
        <f t="shared" si="12"/>
        <v>5.2458582531292016E-3</v>
      </c>
      <c r="L159" s="56">
        <f t="shared" si="13"/>
        <v>1.3425741137196559E-2</v>
      </c>
      <c r="M159" s="55">
        <v>569</v>
      </c>
      <c r="N159" s="56">
        <f t="shared" si="14"/>
        <v>1.3445465522659982E-3</v>
      </c>
      <c r="O159" s="53" t="s">
        <v>443</v>
      </c>
    </row>
    <row r="160" spans="1:15" hidden="1" x14ac:dyDescent="0.25">
      <c r="A160" s="58" t="s">
        <v>19</v>
      </c>
      <c r="B160" s="53" t="s">
        <v>439</v>
      </c>
      <c r="C160" s="53" t="s">
        <v>443</v>
      </c>
      <c r="D160" s="54">
        <v>44964</v>
      </c>
      <c r="E160" s="55">
        <v>211898</v>
      </c>
      <c r="F160" s="56">
        <f t="shared" si="10"/>
        <v>0.99800375652436546</v>
      </c>
      <c r="G160" s="55">
        <v>423</v>
      </c>
      <c r="H160" s="55">
        <v>77828</v>
      </c>
      <c r="I160" s="56">
        <f t="shared" si="11"/>
        <v>0.36728992250988685</v>
      </c>
      <c r="J160" s="55">
        <v>1608</v>
      </c>
      <c r="K160" s="56">
        <f t="shared" si="12"/>
        <v>7.5885567584403815E-3</v>
      </c>
      <c r="L160" s="56">
        <f t="shared" si="13"/>
        <v>2.0660944647170686E-2</v>
      </c>
      <c r="M160" s="55">
        <v>126</v>
      </c>
      <c r="N160" s="56">
        <f t="shared" si="14"/>
        <v>5.946257161464478E-4</v>
      </c>
      <c r="O160" s="53" t="s">
        <v>443</v>
      </c>
    </row>
    <row r="161" spans="1:15" hidden="1" x14ac:dyDescent="0.25">
      <c r="A161" s="58" t="s">
        <v>18</v>
      </c>
      <c r="B161" s="53" t="s">
        <v>444</v>
      </c>
      <c r="C161" s="53" t="s">
        <v>443</v>
      </c>
      <c r="D161" s="54">
        <v>44964</v>
      </c>
      <c r="E161" s="55">
        <v>25117</v>
      </c>
      <c r="F161" s="56">
        <f t="shared" si="10"/>
        <v>0.99940279491977546</v>
      </c>
      <c r="G161" s="55">
        <v>15</v>
      </c>
      <c r="H161" s="55">
        <v>9540</v>
      </c>
      <c r="I161" s="56">
        <f t="shared" si="11"/>
        <v>0.37982243102281321</v>
      </c>
      <c r="J161" s="55">
        <v>213</v>
      </c>
      <c r="K161" s="56">
        <f t="shared" si="12"/>
        <v>8.4803121391885967E-3</v>
      </c>
      <c r="L161" s="56">
        <f t="shared" si="13"/>
        <v>2.2327044025157231E-2</v>
      </c>
      <c r="M161" s="55">
        <v>26</v>
      </c>
      <c r="N161" s="56">
        <f t="shared" si="14"/>
        <v>1.0351554723892185E-3</v>
      </c>
      <c r="O161" s="53" t="s">
        <v>443</v>
      </c>
    </row>
    <row r="162" spans="1:15" hidden="1" x14ac:dyDescent="0.25">
      <c r="A162" s="58" t="s">
        <v>18</v>
      </c>
      <c r="B162" s="53" t="s">
        <v>439</v>
      </c>
      <c r="C162" s="53" t="s">
        <v>443</v>
      </c>
      <c r="D162" s="54">
        <v>44964</v>
      </c>
      <c r="E162" s="55">
        <v>22832</v>
      </c>
      <c r="F162" s="56">
        <f t="shared" si="10"/>
        <v>0.99938682550805891</v>
      </c>
      <c r="G162" s="55">
        <v>14</v>
      </c>
      <c r="H162" s="55">
        <v>8237</v>
      </c>
      <c r="I162" s="56">
        <f t="shared" si="11"/>
        <v>0.3607655921513665</v>
      </c>
      <c r="J162" s="55">
        <v>235</v>
      </c>
      <c r="K162" s="56">
        <f t="shared" si="12"/>
        <v>1.0292571829011913E-2</v>
      </c>
      <c r="L162" s="56">
        <f t="shared" si="13"/>
        <v>2.8529804540488042E-2</v>
      </c>
      <c r="M162" s="55">
        <v>14</v>
      </c>
      <c r="N162" s="56">
        <f t="shared" si="14"/>
        <v>6.1317449194113526E-4</v>
      </c>
      <c r="O162" s="53" t="s">
        <v>443</v>
      </c>
    </row>
    <row r="163" spans="1:15" hidden="1" x14ac:dyDescent="0.25">
      <c r="A163" s="58" t="s">
        <v>504</v>
      </c>
      <c r="B163" s="53" t="s">
        <v>444</v>
      </c>
      <c r="C163" s="53" t="s">
        <v>443</v>
      </c>
      <c r="D163" s="54">
        <v>44965</v>
      </c>
      <c r="E163" s="55">
        <v>2520980</v>
      </c>
      <c r="F163" s="56">
        <f t="shared" si="10"/>
        <v>0.9980261644281192</v>
      </c>
      <c r="G163" s="55">
        <v>4976</v>
      </c>
      <c r="H163" s="55">
        <v>928809</v>
      </c>
      <c r="I163" s="56">
        <f t="shared" si="11"/>
        <v>0.36843172099738991</v>
      </c>
      <c r="J163" s="55">
        <v>13439</v>
      </c>
      <c r="K163" s="56">
        <f t="shared" si="12"/>
        <v>5.3308633943942437E-3</v>
      </c>
      <c r="L163" s="56">
        <f t="shared" si="13"/>
        <v>1.446906737553146E-2</v>
      </c>
      <c r="M163" s="55">
        <v>9534</v>
      </c>
      <c r="N163" s="56">
        <f t="shared" si="14"/>
        <v>3.7818626089853946E-3</v>
      </c>
      <c r="O163" s="53" t="s">
        <v>443</v>
      </c>
    </row>
    <row r="164" spans="1:15" hidden="1" x14ac:dyDescent="0.25">
      <c r="A164" s="58" t="s">
        <v>504</v>
      </c>
      <c r="B164" s="53" t="s">
        <v>439</v>
      </c>
      <c r="C164" s="53" t="s">
        <v>443</v>
      </c>
      <c r="D164" s="54">
        <v>44965</v>
      </c>
      <c r="E164" s="55">
        <v>2200578</v>
      </c>
      <c r="F164" s="56">
        <f t="shared" si="10"/>
        <v>0.99779966899605466</v>
      </c>
      <c r="G164" s="55">
        <v>4842</v>
      </c>
      <c r="H164" s="55">
        <v>1001588</v>
      </c>
      <c r="I164" s="56">
        <f t="shared" si="11"/>
        <v>0.45514769301519875</v>
      </c>
      <c r="J164" s="55">
        <v>11450</v>
      </c>
      <c r="K164" s="56">
        <f t="shared" si="12"/>
        <v>5.2031784376650137E-3</v>
      </c>
      <c r="L164" s="56">
        <f t="shared" si="13"/>
        <v>1.1431846228189635E-2</v>
      </c>
      <c r="M164" s="55">
        <v>3589</v>
      </c>
      <c r="N164" s="56">
        <f t="shared" si="14"/>
        <v>1.6309351452209375E-3</v>
      </c>
      <c r="O164" s="53" t="s">
        <v>443</v>
      </c>
    </row>
    <row r="165" spans="1:15" hidden="1" x14ac:dyDescent="0.25">
      <c r="A165" s="58" t="s">
        <v>505</v>
      </c>
      <c r="B165" s="53" t="s">
        <v>444</v>
      </c>
      <c r="C165" s="53" t="s">
        <v>443</v>
      </c>
      <c r="D165" s="54">
        <v>44965</v>
      </c>
      <c r="E165" s="55">
        <v>235847</v>
      </c>
      <c r="F165" s="56">
        <f t="shared" si="10"/>
        <v>0.99866862839043957</v>
      </c>
      <c r="G165" s="55">
        <v>314</v>
      </c>
      <c r="H165" s="55">
        <v>82451</v>
      </c>
      <c r="I165" s="56">
        <f t="shared" si="11"/>
        <v>0.34959528847091548</v>
      </c>
      <c r="J165" s="55">
        <v>1789</v>
      </c>
      <c r="K165" s="56">
        <f t="shared" si="12"/>
        <v>7.5854261449159839E-3</v>
      </c>
      <c r="L165" s="56">
        <f t="shared" si="13"/>
        <v>2.1697735624795333E-2</v>
      </c>
      <c r="M165" s="55">
        <v>1782</v>
      </c>
      <c r="N165" s="56">
        <f t="shared" si="14"/>
        <v>7.5557458861041267E-3</v>
      </c>
      <c r="O165" s="53" t="s">
        <v>443</v>
      </c>
    </row>
    <row r="166" spans="1:15" hidden="1" x14ac:dyDescent="0.25">
      <c r="A166" s="58" t="s">
        <v>505</v>
      </c>
      <c r="B166" s="53" t="s">
        <v>439</v>
      </c>
      <c r="C166" s="53" t="s">
        <v>443</v>
      </c>
      <c r="D166" s="54">
        <v>44965</v>
      </c>
      <c r="E166" s="55">
        <v>124377</v>
      </c>
      <c r="F166" s="56">
        <f t="shared" si="10"/>
        <v>0.99925227333027811</v>
      </c>
      <c r="G166" s="55">
        <v>93</v>
      </c>
      <c r="H166" s="55">
        <v>41618</v>
      </c>
      <c r="I166" s="56">
        <f t="shared" si="11"/>
        <v>0.33461170473640622</v>
      </c>
      <c r="J166" s="55">
        <v>618</v>
      </c>
      <c r="K166" s="56">
        <f t="shared" si="12"/>
        <v>4.968764321377747E-3</v>
      </c>
      <c r="L166" s="56">
        <f t="shared" si="13"/>
        <v>1.4849344033831514E-2</v>
      </c>
      <c r="M166" s="55">
        <v>94</v>
      </c>
      <c r="N166" s="56">
        <f t="shared" si="14"/>
        <v>7.557667414393336E-4</v>
      </c>
      <c r="O166" s="53" t="s">
        <v>443</v>
      </c>
    </row>
    <row r="167" spans="1:15" hidden="1" x14ac:dyDescent="0.25">
      <c r="A167" s="58" t="s">
        <v>506</v>
      </c>
      <c r="B167" s="53" t="s">
        <v>439</v>
      </c>
      <c r="C167" s="53" t="s">
        <v>440</v>
      </c>
      <c r="D167" s="54">
        <v>44966</v>
      </c>
      <c r="E167" s="55">
        <v>212563</v>
      </c>
      <c r="F167" s="56">
        <f t="shared" si="10"/>
        <v>0.99807586456721065</v>
      </c>
      <c r="G167" s="55">
        <v>409</v>
      </c>
      <c r="H167" s="55">
        <v>79584</v>
      </c>
      <c r="I167" s="56">
        <f t="shared" si="11"/>
        <v>0.37440194201248572</v>
      </c>
      <c r="J167" s="55">
        <v>2121</v>
      </c>
      <c r="K167" s="56">
        <f t="shared" si="12"/>
        <v>9.9782182223623114E-3</v>
      </c>
      <c r="L167" s="56">
        <f t="shared" si="13"/>
        <v>2.665108564535585E-2</v>
      </c>
      <c r="M167" s="55">
        <v>2066</v>
      </c>
      <c r="N167" s="56">
        <f t="shared" si="14"/>
        <v>9.7194714037720578E-3</v>
      </c>
      <c r="O167" s="53" t="s">
        <v>440</v>
      </c>
    </row>
    <row r="168" spans="1:15" hidden="1" x14ac:dyDescent="0.25">
      <c r="A168" s="58" t="s">
        <v>449</v>
      </c>
      <c r="B168" s="53"/>
      <c r="C168" s="53" t="s">
        <v>446</v>
      </c>
      <c r="D168" s="54">
        <v>44966</v>
      </c>
      <c r="E168" s="55">
        <v>1671</v>
      </c>
      <c r="F168" s="56">
        <f t="shared" si="10"/>
        <v>0.99940155595451829</v>
      </c>
      <c r="G168" s="55">
        <v>1</v>
      </c>
      <c r="H168" s="55">
        <v>666</v>
      </c>
      <c r="I168" s="56">
        <f t="shared" si="11"/>
        <v>0.3985637342908438</v>
      </c>
      <c r="J168" s="55">
        <v>21</v>
      </c>
      <c r="K168" s="56">
        <f t="shared" si="12"/>
        <v>1.2567324955116697E-2</v>
      </c>
      <c r="L168" s="56">
        <f t="shared" si="13"/>
        <v>3.1531531531531529E-2</v>
      </c>
      <c r="M168" s="55">
        <v>0</v>
      </c>
      <c r="N168" s="56">
        <f t="shared" si="14"/>
        <v>0</v>
      </c>
      <c r="O168" s="53" t="s">
        <v>446</v>
      </c>
    </row>
    <row r="169" spans="1:15" hidden="1" x14ac:dyDescent="0.25">
      <c r="A169" s="58" t="s">
        <v>507</v>
      </c>
      <c r="B169" s="53" t="s">
        <v>439</v>
      </c>
      <c r="C169" s="53" t="s">
        <v>443</v>
      </c>
      <c r="D169" s="54">
        <v>44966</v>
      </c>
      <c r="E169" s="55">
        <v>145794</v>
      </c>
      <c r="F169" s="56">
        <f t="shared" si="10"/>
        <v>0.99858018848512287</v>
      </c>
      <c r="G169" s="55">
        <v>207</v>
      </c>
      <c r="H169" s="55">
        <v>58340</v>
      </c>
      <c r="I169" s="56">
        <f t="shared" si="11"/>
        <v>0.40015364143929105</v>
      </c>
      <c r="J169" s="55">
        <v>783</v>
      </c>
      <c r="K169" s="56">
        <f t="shared" si="12"/>
        <v>5.3705913823614143E-3</v>
      </c>
      <c r="L169" s="56">
        <f t="shared" si="13"/>
        <v>1.3421323277339733E-2</v>
      </c>
      <c r="M169" s="55">
        <v>126</v>
      </c>
      <c r="N169" s="56">
        <f t="shared" si="14"/>
        <v>8.6423309601218155E-4</v>
      </c>
      <c r="O169" s="53" t="s">
        <v>443</v>
      </c>
    </row>
    <row r="170" spans="1:15" hidden="1" x14ac:dyDescent="0.25">
      <c r="A170" s="58" t="s">
        <v>508</v>
      </c>
      <c r="B170" s="53" t="s">
        <v>444</v>
      </c>
      <c r="C170" s="53" t="s">
        <v>443</v>
      </c>
      <c r="D170" s="54">
        <v>44966</v>
      </c>
      <c r="E170" s="55">
        <v>17001</v>
      </c>
      <c r="F170" s="56">
        <f t="shared" si="10"/>
        <v>0.99764719722369277</v>
      </c>
      <c r="G170" s="55">
        <v>40</v>
      </c>
      <c r="H170" s="55">
        <v>6851</v>
      </c>
      <c r="I170" s="56">
        <f t="shared" si="11"/>
        <v>0.40297629551202868</v>
      </c>
      <c r="J170" s="55">
        <v>106</v>
      </c>
      <c r="K170" s="56">
        <f t="shared" si="12"/>
        <v>6.2349273572142819E-3</v>
      </c>
      <c r="L170" s="56">
        <f t="shared" si="13"/>
        <v>1.5472193840315283E-2</v>
      </c>
      <c r="M170" s="55">
        <v>34</v>
      </c>
      <c r="N170" s="56">
        <f t="shared" si="14"/>
        <v>1.9998823598611848E-3</v>
      </c>
      <c r="O170" s="53" t="s">
        <v>443</v>
      </c>
    </row>
    <row r="171" spans="1:15" hidden="1" x14ac:dyDescent="0.25">
      <c r="A171" s="58" t="s">
        <v>508</v>
      </c>
      <c r="B171" s="53" t="s">
        <v>439</v>
      </c>
      <c r="C171" s="53" t="s">
        <v>443</v>
      </c>
      <c r="D171" s="54">
        <v>44966</v>
      </c>
      <c r="E171" s="55">
        <v>42932</v>
      </c>
      <c r="F171" s="56">
        <f t="shared" si="10"/>
        <v>0.99843939252771829</v>
      </c>
      <c r="G171" s="55">
        <v>67</v>
      </c>
      <c r="H171" s="55">
        <v>17067</v>
      </c>
      <c r="I171" s="56">
        <f t="shared" si="11"/>
        <v>0.39753563775272521</v>
      </c>
      <c r="J171" s="55">
        <v>169</v>
      </c>
      <c r="K171" s="56">
        <f t="shared" si="12"/>
        <v>3.9364576539644086E-3</v>
      </c>
      <c r="L171" s="56">
        <f t="shared" si="13"/>
        <v>9.9021503486260033E-3</v>
      </c>
      <c r="M171" s="55">
        <v>21</v>
      </c>
      <c r="N171" s="56">
        <f t="shared" si="14"/>
        <v>4.891456256405478E-4</v>
      </c>
      <c r="O171" s="53" t="s">
        <v>443</v>
      </c>
    </row>
    <row r="172" spans="1:15" x14ac:dyDescent="0.25">
      <c r="A172" s="58" t="s">
        <v>453</v>
      </c>
      <c r="B172" s="53" t="s">
        <v>444</v>
      </c>
      <c r="C172" s="53" t="s">
        <v>452</v>
      </c>
      <c r="D172" s="54">
        <v>44967</v>
      </c>
      <c r="E172" s="55">
        <v>333199</v>
      </c>
      <c r="F172" s="56">
        <f t="shared" si="10"/>
        <v>0.99785113400700487</v>
      </c>
      <c r="G172" s="55">
        <v>716</v>
      </c>
      <c r="H172" s="55">
        <v>123850</v>
      </c>
      <c r="I172" s="56">
        <f t="shared" si="11"/>
        <v>0.37169979501739203</v>
      </c>
      <c r="J172" s="55">
        <v>2709</v>
      </c>
      <c r="K172" s="56">
        <f t="shared" si="12"/>
        <v>8.1302765014300768E-3</v>
      </c>
      <c r="L172" s="56">
        <f t="shared" si="13"/>
        <v>2.1873233750504643E-2</v>
      </c>
      <c r="M172" s="55">
        <v>417</v>
      </c>
      <c r="N172" s="56">
        <f t="shared" si="14"/>
        <v>1.2515043562555709E-3</v>
      </c>
      <c r="O172" s="53" t="s">
        <v>452</v>
      </c>
    </row>
    <row r="173" spans="1:15" x14ac:dyDescent="0.25">
      <c r="A173" s="58" t="s">
        <v>451</v>
      </c>
      <c r="B173" s="53" t="s">
        <v>444</v>
      </c>
      <c r="C173" s="53" t="s">
        <v>452</v>
      </c>
      <c r="D173" s="54">
        <v>44967</v>
      </c>
      <c r="E173" s="55">
        <v>248900</v>
      </c>
      <c r="F173" s="56">
        <f t="shared" si="10"/>
        <v>0.99873844917637611</v>
      </c>
      <c r="G173" s="55">
        <v>314</v>
      </c>
      <c r="H173" s="55">
        <v>111507</v>
      </c>
      <c r="I173" s="56">
        <f t="shared" si="11"/>
        <v>0.44799919646444353</v>
      </c>
      <c r="J173" s="55">
        <v>1758</v>
      </c>
      <c r="K173" s="56">
        <f t="shared" si="12"/>
        <v>7.0630775411811971E-3</v>
      </c>
      <c r="L173" s="56">
        <f t="shared" si="13"/>
        <v>1.5765826360676909E-2</v>
      </c>
      <c r="M173" s="55">
        <v>400</v>
      </c>
      <c r="N173" s="56">
        <f t="shared" si="14"/>
        <v>1.6070711128967456E-3</v>
      </c>
      <c r="O173" s="53" t="s">
        <v>452</v>
      </c>
    </row>
    <row r="174" spans="1:15" hidden="1" x14ac:dyDescent="0.25">
      <c r="A174" s="58" t="s">
        <v>509</v>
      </c>
      <c r="B174" s="53" t="s">
        <v>444</v>
      </c>
      <c r="C174" s="53" t="s">
        <v>443</v>
      </c>
      <c r="D174" s="54">
        <v>44967</v>
      </c>
      <c r="E174" s="55">
        <v>2397128</v>
      </c>
      <c r="F174" s="56">
        <f t="shared" si="10"/>
        <v>0.99773437213198457</v>
      </c>
      <c r="G174" s="55">
        <v>5431</v>
      </c>
      <c r="H174" s="55">
        <v>865159</v>
      </c>
      <c r="I174" s="56">
        <f t="shared" si="11"/>
        <v>0.36091481139096454</v>
      </c>
      <c r="J174" s="55">
        <v>12529</v>
      </c>
      <c r="K174" s="56">
        <f t="shared" si="12"/>
        <v>5.2266712499290822E-3</v>
      </c>
      <c r="L174" s="56">
        <f t="shared" si="13"/>
        <v>1.448173110376243E-2</v>
      </c>
      <c r="M174" s="55">
        <v>7661</v>
      </c>
      <c r="N174" s="56">
        <f t="shared" si="14"/>
        <v>3.1959077696309918E-3</v>
      </c>
      <c r="O174" s="53" t="s">
        <v>443</v>
      </c>
    </row>
    <row r="175" spans="1:15" hidden="1" x14ac:dyDescent="0.25">
      <c r="A175" s="58" t="s">
        <v>509</v>
      </c>
      <c r="B175" s="53" t="s">
        <v>439</v>
      </c>
      <c r="C175" s="53" t="s">
        <v>443</v>
      </c>
      <c r="D175" s="54">
        <v>44967</v>
      </c>
      <c r="E175" s="55">
        <v>2101851</v>
      </c>
      <c r="F175" s="56">
        <f t="shared" si="10"/>
        <v>0.99799985822020687</v>
      </c>
      <c r="G175" s="55">
        <v>4204</v>
      </c>
      <c r="H175" s="55">
        <v>772971</v>
      </c>
      <c r="I175" s="56">
        <f t="shared" si="11"/>
        <v>0.36775727680030601</v>
      </c>
      <c r="J175" s="55">
        <v>8957</v>
      </c>
      <c r="K175" s="56">
        <f t="shared" si="12"/>
        <v>4.261481903331873E-3</v>
      </c>
      <c r="L175" s="56">
        <f t="shared" si="13"/>
        <v>1.1587756849868883E-2</v>
      </c>
      <c r="M175" s="55">
        <v>1966</v>
      </c>
      <c r="N175" s="56">
        <f t="shared" si="14"/>
        <v>9.3536601785759309E-4</v>
      </c>
      <c r="O175" s="53" t="s">
        <v>443</v>
      </c>
    </row>
    <row r="176" spans="1:15" hidden="1" x14ac:dyDescent="0.25">
      <c r="A176" s="58" t="s">
        <v>510</v>
      </c>
      <c r="B176" s="53" t="s">
        <v>444</v>
      </c>
      <c r="C176" s="53" t="s">
        <v>443</v>
      </c>
      <c r="D176" s="54">
        <v>44967</v>
      </c>
      <c r="E176" s="55">
        <v>223458</v>
      </c>
      <c r="F176" s="56">
        <f t="shared" si="10"/>
        <v>0.9986529907186138</v>
      </c>
      <c r="G176" s="55">
        <v>301</v>
      </c>
      <c r="H176" s="55">
        <v>76431</v>
      </c>
      <c r="I176" s="56">
        <f t="shared" si="11"/>
        <v>0.34203742985258972</v>
      </c>
      <c r="J176" s="55">
        <v>1622</v>
      </c>
      <c r="K176" s="56">
        <f t="shared" si="12"/>
        <v>7.2586347322539362E-3</v>
      </c>
      <c r="L176" s="56">
        <f t="shared" si="13"/>
        <v>2.1221755570383746E-2</v>
      </c>
      <c r="M176" s="55">
        <v>1167</v>
      </c>
      <c r="N176" s="56">
        <f t="shared" si="14"/>
        <v>5.2224579115538487E-3</v>
      </c>
      <c r="O176" s="53" t="s">
        <v>443</v>
      </c>
    </row>
    <row r="177" spans="1:15" hidden="1" x14ac:dyDescent="0.25">
      <c r="A177" s="58" t="s">
        <v>510</v>
      </c>
      <c r="B177" s="53" t="s">
        <v>439</v>
      </c>
      <c r="C177" s="53" t="s">
        <v>443</v>
      </c>
      <c r="D177" s="54">
        <v>44967</v>
      </c>
      <c r="E177" s="55">
        <v>118347</v>
      </c>
      <c r="F177" s="56">
        <f t="shared" si="10"/>
        <v>0.99912967798085295</v>
      </c>
      <c r="G177" s="55">
        <v>103</v>
      </c>
      <c r="H177" s="55">
        <v>39219</v>
      </c>
      <c r="I177" s="56">
        <f t="shared" si="11"/>
        <v>0.33138989581484957</v>
      </c>
      <c r="J177" s="55">
        <v>536</v>
      </c>
      <c r="K177" s="56">
        <f t="shared" si="12"/>
        <v>4.5290543909013324E-3</v>
      </c>
      <c r="L177" s="56">
        <f t="shared" si="13"/>
        <v>1.3666845151584691E-2</v>
      </c>
      <c r="M177" s="55">
        <v>84</v>
      </c>
      <c r="N177" s="56">
        <f t="shared" si="14"/>
        <v>7.0977718066364168E-4</v>
      </c>
      <c r="O177" s="53" t="s">
        <v>443</v>
      </c>
    </row>
    <row r="178" spans="1:15" hidden="1" x14ac:dyDescent="0.25">
      <c r="A178" s="58" t="s">
        <v>511</v>
      </c>
      <c r="B178" s="53" t="s">
        <v>439</v>
      </c>
      <c r="C178" s="53" t="s">
        <v>443</v>
      </c>
      <c r="D178" s="54">
        <v>44967</v>
      </c>
      <c r="E178" s="55">
        <v>16629</v>
      </c>
      <c r="F178" s="56">
        <f t="shared" si="10"/>
        <v>0.99861687413554634</v>
      </c>
      <c r="G178" s="55">
        <v>23</v>
      </c>
      <c r="H178" s="55">
        <v>6314</v>
      </c>
      <c r="I178" s="56">
        <f t="shared" si="11"/>
        <v>0.37969811774610618</v>
      </c>
      <c r="J178" s="55">
        <v>52</v>
      </c>
      <c r="K178" s="56">
        <f t="shared" si="12"/>
        <v>3.1270671718082866E-3</v>
      </c>
      <c r="L178" s="56">
        <f t="shared" si="13"/>
        <v>8.2356667722521381E-3</v>
      </c>
      <c r="M178" s="55">
        <v>13</v>
      </c>
      <c r="N178" s="56">
        <f t="shared" si="14"/>
        <v>7.8176679295207166E-4</v>
      </c>
      <c r="O178" s="53" t="s">
        <v>443</v>
      </c>
    </row>
    <row r="179" spans="1:15" hidden="1" x14ac:dyDescent="0.25">
      <c r="A179" s="58" t="s">
        <v>512</v>
      </c>
      <c r="B179" s="53" t="s">
        <v>439</v>
      </c>
      <c r="C179" s="53" t="s">
        <v>443</v>
      </c>
      <c r="D179" s="54">
        <v>44967</v>
      </c>
      <c r="E179" s="55">
        <v>315541</v>
      </c>
      <c r="F179" s="56">
        <f t="shared" si="10"/>
        <v>0.99837105162245154</v>
      </c>
      <c r="G179" s="55">
        <v>514</v>
      </c>
      <c r="H179" s="55">
        <v>123936</v>
      </c>
      <c r="I179" s="56">
        <f t="shared" si="11"/>
        <v>0.3927730469257561</v>
      </c>
      <c r="J179" s="55">
        <v>903</v>
      </c>
      <c r="K179" s="56">
        <f t="shared" si="12"/>
        <v>2.8617517216463152E-3</v>
      </c>
      <c r="L179" s="56">
        <f t="shared" si="13"/>
        <v>7.2860185902401241E-3</v>
      </c>
      <c r="M179" s="55">
        <v>231</v>
      </c>
      <c r="N179" s="56">
        <f t="shared" si="14"/>
        <v>7.3207602181649925E-4</v>
      </c>
      <c r="O179" s="53" t="s">
        <v>443</v>
      </c>
    </row>
    <row r="180" spans="1:15" hidden="1" x14ac:dyDescent="0.25">
      <c r="A180" s="58" t="s">
        <v>513</v>
      </c>
      <c r="B180" s="53" t="s">
        <v>439</v>
      </c>
      <c r="C180" s="53" t="s">
        <v>443</v>
      </c>
      <c r="D180" s="54">
        <v>44967</v>
      </c>
      <c r="E180" s="55">
        <v>1362</v>
      </c>
      <c r="F180" s="56">
        <f t="shared" si="10"/>
        <v>0.99926578560939794</v>
      </c>
      <c r="G180" s="55">
        <v>1</v>
      </c>
      <c r="H180" s="55">
        <v>483</v>
      </c>
      <c r="I180" s="56">
        <f t="shared" si="11"/>
        <v>0.35462555066079293</v>
      </c>
      <c r="J180" s="55">
        <v>5</v>
      </c>
      <c r="K180" s="56">
        <f t="shared" si="12"/>
        <v>3.6710719530102789E-3</v>
      </c>
      <c r="L180" s="56">
        <f t="shared" si="13"/>
        <v>1.0351966873706004E-2</v>
      </c>
      <c r="M180" s="55">
        <v>0</v>
      </c>
      <c r="N180" s="56">
        <f t="shared" si="14"/>
        <v>0</v>
      </c>
      <c r="O180" s="53" t="s">
        <v>443</v>
      </c>
    </row>
    <row r="181" spans="1:15" hidden="1" x14ac:dyDescent="0.25">
      <c r="A181" s="58" t="s">
        <v>514</v>
      </c>
      <c r="B181" s="53" t="s">
        <v>439</v>
      </c>
      <c r="C181" s="53" t="s">
        <v>443</v>
      </c>
      <c r="D181" s="54">
        <v>44967</v>
      </c>
      <c r="E181" s="55">
        <v>25465</v>
      </c>
      <c r="F181" s="56">
        <f t="shared" si="10"/>
        <v>0.99929314745729436</v>
      </c>
      <c r="G181" s="55">
        <v>18</v>
      </c>
      <c r="H181" s="55">
        <v>8914</v>
      </c>
      <c r="I181" s="56">
        <f t="shared" si="11"/>
        <v>0.35004908698213233</v>
      </c>
      <c r="J181" s="55">
        <v>71</v>
      </c>
      <c r="K181" s="56">
        <f t="shared" si="12"/>
        <v>2.7881405851168271E-3</v>
      </c>
      <c r="L181" s="56">
        <f t="shared" si="13"/>
        <v>7.964998878169172E-3</v>
      </c>
      <c r="M181" s="55">
        <v>14</v>
      </c>
      <c r="N181" s="56">
        <f t="shared" si="14"/>
        <v>5.4977419988219125E-4</v>
      </c>
      <c r="O181" s="53" t="s">
        <v>443</v>
      </c>
    </row>
    <row r="182" spans="1:15" hidden="1" x14ac:dyDescent="0.25">
      <c r="A182" s="58" t="s">
        <v>23</v>
      </c>
      <c r="B182" s="53" t="s">
        <v>444</v>
      </c>
      <c r="C182" s="53" t="s">
        <v>443</v>
      </c>
      <c r="D182" s="54">
        <v>44967</v>
      </c>
      <c r="E182" s="55">
        <v>2176409</v>
      </c>
      <c r="F182" s="56">
        <f t="shared" si="10"/>
        <v>0.99820254373144024</v>
      </c>
      <c r="G182" s="55">
        <v>3912</v>
      </c>
      <c r="H182" s="55">
        <v>784867</v>
      </c>
      <c r="I182" s="56">
        <f t="shared" si="11"/>
        <v>0.36062477227396139</v>
      </c>
      <c r="J182" s="55">
        <v>14505</v>
      </c>
      <c r="K182" s="56">
        <f t="shared" si="12"/>
        <v>6.6646480509867405E-3</v>
      </c>
      <c r="L182" s="56">
        <f t="shared" si="13"/>
        <v>1.8480838154744689E-2</v>
      </c>
      <c r="M182" s="55">
        <v>7705</v>
      </c>
      <c r="N182" s="56">
        <f t="shared" si="14"/>
        <v>3.5402353142263243E-3</v>
      </c>
      <c r="O182" s="53" t="s">
        <v>443</v>
      </c>
    </row>
    <row r="183" spans="1:15" hidden="1" x14ac:dyDescent="0.25">
      <c r="A183" s="58" t="s">
        <v>23</v>
      </c>
      <c r="B183" s="53" t="s">
        <v>439</v>
      </c>
      <c r="C183" s="53" t="s">
        <v>443</v>
      </c>
      <c r="D183" s="54">
        <v>44967</v>
      </c>
      <c r="E183" s="55">
        <v>1701825</v>
      </c>
      <c r="F183" s="56">
        <f t="shared" si="10"/>
        <v>0.99803916383882008</v>
      </c>
      <c r="G183" s="55">
        <v>3337</v>
      </c>
      <c r="H183" s="55">
        <v>626473</v>
      </c>
      <c r="I183" s="56">
        <f t="shared" si="11"/>
        <v>0.36811834354296125</v>
      </c>
      <c r="J183" s="55">
        <v>9672</v>
      </c>
      <c r="K183" s="56">
        <f t="shared" si="12"/>
        <v>5.6833105636596003E-3</v>
      </c>
      <c r="L183" s="56">
        <f t="shared" si="13"/>
        <v>1.543881380362761E-2</v>
      </c>
      <c r="M183" s="55">
        <v>1950</v>
      </c>
      <c r="N183" s="56">
        <f t="shared" si="14"/>
        <v>1.1458287426733065E-3</v>
      </c>
      <c r="O183" s="53" t="s">
        <v>443</v>
      </c>
    </row>
    <row r="184" spans="1:15" hidden="1" x14ac:dyDescent="0.25">
      <c r="A184" s="58" t="s">
        <v>22</v>
      </c>
      <c r="B184" s="53" t="s">
        <v>444</v>
      </c>
      <c r="C184" s="53" t="s">
        <v>443</v>
      </c>
      <c r="D184" s="54">
        <v>44967</v>
      </c>
      <c r="E184" s="55">
        <v>195605</v>
      </c>
      <c r="F184" s="56">
        <f t="shared" si="10"/>
        <v>0.99898264359295519</v>
      </c>
      <c r="G184" s="55">
        <v>199</v>
      </c>
      <c r="H184" s="55">
        <v>64938</v>
      </c>
      <c r="I184" s="56">
        <f t="shared" si="11"/>
        <v>0.33198537869686356</v>
      </c>
      <c r="J184" s="55">
        <v>1695</v>
      </c>
      <c r="K184" s="56">
        <f t="shared" si="12"/>
        <v>8.665422663019862E-3</v>
      </c>
      <c r="L184" s="56">
        <f t="shared" si="13"/>
        <v>2.6101820197727062E-2</v>
      </c>
      <c r="M184" s="55">
        <v>1095</v>
      </c>
      <c r="N184" s="56">
        <f t="shared" si="14"/>
        <v>5.5980164106234501E-3</v>
      </c>
      <c r="O184" s="53" t="s">
        <v>443</v>
      </c>
    </row>
    <row r="185" spans="1:15" hidden="1" x14ac:dyDescent="0.25">
      <c r="A185" s="58" t="s">
        <v>22</v>
      </c>
      <c r="B185" s="53" t="s">
        <v>439</v>
      </c>
      <c r="C185" s="53" t="s">
        <v>443</v>
      </c>
      <c r="D185" s="54">
        <v>44967</v>
      </c>
      <c r="E185" s="55">
        <v>96749</v>
      </c>
      <c r="F185" s="56">
        <f t="shared" si="10"/>
        <v>0.9992454702374185</v>
      </c>
      <c r="G185" s="55">
        <v>73</v>
      </c>
      <c r="H185" s="55">
        <v>30226</v>
      </c>
      <c r="I185" s="56">
        <f t="shared" si="11"/>
        <v>0.31241666580533134</v>
      </c>
      <c r="J185" s="55">
        <v>602</v>
      </c>
      <c r="K185" s="56">
        <f t="shared" si="12"/>
        <v>6.2222865352613461E-3</v>
      </c>
      <c r="L185" s="56">
        <f t="shared" si="13"/>
        <v>1.9916628068550254E-2</v>
      </c>
      <c r="M185" s="55">
        <v>84</v>
      </c>
      <c r="N185" s="56">
        <f t="shared" si="14"/>
        <v>8.6822602817600183E-4</v>
      </c>
      <c r="O185" s="53" t="s">
        <v>443</v>
      </c>
    </row>
    <row r="186" spans="1:15" hidden="1" x14ac:dyDescent="0.25">
      <c r="A186" s="52" t="s">
        <v>515</v>
      </c>
      <c r="B186" s="53" t="s">
        <v>439</v>
      </c>
      <c r="C186" s="53" t="s">
        <v>440</v>
      </c>
      <c r="D186" s="54">
        <v>44970</v>
      </c>
      <c r="E186" s="55">
        <v>11368</v>
      </c>
      <c r="F186" s="56">
        <f t="shared" si="10"/>
        <v>0.99736101337086558</v>
      </c>
      <c r="G186" s="55">
        <v>30</v>
      </c>
      <c r="H186" s="55">
        <v>4345</v>
      </c>
      <c r="I186" s="56">
        <f t="shared" si="11"/>
        <v>0.38221323011963404</v>
      </c>
      <c r="J186" s="55">
        <v>89</v>
      </c>
      <c r="K186" s="56">
        <f t="shared" si="12"/>
        <v>7.8289936664320894E-3</v>
      </c>
      <c r="L186" s="56">
        <f t="shared" si="13"/>
        <v>2.0483314154200231E-2</v>
      </c>
      <c r="M186" s="55">
        <v>7</v>
      </c>
      <c r="N186" s="56">
        <f t="shared" si="14"/>
        <v>6.1576354679802956E-4</v>
      </c>
      <c r="O186" s="53" t="s">
        <v>440</v>
      </c>
    </row>
    <row r="187" spans="1:15" hidden="1" x14ac:dyDescent="0.25">
      <c r="A187" s="52" t="s">
        <v>516</v>
      </c>
      <c r="B187" s="53" t="s">
        <v>439</v>
      </c>
      <c r="C187" s="53" t="s">
        <v>440</v>
      </c>
      <c r="D187" s="54">
        <v>44970</v>
      </c>
      <c r="E187" s="55">
        <v>10547</v>
      </c>
      <c r="F187" s="56">
        <f t="shared" si="10"/>
        <v>0.99706077557599315</v>
      </c>
      <c r="G187" s="55">
        <v>31</v>
      </c>
      <c r="H187" s="55">
        <v>3769</v>
      </c>
      <c r="I187" s="56">
        <f t="shared" si="11"/>
        <v>0.3573528017445719</v>
      </c>
      <c r="J187" s="55">
        <v>120</v>
      </c>
      <c r="K187" s="56">
        <f t="shared" si="12"/>
        <v>1.1377642931639328E-2</v>
      </c>
      <c r="L187" s="56">
        <f t="shared" si="13"/>
        <v>3.1838684001061289E-2</v>
      </c>
      <c r="M187" s="55">
        <v>12</v>
      </c>
      <c r="N187" s="56">
        <f t="shared" si="14"/>
        <v>1.1377642931639329E-3</v>
      </c>
      <c r="O187" s="53" t="s">
        <v>440</v>
      </c>
    </row>
    <row r="188" spans="1:15" hidden="1" x14ac:dyDescent="0.25">
      <c r="A188" s="52" t="s">
        <v>517</v>
      </c>
      <c r="B188" s="53" t="s">
        <v>439</v>
      </c>
      <c r="C188" s="53" t="s">
        <v>440</v>
      </c>
      <c r="D188" s="54">
        <v>44970</v>
      </c>
      <c r="E188" s="55">
        <v>12368</v>
      </c>
      <c r="F188" s="56">
        <f t="shared" si="10"/>
        <v>0.99854463130659765</v>
      </c>
      <c r="G188" s="55">
        <v>18</v>
      </c>
      <c r="H188" s="55">
        <v>4590</v>
      </c>
      <c r="I188" s="56">
        <f t="shared" si="11"/>
        <v>0.37111901681759379</v>
      </c>
      <c r="J188" s="55">
        <v>144</v>
      </c>
      <c r="K188" s="56">
        <f t="shared" si="12"/>
        <v>1.1642949547218629E-2</v>
      </c>
      <c r="L188" s="56">
        <f t="shared" si="13"/>
        <v>3.1372549019607843E-2</v>
      </c>
      <c r="M188" s="55">
        <v>11</v>
      </c>
      <c r="N188" s="56">
        <f t="shared" si="14"/>
        <v>8.8939197930142306E-4</v>
      </c>
      <c r="O188" s="53" t="s">
        <v>440</v>
      </c>
    </row>
    <row r="189" spans="1:15" hidden="1" x14ac:dyDescent="0.25">
      <c r="A189" s="52" t="s">
        <v>518</v>
      </c>
      <c r="B189" s="53" t="s">
        <v>439</v>
      </c>
      <c r="C189" s="53" t="s">
        <v>440</v>
      </c>
      <c r="D189" s="54">
        <v>44970</v>
      </c>
      <c r="E189" s="55">
        <v>268700</v>
      </c>
      <c r="F189" s="56">
        <f t="shared" si="10"/>
        <v>0.99769259397097132</v>
      </c>
      <c r="G189" s="55">
        <v>620</v>
      </c>
      <c r="H189" s="55">
        <v>94164</v>
      </c>
      <c r="I189" s="56">
        <f t="shared" si="11"/>
        <v>0.35044287309266842</v>
      </c>
      <c r="J189" s="55">
        <v>2598</v>
      </c>
      <c r="K189" s="56">
        <f t="shared" si="12"/>
        <v>9.6687755861555643E-3</v>
      </c>
      <c r="L189" s="56">
        <f t="shared" si="13"/>
        <v>2.7590161845291193E-2</v>
      </c>
      <c r="M189" s="55">
        <v>448</v>
      </c>
      <c r="N189" s="56">
        <f t="shared" si="14"/>
        <v>1.6672869371045776E-3</v>
      </c>
      <c r="O189" s="53" t="s">
        <v>440</v>
      </c>
    </row>
    <row r="190" spans="1:15" hidden="1" x14ac:dyDescent="0.25">
      <c r="A190" s="52" t="s">
        <v>519</v>
      </c>
      <c r="B190" s="53" t="s">
        <v>439</v>
      </c>
      <c r="C190" s="53" t="s">
        <v>440</v>
      </c>
      <c r="D190" s="54">
        <v>44971</v>
      </c>
      <c r="E190" s="55">
        <v>10533</v>
      </c>
      <c r="F190" s="56">
        <f t="shared" si="10"/>
        <v>0.99762650716794832</v>
      </c>
      <c r="G190" s="55">
        <v>25</v>
      </c>
      <c r="H190" s="55">
        <v>3766</v>
      </c>
      <c r="I190" s="56">
        <f t="shared" si="11"/>
        <v>0.35754296022026011</v>
      </c>
      <c r="J190" s="55">
        <v>74</v>
      </c>
      <c r="K190" s="56">
        <f t="shared" si="12"/>
        <v>7.0255387828728755E-3</v>
      </c>
      <c r="L190" s="56">
        <f t="shared" si="13"/>
        <v>1.9649495485926712E-2</v>
      </c>
      <c r="M190" s="55">
        <v>48</v>
      </c>
      <c r="N190" s="56">
        <f t="shared" si="14"/>
        <v>4.5571062375391628E-3</v>
      </c>
      <c r="O190" s="53" t="s">
        <v>440</v>
      </c>
    </row>
    <row r="191" spans="1:15" hidden="1" x14ac:dyDescent="0.25">
      <c r="A191" s="52" t="s">
        <v>520</v>
      </c>
      <c r="B191" s="53" t="s">
        <v>439</v>
      </c>
      <c r="C191" s="53" t="s">
        <v>440</v>
      </c>
      <c r="D191" s="54">
        <v>44971</v>
      </c>
      <c r="E191" s="55">
        <v>26598</v>
      </c>
      <c r="F191" s="56">
        <f t="shared" si="10"/>
        <v>0.99582675389127007</v>
      </c>
      <c r="G191" s="55">
        <v>111</v>
      </c>
      <c r="H191" s="55">
        <v>9640</v>
      </c>
      <c r="I191" s="56">
        <f t="shared" si="11"/>
        <v>0.36243326565907213</v>
      </c>
      <c r="J191" s="55">
        <v>179</v>
      </c>
      <c r="K191" s="56">
        <f t="shared" si="12"/>
        <v>6.7298293104744722E-3</v>
      </c>
      <c r="L191" s="56">
        <f t="shared" si="13"/>
        <v>1.8568464730290456E-2</v>
      </c>
      <c r="M191" s="55">
        <v>130</v>
      </c>
      <c r="N191" s="56">
        <f t="shared" si="14"/>
        <v>4.8875855327468231E-3</v>
      </c>
      <c r="O191" s="53" t="s">
        <v>440</v>
      </c>
    </row>
    <row r="192" spans="1:15" hidden="1" x14ac:dyDescent="0.25">
      <c r="A192" s="52" t="s">
        <v>521</v>
      </c>
      <c r="B192" s="53" t="s">
        <v>439</v>
      </c>
      <c r="C192" s="53" t="s">
        <v>440</v>
      </c>
      <c r="D192" s="54">
        <v>44971</v>
      </c>
      <c r="E192" s="55">
        <v>12340</v>
      </c>
      <c r="F192" s="56">
        <f t="shared" si="10"/>
        <v>0.99870340356564025</v>
      </c>
      <c r="G192" s="55">
        <v>16</v>
      </c>
      <c r="H192" s="55">
        <v>4585</v>
      </c>
      <c r="I192" s="56">
        <f t="shared" si="11"/>
        <v>0.37155591572123176</v>
      </c>
      <c r="J192" s="55">
        <v>89</v>
      </c>
      <c r="K192" s="56">
        <f t="shared" si="12"/>
        <v>7.2123176661264181E-3</v>
      </c>
      <c r="L192" s="56">
        <f t="shared" si="13"/>
        <v>1.9411123227917122E-2</v>
      </c>
      <c r="M192" s="55">
        <v>58</v>
      </c>
      <c r="N192" s="56">
        <f t="shared" si="14"/>
        <v>4.7001620745542949E-3</v>
      </c>
      <c r="O192" s="53" t="s">
        <v>440</v>
      </c>
    </row>
    <row r="193" spans="1:15" hidden="1" x14ac:dyDescent="0.25">
      <c r="A193" s="52" t="s">
        <v>522</v>
      </c>
      <c r="B193" s="53" t="s">
        <v>439</v>
      </c>
      <c r="C193" s="53" t="s">
        <v>440</v>
      </c>
      <c r="D193" s="54">
        <v>44971</v>
      </c>
      <c r="E193" s="55">
        <v>268120</v>
      </c>
      <c r="F193" s="56">
        <f t="shared" si="10"/>
        <v>0.99786662688348504</v>
      </c>
      <c r="G193" s="55">
        <v>572</v>
      </c>
      <c r="H193" s="55">
        <v>114038</v>
      </c>
      <c r="I193" s="56">
        <f t="shared" si="11"/>
        <v>0.42532448157541397</v>
      </c>
      <c r="J193" s="55">
        <v>2921</v>
      </c>
      <c r="K193" s="56">
        <f t="shared" si="12"/>
        <v>1.0894375652692825E-2</v>
      </c>
      <c r="L193" s="56">
        <f t="shared" si="13"/>
        <v>2.5614268927901227E-2</v>
      </c>
      <c r="M193" s="55">
        <v>2548</v>
      </c>
      <c r="N193" s="56">
        <f t="shared" si="14"/>
        <v>9.5032075190213342E-3</v>
      </c>
      <c r="O193" s="53" t="s">
        <v>440</v>
      </c>
    </row>
    <row r="194" spans="1:15" hidden="1" x14ac:dyDescent="0.25">
      <c r="A194" s="58" t="s">
        <v>18</v>
      </c>
      <c r="B194" s="53" t="s">
        <v>439</v>
      </c>
      <c r="C194" s="53" t="s">
        <v>443</v>
      </c>
      <c r="D194" s="54">
        <v>44971</v>
      </c>
      <c r="E194" s="55">
        <v>22832</v>
      </c>
      <c r="F194" s="56">
        <f t="shared" ref="F194:F257" si="15">(E194-G194)/E194</f>
        <v>0.99899264190609671</v>
      </c>
      <c r="G194" s="55">
        <v>23</v>
      </c>
      <c r="H194" s="55">
        <v>7975</v>
      </c>
      <c r="I194" s="56">
        <f t="shared" ref="I194:I257" si="16">H194/E194</f>
        <v>0.34929046951646814</v>
      </c>
      <c r="J194" s="55">
        <v>188</v>
      </c>
      <c r="K194" s="56">
        <f t="shared" ref="K194:K257" si="17">J194/E194</f>
        <v>8.234057463209531E-3</v>
      </c>
      <c r="L194" s="56">
        <f t="shared" ref="L194:L257" si="18">J194/H194</f>
        <v>2.3573667711598745E-2</v>
      </c>
      <c r="M194" s="55">
        <v>20</v>
      </c>
      <c r="N194" s="56">
        <f t="shared" ref="N194:N257" si="19">M194/E194</f>
        <v>8.7596355991590748E-4</v>
      </c>
      <c r="O194" s="53" t="s">
        <v>443</v>
      </c>
    </row>
    <row r="195" spans="1:15" hidden="1" x14ac:dyDescent="0.25">
      <c r="A195" s="58" t="s">
        <v>18</v>
      </c>
      <c r="B195" s="53" t="s">
        <v>444</v>
      </c>
      <c r="C195" s="53" t="s">
        <v>443</v>
      </c>
      <c r="D195" s="54">
        <v>44971</v>
      </c>
      <c r="E195" s="55">
        <v>25101</v>
      </c>
      <c r="F195" s="56">
        <f t="shared" si="15"/>
        <v>0.99916337994502213</v>
      </c>
      <c r="G195" s="55">
        <v>21</v>
      </c>
      <c r="H195" s="55">
        <v>9207</v>
      </c>
      <c r="I195" s="56">
        <f t="shared" si="16"/>
        <v>0.36679813553244889</v>
      </c>
      <c r="J195" s="55">
        <v>143</v>
      </c>
      <c r="K195" s="56">
        <f t="shared" si="17"/>
        <v>5.696984183897056E-3</v>
      </c>
      <c r="L195" s="56">
        <f t="shared" si="18"/>
        <v>1.5531660692951015E-2</v>
      </c>
      <c r="M195" s="55">
        <v>35</v>
      </c>
      <c r="N195" s="56">
        <f t="shared" si="19"/>
        <v>1.3943667582964822E-3</v>
      </c>
      <c r="O195" s="53" t="s">
        <v>443</v>
      </c>
    </row>
    <row r="196" spans="1:15" hidden="1" x14ac:dyDescent="0.25">
      <c r="A196" s="58" t="s">
        <v>19</v>
      </c>
      <c r="B196" s="53" t="s">
        <v>439</v>
      </c>
      <c r="C196" s="53" t="s">
        <v>443</v>
      </c>
      <c r="D196" s="54">
        <v>44971</v>
      </c>
      <c r="E196" s="55">
        <v>213217</v>
      </c>
      <c r="F196" s="56">
        <f t="shared" si="15"/>
        <v>0.99815211732647957</v>
      </c>
      <c r="G196" s="55">
        <v>394</v>
      </c>
      <c r="H196" s="55">
        <v>76129</v>
      </c>
      <c r="I196" s="56">
        <f t="shared" si="16"/>
        <v>0.3570493909960275</v>
      </c>
      <c r="J196" s="55">
        <v>1420</v>
      </c>
      <c r="K196" s="56">
        <f t="shared" si="17"/>
        <v>6.6598817167486642E-3</v>
      </c>
      <c r="L196" s="56">
        <f t="shared" si="18"/>
        <v>1.8652550276504355E-2</v>
      </c>
      <c r="M196" s="55">
        <v>115</v>
      </c>
      <c r="N196" s="56">
        <f t="shared" si="19"/>
        <v>5.3935661790570171E-4</v>
      </c>
      <c r="O196" s="53" t="s">
        <v>443</v>
      </c>
    </row>
    <row r="197" spans="1:15" hidden="1" x14ac:dyDescent="0.25">
      <c r="A197" s="58" t="s">
        <v>19</v>
      </c>
      <c r="B197" s="53" t="s">
        <v>444</v>
      </c>
      <c r="C197" s="53" t="s">
        <v>443</v>
      </c>
      <c r="D197" s="54">
        <v>44971</v>
      </c>
      <c r="E197" s="55">
        <v>425181</v>
      </c>
      <c r="F197" s="56">
        <f t="shared" si="15"/>
        <v>0.99863822701390703</v>
      </c>
      <c r="G197" s="55">
        <v>579</v>
      </c>
      <c r="H197" s="55">
        <v>163002</v>
      </c>
      <c r="I197" s="56">
        <f t="shared" si="16"/>
        <v>0.38337084676878785</v>
      </c>
      <c r="J197" s="55">
        <v>2075</v>
      </c>
      <c r="K197" s="56">
        <f t="shared" si="17"/>
        <v>4.8802745183815837E-3</v>
      </c>
      <c r="L197" s="56">
        <f t="shared" si="18"/>
        <v>1.2729905154537981E-2</v>
      </c>
      <c r="M197" s="55">
        <v>533</v>
      </c>
      <c r="N197" s="56">
        <f t="shared" si="19"/>
        <v>1.2535837678541609E-3</v>
      </c>
      <c r="O197" s="53" t="s">
        <v>443</v>
      </c>
    </row>
    <row r="198" spans="1:15" x14ac:dyDescent="0.25">
      <c r="A198" s="52" t="s">
        <v>523</v>
      </c>
      <c r="B198" s="53" t="s">
        <v>439</v>
      </c>
      <c r="C198" s="53" t="s">
        <v>452</v>
      </c>
      <c r="D198" s="54">
        <v>44971</v>
      </c>
      <c r="E198" s="55">
        <v>7979</v>
      </c>
      <c r="F198" s="56">
        <f t="shared" si="15"/>
        <v>0.9994986840456197</v>
      </c>
      <c r="G198" s="55">
        <v>4</v>
      </c>
      <c r="H198" s="55">
        <v>2511</v>
      </c>
      <c r="I198" s="56">
        <f t="shared" si="16"/>
        <v>0.31470109036220079</v>
      </c>
      <c r="J198" s="55">
        <v>35</v>
      </c>
      <c r="K198" s="56">
        <f t="shared" si="17"/>
        <v>4.3865146008271712E-3</v>
      </c>
      <c r="L198" s="56">
        <f t="shared" si="18"/>
        <v>1.3938669852648347E-2</v>
      </c>
      <c r="M198" s="55">
        <v>6</v>
      </c>
      <c r="N198" s="56">
        <f t="shared" si="19"/>
        <v>7.5197393157037224E-4</v>
      </c>
      <c r="O198" s="53" t="s">
        <v>452</v>
      </c>
    </row>
    <row r="199" spans="1:15" x14ac:dyDescent="0.25">
      <c r="A199" s="52" t="s">
        <v>523</v>
      </c>
      <c r="B199" s="53" t="s">
        <v>444</v>
      </c>
      <c r="C199" s="53" t="s">
        <v>452</v>
      </c>
      <c r="D199" s="54">
        <v>44971</v>
      </c>
      <c r="E199" s="55">
        <v>10759</v>
      </c>
      <c r="F199" s="56">
        <f t="shared" si="15"/>
        <v>0.99934938191281719</v>
      </c>
      <c r="G199" s="55">
        <v>7</v>
      </c>
      <c r="H199" s="55">
        <v>3667</v>
      </c>
      <c r="I199" s="56">
        <f t="shared" si="16"/>
        <v>0.3408309322427735</v>
      </c>
      <c r="J199" s="55">
        <v>58</v>
      </c>
      <c r="K199" s="56">
        <f t="shared" si="17"/>
        <v>5.3908355795148251E-3</v>
      </c>
      <c r="L199" s="56">
        <f t="shared" si="18"/>
        <v>1.5816743932369783E-2</v>
      </c>
      <c r="M199" s="55">
        <v>20</v>
      </c>
      <c r="N199" s="56">
        <f t="shared" si="19"/>
        <v>1.8589088205223534E-3</v>
      </c>
      <c r="O199" s="53" t="s">
        <v>452</v>
      </c>
    </row>
    <row r="200" spans="1:15" x14ac:dyDescent="0.25">
      <c r="A200" s="52" t="s">
        <v>524</v>
      </c>
      <c r="B200" s="53" t="s">
        <v>439</v>
      </c>
      <c r="C200" s="53" t="s">
        <v>452</v>
      </c>
      <c r="D200" s="54">
        <v>44971</v>
      </c>
      <c r="E200" s="55">
        <v>163172</v>
      </c>
      <c r="F200" s="56">
        <f t="shared" si="15"/>
        <v>0.99882945603412354</v>
      </c>
      <c r="G200" s="55">
        <v>191</v>
      </c>
      <c r="H200" s="55">
        <v>70410</v>
      </c>
      <c r="I200" s="56">
        <f t="shared" si="16"/>
        <v>0.43150785674012698</v>
      </c>
      <c r="J200" s="55">
        <v>805</v>
      </c>
      <c r="K200" s="56">
        <f t="shared" si="17"/>
        <v>4.9334444635108967E-3</v>
      </c>
      <c r="L200" s="56">
        <f t="shared" si="18"/>
        <v>1.1433035080244283E-2</v>
      </c>
      <c r="M200" s="55">
        <v>141</v>
      </c>
      <c r="N200" s="56">
        <f t="shared" si="19"/>
        <v>8.6411884391929988E-4</v>
      </c>
      <c r="O200" s="53" t="s">
        <v>452</v>
      </c>
    </row>
    <row r="201" spans="1:15" x14ac:dyDescent="0.25">
      <c r="A201" s="52" t="s">
        <v>524</v>
      </c>
      <c r="B201" s="53" t="s">
        <v>444</v>
      </c>
      <c r="C201" s="53" t="s">
        <v>452</v>
      </c>
      <c r="D201" s="54">
        <v>44971</v>
      </c>
      <c r="E201" s="55">
        <v>180341</v>
      </c>
      <c r="F201" s="56">
        <f t="shared" si="15"/>
        <v>0.99866364276564956</v>
      </c>
      <c r="G201" s="55">
        <v>241</v>
      </c>
      <c r="H201" s="55">
        <v>86070</v>
      </c>
      <c r="I201" s="56">
        <f t="shared" si="16"/>
        <v>0.47726251933836455</v>
      </c>
      <c r="J201" s="55">
        <v>1020</v>
      </c>
      <c r="K201" s="56">
        <f t="shared" si="17"/>
        <v>5.6559517802385485E-3</v>
      </c>
      <c r="L201" s="56">
        <f t="shared" si="18"/>
        <v>1.1850819100731963E-2</v>
      </c>
      <c r="M201" s="55">
        <v>327</v>
      </c>
      <c r="N201" s="56">
        <f t="shared" si="19"/>
        <v>1.8132316001352993E-3</v>
      </c>
      <c r="O201" s="53" t="s">
        <v>452</v>
      </c>
    </row>
    <row r="202" spans="1:15" hidden="1" x14ac:dyDescent="0.25">
      <c r="A202" s="52" t="s">
        <v>525</v>
      </c>
      <c r="B202" s="53"/>
      <c r="C202" s="53" t="s">
        <v>474</v>
      </c>
      <c r="D202" s="54">
        <v>44972</v>
      </c>
      <c r="E202" s="55">
        <v>7312</v>
      </c>
      <c r="F202" s="56">
        <f t="shared" si="15"/>
        <v>0.96074945295404812</v>
      </c>
      <c r="G202" s="55">
        <v>287</v>
      </c>
      <c r="H202" s="55">
        <v>3893</v>
      </c>
      <c r="I202" s="56">
        <f t="shared" si="16"/>
        <v>0.53241247264770242</v>
      </c>
      <c r="J202" s="55">
        <v>324</v>
      </c>
      <c r="K202" s="56">
        <f t="shared" si="17"/>
        <v>4.4310722100656452E-2</v>
      </c>
      <c r="L202" s="56">
        <f t="shared" si="18"/>
        <v>8.3226303621885434E-2</v>
      </c>
      <c r="M202" s="55">
        <v>95</v>
      </c>
      <c r="N202" s="56">
        <f t="shared" si="19"/>
        <v>1.299234135667396E-2</v>
      </c>
      <c r="O202" s="53" t="s">
        <v>474</v>
      </c>
    </row>
    <row r="203" spans="1:15" hidden="1" x14ac:dyDescent="0.25">
      <c r="A203" s="52" t="s">
        <v>526</v>
      </c>
      <c r="B203" s="53"/>
      <c r="C203" s="53" t="s">
        <v>474</v>
      </c>
      <c r="D203" s="54">
        <v>44972</v>
      </c>
      <c r="E203" s="55">
        <v>740</v>
      </c>
      <c r="F203" s="56">
        <f t="shared" si="15"/>
        <v>0.96486486486486489</v>
      </c>
      <c r="G203" s="55">
        <v>26</v>
      </c>
      <c r="H203" s="55">
        <v>416</v>
      </c>
      <c r="I203" s="56">
        <f t="shared" si="16"/>
        <v>0.56216216216216219</v>
      </c>
      <c r="J203" s="55">
        <v>26</v>
      </c>
      <c r="K203" s="56">
        <f t="shared" si="17"/>
        <v>3.5135135135135137E-2</v>
      </c>
      <c r="L203" s="56">
        <f t="shared" si="18"/>
        <v>6.25E-2</v>
      </c>
      <c r="M203" s="55">
        <v>4</v>
      </c>
      <c r="N203" s="56">
        <f t="shared" si="19"/>
        <v>5.4054054054054057E-3</v>
      </c>
      <c r="O203" s="53" t="s">
        <v>474</v>
      </c>
    </row>
    <row r="204" spans="1:15" hidden="1" x14ac:dyDescent="0.25">
      <c r="A204" s="52" t="s">
        <v>445</v>
      </c>
      <c r="B204" s="53"/>
      <c r="C204" s="53" t="s">
        <v>446</v>
      </c>
      <c r="D204" s="54">
        <v>44972</v>
      </c>
      <c r="E204" s="55">
        <v>310</v>
      </c>
      <c r="F204" s="56">
        <f t="shared" si="15"/>
        <v>1</v>
      </c>
      <c r="G204" s="55">
        <v>0</v>
      </c>
      <c r="H204" s="55">
        <v>97</v>
      </c>
      <c r="I204" s="56">
        <f t="shared" si="16"/>
        <v>0.31290322580645163</v>
      </c>
      <c r="J204" s="55">
        <v>4</v>
      </c>
      <c r="K204" s="56">
        <f t="shared" si="17"/>
        <v>1.2903225806451613E-2</v>
      </c>
      <c r="L204" s="56">
        <f t="shared" si="18"/>
        <v>4.1237113402061855E-2</v>
      </c>
      <c r="M204" s="55">
        <v>0</v>
      </c>
      <c r="N204" s="56">
        <f t="shared" si="19"/>
        <v>0</v>
      </c>
      <c r="O204" s="53" t="s">
        <v>446</v>
      </c>
    </row>
    <row r="205" spans="1:15" hidden="1" x14ac:dyDescent="0.25">
      <c r="A205" s="52" t="s">
        <v>483</v>
      </c>
      <c r="B205" s="53" t="s">
        <v>439</v>
      </c>
      <c r="C205" s="53" t="s">
        <v>443</v>
      </c>
      <c r="D205" s="54">
        <v>44973</v>
      </c>
      <c r="E205" s="55">
        <v>115350</v>
      </c>
      <c r="F205" s="56">
        <f t="shared" si="15"/>
        <v>0.99909839618552232</v>
      </c>
      <c r="G205" s="55">
        <v>104</v>
      </c>
      <c r="H205" s="55">
        <v>39186</v>
      </c>
      <c r="I205" s="56">
        <f t="shared" si="16"/>
        <v>0.33971391417425228</v>
      </c>
      <c r="J205" s="55">
        <v>454</v>
      </c>
      <c r="K205" s="56">
        <f t="shared" si="17"/>
        <v>3.9358474208929344E-3</v>
      </c>
      <c r="L205" s="56">
        <f t="shared" si="18"/>
        <v>1.1585770428214157E-2</v>
      </c>
      <c r="M205" s="55">
        <v>70</v>
      </c>
      <c r="N205" s="56">
        <f t="shared" si="19"/>
        <v>6.0684872128305162E-4</v>
      </c>
      <c r="O205" s="53" t="s">
        <v>443</v>
      </c>
    </row>
    <row r="206" spans="1:15" hidden="1" x14ac:dyDescent="0.25">
      <c r="A206" s="52" t="s">
        <v>483</v>
      </c>
      <c r="B206" s="53" t="s">
        <v>444</v>
      </c>
      <c r="C206" s="53" t="s">
        <v>443</v>
      </c>
      <c r="D206" s="54">
        <v>44973</v>
      </c>
      <c r="E206" s="55">
        <v>221388</v>
      </c>
      <c r="F206" s="56">
        <f t="shared" si="15"/>
        <v>0.99862684517679368</v>
      </c>
      <c r="G206" s="55">
        <v>304</v>
      </c>
      <c r="H206" s="55">
        <v>76453</v>
      </c>
      <c r="I206" s="56">
        <f t="shared" si="16"/>
        <v>0.34533488716642274</v>
      </c>
      <c r="J206" s="55">
        <v>1287</v>
      </c>
      <c r="K206" s="56">
        <f t="shared" si="17"/>
        <v>5.8133232153504254E-3</v>
      </c>
      <c r="L206" s="56">
        <f t="shared" si="18"/>
        <v>1.6833871790511819E-2</v>
      </c>
      <c r="M206" s="55">
        <v>987</v>
      </c>
      <c r="N206" s="56">
        <f t="shared" si="19"/>
        <v>4.4582362187652446E-3</v>
      </c>
      <c r="O206" s="53" t="s">
        <v>443</v>
      </c>
    </row>
    <row r="207" spans="1:15" hidden="1" x14ac:dyDescent="0.25">
      <c r="A207" s="52" t="s">
        <v>482</v>
      </c>
      <c r="B207" s="53" t="s">
        <v>439</v>
      </c>
      <c r="C207" s="53" t="s">
        <v>443</v>
      </c>
      <c r="D207" s="54">
        <v>44973</v>
      </c>
      <c r="E207" s="55">
        <v>2064942</v>
      </c>
      <c r="F207" s="56">
        <f t="shared" si="15"/>
        <v>0.99788226497402832</v>
      </c>
      <c r="G207" s="55">
        <v>4373</v>
      </c>
      <c r="H207" s="55">
        <v>795479</v>
      </c>
      <c r="I207" s="56">
        <f t="shared" si="16"/>
        <v>0.38523067475987222</v>
      </c>
      <c r="J207" s="55">
        <v>11353</v>
      </c>
      <c r="K207" s="56">
        <f t="shared" si="17"/>
        <v>5.4979752457938284E-3</v>
      </c>
      <c r="L207" s="56">
        <f t="shared" si="18"/>
        <v>1.4271904098034015E-2</v>
      </c>
      <c r="M207" s="55">
        <v>1992</v>
      </c>
      <c r="N207" s="56">
        <f t="shared" si="19"/>
        <v>9.6467600542775539E-4</v>
      </c>
      <c r="O207" s="53" t="s">
        <v>443</v>
      </c>
    </row>
    <row r="208" spans="1:15" hidden="1" x14ac:dyDescent="0.25">
      <c r="A208" s="52" t="s">
        <v>482</v>
      </c>
      <c r="B208" s="53" t="s">
        <v>444</v>
      </c>
      <c r="C208" s="53" t="s">
        <v>443</v>
      </c>
      <c r="D208" s="54">
        <v>44973</v>
      </c>
      <c r="E208" s="55">
        <v>2379214</v>
      </c>
      <c r="F208" s="56">
        <f t="shared" si="15"/>
        <v>0.99805692131939372</v>
      </c>
      <c r="G208" s="55">
        <v>4623</v>
      </c>
      <c r="H208" s="55">
        <v>863626</v>
      </c>
      <c r="I208" s="56">
        <f t="shared" si="16"/>
        <v>0.36298794475822688</v>
      </c>
      <c r="J208" s="55">
        <v>12200</v>
      </c>
      <c r="K208" s="56">
        <f t="shared" si="17"/>
        <v>5.1277438683531617E-3</v>
      </c>
      <c r="L208" s="56">
        <f t="shared" si="18"/>
        <v>1.4126485307297371E-2</v>
      </c>
      <c r="M208" s="55">
        <v>6616</v>
      </c>
      <c r="N208" s="56">
        <f t="shared" si="19"/>
        <v>2.7807502813954523E-3</v>
      </c>
      <c r="O208" s="53" t="s">
        <v>443</v>
      </c>
    </row>
    <row r="209" spans="1:15" hidden="1" x14ac:dyDescent="0.25">
      <c r="A209" s="52" t="s">
        <v>481</v>
      </c>
      <c r="B209" s="53" t="s">
        <v>439</v>
      </c>
      <c r="C209" s="53" t="s">
        <v>443</v>
      </c>
      <c r="D209" s="54">
        <v>44973</v>
      </c>
      <c r="E209" s="55">
        <v>3308</v>
      </c>
      <c r="F209" s="56">
        <f t="shared" si="15"/>
        <v>0.99879081015719473</v>
      </c>
      <c r="G209" s="55">
        <v>4</v>
      </c>
      <c r="H209" s="55">
        <v>1141</v>
      </c>
      <c r="I209" s="56">
        <f t="shared" si="16"/>
        <v>0.34492140266021765</v>
      </c>
      <c r="J209" s="55">
        <v>22</v>
      </c>
      <c r="K209" s="56">
        <f t="shared" si="17"/>
        <v>6.650544135429262E-3</v>
      </c>
      <c r="L209" s="56">
        <f t="shared" si="18"/>
        <v>1.9281332164767746E-2</v>
      </c>
      <c r="M209" s="55">
        <v>0</v>
      </c>
      <c r="N209" s="56">
        <f t="shared" si="19"/>
        <v>0</v>
      </c>
      <c r="O209" s="53" t="s">
        <v>443</v>
      </c>
    </row>
    <row r="210" spans="1:15" hidden="1" x14ac:dyDescent="0.25">
      <c r="A210" s="52" t="s">
        <v>481</v>
      </c>
      <c r="B210" s="53" t="s">
        <v>444</v>
      </c>
      <c r="C210" s="53" t="s">
        <v>443</v>
      </c>
      <c r="D210" s="54">
        <v>44973</v>
      </c>
      <c r="E210" s="55">
        <v>900</v>
      </c>
      <c r="F210" s="56">
        <f t="shared" si="15"/>
        <v>1</v>
      </c>
      <c r="G210" s="55">
        <v>0</v>
      </c>
      <c r="H210" s="55">
        <v>331</v>
      </c>
      <c r="I210" s="56">
        <f t="shared" si="16"/>
        <v>0.36777777777777776</v>
      </c>
      <c r="J210" s="55">
        <v>6</v>
      </c>
      <c r="K210" s="56">
        <f t="shared" si="17"/>
        <v>6.6666666666666671E-3</v>
      </c>
      <c r="L210" s="56">
        <f t="shared" si="18"/>
        <v>1.812688821752266E-2</v>
      </c>
      <c r="M210" s="55">
        <v>0</v>
      </c>
      <c r="N210" s="56">
        <f t="shared" si="19"/>
        <v>0</v>
      </c>
      <c r="O210" s="53" t="s">
        <v>443</v>
      </c>
    </row>
    <row r="211" spans="1:15" hidden="1" x14ac:dyDescent="0.25">
      <c r="A211" s="52" t="s">
        <v>480</v>
      </c>
      <c r="B211" s="53" t="s">
        <v>439</v>
      </c>
      <c r="C211" s="53" t="s">
        <v>443</v>
      </c>
      <c r="D211" s="54">
        <v>44973</v>
      </c>
      <c r="E211" s="55">
        <v>54190</v>
      </c>
      <c r="F211" s="56">
        <f t="shared" si="15"/>
        <v>0.99876360952205201</v>
      </c>
      <c r="G211" s="55">
        <v>67</v>
      </c>
      <c r="H211" s="55">
        <v>19623</v>
      </c>
      <c r="I211" s="56">
        <f t="shared" si="16"/>
        <v>0.36211478132496772</v>
      </c>
      <c r="J211" s="55">
        <v>322</v>
      </c>
      <c r="K211" s="56">
        <f t="shared" si="17"/>
        <v>5.9420557298394535E-3</v>
      </c>
      <c r="L211" s="56">
        <f t="shared" si="18"/>
        <v>1.6409315599041942E-2</v>
      </c>
      <c r="M211" s="55">
        <v>25</v>
      </c>
      <c r="N211" s="56">
        <f t="shared" si="19"/>
        <v>4.6133973057759734E-4</v>
      </c>
      <c r="O211" s="53" t="s">
        <v>443</v>
      </c>
    </row>
    <row r="212" spans="1:15" hidden="1" x14ac:dyDescent="0.25">
      <c r="A212" s="52" t="s">
        <v>480</v>
      </c>
      <c r="B212" s="53" t="s">
        <v>444</v>
      </c>
      <c r="C212" s="53" t="s">
        <v>443</v>
      </c>
      <c r="D212" s="54">
        <v>44973</v>
      </c>
      <c r="E212" s="55">
        <v>14582</v>
      </c>
      <c r="F212" s="56">
        <f t="shared" si="15"/>
        <v>0.99814840213962419</v>
      </c>
      <c r="G212" s="55">
        <v>27</v>
      </c>
      <c r="H212" s="55">
        <v>5869</v>
      </c>
      <c r="I212" s="56">
        <f t="shared" si="16"/>
        <v>0.40248251268687424</v>
      </c>
      <c r="J212" s="55">
        <v>111</v>
      </c>
      <c r="K212" s="56">
        <f t="shared" si="17"/>
        <v>7.6121245371005347E-3</v>
      </c>
      <c r="L212" s="56">
        <f t="shared" si="18"/>
        <v>1.8912932356449138E-2</v>
      </c>
      <c r="M212" s="55">
        <v>15</v>
      </c>
      <c r="N212" s="56">
        <f t="shared" si="19"/>
        <v>1.0286654779865588E-3</v>
      </c>
      <c r="O212" s="53" t="s">
        <v>443</v>
      </c>
    </row>
    <row r="213" spans="1:15" hidden="1" x14ac:dyDescent="0.25">
      <c r="A213" s="58" t="s">
        <v>449</v>
      </c>
      <c r="B213" s="53"/>
      <c r="C213" s="53" t="s">
        <v>446</v>
      </c>
      <c r="D213" s="54">
        <v>44973</v>
      </c>
      <c r="E213" s="55">
        <v>1648</v>
      </c>
      <c r="F213" s="56">
        <f t="shared" si="15"/>
        <v>1</v>
      </c>
      <c r="G213" s="55">
        <v>0</v>
      </c>
      <c r="H213" s="55">
        <v>591</v>
      </c>
      <c r="I213" s="56">
        <f t="shared" si="16"/>
        <v>0.35861650485436891</v>
      </c>
      <c r="J213" s="55">
        <v>17</v>
      </c>
      <c r="K213" s="56">
        <f t="shared" si="17"/>
        <v>1.0315533980582525E-2</v>
      </c>
      <c r="L213" s="56">
        <f t="shared" si="18"/>
        <v>2.8764805414551606E-2</v>
      </c>
      <c r="M213" s="55">
        <v>0</v>
      </c>
      <c r="N213" s="56">
        <f t="shared" si="19"/>
        <v>0</v>
      </c>
      <c r="O213" s="53" t="s">
        <v>446</v>
      </c>
    </row>
    <row r="214" spans="1:15" hidden="1" x14ac:dyDescent="0.25">
      <c r="A214" s="58" t="s">
        <v>527</v>
      </c>
      <c r="B214" s="53" t="s">
        <v>439</v>
      </c>
      <c r="C214" s="53" t="s">
        <v>443</v>
      </c>
      <c r="D214" s="54">
        <v>44973</v>
      </c>
      <c r="E214" s="55">
        <v>74717</v>
      </c>
      <c r="F214" s="56">
        <f t="shared" si="15"/>
        <v>0.9986214649945796</v>
      </c>
      <c r="G214" s="55">
        <v>103</v>
      </c>
      <c r="H214" s="55">
        <v>29930</v>
      </c>
      <c r="I214" s="56">
        <f t="shared" si="16"/>
        <v>0.40057818167217635</v>
      </c>
      <c r="J214" s="55">
        <v>478</v>
      </c>
      <c r="K214" s="56">
        <f t="shared" si="17"/>
        <v>6.3974731319512293E-3</v>
      </c>
      <c r="L214" s="56">
        <f t="shared" si="18"/>
        <v>1.5970598062145003E-2</v>
      </c>
      <c r="M214" s="55">
        <v>63</v>
      </c>
      <c r="N214" s="56">
        <f t="shared" si="19"/>
        <v>8.4318160525717037E-4</v>
      </c>
      <c r="O214" s="53" t="s">
        <v>443</v>
      </c>
    </row>
    <row r="215" spans="1:15" hidden="1" x14ac:dyDescent="0.25">
      <c r="A215" s="58" t="s">
        <v>22</v>
      </c>
      <c r="B215" s="53" t="s">
        <v>439</v>
      </c>
      <c r="C215" s="53" t="s">
        <v>443</v>
      </c>
      <c r="D215" s="54">
        <v>44974</v>
      </c>
      <c r="E215" s="55">
        <v>96885</v>
      </c>
      <c r="F215" s="56">
        <f t="shared" si="15"/>
        <v>0.99928781545130829</v>
      </c>
      <c r="G215" s="55">
        <v>69</v>
      </c>
      <c r="H215" s="55">
        <v>31156</v>
      </c>
      <c r="I215" s="56">
        <f t="shared" si="16"/>
        <v>0.32157712752232026</v>
      </c>
      <c r="J215" s="55">
        <v>542</v>
      </c>
      <c r="K215" s="56">
        <f t="shared" si="17"/>
        <v>5.5942612375496723E-3</v>
      </c>
      <c r="L215" s="56">
        <f t="shared" si="18"/>
        <v>1.7396328155090512E-2</v>
      </c>
      <c r="M215" s="55">
        <v>50</v>
      </c>
      <c r="N215" s="56">
        <f t="shared" si="19"/>
        <v>5.1607575992155652E-4</v>
      </c>
      <c r="O215" s="53" t="s">
        <v>443</v>
      </c>
    </row>
    <row r="216" spans="1:15" hidden="1" x14ac:dyDescent="0.25">
      <c r="A216" s="58" t="s">
        <v>22</v>
      </c>
      <c r="B216" s="53" t="s">
        <v>444</v>
      </c>
      <c r="C216" s="53" t="s">
        <v>443</v>
      </c>
      <c r="D216" s="54">
        <v>44974</v>
      </c>
      <c r="E216" s="55">
        <v>194509</v>
      </c>
      <c r="F216" s="56">
        <f t="shared" si="15"/>
        <v>0.9990180402963359</v>
      </c>
      <c r="G216" s="55">
        <v>191</v>
      </c>
      <c r="H216" s="55">
        <v>65351</v>
      </c>
      <c r="I216" s="56">
        <f t="shared" si="16"/>
        <v>0.3359793120112694</v>
      </c>
      <c r="J216" s="55">
        <v>1438</v>
      </c>
      <c r="K216" s="56">
        <f t="shared" si="17"/>
        <v>7.3929741040260344E-3</v>
      </c>
      <c r="L216" s="56">
        <f t="shared" si="18"/>
        <v>2.2004253951737541E-2</v>
      </c>
      <c r="M216" s="55">
        <v>837</v>
      </c>
      <c r="N216" s="56">
        <f t="shared" si="19"/>
        <v>4.303142785166753E-3</v>
      </c>
      <c r="O216" s="53" t="s">
        <v>443</v>
      </c>
    </row>
    <row r="217" spans="1:15" hidden="1" x14ac:dyDescent="0.25">
      <c r="A217" s="58" t="s">
        <v>23</v>
      </c>
      <c r="B217" s="53" t="s">
        <v>439</v>
      </c>
      <c r="C217" s="53" t="s">
        <v>443</v>
      </c>
      <c r="D217" s="54">
        <v>44974</v>
      </c>
      <c r="E217" s="55">
        <v>1717383</v>
      </c>
      <c r="F217" s="56">
        <f t="shared" si="15"/>
        <v>0.99801267393470183</v>
      </c>
      <c r="G217" s="55">
        <v>3413</v>
      </c>
      <c r="H217" s="55">
        <v>616790</v>
      </c>
      <c r="I217" s="56">
        <f t="shared" si="16"/>
        <v>0.35914528093034576</v>
      </c>
      <c r="J217" s="55">
        <v>10525</v>
      </c>
      <c r="K217" s="56">
        <f t="shared" si="17"/>
        <v>6.1285106467223677E-3</v>
      </c>
      <c r="L217" s="56">
        <f t="shared" si="18"/>
        <v>1.7064154736620242E-2</v>
      </c>
      <c r="M217" s="55">
        <v>1693</v>
      </c>
      <c r="N217" s="56">
        <f t="shared" si="19"/>
        <v>9.8580223514498511E-4</v>
      </c>
      <c r="O217" s="53" t="s">
        <v>443</v>
      </c>
    </row>
    <row r="218" spans="1:15" hidden="1" x14ac:dyDescent="0.25">
      <c r="A218" s="58" t="s">
        <v>23</v>
      </c>
      <c r="B218" s="53" t="s">
        <v>444</v>
      </c>
      <c r="C218" s="53" t="s">
        <v>443</v>
      </c>
      <c r="D218" s="54">
        <v>44974</v>
      </c>
      <c r="E218" s="55">
        <v>2174207</v>
      </c>
      <c r="F218" s="56">
        <f t="shared" si="15"/>
        <v>0.99826005527532569</v>
      </c>
      <c r="G218" s="55">
        <v>3783</v>
      </c>
      <c r="H218" s="55">
        <v>758355</v>
      </c>
      <c r="I218" s="56">
        <f t="shared" si="16"/>
        <v>0.34879613578651897</v>
      </c>
      <c r="J218" s="55">
        <v>13911</v>
      </c>
      <c r="K218" s="56">
        <f t="shared" si="17"/>
        <v>6.3981948360942635E-3</v>
      </c>
      <c r="L218" s="56">
        <f t="shared" si="18"/>
        <v>1.8343651719840971E-2</v>
      </c>
      <c r="M218" s="55">
        <v>5843</v>
      </c>
      <c r="N218" s="56">
        <f t="shared" si="19"/>
        <v>2.6874166075263302E-3</v>
      </c>
      <c r="O218" s="53" t="s">
        <v>443</v>
      </c>
    </row>
    <row r="219" spans="1:15" x14ac:dyDescent="0.25">
      <c r="A219" s="58" t="s">
        <v>451</v>
      </c>
      <c r="B219" s="53" t="s">
        <v>444</v>
      </c>
      <c r="C219" s="53" t="s">
        <v>452</v>
      </c>
      <c r="D219" s="54">
        <v>44974</v>
      </c>
      <c r="E219" s="55">
        <v>246868</v>
      </c>
      <c r="F219" s="56">
        <f t="shared" si="15"/>
        <v>0.99882528314726904</v>
      </c>
      <c r="G219" s="55">
        <v>290</v>
      </c>
      <c r="H219" s="55">
        <v>118975</v>
      </c>
      <c r="I219" s="56">
        <f t="shared" si="16"/>
        <v>0.48193771570231864</v>
      </c>
      <c r="J219" s="55">
        <v>3351</v>
      </c>
      <c r="K219" s="56">
        <f t="shared" si="17"/>
        <v>1.357405577069527E-2</v>
      </c>
      <c r="L219" s="56">
        <f t="shared" si="18"/>
        <v>2.8165581004412691E-2</v>
      </c>
      <c r="M219" s="55">
        <v>283</v>
      </c>
      <c r="N219" s="56">
        <f t="shared" si="19"/>
        <v>1.1463616183547483E-3</v>
      </c>
      <c r="O219" s="53" t="s">
        <v>452</v>
      </c>
    </row>
    <row r="220" spans="1:15" x14ac:dyDescent="0.25">
      <c r="A220" s="58" t="s">
        <v>453</v>
      </c>
      <c r="B220" s="53" t="s">
        <v>444</v>
      </c>
      <c r="C220" s="53" t="s">
        <v>452</v>
      </c>
      <c r="D220" s="54">
        <v>44974</v>
      </c>
      <c r="E220" s="55">
        <v>332952</v>
      </c>
      <c r="F220" s="56">
        <f t="shared" si="15"/>
        <v>0.99791261202816017</v>
      </c>
      <c r="G220" s="55">
        <v>695</v>
      </c>
      <c r="H220" s="55">
        <v>129902</v>
      </c>
      <c r="I220" s="56">
        <f t="shared" si="16"/>
        <v>0.39015233427040535</v>
      </c>
      <c r="J220" s="55">
        <v>3972</v>
      </c>
      <c r="K220" s="56">
        <f t="shared" si="17"/>
        <v>1.1929647516759172E-2</v>
      </c>
      <c r="L220" s="56">
        <f t="shared" si="18"/>
        <v>3.0576896429616172E-2</v>
      </c>
      <c r="M220" s="55">
        <v>392</v>
      </c>
      <c r="N220" s="56">
        <f t="shared" si="19"/>
        <v>1.1773468848362526E-3</v>
      </c>
      <c r="O220" s="53" t="s">
        <v>452</v>
      </c>
    </row>
    <row r="221" spans="1:15" x14ac:dyDescent="0.25">
      <c r="A221" s="58" t="s">
        <v>454</v>
      </c>
      <c r="B221" s="53" t="s">
        <v>444</v>
      </c>
      <c r="C221" s="53" t="s">
        <v>452</v>
      </c>
      <c r="D221" s="54">
        <v>44975</v>
      </c>
      <c r="E221" s="55">
        <v>15271</v>
      </c>
      <c r="F221" s="56">
        <f t="shared" si="15"/>
        <v>0.99947613122912715</v>
      </c>
      <c r="G221" s="55">
        <v>8</v>
      </c>
      <c r="H221" s="55">
        <v>5708</v>
      </c>
      <c r="I221" s="56">
        <f t="shared" si="16"/>
        <v>0.37378036801781156</v>
      </c>
      <c r="J221" s="55">
        <v>289</v>
      </c>
      <c r="K221" s="56">
        <f t="shared" si="17"/>
        <v>1.8924759347783381E-2</v>
      </c>
      <c r="L221" s="56">
        <f t="shared" si="18"/>
        <v>5.0630693763139452E-2</v>
      </c>
      <c r="M221" s="55">
        <v>27</v>
      </c>
      <c r="N221" s="56">
        <f t="shared" si="19"/>
        <v>1.768057101696025E-3</v>
      </c>
      <c r="O221" s="53" t="s">
        <v>452</v>
      </c>
    </row>
    <row r="222" spans="1:15" hidden="1" x14ac:dyDescent="0.25">
      <c r="A222" s="58" t="s">
        <v>29</v>
      </c>
      <c r="B222" s="53" t="s">
        <v>439</v>
      </c>
      <c r="C222" s="53" t="s">
        <v>443</v>
      </c>
      <c r="D222" s="54">
        <v>44975</v>
      </c>
      <c r="E222" s="55">
        <v>28513</v>
      </c>
      <c r="F222" s="56">
        <f t="shared" si="15"/>
        <v>0.99957913933995024</v>
      </c>
      <c r="G222" s="55">
        <v>12</v>
      </c>
      <c r="H222" s="55">
        <v>8882</v>
      </c>
      <c r="I222" s="56">
        <f t="shared" si="16"/>
        <v>0.31150703188019502</v>
      </c>
      <c r="J222" s="55">
        <v>304</v>
      </c>
      <c r="K222" s="56">
        <f t="shared" si="17"/>
        <v>1.0661803387928314E-2</v>
      </c>
      <c r="L222" s="56">
        <f t="shared" si="18"/>
        <v>3.422652555730691E-2</v>
      </c>
      <c r="M222" s="55">
        <v>20</v>
      </c>
      <c r="N222" s="56">
        <f t="shared" si="19"/>
        <v>7.0143443341633637E-4</v>
      </c>
      <c r="O222" s="53" t="s">
        <v>443</v>
      </c>
    </row>
    <row r="223" spans="1:15" hidden="1" x14ac:dyDescent="0.25">
      <c r="A223" s="58" t="s">
        <v>30</v>
      </c>
      <c r="B223" s="53" t="s">
        <v>439</v>
      </c>
      <c r="C223" s="53" t="s">
        <v>443</v>
      </c>
      <c r="D223" s="54">
        <v>44975</v>
      </c>
      <c r="E223" s="55">
        <v>403392</v>
      </c>
      <c r="F223" s="56">
        <f t="shared" si="15"/>
        <v>0.99857210851975253</v>
      </c>
      <c r="G223" s="55">
        <v>576</v>
      </c>
      <c r="H223" s="55">
        <v>142404</v>
      </c>
      <c r="I223" s="56">
        <f t="shared" si="16"/>
        <v>0.35301642075202283</v>
      </c>
      <c r="J223" s="55">
        <v>3336</v>
      </c>
      <c r="K223" s="56">
        <f t="shared" si="17"/>
        <v>8.2698714897667773E-3</v>
      </c>
      <c r="L223" s="56">
        <f t="shared" si="18"/>
        <v>2.3426308249768265E-2</v>
      </c>
      <c r="M223" s="55">
        <v>275</v>
      </c>
      <c r="N223" s="56">
        <f t="shared" si="19"/>
        <v>6.8171902268760907E-4</v>
      </c>
      <c r="O223" s="53" t="s">
        <v>443</v>
      </c>
    </row>
    <row r="224" spans="1:15" hidden="1" x14ac:dyDescent="0.25">
      <c r="A224" s="58" t="s">
        <v>528</v>
      </c>
      <c r="B224" s="53" t="s">
        <v>439</v>
      </c>
      <c r="C224" s="53" t="s">
        <v>469</v>
      </c>
      <c r="D224" s="54">
        <v>44977</v>
      </c>
      <c r="E224" s="55">
        <v>118209</v>
      </c>
      <c r="F224" s="56">
        <f t="shared" si="15"/>
        <v>0.99922171746652111</v>
      </c>
      <c r="G224" s="55">
        <v>92</v>
      </c>
      <c r="H224" s="55">
        <v>41308</v>
      </c>
      <c r="I224" s="56">
        <f t="shared" si="16"/>
        <v>0.34944885753199839</v>
      </c>
      <c r="J224" s="55">
        <v>2918</v>
      </c>
      <c r="K224" s="56">
        <f t="shared" si="17"/>
        <v>2.4685091659687502E-2</v>
      </c>
      <c r="L224" s="56">
        <f t="shared" si="18"/>
        <v>7.0640069720151064E-2</v>
      </c>
      <c r="M224" s="55">
        <v>68</v>
      </c>
      <c r="N224" s="56">
        <f t="shared" si="19"/>
        <v>5.7525230735392394E-4</v>
      </c>
      <c r="O224" s="53" t="s">
        <v>469</v>
      </c>
    </row>
    <row r="225" spans="1:15" hidden="1" x14ac:dyDescent="0.25">
      <c r="A225" s="58" t="s">
        <v>528</v>
      </c>
      <c r="B225" s="53" t="s">
        <v>444</v>
      </c>
      <c r="C225" s="53" t="s">
        <v>469</v>
      </c>
      <c r="D225" s="54">
        <v>44977</v>
      </c>
      <c r="E225" s="55">
        <v>221667</v>
      </c>
      <c r="F225" s="56">
        <f t="shared" si="15"/>
        <v>0.99886767087568284</v>
      </c>
      <c r="G225" s="55">
        <v>251</v>
      </c>
      <c r="H225" s="55">
        <v>76660</v>
      </c>
      <c r="I225" s="56">
        <f t="shared" si="16"/>
        <v>0.34583406641493775</v>
      </c>
      <c r="J225" s="55">
        <v>2848</v>
      </c>
      <c r="K225" s="56">
        <f t="shared" si="17"/>
        <v>1.2848100980299277E-2</v>
      </c>
      <c r="L225" s="56">
        <f t="shared" si="18"/>
        <v>3.7151056613618574E-2</v>
      </c>
      <c r="M225" s="55">
        <v>1182</v>
      </c>
      <c r="N225" s="56">
        <f t="shared" si="19"/>
        <v>5.3323228085371301E-3</v>
      </c>
      <c r="O225" s="53" t="s">
        <v>469</v>
      </c>
    </row>
    <row r="226" spans="1:15" hidden="1" x14ac:dyDescent="0.25">
      <c r="A226" s="58" t="s">
        <v>529</v>
      </c>
      <c r="B226" s="53" t="s">
        <v>444</v>
      </c>
      <c r="C226" s="53" t="s">
        <v>469</v>
      </c>
      <c r="D226" s="54">
        <v>44977</v>
      </c>
      <c r="E226" s="55">
        <v>2387062</v>
      </c>
      <c r="F226" s="56">
        <f t="shared" si="15"/>
        <v>0.99832723238860155</v>
      </c>
      <c r="G226" s="55">
        <v>3993</v>
      </c>
      <c r="H226" s="55">
        <v>900603</v>
      </c>
      <c r="I226" s="56">
        <f t="shared" si="16"/>
        <v>0.37728513126177704</v>
      </c>
      <c r="J226" s="55">
        <v>22785</v>
      </c>
      <c r="K226" s="56">
        <f t="shared" si="17"/>
        <v>9.5452066180099215E-3</v>
      </c>
      <c r="L226" s="56">
        <f t="shared" si="18"/>
        <v>2.5299715857042448E-2</v>
      </c>
      <c r="M226" s="55">
        <v>8869</v>
      </c>
      <c r="N226" s="56">
        <f t="shared" si="19"/>
        <v>3.7154460169027867E-3</v>
      </c>
      <c r="O226" s="53" t="s">
        <v>469</v>
      </c>
    </row>
    <row r="227" spans="1:15" hidden="1" x14ac:dyDescent="0.25">
      <c r="A227" s="58" t="s">
        <v>529</v>
      </c>
      <c r="B227" s="53" t="s">
        <v>439</v>
      </c>
      <c r="C227" s="53" t="s">
        <v>469</v>
      </c>
      <c r="D227" s="54">
        <v>44977</v>
      </c>
      <c r="E227" s="55">
        <v>2106290</v>
      </c>
      <c r="F227" s="56">
        <f t="shared" si="15"/>
        <v>0.99813321052656567</v>
      </c>
      <c r="G227" s="55">
        <v>3932</v>
      </c>
      <c r="H227" s="55">
        <v>819402</v>
      </c>
      <c r="I227" s="56">
        <f t="shared" si="16"/>
        <v>0.3890262024697454</v>
      </c>
      <c r="J227" s="55">
        <v>49486</v>
      </c>
      <c r="K227" s="56">
        <f t="shared" si="17"/>
        <v>2.3494390610979493E-2</v>
      </c>
      <c r="L227" s="56">
        <f t="shared" si="18"/>
        <v>6.0392823058767246E-2</v>
      </c>
      <c r="M227" s="55">
        <v>2148</v>
      </c>
      <c r="N227" s="56">
        <f t="shared" si="19"/>
        <v>1.0198025912861002E-3</v>
      </c>
      <c r="O227" s="53" t="s">
        <v>469</v>
      </c>
    </row>
    <row r="228" spans="1:15" hidden="1" x14ac:dyDescent="0.25">
      <c r="A228" s="58" t="s">
        <v>530</v>
      </c>
      <c r="B228" s="53" t="s">
        <v>439</v>
      </c>
      <c r="C228" s="53" t="s">
        <v>440</v>
      </c>
      <c r="D228" s="54">
        <v>44978</v>
      </c>
      <c r="E228" s="55">
        <v>26550</v>
      </c>
      <c r="F228" s="56">
        <f t="shared" si="15"/>
        <v>0.99676082862523541</v>
      </c>
      <c r="G228" s="55">
        <v>86</v>
      </c>
      <c r="H228" s="55">
        <v>9726</v>
      </c>
      <c r="I228" s="56">
        <f t="shared" si="16"/>
        <v>0.36632768361581919</v>
      </c>
      <c r="J228" s="55">
        <v>270</v>
      </c>
      <c r="K228" s="56">
        <f t="shared" si="17"/>
        <v>1.0169491525423728E-2</v>
      </c>
      <c r="L228" s="56">
        <f t="shared" si="18"/>
        <v>2.7760641579272053E-2</v>
      </c>
      <c r="M228" s="55">
        <v>197</v>
      </c>
      <c r="N228" s="56">
        <f t="shared" si="19"/>
        <v>7.4199623352165728E-3</v>
      </c>
      <c r="O228" s="53" t="s">
        <v>440</v>
      </c>
    </row>
    <row r="229" spans="1:15" hidden="1" x14ac:dyDescent="0.25">
      <c r="A229" s="58" t="s">
        <v>531</v>
      </c>
      <c r="B229" s="53" t="s">
        <v>439</v>
      </c>
      <c r="C229" s="53" t="s">
        <v>440</v>
      </c>
      <c r="D229" s="54">
        <v>44978</v>
      </c>
      <c r="E229" s="55">
        <v>10513</v>
      </c>
      <c r="F229" s="56">
        <f t="shared" si="15"/>
        <v>0.99828783411014932</v>
      </c>
      <c r="G229" s="55">
        <v>18</v>
      </c>
      <c r="H229" s="55">
        <v>3843</v>
      </c>
      <c r="I229" s="56">
        <f t="shared" si="16"/>
        <v>0.36554741748311614</v>
      </c>
      <c r="J229" s="55">
        <v>107</v>
      </c>
      <c r="K229" s="56">
        <f t="shared" si="17"/>
        <v>1.017787501189004E-2</v>
      </c>
      <c r="L229" s="56">
        <f t="shared" si="18"/>
        <v>2.7842831121519647E-2</v>
      </c>
      <c r="M229" s="55">
        <v>63</v>
      </c>
      <c r="N229" s="56">
        <f t="shared" si="19"/>
        <v>5.9925806144773136E-3</v>
      </c>
      <c r="O229" s="53" t="s">
        <v>440</v>
      </c>
    </row>
    <row r="230" spans="1:15" hidden="1" x14ac:dyDescent="0.25">
      <c r="A230" s="58" t="s">
        <v>532</v>
      </c>
      <c r="B230" s="53" t="s">
        <v>439</v>
      </c>
      <c r="C230" s="53" t="s">
        <v>440</v>
      </c>
      <c r="D230" s="54">
        <v>44978</v>
      </c>
      <c r="E230" s="55">
        <v>12322</v>
      </c>
      <c r="F230" s="56">
        <f t="shared" si="15"/>
        <v>0.99902613212140889</v>
      </c>
      <c r="G230" s="55">
        <v>12</v>
      </c>
      <c r="H230" s="55">
        <v>4549</v>
      </c>
      <c r="I230" s="56">
        <f t="shared" si="16"/>
        <v>0.3691770816425905</v>
      </c>
      <c r="J230" s="55">
        <v>115</v>
      </c>
      <c r="K230" s="56">
        <f t="shared" si="17"/>
        <v>9.3329005031650702E-3</v>
      </c>
      <c r="L230" s="56">
        <f t="shared" si="18"/>
        <v>2.5280281380523191E-2</v>
      </c>
      <c r="M230" s="55">
        <v>62</v>
      </c>
      <c r="N230" s="56">
        <f t="shared" si="19"/>
        <v>5.031650706054212E-3</v>
      </c>
      <c r="O230" s="53" t="s">
        <v>440</v>
      </c>
    </row>
    <row r="231" spans="1:15" hidden="1" x14ac:dyDescent="0.25">
      <c r="A231" s="58" t="s">
        <v>533</v>
      </c>
      <c r="B231" s="53" t="s">
        <v>439</v>
      </c>
      <c r="C231" s="53" t="s">
        <v>440</v>
      </c>
      <c r="D231" s="54">
        <v>44978</v>
      </c>
      <c r="E231" s="55">
        <v>267384</v>
      </c>
      <c r="F231" s="56">
        <f t="shared" si="15"/>
        <v>0.99799539239445889</v>
      </c>
      <c r="G231" s="55">
        <v>536</v>
      </c>
      <c r="H231" s="55">
        <v>91201</v>
      </c>
      <c r="I231" s="56">
        <f t="shared" si="16"/>
        <v>0.34108622804655475</v>
      </c>
      <c r="J231" s="55">
        <v>2145</v>
      </c>
      <c r="K231" s="56">
        <f t="shared" si="17"/>
        <v>8.0221703617269543E-3</v>
      </c>
      <c r="L231" s="56">
        <f t="shared" si="18"/>
        <v>2.3519478953081655E-2</v>
      </c>
      <c r="M231" s="55">
        <v>1951</v>
      </c>
      <c r="N231" s="56">
        <f t="shared" si="19"/>
        <v>7.2966220865870804E-3</v>
      </c>
      <c r="O231" s="53" t="s">
        <v>440</v>
      </c>
    </row>
    <row r="232" spans="1:15" hidden="1" x14ac:dyDescent="0.25">
      <c r="A232" s="58" t="s">
        <v>534</v>
      </c>
      <c r="B232" s="53" t="s">
        <v>439</v>
      </c>
      <c r="C232" s="53" t="s">
        <v>443</v>
      </c>
      <c r="D232" s="54">
        <v>44978</v>
      </c>
      <c r="E232" s="55">
        <v>43458</v>
      </c>
      <c r="F232" s="56">
        <f t="shared" si="15"/>
        <v>0.99820516360624045</v>
      </c>
      <c r="G232" s="55">
        <v>78</v>
      </c>
      <c r="H232" s="55">
        <v>17501</v>
      </c>
      <c r="I232" s="56">
        <f t="shared" si="16"/>
        <v>0.40271066316903675</v>
      </c>
      <c r="J232" s="55">
        <v>466</v>
      </c>
      <c r="K232" s="56">
        <f t="shared" si="17"/>
        <v>1.0722996916563119E-2</v>
      </c>
      <c r="L232" s="56">
        <f t="shared" si="18"/>
        <v>2.6627049882863837E-2</v>
      </c>
      <c r="M232" s="55">
        <v>10</v>
      </c>
      <c r="N232" s="56">
        <f t="shared" si="19"/>
        <v>2.3010722996916563E-4</v>
      </c>
      <c r="O232" s="53" t="s">
        <v>443</v>
      </c>
    </row>
    <row r="233" spans="1:15" hidden="1" x14ac:dyDescent="0.25">
      <c r="A233" s="58" t="s">
        <v>534</v>
      </c>
      <c r="B233" s="53" t="s">
        <v>444</v>
      </c>
      <c r="C233" s="53" t="s">
        <v>443</v>
      </c>
      <c r="D233" s="54">
        <v>44978</v>
      </c>
      <c r="E233" s="55">
        <v>4705</v>
      </c>
      <c r="F233" s="56">
        <f t="shared" si="15"/>
        <v>0.99872476089266737</v>
      </c>
      <c r="G233" s="55">
        <v>6</v>
      </c>
      <c r="H233" s="55">
        <v>2375</v>
      </c>
      <c r="I233" s="56">
        <f t="shared" si="16"/>
        <v>0.50478214665249732</v>
      </c>
      <c r="J233" s="55">
        <v>118</v>
      </c>
      <c r="K233" s="56">
        <f t="shared" si="17"/>
        <v>2.5079702444208291E-2</v>
      </c>
      <c r="L233" s="56">
        <f t="shared" si="18"/>
        <v>4.9684210526315789E-2</v>
      </c>
      <c r="M233" s="55">
        <v>5</v>
      </c>
      <c r="N233" s="56">
        <f t="shared" si="19"/>
        <v>1.0626992561105207E-3</v>
      </c>
      <c r="O233" s="53" t="s">
        <v>443</v>
      </c>
    </row>
    <row r="234" spans="1:15" hidden="1" x14ac:dyDescent="0.25">
      <c r="A234" s="58" t="s">
        <v>18</v>
      </c>
      <c r="B234" s="53" t="s">
        <v>439</v>
      </c>
      <c r="C234" s="53" t="s">
        <v>443</v>
      </c>
      <c r="D234" s="54">
        <v>44978</v>
      </c>
      <c r="E234" s="55">
        <v>22921</v>
      </c>
      <c r="F234" s="56">
        <f t="shared" si="15"/>
        <v>0.99904018149295404</v>
      </c>
      <c r="G234" s="55">
        <v>22</v>
      </c>
      <c r="H234" s="55">
        <v>7754</v>
      </c>
      <c r="I234" s="56">
        <f t="shared" si="16"/>
        <v>0.33829239561973734</v>
      </c>
      <c r="J234" s="55">
        <v>186</v>
      </c>
      <c r="K234" s="56">
        <f t="shared" si="17"/>
        <v>8.1148291959338599E-3</v>
      </c>
      <c r="L234" s="56">
        <f t="shared" si="18"/>
        <v>2.3987619293267991E-2</v>
      </c>
      <c r="M234" s="55">
        <v>15</v>
      </c>
      <c r="N234" s="56">
        <f t="shared" si="19"/>
        <v>6.5442170934950478E-4</v>
      </c>
      <c r="O234" s="53" t="s">
        <v>443</v>
      </c>
    </row>
    <row r="235" spans="1:15" hidden="1" x14ac:dyDescent="0.25">
      <c r="A235" s="58" t="s">
        <v>18</v>
      </c>
      <c r="B235" s="53" t="s">
        <v>444</v>
      </c>
      <c r="C235" s="53" t="s">
        <v>443</v>
      </c>
      <c r="D235" s="54">
        <v>44978</v>
      </c>
      <c r="E235" s="55">
        <v>25120</v>
      </c>
      <c r="F235" s="56">
        <f t="shared" si="15"/>
        <v>0.99924363057324839</v>
      </c>
      <c r="G235" s="55">
        <v>19</v>
      </c>
      <c r="H235" s="55">
        <v>8974</v>
      </c>
      <c r="I235" s="56">
        <f t="shared" si="16"/>
        <v>0.35724522292993632</v>
      </c>
      <c r="J235" s="55">
        <v>176</v>
      </c>
      <c r="K235" s="56">
        <f t="shared" si="17"/>
        <v>7.0063694267515925E-3</v>
      </c>
      <c r="L235" s="56">
        <f t="shared" si="18"/>
        <v>1.9612213059950971E-2</v>
      </c>
      <c r="M235" s="55">
        <v>49</v>
      </c>
      <c r="N235" s="56">
        <f t="shared" si="19"/>
        <v>1.9506369426751592E-3</v>
      </c>
      <c r="O235" s="53" t="s">
        <v>443</v>
      </c>
    </row>
    <row r="236" spans="1:15" hidden="1" x14ac:dyDescent="0.25">
      <c r="A236" s="58" t="s">
        <v>19</v>
      </c>
      <c r="B236" s="53" t="s">
        <v>439</v>
      </c>
      <c r="C236" s="53" t="s">
        <v>443</v>
      </c>
      <c r="D236" s="54">
        <v>44978</v>
      </c>
      <c r="E236" s="55">
        <v>214637</v>
      </c>
      <c r="F236" s="56">
        <f t="shared" si="15"/>
        <v>0.998243546080126</v>
      </c>
      <c r="G236" s="55">
        <v>377</v>
      </c>
      <c r="H236" s="55">
        <v>91847</v>
      </c>
      <c r="I236" s="56">
        <f t="shared" si="16"/>
        <v>0.42791783336517003</v>
      </c>
      <c r="J236" s="55">
        <v>1644</v>
      </c>
      <c r="K236" s="56">
        <f t="shared" si="17"/>
        <v>7.6594436187609775E-3</v>
      </c>
      <c r="L236" s="56">
        <f t="shared" si="18"/>
        <v>1.7899332585713197E-2</v>
      </c>
      <c r="M236" s="55">
        <v>174</v>
      </c>
      <c r="N236" s="56">
        <f t="shared" si="19"/>
        <v>8.1067103994185527E-4</v>
      </c>
      <c r="O236" s="53" t="s">
        <v>443</v>
      </c>
    </row>
    <row r="237" spans="1:15" hidden="1" x14ac:dyDescent="0.25">
      <c r="A237" s="58" t="s">
        <v>19</v>
      </c>
      <c r="B237" s="53" t="s">
        <v>444</v>
      </c>
      <c r="C237" s="53" t="s">
        <v>443</v>
      </c>
      <c r="D237" s="54">
        <v>44978</v>
      </c>
      <c r="E237" s="55">
        <v>427916</v>
      </c>
      <c r="F237" s="56">
        <f t="shared" si="15"/>
        <v>0.99860019256115684</v>
      </c>
      <c r="G237" s="55">
        <v>599</v>
      </c>
      <c r="H237" s="55">
        <v>163443</v>
      </c>
      <c r="I237" s="56">
        <f t="shared" si="16"/>
        <v>0.38195113059572439</v>
      </c>
      <c r="J237" s="55">
        <v>1907</v>
      </c>
      <c r="K237" s="56">
        <f t="shared" si="17"/>
        <v>4.4564821133119582E-3</v>
      </c>
      <c r="L237" s="56">
        <f t="shared" si="18"/>
        <v>1.1667676192923526E-2</v>
      </c>
      <c r="M237" s="55">
        <v>642</v>
      </c>
      <c r="N237" s="56">
        <f t="shared" si="19"/>
        <v>1.5002944503126781E-3</v>
      </c>
      <c r="O237" s="53" t="s">
        <v>443</v>
      </c>
    </row>
    <row r="238" spans="1:15" hidden="1" x14ac:dyDescent="0.25">
      <c r="A238" s="59" t="s">
        <v>535</v>
      </c>
      <c r="B238" s="53" t="s">
        <v>439</v>
      </c>
      <c r="C238" s="53" t="s">
        <v>469</v>
      </c>
      <c r="D238" s="54">
        <v>44979</v>
      </c>
      <c r="E238" s="55">
        <v>118499</v>
      </c>
      <c r="F238" s="56">
        <f t="shared" si="15"/>
        <v>0.99913923324247467</v>
      </c>
      <c r="G238" s="55">
        <v>102</v>
      </c>
      <c r="H238" s="55">
        <v>39042</v>
      </c>
      <c r="I238" s="56">
        <f t="shared" si="16"/>
        <v>0.32947113477750867</v>
      </c>
      <c r="J238" s="55">
        <v>671</v>
      </c>
      <c r="K238" s="56">
        <f t="shared" si="17"/>
        <v>5.6624950421522548E-3</v>
      </c>
      <c r="L238" s="56">
        <f t="shared" si="18"/>
        <v>1.7186619537933507E-2</v>
      </c>
      <c r="M238" s="55">
        <v>74</v>
      </c>
      <c r="N238" s="56">
        <f t="shared" si="19"/>
        <v>6.2447784369488351E-4</v>
      </c>
      <c r="O238" s="53" t="s">
        <v>469</v>
      </c>
    </row>
    <row r="239" spans="1:15" hidden="1" x14ac:dyDescent="0.25">
      <c r="A239" s="59" t="s">
        <v>536</v>
      </c>
      <c r="B239" s="53" t="s">
        <v>439</v>
      </c>
      <c r="C239" s="53" t="s">
        <v>469</v>
      </c>
      <c r="D239" s="54">
        <v>44979</v>
      </c>
      <c r="E239" s="55">
        <v>2133818</v>
      </c>
      <c r="F239" s="56">
        <f t="shared" si="15"/>
        <v>0.99802607345143779</v>
      </c>
      <c r="G239" s="55">
        <v>4212</v>
      </c>
      <c r="H239" s="55">
        <v>990779</v>
      </c>
      <c r="I239" s="56">
        <f t="shared" si="16"/>
        <v>0.46432216805744447</v>
      </c>
      <c r="J239" s="55">
        <v>15658</v>
      </c>
      <c r="K239" s="56">
        <f t="shared" si="17"/>
        <v>7.3380203934918535E-3</v>
      </c>
      <c r="L239" s="56">
        <f t="shared" si="18"/>
        <v>1.5803726158911322E-2</v>
      </c>
      <c r="M239" s="55">
        <v>1900</v>
      </c>
      <c r="N239" s="56">
        <f t="shared" si="19"/>
        <v>8.9042270709123266E-4</v>
      </c>
      <c r="O239" s="53" t="s">
        <v>469</v>
      </c>
    </row>
    <row r="240" spans="1:15" hidden="1" x14ac:dyDescent="0.25">
      <c r="A240" s="59" t="s">
        <v>537</v>
      </c>
      <c r="B240" s="53" t="s">
        <v>439</v>
      </c>
      <c r="C240" s="53" t="s">
        <v>443</v>
      </c>
      <c r="D240" s="54">
        <v>44980</v>
      </c>
      <c r="E240" s="55">
        <v>44952</v>
      </c>
      <c r="F240" s="56">
        <f t="shared" si="15"/>
        <v>0.99837604555970816</v>
      </c>
      <c r="G240" s="55">
        <v>73</v>
      </c>
      <c r="H240" s="55">
        <v>20528</v>
      </c>
      <c r="I240" s="56">
        <f t="shared" si="16"/>
        <v>0.45666488699056773</v>
      </c>
      <c r="J240" s="55">
        <v>248</v>
      </c>
      <c r="K240" s="56">
        <f t="shared" si="17"/>
        <v>5.5169959067449727E-3</v>
      </c>
      <c r="L240" s="56">
        <f t="shared" si="18"/>
        <v>1.2081060015588464E-2</v>
      </c>
      <c r="M240" s="55">
        <v>33</v>
      </c>
      <c r="N240" s="56">
        <f t="shared" si="19"/>
        <v>7.3411639081687131E-4</v>
      </c>
      <c r="O240" s="53" t="s">
        <v>443</v>
      </c>
    </row>
    <row r="241" spans="1:15" hidden="1" x14ac:dyDescent="0.25">
      <c r="A241" s="59" t="s">
        <v>537</v>
      </c>
      <c r="B241" s="53" t="s">
        <v>444</v>
      </c>
      <c r="C241" s="53" t="s">
        <v>443</v>
      </c>
      <c r="D241" s="54">
        <v>44980</v>
      </c>
      <c r="E241" s="55">
        <v>35724</v>
      </c>
      <c r="F241" s="56">
        <f t="shared" si="15"/>
        <v>0.99834844922181165</v>
      </c>
      <c r="G241" s="55">
        <v>59</v>
      </c>
      <c r="H241" s="55">
        <v>13580</v>
      </c>
      <c r="I241" s="56">
        <f t="shared" si="16"/>
        <v>0.38013660284402645</v>
      </c>
      <c r="J241" s="55">
        <v>126</v>
      </c>
      <c r="K241" s="56">
        <f t="shared" si="17"/>
        <v>3.5270406449445751E-3</v>
      </c>
      <c r="L241" s="56">
        <f t="shared" si="18"/>
        <v>9.2783505154639175E-3</v>
      </c>
      <c r="M241" s="55">
        <v>48</v>
      </c>
      <c r="N241" s="56">
        <f t="shared" si="19"/>
        <v>1.3436345314074571E-3</v>
      </c>
      <c r="O241" s="53" t="s">
        <v>443</v>
      </c>
    </row>
    <row r="242" spans="1:15" hidden="1" x14ac:dyDescent="0.25">
      <c r="A242" s="59" t="s">
        <v>538</v>
      </c>
      <c r="B242" s="53" t="s">
        <v>444</v>
      </c>
      <c r="C242" s="53" t="s">
        <v>469</v>
      </c>
      <c r="D242" s="54">
        <v>44980</v>
      </c>
      <c r="E242" s="55">
        <v>5267</v>
      </c>
      <c r="F242" s="56">
        <f t="shared" si="15"/>
        <v>0.99924055439529147</v>
      </c>
      <c r="G242" s="55">
        <v>4</v>
      </c>
      <c r="H242" s="55">
        <v>1700</v>
      </c>
      <c r="I242" s="56">
        <f t="shared" si="16"/>
        <v>0.32276438200113916</v>
      </c>
      <c r="J242" s="55">
        <v>47</v>
      </c>
      <c r="K242" s="56">
        <f t="shared" si="17"/>
        <v>8.9234858553256125E-3</v>
      </c>
      <c r="L242" s="56">
        <f t="shared" si="18"/>
        <v>2.7647058823529413E-2</v>
      </c>
      <c r="M242" s="55">
        <v>28</v>
      </c>
      <c r="N242" s="56">
        <f t="shared" si="19"/>
        <v>5.3161192329599389E-3</v>
      </c>
      <c r="O242" s="53" t="s">
        <v>469</v>
      </c>
    </row>
    <row r="243" spans="1:15" hidden="1" x14ac:dyDescent="0.25">
      <c r="A243" s="59" t="s">
        <v>539</v>
      </c>
      <c r="B243" s="53" t="s">
        <v>444</v>
      </c>
      <c r="C243" s="53" t="s">
        <v>469</v>
      </c>
      <c r="D243" s="54">
        <v>44980</v>
      </c>
      <c r="E243" s="55">
        <v>47914</v>
      </c>
      <c r="F243" s="56">
        <f t="shared" si="15"/>
        <v>0.99797553950828566</v>
      </c>
      <c r="G243" s="55">
        <v>97</v>
      </c>
      <c r="H243" s="55">
        <v>16925</v>
      </c>
      <c r="I243" s="56">
        <f t="shared" si="16"/>
        <v>0.35323704971407105</v>
      </c>
      <c r="J243" s="55">
        <v>229</v>
      </c>
      <c r="K243" s="56">
        <f t="shared" si="17"/>
        <v>4.7793964185832948E-3</v>
      </c>
      <c r="L243" s="56">
        <f t="shared" si="18"/>
        <v>1.3530280649926145E-2</v>
      </c>
      <c r="M243" s="55">
        <v>154</v>
      </c>
      <c r="N243" s="56">
        <f t="shared" si="19"/>
        <v>3.214091914680469E-3</v>
      </c>
      <c r="O243" s="53" t="s">
        <v>469</v>
      </c>
    </row>
    <row r="244" spans="1:15" hidden="1" x14ac:dyDescent="0.25">
      <c r="A244" s="59" t="s">
        <v>540</v>
      </c>
      <c r="B244" s="53" t="s">
        <v>444</v>
      </c>
      <c r="C244" s="53" t="s">
        <v>469</v>
      </c>
      <c r="D244" s="54">
        <v>44980</v>
      </c>
      <c r="E244" s="55">
        <v>5284</v>
      </c>
      <c r="F244" s="56">
        <f t="shared" si="15"/>
        <v>0.99905374716124151</v>
      </c>
      <c r="G244" s="55">
        <v>5</v>
      </c>
      <c r="H244" s="55">
        <v>1635</v>
      </c>
      <c r="I244" s="56">
        <f t="shared" si="16"/>
        <v>0.3094246782740348</v>
      </c>
      <c r="J244" s="55">
        <v>32</v>
      </c>
      <c r="K244" s="56">
        <f t="shared" si="17"/>
        <v>6.0560181680545042E-3</v>
      </c>
      <c r="L244" s="56">
        <f t="shared" si="18"/>
        <v>1.9571865443425075E-2</v>
      </c>
      <c r="M244" s="55">
        <v>21</v>
      </c>
      <c r="N244" s="56">
        <f t="shared" si="19"/>
        <v>3.9742619227857686E-3</v>
      </c>
      <c r="O244" s="53" t="s">
        <v>469</v>
      </c>
    </row>
    <row r="245" spans="1:15" hidden="1" x14ac:dyDescent="0.25">
      <c r="A245" s="59" t="s">
        <v>541</v>
      </c>
      <c r="B245" s="53" t="s">
        <v>444</v>
      </c>
      <c r="C245" s="53" t="s">
        <v>469</v>
      </c>
      <c r="D245" s="54">
        <v>44980</v>
      </c>
      <c r="E245" s="55">
        <v>47880</v>
      </c>
      <c r="F245" s="56">
        <f t="shared" si="15"/>
        <v>0.99845446950710104</v>
      </c>
      <c r="G245" s="55">
        <v>74</v>
      </c>
      <c r="H245" s="55">
        <v>17071</v>
      </c>
      <c r="I245" s="56">
        <f t="shared" si="16"/>
        <v>0.35653717627401837</v>
      </c>
      <c r="J245" s="55">
        <v>320</v>
      </c>
      <c r="K245" s="56">
        <f t="shared" si="17"/>
        <v>6.6833751044277356E-3</v>
      </c>
      <c r="L245" s="56">
        <f t="shared" si="18"/>
        <v>1.8745240466287855E-2</v>
      </c>
      <c r="M245" s="55">
        <v>131</v>
      </c>
      <c r="N245" s="56">
        <f t="shared" si="19"/>
        <v>2.7360066833751044E-3</v>
      </c>
      <c r="O245" s="53" t="s">
        <v>469</v>
      </c>
    </row>
    <row r="246" spans="1:15" hidden="1" x14ac:dyDescent="0.25">
      <c r="A246" s="58" t="s">
        <v>449</v>
      </c>
      <c r="B246" s="53"/>
      <c r="C246" s="53" t="s">
        <v>446</v>
      </c>
      <c r="D246" s="54">
        <v>44980</v>
      </c>
      <c r="E246" s="55">
        <v>1642</v>
      </c>
      <c r="F246" s="56">
        <f t="shared" si="15"/>
        <v>1</v>
      </c>
      <c r="G246" s="55">
        <v>0</v>
      </c>
      <c r="H246" s="55">
        <v>624</v>
      </c>
      <c r="I246" s="56">
        <f t="shared" si="16"/>
        <v>0.3800243605359318</v>
      </c>
      <c r="J246" s="55">
        <v>16</v>
      </c>
      <c r="K246" s="56">
        <f t="shared" si="17"/>
        <v>9.7442143727161992E-3</v>
      </c>
      <c r="L246" s="56">
        <f t="shared" si="18"/>
        <v>2.564102564102564E-2</v>
      </c>
      <c r="M246" s="55">
        <v>1</v>
      </c>
      <c r="N246" s="56">
        <f t="shared" si="19"/>
        <v>6.0901339829476245E-4</v>
      </c>
      <c r="O246" s="53" t="s">
        <v>446</v>
      </c>
    </row>
    <row r="247" spans="1:15" hidden="1" x14ac:dyDescent="0.25">
      <c r="A247" s="58" t="s">
        <v>542</v>
      </c>
      <c r="B247" s="53" t="s">
        <v>444</v>
      </c>
      <c r="C247" s="53" t="s">
        <v>443</v>
      </c>
      <c r="D247" s="54">
        <v>44981</v>
      </c>
      <c r="E247" s="55">
        <v>6241</v>
      </c>
      <c r="F247" s="56">
        <f t="shared" si="15"/>
        <v>0.9991988463387278</v>
      </c>
      <c r="G247" s="55">
        <v>5</v>
      </c>
      <c r="H247" s="55">
        <v>2024</v>
      </c>
      <c r="I247" s="56">
        <f t="shared" si="16"/>
        <v>0.32430700208299951</v>
      </c>
      <c r="J247" s="55">
        <v>45</v>
      </c>
      <c r="K247" s="56">
        <f t="shared" si="17"/>
        <v>7.2103829514500884E-3</v>
      </c>
      <c r="L247" s="56">
        <f t="shared" si="18"/>
        <v>2.2233201581027668E-2</v>
      </c>
      <c r="M247" s="55">
        <v>19</v>
      </c>
      <c r="N247" s="56">
        <f t="shared" si="19"/>
        <v>3.0443839128344815E-3</v>
      </c>
      <c r="O247" s="53" t="s">
        <v>443</v>
      </c>
    </row>
    <row r="248" spans="1:15" hidden="1" x14ac:dyDescent="0.25">
      <c r="A248" s="58" t="s">
        <v>542</v>
      </c>
      <c r="B248" s="53" t="s">
        <v>439</v>
      </c>
      <c r="C248" s="53" t="s">
        <v>443</v>
      </c>
      <c r="D248" s="54">
        <v>44981</v>
      </c>
      <c r="E248" s="55">
        <v>18918</v>
      </c>
      <c r="F248" s="56">
        <f t="shared" si="15"/>
        <v>0.99936568347605459</v>
      </c>
      <c r="G248" s="55">
        <v>12</v>
      </c>
      <c r="H248" s="55">
        <v>5883</v>
      </c>
      <c r="I248" s="56">
        <f t="shared" si="16"/>
        <v>0.31097367586425628</v>
      </c>
      <c r="J248" s="55">
        <v>96</v>
      </c>
      <c r="K248" s="56">
        <f t="shared" si="17"/>
        <v>5.0745321915635902E-3</v>
      </c>
      <c r="L248" s="56">
        <f t="shared" si="18"/>
        <v>1.6318204997450281E-2</v>
      </c>
      <c r="M248" s="55">
        <v>8</v>
      </c>
      <c r="N248" s="56">
        <f t="shared" si="19"/>
        <v>4.2287768263029918E-4</v>
      </c>
      <c r="O248" s="53" t="s">
        <v>443</v>
      </c>
    </row>
    <row r="249" spans="1:15" x14ac:dyDescent="0.25">
      <c r="A249" s="60" t="s">
        <v>451</v>
      </c>
      <c r="B249" s="61" t="s">
        <v>444</v>
      </c>
      <c r="C249" s="61" t="s">
        <v>452</v>
      </c>
      <c r="D249" s="54">
        <v>44981</v>
      </c>
      <c r="E249" s="55">
        <v>246917</v>
      </c>
      <c r="F249" s="56">
        <f t="shared" si="15"/>
        <v>0.99919001121834461</v>
      </c>
      <c r="G249" s="55">
        <v>200</v>
      </c>
      <c r="H249" s="55">
        <v>92327</v>
      </c>
      <c r="I249" s="56">
        <f t="shared" si="16"/>
        <v>0.3739191712194786</v>
      </c>
      <c r="J249" s="55">
        <v>2269</v>
      </c>
      <c r="K249" s="56">
        <f t="shared" si="17"/>
        <v>9.1893227278802194E-3</v>
      </c>
      <c r="L249" s="56">
        <f t="shared" si="18"/>
        <v>2.4575692917564743E-2</v>
      </c>
      <c r="M249" s="55">
        <v>290</v>
      </c>
      <c r="N249" s="56">
        <f t="shared" si="19"/>
        <v>1.1744837334002924E-3</v>
      </c>
      <c r="O249" s="53" t="s">
        <v>452</v>
      </c>
    </row>
    <row r="250" spans="1:15" x14ac:dyDescent="0.25">
      <c r="A250" s="62" t="s">
        <v>453</v>
      </c>
      <c r="B250" s="63" t="s">
        <v>444</v>
      </c>
      <c r="C250" s="63" t="s">
        <v>452</v>
      </c>
      <c r="D250" s="54">
        <v>44981</v>
      </c>
      <c r="E250" s="55">
        <v>333167</v>
      </c>
      <c r="F250" s="56">
        <f t="shared" si="15"/>
        <v>0.99855327808576477</v>
      </c>
      <c r="G250" s="55">
        <v>482</v>
      </c>
      <c r="H250" s="55">
        <v>100082</v>
      </c>
      <c r="I250" s="56">
        <f t="shared" si="16"/>
        <v>0.30039589755287888</v>
      </c>
      <c r="J250" s="55">
        <v>2565</v>
      </c>
      <c r="K250" s="56">
        <f t="shared" si="17"/>
        <v>7.6988417220192878E-3</v>
      </c>
      <c r="L250" s="56">
        <f t="shared" si="18"/>
        <v>2.5628984232928999E-2</v>
      </c>
      <c r="M250" s="55">
        <v>301</v>
      </c>
      <c r="N250" s="56">
        <f t="shared" si="19"/>
        <v>9.0345082196015812E-4</v>
      </c>
      <c r="O250" s="53" t="s">
        <v>452</v>
      </c>
    </row>
    <row r="251" spans="1:15" hidden="1" x14ac:dyDescent="0.25">
      <c r="A251" s="58" t="s">
        <v>22</v>
      </c>
      <c r="B251" s="53" t="s">
        <v>439</v>
      </c>
      <c r="C251" s="53" t="s">
        <v>443</v>
      </c>
      <c r="D251" s="54">
        <v>44981</v>
      </c>
      <c r="E251" s="55">
        <v>96887</v>
      </c>
      <c r="F251" s="56">
        <f t="shared" si="15"/>
        <v>0.99921558103770369</v>
      </c>
      <c r="G251" s="55">
        <v>76</v>
      </c>
      <c r="H251" s="55">
        <v>29052</v>
      </c>
      <c r="I251" s="56">
        <f t="shared" si="16"/>
        <v>0.29985446963988976</v>
      </c>
      <c r="J251" s="55">
        <v>532</v>
      </c>
      <c r="K251" s="56">
        <f t="shared" si="17"/>
        <v>5.4909327360739835E-3</v>
      </c>
      <c r="L251" s="56">
        <f t="shared" si="18"/>
        <v>1.8311992289687457E-2</v>
      </c>
      <c r="M251" s="55">
        <v>54</v>
      </c>
      <c r="N251" s="56">
        <f t="shared" si="19"/>
        <v>5.5735031531578029E-4</v>
      </c>
      <c r="O251" s="53" t="s">
        <v>443</v>
      </c>
    </row>
    <row r="252" spans="1:15" hidden="1" x14ac:dyDescent="0.25">
      <c r="A252" s="58" t="s">
        <v>22</v>
      </c>
      <c r="B252" s="53" t="s">
        <v>444</v>
      </c>
      <c r="C252" s="53" t="s">
        <v>443</v>
      </c>
      <c r="D252" s="54">
        <v>44981</v>
      </c>
      <c r="E252" s="55">
        <v>193445</v>
      </c>
      <c r="F252" s="56">
        <f t="shared" si="15"/>
        <v>0.99898679211145291</v>
      </c>
      <c r="G252" s="55">
        <v>196</v>
      </c>
      <c r="H252" s="55">
        <v>59766</v>
      </c>
      <c r="I252" s="56">
        <f t="shared" si="16"/>
        <v>0.30895603401483623</v>
      </c>
      <c r="J252" s="55">
        <v>1321</v>
      </c>
      <c r="K252" s="56">
        <f t="shared" si="17"/>
        <v>6.8288143916875599E-3</v>
      </c>
      <c r="L252" s="56">
        <f t="shared" si="18"/>
        <v>2.2102867851286685E-2</v>
      </c>
      <c r="M252" s="55">
        <v>752</v>
      </c>
      <c r="N252" s="56">
        <f t="shared" si="19"/>
        <v>3.8874098580992012E-3</v>
      </c>
      <c r="O252" s="53" t="s">
        <v>443</v>
      </c>
    </row>
    <row r="253" spans="1:15" hidden="1" x14ac:dyDescent="0.25">
      <c r="A253" s="58" t="s">
        <v>23</v>
      </c>
      <c r="B253" s="53" t="s">
        <v>439</v>
      </c>
      <c r="C253" s="53" t="s">
        <v>443</v>
      </c>
      <c r="D253" s="54">
        <v>44981</v>
      </c>
      <c r="E253" s="55">
        <v>1736522</v>
      </c>
      <c r="F253" s="56">
        <f t="shared" si="15"/>
        <v>0.99784914904619693</v>
      </c>
      <c r="G253" s="55">
        <v>3735</v>
      </c>
      <c r="H253" s="55">
        <v>613549</v>
      </c>
      <c r="I253" s="56">
        <f t="shared" si="16"/>
        <v>0.35332060290626899</v>
      </c>
      <c r="J253" s="55">
        <v>9784</v>
      </c>
      <c r="K253" s="56">
        <f t="shared" si="17"/>
        <v>5.6342505306584082E-3</v>
      </c>
      <c r="L253" s="56">
        <f t="shared" si="18"/>
        <v>1.5946566614891394E-2</v>
      </c>
      <c r="M253" s="55">
        <v>1806</v>
      </c>
      <c r="N253" s="56">
        <f t="shared" si="19"/>
        <v>1.0400098587867012E-3</v>
      </c>
      <c r="O253" s="53" t="s">
        <v>443</v>
      </c>
    </row>
    <row r="254" spans="1:15" hidden="1" x14ac:dyDescent="0.25">
      <c r="A254" s="58" t="s">
        <v>23</v>
      </c>
      <c r="B254" s="53" t="s">
        <v>444</v>
      </c>
      <c r="C254" s="53" t="s">
        <v>443</v>
      </c>
      <c r="D254" s="54">
        <v>44981</v>
      </c>
      <c r="E254" s="55">
        <v>2176097</v>
      </c>
      <c r="F254" s="56">
        <f t="shared" si="15"/>
        <v>0.99815817033891407</v>
      </c>
      <c r="G254" s="55">
        <v>4008</v>
      </c>
      <c r="H254" s="55">
        <v>768818</v>
      </c>
      <c r="I254" s="56">
        <f t="shared" si="16"/>
        <v>0.35330134640137822</v>
      </c>
      <c r="J254" s="55">
        <v>13398</v>
      </c>
      <c r="K254" s="56">
        <f t="shared" si="17"/>
        <v>6.1568946604861827E-3</v>
      </c>
      <c r="L254" s="56">
        <f t="shared" si="18"/>
        <v>1.742675119469107E-2</v>
      </c>
      <c r="M254" s="55">
        <v>6322</v>
      </c>
      <c r="N254" s="56">
        <f t="shared" si="19"/>
        <v>2.9052013765930472E-3</v>
      </c>
      <c r="O254" s="53" t="s">
        <v>443</v>
      </c>
    </row>
    <row r="255" spans="1:15" hidden="1" x14ac:dyDescent="0.25">
      <c r="A255" s="58" t="s">
        <v>543</v>
      </c>
      <c r="B255" s="53" t="s">
        <v>439</v>
      </c>
      <c r="C255" s="53" t="s">
        <v>443</v>
      </c>
      <c r="D255" s="54">
        <v>44981</v>
      </c>
      <c r="E255" s="55">
        <v>118601</v>
      </c>
      <c r="F255" s="56">
        <f t="shared" si="15"/>
        <v>0.99914840515678616</v>
      </c>
      <c r="G255" s="55">
        <v>101</v>
      </c>
      <c r="H255" s="55">
        <v>36639</v>
      </c>
      <c r="I255" s="56">
        <f t="shared" si="16"/>
        <v>0.30892656891594505</v>
      </c>
      <c r="J255" s="55">
        <v>358</v>
      </c>
      <c r="K255" s="56">
        <f t="shared" si="17"/>
        <v>3.0185242957479277E-3</v>
      </c>
      <c r="L255" s="56">
        <f t="shared" si="18"/>
        <v>9.7710090340893587E-3</v>
      </c>
      <c r="M255" s="55">
        <v>90</v>
      </c>
      <c r="N255" s="56">
        <f t="shared" si="19"/>
        <v>7.588468899924958E-4</v>
      </c>
      <c r="O255" s="53" t="s">
        <v>443</v>
      </c>
    </row>
    <row r="256" spans="1:15" hidden="1" x14ac:dyDescent="0.25">
      <c r="A256" s="58" t="s">
        <v>543</v>
      </c>
      <c r="B256" s="53" t="s">
        <v>444</v>
      </c>
      <c r="C256" s="53" t="s">
        <v>443</v>
      </c>
      <c r="D256" s="54">
        <v>44981</v>
      </c>
      <c r="E256" s="55">
        <v>220894</v>
      </c>
      <c r="F256" s="56">
        <f t="shared" si="15"/>
        <v>0.99904026365587117</v>
      </c>
      <c r="G256" s="55">
        <v>212</v>
      </c>
      <c r="H256" s="55">
        <v>68826</v>
      </c>
      <c r="I256" s="56">
        <f t="shared" si="16"/>
        <v>0.31157930953307922</v>
      </c>
      <c r="J256" s="55">
        <v>911</v>
      </c>
      <c r="K256" s="56">
        <f t="shared" si="17"/>
        <v>4.1241500448178769E-3</v>
      </c>
      <c r="L256" s="56">
        <f t="shared" si="18"/>
        <v>1.3236276988347426E-2</v>
      </c>
      <c r="M256" s="55">
        <v>704</v>
      </c>
      <c r="N256" s="56">
        <f t="shared" si="19"/>
        <v>3.1870489918241329E-3</v>
      </c>
      <c r="O256" s="53" t="s">
        <v>443</v>
      </c>
    </row>
    <row r="257" spans="1:15" hidden="1" x14ac:dyDescent="0.25">
      <c r="A257" s="58" t="s">
        <v>544</v>
      </c>
      <c r="B257" s="53" t="s">
        <v>439</v>
      </c>
      <c r="C257" s="53" t="s">
        <v>443</v>
      </c>
      <c r="D257" s="54">
        <v>44981</v>
      </c>
      <c r="E257" s="55">
        <v>2139489</v>
      </c>
      <c r="F257" s="56">
        <f t="shared" si="15"/>
        <v>0.99804719725130631</v>
      </c>
      <c r="G257" s="55">
        <v>4178</v>
      </c>
      <c r="H257" s="55">
        <v>928128</v>
      </c>
      <c r="I257" s="56">
        <f t="shared" si="16"/>
        <v>0.43380825982278948</v>
      </c>
      <c r="J257" s="55">
        <v>7644</v>
      </c>
      <c r="K257" s="56">
        <f t="shared" si="17"/>
        <v>3.5728157517986772E-3</v>
      </c>
      <c r="L257" s="56">
        <f t="shared" si="18"/>
        <v>8.2359329747621023E-3</v>
      </c>
      <c r="M257" s="55">
        <v>2968</v>
      </c>
      <c r="N257" s="56">
        <f t="shared" si="19"/>
        <v>1.3872471417240284E-3</v>
      </c>
      <c r="O257" s="53" t="s">
        <v>443</v>
      </c>
    </row>
    <row r="258" spans="1:15" hidden="1" x14ac:dyDescent="0.25">
      <c r="A258" s="58" t="s">
        <v>544</v>
      </c>
      <c r="B258" s="53" t="s">
        <v>444</v>
      </c>
      <c r="C258" s="53" t="s">
        <v>443</v>
      </c>
      <c r="D258" s="54">
        <v>44981</v>
      </c>
      <c r="E258" s="55">
        <v>2394533</v>
      </c>
      <c r="F258" s="56">
        <f t="shared" ref="F258:F321" si="20">(E258-G258)/E258</f>
        <v>0.99832952813763687</v>
      </c>
      <c r="G258" s="55">
        <v>4000</v>
      </c>
      <c r="H258" s="55">
        <v>866571</v>
      </c>
      <c r="I258" s="56">
        <f t="shared" ref="I258:I321" si="21">H258/E258</f>
        <v>0.36189561805997245</v>
      </c>
      <c r="J258" s="55">
        <v>9483</v>
      </c>
      <c r="K258" s="56">
        <f t="shared" ref="K258:K321" si="22">J258/E258</f>
        <v>3.9602711676974172E-3</v>
      </c>
      <c r="L258" s="56">
        <f t="shared" ref="L258:L321" si="23">J258/H258</f>
        <v>1.0943131030232953E-2</v>
      </c>
      <c r="M258" s="55">
        <v>6910</v>
      </c>
      <c r="N258" s="56">
        <f t="shared" ref="N258:N321" si="24">M258/E258</f>
        <v>2.8857401422323265E-3</v>
      </c>
      <c r="O258" s="53" t="s">
        <v>443</v>
      </c>
    </row>
    <row r="259" spans="1:15" hidden="1" x14ac:dyDescent="0.25">
      <c r="A259" s="58" t="s">
        <v>545</v>
      </c>
      <c r="B259" s="53" t="s">
        <v>439</v>
      </c>
      <c r="C259" s="53" t="s">
        <v>447</v>
      </c>
      <c r="D259" s="54">
        <v>44982</v>
      </c>
      <c r="E259" s="55">
        <v>7896</v>
      </c>
      <c r="F259" s="56">
        <f t="shared" si="20"/>
        <v>0.99911347517730498</v>
      </c>
      <c r="G259" s="55">
        <v>7</v>
      </c>
      <c r="H259" s="55">
        <v>3940</v>
      </c>
      <c r="I259" s="56">
        <f t="shared" si="21"/>
        <v>0.49898682877406281</v>
      </c>
      <c r="J259" s="55">
        <v>634</v>
      </c>
      <c r="K259" s="56">
        <f t="shared" si="22"/>
        <v>8.0293819655521778E-2</v>
      </c>
      <c r="L259" s="56">
        <f t="shared" si="23"/>
        <v>0.16091370558375634</v>
      </c>
      <c r="M259" s="55">
        <v>6</v>
      </c>
      <c r="N259" s="56">
        <f t="shared" si="24"/>
        <v>7.5987841945288754E-4</v>
      </c>
      <c r="O259" s="53" t="s">
        <v>448</v>
      </c>
    </row>
    <row r="260" spans="1:15" hidden="1" x14ac:dyDescent="0.25">
      <c r="A260" s="58" t="s">
        <v>546</v>
      </c>
      <c r="B260" s="53"/>
      <c r="C260" s="53" t="s">
        <v>474</v>
      </c>
      <c r="D260" s="54">
        <v>44984</v>
      </c>
      <c r="E260" s="55">
        <v>517</v>
      </c>
      <c r="F260" s="56">
        <f t="shared" si="20"/>
        <v>0.96905222437137328</v>
      </c>
      <c r="G260" s="55">
        <v>16</v>
      </c>
      <c r="H260" s="55">
        <v>114</v>
      </c>
      <c r="I260" s="56">
        <f t="shared" si="21"/>
        <v>0.22050290135396519</v>
      </c>
      <c r="J260" s="55">
        <v>6</v>
      </c>
      <c r="K260" s="56">
        <f t="shared" si="22"/>
        <v>1.160541586073501E-2</v>
      </c>
      <c r="L260" s="56">
        <f t="shared" si="23"/>
        <v>5.2631578947368418E-2</v>
      </c>
      <c r="M260" s="55">
        <v>2</v>
      </c>
      <c r="N260" s="56">
        <f t="shared" si="24"/>
        <v>3.8684719535783366E-3</v>
      </c>
      <c r="O260" s="53" t="s">
        <v>474</v>
      </c>
    </row>
    <row r="261" spans="1:15" hidden="1" x14ac:dyDescent="0.25">
      <c r="A261" s="58" t="s">
        <v>547</v>
      </c>
      <c r="B261" s="53"/>
      <c r="C261" s="53" t="s">
        <v>474</v>
      </c>
      <c r="D261" s="54">
        <v>44984</v>
      </c>
      <c r="E261" s="55">
        <v>3920</v>
      </c>
      <c r="F261" s="56">
        <f t="shared" si="20"/>
        <v>0.95765306122448979</v>
      </c>
      <c r="G261" s="55">
        <v>166</v>
      </c>
      <c r="H261" s="55">
        <v>1360</v>
      </c>
      <c r="I261" s="56">
        <f t="shared" si="21"/>
        <v>0.34693877551020408</v>
      </c>
      <c r="J261" s="55">
        <v>112</v>
      </c>
      <c r="K261" s="56">
        <f t="shared" si="22"/>
        <v>2.8571428571428571E-2</v>
      </c>
      <c r="L261" s="56">
        <f t="shared" si="23"/>
        <v>8.2352941176470587E-2</v>
      </c>
      <c r="M261" s="55">
        <v>29</v>
      </c>
      <c r="N261" s="56">
        <f t="shared" si="24"/>
        <v>7.3979591836734696E-3</v>
      </c>
      <c r="O261" s="53" t="s">
        <v>474</v>
      </c>
    </row>
    <row r="262" spans="1:15" hidden="1" x14ac:dyDescent="0.25">
      <c r="A262" s="58" t="s">
        <v>18</v>
      </c>
      <c r="B262" s="53" t="s">
        <v>439</v>
      </c>
      <c r="C262" s="53" t="s">
        <v>443</v>
      </c>
      <c r="D262" s="54">
        <v>44985</v>
      </c>
      <c r="E262" s="55">
        <v>22912</v>
      </c>
      <c r="F262" s="56">
        <f t="shared" si="20"/>
        <v>0.99903980446927376</v>
      </c>
      <c r="G262" s="55">
        <v>22</v>
      </c>
      <c r="H262" s="55">
        <v>8082</v>
      </c>
      <c r="I262" s="56">
        <f t="shared" si="21"/>
        <v>0.35274092178770949</v>
      </c>
      <c r="J262" s="55">
        <v>227</v>
      </c>
      <c r="K262" s="56">
        <f t="shared" si="22"/>
        <v>9.9074720670391057E-3</v>
      </c>
      <c r="L262" s="56">
        <f t="shared" si="23"/>
        <v>2.8087107151695125E-2</v>
      </c>
      <c r="M262" s="55">
        <v>16</v>
      </c>
      <c r="N262" s="56">
        <f t="shared" si="24"/>
        <v>6.9832402234636874E-4</v>
      </c>
      <c r="O262" s="53" t="s">
        <v>443</v>
      </c>
    </row>
    <row r="263" spans="1:15" hidden="1" x14ac:dyDescent="0.25">
      <c r="A263" s="58" t="s">
        <v>18</v>
      </c>
      <c r="B263" s="53" t="s">
        <v>444</v>
      </c>
      <c r="C263" s="53" t="s">
        <v>443</v>
      </c>
      <c r="D263" s="54">
        <v>44985</v>
      </c>
      <c r="E263" s="55">
        <v>25210</v>
      </c>
      <c r="F263" s="56">
        <f t="shared" si="20"/>
        <v>0.99960333201110674</v>
      </c>
      <c r="G263" s="55">
        <v>10</v>
      </c>
      <c r="H263" s="55">
        <v>9508</v>
      </c>
      <c r="I263" s="56">
        <f t="shared" si="21"/>
        <v>0.37715192383974611</v>
      </c>
      <c r="J263" s="55">
        <v>227</v>
      </c>
      <c r="K263" s="56">
        <f t="shared" si="22"/>
        <v>9.0043633478778268E-3</v>
      </c>
      <c r="L263" s="56">
        <f t="shared" si="23"/>
        <v>2.3874631888935634E-2</v>
      </c>
      <c r="M263" s="55">
        <v>40</v>
      </c>
      <c r="N263" s="56">
        <f t="shared" si="24"/>
        <v>1.5866719555731853E-3</v>
      </c>
      <c r="O263" s="53" t="s">
        <v>443</v>
      </c>
    </row>
    <row r="264" spans="1:15" hidden="1" x14ac:dyDescent="0.25">
      <c r="A264" s="58" t="s">
        <v>19</v>
      </c>
      <c r="B264" s="53" t="s">
        <v>439</v>
      </c>
      <c r="C264" s="53" t="s">
        <v>443</v>
      </c>
      <c r="D264" s="54">
        <v>44985</v>
      </c>
      <c r="E264" s="55">
        <v>215653</v>
      </c>
      <c r="F264" s="56">
        <f t="shared" si="20"/>
        <v>0.99825645829179288</v>
      </c>
      <c r="G264" s="55">
        <v>376</v>
      </c>
      <c r="H264" s="55">
        <v>79666</v>
      </c>
      <c r="I264" s="56">
        <f t="shared" si="21"/>
        <v>0.36941753650540454</v>
      </c>
      <c r="J264" s="55">
        <v>2298</v>
      </c>
      <c r="K264" s="56">
        <f t="shared" si="22"/>
        <v>1.0656007567712946E-2</v>
      </c>
      <c r="L264" s="56">
        <f t="shared" si="23"/>
        <v>2.8845429668867523E-2</v>
      </c>
      <c r="M264" s="55">
        <v>113</v>
      </c>
      <c r="N264" s="56">
        <f t="shared" si="24"/>
        <v>5.2398992826438765E-4</v>
      </c>
      <c r="O264" s="53" t="s">
        <v>443</v>
      </c>
    </row>
    <row r="265" spans="1:15" hidden="1" x14ac:dyDescent="0.25">
      <c r="A265" s="58" t="s">
        <v>19</v>
      </c>
      <c r="B265" s="53" t="s">
        <v>444</v>
      </c>
      <c r="C265" s="53" t="s">
        <v>443</v>
      </c>
      <c r="D265" s="54">
        <v>44985</v>
      </c>
      <c r="E265" s="55">
        <v>429428</v>
      </c>
      <c r="F265" s="56">
        <f t="shared" si="20"/>
        <v>0.99867731028251538</v>
      </c>
      <c r="G265" s="55">
        <v>568</v>
      </c>
      <c r="H265" s="55">
        <v>172694</v>
      </c>
      <c r="I265" s="56">
        <f t="shared" si="21"/>
        <v>0.40214890505509654</v>
      </c>
      <c r="J265" s="55">
        <v>2929</v>
      </c>
      <c r="K265" s="56">
        <f t="shared" si="22"/>
        <v>6.820701025550267E-3</v>
      </c>
      <c r="L265" s="56">
        <f t="shared" si="23"/>
        <v>1.6960635575063408E-2</v>
      </c>
      <c r="M265" s="55">
        <v>423</v>
      </c>
      <c r="N265" s="56">
        <f t="shared" si="24"/>
        <v>9.8503125087325461E-4</v>
      </c>
      <c r="O265" s="53" t="s">
        <v>443</v>
      </c>
    </row>
    <row r="266" spans="1:15" hidden="1" x14ac:dyDescent="0.25">
      <c r="A266" s="58" t="s">
        <v>548</v>
      </c>
      <c r="B266" s="53" t="s">
        <v>444</v>
      </c>
      <c r="C266" s="53" t="s">
        <v>443</v>
      </c>
      <c r="D266" s="54">
        <v>44986</v>
      </c>
      <c r="E266" s="55">
        <v>71370</v>
      </c>
      <c r="F266" s="56">
        <f t="shared" si="20"/>
        <v>0.9990332072299285</v>
      </c>
      <c r="G266" s="55">
        <v>69</v>
      </c>
      <c r="H266" s="55">
        <v>22108</v>
      </c>
      <c r="I266" s="56">
        <f t="shared" si="21"/>
        <v>0.30976600812666388</v>
      </c>
      <c r="J266" s="55">
        <v>486</v>
      </c>
      <c r="K266" s="56">
        <f t="shared" si="22"/>
        <v>6.8095838587641866E-3</v>
      </c>
      <c r="L266" s="56">
        <f t="shared" si="23"/>
        <v>2.1982992581870815E-2</v>
      </c>
      <c r="M266" s="55">
        <v>375</v>
      </c>
      <c r="N266" s="56">
        <f t="shared" si="24"/>
        <v>5.254308532997058E-3</v>
      </c>
      <c r="O266" s="53" t="s">
        <v>443</v>
      </c>
    </row>
    <row r="267" spans="1:15" hidden="1" x14ac:dyDescent="0.25">
      <c r="A267" s="58" t="s">
        <v>548</v>
      </c>
      <c r="B267" s="53" t="s">
        <v>439</v>
      </c>
      <c r="C267" s="53" t="s">
        <v>443</v>
      </c>
      <c r="D267" s="54">
        <v>44986</v>
      </c>
      <c r="E267" s="55">
        <v>63946</v>
      </c>
      <c r="F267" s="56">
        <f t="shared" si="20"/>
        <v>0.99923372845838676</v>
      </c>
      <c r="G267" s="55">
        <v>49</v>
      </c>
      <c r="H267" s="55">
        <v>20799</v>
      </c>
      <c r="I267" s="56">
        <f t="shared" si="21"/>
        <v>0.32525881212272856</v>
      </c>
      <c r="J267" s="55">
        <v>341</v>
      </c>
      <c r="K267" s="56">
        <f t="shared" si="22"/>
        <v>5.3326244018390518E-3</v>
      </c>
      <c r="L267" s="56">
        <f t="shared" si="23"/>
        <v>1.6395018991297659E-2</v>
      </c>
      <c r="M267" s="55">
        <v>55</v>
      </c>
      <c r="N267" s="56">
        <f t="shared" si="24"/>
        <v>8.6010070997404064E-4</v>
      </c>
      <c r="O267" s="53" t="s">
        <v>443</v>
      </c>
    </row>
    <row r="268" spans="1:15" hidden="1" x14ac:dyDescent="0.25">
      <c r="A268" s="58" t="s">
        <v>549</v>
      </c>
      <c r="B268" s="53" t="s">
        <v>444</v>
      </c>
      <c r="C268" s="53" t="s">
        <v>443</v>
      </c>
      <c r="D268" s="54">
        <v>44986</v>
      </c>
      <c r="E268" s="55">
        <v>769671</v>
      </c>
      <c r="F268" s="56">
        <f t="shared" si="20"/>
        <v>0.9982875800179557</v>
      </c>
      <c r="G268" s="55">
        <v>1318</v>
      </c>
      <c r="H268" s="55">
        <v>303299</v>
      </c>
      <c r="I268" s="56">
        <f t="shared" si="21"/>
        <v>0.39406317764343468</v>
      </c>
      <c r="J268" s="55">
        <v>4714</v>
      </c>
      <c r="K268" s="56">
        <f t="shared" si="22"/>
        <v>6.1246948371447025E-3</v>
      </c>
      <c r="L268" s="56">
        <f t="shared" si="23"/>
        <v>1.5542418537482814E-2</v>
      </c>
      <c r="M268" s="55">
        <v>3637</v>
      </c>
      <c r="N268" s="56">
        <f t="shared" si="24"/>
        <v>4.7253956560660334E-3</v>
      </c>
      <c r="O268" s="53" t="s">
        <v>443</v>
      </c>
    </row>
    <row r="269" spans="1:15" hidden="1" x14ac:dyDescent="0.25">
      <c r="A269" s="58" t="s">
        <v>549</v>
      </c>
      <c r="B269" s="53" t="s">
        <v>439</v>
      </c>
      <c r="C269" s="53" t="s">
        <v>443</v>
      </c>
      <c r="D269" s="54">
        <v>44986</v>
      </c>
      <c r="E269" s="55">
        <v>1202155</v>
      </c>
      <c r="F269" s="56">
        <f t="shared" si="20"/>
        <v>0.99820073118691022</v>
      </c>
      <c r="G269" s="55">
        <v>2163</v>
      </c>
      <c r="H269" s="55">
        <v>490884</v>
      </c>
      <c r="I269" s="56">
        <f t="shared" si="21"/>
        <v>0.40833669535126504</v>
      </c>
      <c r="J269" s="55">
        <v>4992</v>
      </c>
      <c r="K269" s="56">
        <f t="shared" si="22"/>
        <v>4.1525427253557151E-3</v>
      </c>
      <c r="L269" s="56">
        <f t="shared" si="23"/>
        <v>1.0169408658664777E-2</v>
      </c>
      <c r="M269" s="55">
        <v>1638</v>
      </c>
      <c r="N269" s="56">
        <f t="shared" si="24"/>
        <v>1.362553081757344E-3</v>
      </c>
      <c r="O269" s="53" t="s">
        <v>443</v>
      </c>
    </row>
    <row r="270" spans="1:15" hidden="1" x14ac:dyDescent="0.25">
      <c r="A270" s="52" t="s">
        <v>445</v>
      </c>
      <c r="B270" s="53"/>
      <c r="C270" s="53" t="s">
        <v>446</v>
      </c>
      <c r="D270" s="54">
        <v>44986</v>
      </c>
      <c r="E270" s="55">
        <v>309</v>
      </c>
      <c r="F270" s="56">
        <f t="shared" si="20"/>
        <v>1</v>
      </c>
      <c r="G270" s="55">
        <v>0</v>
      </c>
      <c r="H270" s="55">
        <v>99</v>
      </c>
      <c r="I270" s="56">
        <f t="shared" si="21"/>
        <v>0.32038834951456313</v>
      </c>
      <c r="J270" s="55">
        <v>6</v>
      </c>
      <c r="K270" s="56">
        <f t="shared" si="22"/>
        <v>1.9417475728155338E-2</v>
      </c>
      <c r="L270" s="56">
        <f t="shared" si="23"/>
        <v>6.0606060606060608E-2</v>
      </c>
      <c r="M270" s="55">
        <v>0</v>
      </c>
      <c r="N270" s="56">
        <f t="shared" si="24"/>
        <v>0</v>
      </c>
      <c r="O270" s="53" t="s">
        <v>446</v>
      </c>
    </row>
    <row r="271" spans="1:15" hidden="1" x14ac:dyDescent="0.25">
      <c r="A271" s="58" t="s">
        <v>15</v>
      </c>
      <c r="B271" s="53" t="s">
        <v>439</v>
      </c>
      <c r="C271" s="53" t="s">
        <v>447</v>
      </c>
      <c r="D271" s="54">
        <v>44986</v>
      </c>
      <c r="E271" s="55">
        <v>9414</v>
      </c>
      <c r="F271" s="56">
        <f t="shared" si="20"/>
        <v>0.98619077968982372</v>
      </c>
      <c r="G271" s="55">
        <v>130</v>
      </c>
      <c r="H271" s="55">
        <v>3118</v>
      </c>
      <c r="I271" s="56">
        <f t="shared" si="21"/>
        <v>0.33120883790099853</v>
      </c>
      <c r="J271" s="55">
        <v>369</v>
      </c>
      <c r="K271" s="56">
        <f t="shared" si="22"/>
        <v>3.9196940726577437E-2</v>
      </c>
      <c r="L271" s="56">
        <f t="shared" si="23"/>
        <v>0.11834509300833868</v>
      </c>
      <c r="M271" s="55">
        <v>43</v>
      </c>
      <c r="N271" s="56">
        <f t="shared" si="24"/>
        <v>4.5676651795198637E-3</v>
      </c>
      <c r="O271" s="53" t="s">
        <v>448</v>
      </c>
    </row>
    <row r="272" spans="1:15" hidden="1" x14ac:dyDescent="0.25">
      <c r="A272" s="58" t="s">
        <v>17</v>
      </c>
      <c r="B272" s="53" t="s">
        <v>439</v>
      </c>
      <c r="C272" s="53" t="s">
        <v>447</v>
      </c>
      <c r="D272" s="54">
        <v>44986</v>
      </c>
      <c r="E272" s="55">
        <v>85274</v>
      </c>
      <c r="F272" s="56">
        <f t="shared" si="20"/>
        <v>0.97782442479536558</v>
      </c>
      <c r="G272" s="55">
        <v>1891</v>
      </c>
      <c r="H272" s="55">
        <v>35103</v>
      </c>
      <c r="I272" s="56">
        <f t="shared" si="21"/>
        <v>0.41164950629734737</v>
      </c>
      <c r="J272" s="55">
        <v>3536</v>
      </c>
      <c r="K272" s="56">
        <f t="shared" si="22"/>
        <v>4.1466332059009778E-2</v>
      </c>
      <c r="L272" s="56">
        <f t="shared" si="23"/>
        <v>0.10073213115688118</v>
      </c>
      <c r="M272" s="55">
        <v>325</v>
      </c>
      <c r="N272" s="56">
        <f t="shared" si="24"/>
        <v>3.811243755423693E-3</v>
      </c>
      <c r="O272" s="53" t="s">
        <v>448</v>
      </c>
    </row>
    <row r="273" spans="1:15" hidden="1" x14ac:dyDescent="0.25">
      <c r="A273" s="58" t="s">
        <v>550</v>
      </c>
      <c r="B273" s="53" t="s">
        <v>439</v>
      </c>
      <c r="C273" s="53" t="s">
        <v>443</v>
      </c>
      <c r="D273" s="54">
        <v>44986</v>
      </c>
      <c r="E273" s="55">
        <v>118523</v>
      </c>
      <c r="F273" s="56">
        <f t="shared" si="20"/>
        <v>0.99911409599824508</v>
      </c>
      <c r="G273" s="55">
        <v>105</v>
      </c>
      <c r="H273" s="55">
        <v>37715</v>
      </c>
      <c r="I273" s="56">
        <f t="shared" si="21"/>
        <v>0.31820828024940306</v>
      </c>
      <c r="J273" s="55">
        <v>472</v>
      </c>
      <c r="K273" s="56">
        <f t="shared" si="22"/>
        <v>3.9823494174126544E-3</v>
      </c>
      <c r="L273" s="56">
        <f t="shared" si="23"/>
        <v>1.2514914490255866E-2</v>
      </c>
      <c r="M273" s="55">
        <v>79</v>
      </c>
      <c r="N273" s="56">
        <f t="shared" si="24"/>
        <v>6.6653729655847388E-4</v>
      </c>
      <c r="O273" s="53" t="s">
        <v>443</v>
      </c>
    </row>
    <row r="274" spans="1:15" hidden="1" x14ac:dyDescent="0.25">
      <c r="A274" s="58" t="s">
        <v>550</v>
      </c>
      <c r="B274" s="53" t="s">
        <v>444</v>
      </c>
      <c r="C274" s="53" t="s">
        <v>443</v>
      </c>
      <c r="D274" s="54">
        <v>44986</v>
      </c>
      <c r="E274" s="55">
        <v>219962</v>
      </c>
      <c r="F274" s="56">
        <f t="shared" si="20"/>
        <v>0.9989316336458115</v>
      </c>
      <c r="G274" s="55">
        <v>235</v>
      </c>
      <c r="H274" s="55">
        <v>70731</v>
      </c>
      <c r="I274" s="56">
        <f t="shared" si="21"/>
        <v>0.32156008765150346</v>
      </c>
      <c r="J274" s="55">
        <v>1262</v>
      </c>
      <c r="K274" s="56">
        <f t="shared" si="22"/>
        <v>5.7373546339822331E-3</v>
      </c>
      <c r="L274" s="56">
        <f t="shared" si="23"/>
        <v>1.784224738799112E-2</v>
      </c>
      <c r="M274" s="55">
        <v>902</v>
      </c>
      <c r="N274" s="56">
        <f t="shared" si="24"/>
        <v>4.100708304161628E-3</v>
      </c>
      <c r="O274" s="53" t="s">
        <v>443</v>
      </c>
    </row>
    <row r="275" spans="1:15" hidden="1" x14ac:dyDescent="0.25">
      <c r="A275" s="58" t="s">
        <v>551</v>
      </c>
      <c r="B275" s="53" t="s">
        <v>439</v>
      </c>
      <c r="C275" s="53" t="s">
        <v>443</v>
      </c>
      <c r="D275" s="54">
        <v>44986</v>
      </c>
      <c r="E275" s="55">
        <v>2144865</v>
      </c>
      <c r="F275" s="56">
        <f t="shared" si="20"/>
        <v>0.99793600063407251</v>
      </c>
      <c r="G275" s="55">
        <v>4427</v>
      </c>
      <c r="H275" s="55">
        <v>809456</v>
      </c>
      <c r="I275" s="56">
        <f t="shared" si="21"/>
        <v>0.37739251654533035</v>
      </c>
      <c r="J275" s="55">
        <v>10070</v>
      </c>
      <c r="K275" s="56">
        <f t="shared" si="22"/>
        <v>4.6949341800066671E-3</v>
      </c>
      <c r="L275" s="56">
        <f t="shared" si="23"/>
        <v>1.244045383566247E-2</v>
      </c>
      <c r="M275" s="55">
        <v>2293</v>
      </c>
      <c r="N275" s="56">
        <f t="shared" si="24"/>
        <v>1.0690649528058876E-3</v>
      </c>
      <c r="O275" s="53" t="s">
        <v>443</v>
      </c>
    </row>
    <row r="276" spans="1:15" hidden="1" x14ac:dyDescent="0.25">
      <c r="A276" s="58" t="s">
        <v>551</v>
      </c>
      <c r="B276" s="53" t="s">
        <v>444</v>
      </c>
      <c r="C276" s="53" t="s">
        <v>443</v>
      </c>
      <c r="D276" s="54">
        <v>44986</v>
      </c>
      <c r="E276" s="55">
        <v>2390275</v>
      </c>
      <c r="F276" s="56">
        <f t="shared" si="20"/>
        <v>0.99822823733670807</v>
      </c>
      <c r="G276" s="55">
        <v>4235</v>
      </c>
      <c r="H276" s="55">
        <v>889572</v>
      </c>
      <c r="I276" s="56">
        <f t="shared" si="21"/>
        <v>0.37216303563397518</v>
      </c>
      <c r="J276" s="55">
        <v>13094</v>
      </c>
      <c r="K276" s="56">
        <f t="shared" si="22"/>
        <v>5.4780307705180366E-3</v>
      </c>
      <c r="L276" s="56">
        <f t="shared" si="23"/>
        <v>1.4719438111811074E-2</v>
      </c>
      <c r="M276" s="55">
        <v>7507</v>
      </c>
      <c r="N276" s="56">
        <f t="shared" si="24"/>
        <v>3.1406428130654421E-3</v>
      </c>
      <c r="O276" s="53" t="s">
        <v>443</v>
      </c>
    </row>
    <row r="277" spans="1:15" hidden="1" x14ac:dyDescent="0.25">
      <c r="A277" s="58" t="s">
        <v>552</v>
      </c>
      <c r="B277" s="53" t="s">
        <v>439</v>
      </c>
      <c r="C277" s="53" t="s">
        <v>440</v>
      </c>
      <c r="D277" s="54">
        <v>44986</v>
      </c>
      <c r="E277" s="55">
        <v>12408</v>
      </c>
      <c r="F277" s="56">
        <f t="shared" si="20"/>
        <v>0.99774339136041268</v>
      </c>
      <c r="G277" s="55">
        <v>28</v>
      </c>
      <c r="H277" s="55">
        <v>4543</v>
      </c>
      <c r="I277" s="56">
        <f t="shared" si="21"/>
        <v>0.36613475177304966</v>
      </c>
      <c r="J277" s="55">
        <v>73</v>
      </c>
      <c r="K277" s="56">
        <f t="shared" si="22"/>
        <v>5.8833010960670533E-3</v>
      </c>
      <c r="L277" s="56">
        <f t="shared" si="23"/>
        <v>1.6068677085626239E-2</v>
      </c>
      <c r="M277" s="55">
        <v>44</v>
      </c>
      <c r="N277" s="56">
        <f t="shared" si="24"/>
        <v>3.5460992907801418E-3</v>
      </c>
      <c r="O277" s="53" t="s">
        <v>440</v>
      </c>
    </row>
    <row r="278" spans="1:15" hidden="1" x14ac:dyDescent="0.25">
      <c r="A278" s="58" t="s">
        <v>553</v>
      </c>
      <c r="B278" s="53" t="s">
        <v>439</v>
      </c>
      <c r="C278" s="53" t="s">
        <v>440</v>
      </c>
      <c r="D278" s="54">
        <v>44986</v>
      </c>
      <c r="E278" s="55">
        <v>28574</v>
      </c>
      <c r="F278" s="56">
        <f t="shared" si="20"/>
        <v>0.99692027717505427</v>
      </c>
      <c r="G278" s="55">
        <v>88</v>
      </c>
      <c r="H278" s="55">
        <v>10446</v>
      </c>
      <c r="I278" s="56">
        <f t="shared" si="21"/>
        <v>0.3655770980611745</v>
      </c>
      <c r="J278" s="55">
        <v>224</v>
      </c>
      <c r="K278" s="56">
        <f t="shared" si="22"/>
        <v>7.839294463498285E-3</v>
      </c>
      <c r="L278" s="56">
        <f t="shared" si="23"/>
        <v>2.1443614780777331E-2</v>
      </c>
      <c r="M278" s="55">
        <v>148</v>
      </c>
      <c r="N278" s="56">
        <f t="shared" si="24"/>
        <v>5.1795338419542243E-3</v>
      </c>
      <c r="O278" s="53" t="s">
        <v>440</v>
      </c>
    </row>
    <row r="279" spans="1:15" hidden="1" x14ac:dyDescent="0.25">
      <c r="A279" s="58" t="s">
        <v>554</v>
      </c>
      <c r="B279" s="53" t="s">
        <v>439</v>
      </c>
      <c r="C279" s="53" t="s">
        <v>440</v>
      </c>
      <c r="D279" s="54">
        <v>44986</v>
      </c>
      <c r="E279" s="55">
        <v>15109</v>
      </c>
      <c r="F279" s="56">
        <f t="shared" si="20"/>
        <v>0.99854391422331057</v>
      </c>
      <c r="G279" s="55">
        <v>22</v>
      </c>
      <c r="H279" s="55">
        <v>5773</v>
      </c>
      <c r="I279" s="56">
        <f t="shared" si="21"/>
        <v>0.3820901449467205</v>
      </c>
      <c r="J279" s="55">
        <v>127</v>
      </c>
      <c r="K279" s="56">
        <f t="shared" si="22"/>
        <v>8.4055860745251183E-3</v>
      </c>
      <c r="L279" s="56">
        <f t="shared" si="23"/>
        <v>2.1998960679023037E-2</v>
      </c>
      <c r="M279" s="55">
        <v>69</v>
      </c>
      <c r="N279" s="56">
        <f t="shared" si="24"/>
        <v>4.5668144814349065E-3</v>
      </c>
      <c r="O279" s="53" t="s">
        <v>440</v>
      </c>
    </row>
    <row r="280" spans="1:15" hidden="1" x14ac:dyDescent="0.25">
      <c r="A280" s="58" t="s">
        <v>555</v>
      </c>
      <c r="B280" s="53" t="s">
        <v>439</v>
      </c>
      <c r="C280" s="53" t="s">
        <v>440</v>
      </c>
      <c r="D280" s="54">
        <v>44986</v>
      </c>
      <c r="E280" s="55">
        <v>245222</v>
      </c>
      <c r="F280" s="56">
        <f t="shared" si="20"/>
        <v>0.99828726623223041</v>
      </c>
      <c r="G280" s="55">
        <v>420</v>
      </c>
      <c r="H280" s="55">
        <v>91365</v>
      </c>
      <c r="I280" s="56">
        <f t="shared" si="21"/>
        <v>0.37258076355302544</v>
      </c>
      <c r="J280" s="55">
        <v>1611</v>
      </c>
      <c r="K280" s="56">
        <f t="shared" si="22"/>
        <v>6.569557380659158E-3</v>
      </c>
      <c r="L280" s="56">
        <f t="shared" si="23"/>
        <v>1.763257264816943E-2</v>
      </c>
      <c r="M280" s="55">
        <v>1237</v>
      </c>
      <c r="N280" s="56">
        <f t="shared" si="24"/>
        <v>5.0444087398357406E-3</v>
      </c>
      <c r="O280" s="53" t="s">
        <v>440</v>
      </c>
    </row>
    <row r="281" spans="1:15" hidden="1" x14ac:dyDescent="0.25">
      <c r="A281" s="58" t="s">
        <v>449</v>
      </c>
      <c r="B281" s="53"/>
      <c r="C281" s="53" t="s">
        <v>446</v>
      </c>
      <c r="D281" s="54">
        <v>44987</v>
      </c>
      <c r="E281" s="55">
        <v>1642</v>
      </c>
      <c r="F281" s="56">
        <f t="shared" si="20"/>
        <v>1</v>
      </c>
      <c r="G281" s="55">
        <v>0</v>
      </c>
      <c r="H281" s="55">
        <v>598</v>
      </c>
      <c r="I281" s="56">
        <f t="shared" si="21"/>
        <v>0.36419001218026797</v>
      </c>
      <c r="J281" s="55">
        <v>19</v>
      </c>
      <c r="K281" s="56">
        <f t="shared" si="22"/>
        <v>1.1571254567600487E-2</v>
      </c>
      <c r="L281" s="56">
        <f t="shared" si="23"/>
        <v>3.177257525083612E-2</v>
      </c>
      <c r="M281" s="55">
        <v>0</v>
      </c>
      <c r="N281" s="56">
        <f t="shared" si="24"/>
        <v>0</v>
      </c>
      <c r="O281" s="53" t="s">
        <v>446</v>
      </c>
    </row>
    <row r="282" spans="1:15" hidden="1" x14ac:dyDescent="0.25">
      <c r="A282" s="58" t="s">
        <v>556</v>
      </c>
      <c r="B282" s="53" t="s">
        <v>444</v>
      </c>
      <c r="C282" s="53" t="s">
        <v>443</v>
      </c>
      <c r="D282" s="54">
        <v>44988</v>
      </c>
      <c r="E282" s="55">
        <v>16617</v>
      </c>
      <c r="F282" s="56">
        <f t="shared" si="20"/>
        <v>0.99765300595775408</v>
      </c>
      <c r="G282" s="55">
        <v>39</v>
      </c>
      <c r="H282" s="55">
        <v>8812</v>
      </c>
      <c r="I282" s="56">
        <f t="shared" si="21"/>
        <v>0.53030029487873864</v>
      </c>
      <c r="J282" s="55">
        <v>146</v>
      </c>
      <c r="K282" s="56">
        <f t="shared" si="22"/>
        <v>8.786182824817957E-3</v>
      </c>
      <c r="L282" s="56">
        <f t="shared" si="23"/>
        <v>1.6568315932818885E-2</v>
      </c>
      <c r="M282" s="55">
        <v>30</v>
      </c>
      <c r="N282" s="56">
        <f t="shared" si="24"/>
        <v>1.8053800324968406E-3</v>
      </c>
      <c r="O282" s="53" t="s">
        <v>443</v>
      </c>
    </row>
    <row r="283" spans="1:15" hidden="1" x14ac:dyDescent="0.25">
      <c r="A283" s="58" t="s">
        <v>556</v>
      </c>
      <c r="B283" s="53" t="s">
        <v>439</v>
      </c>
      <c r="C283" s="53" t="s">
        <v>443</v>
      </c>
      <c r="D283" s="54">
        <v>44988</v>
      </c>
      <c r="E283" s="55">
        <v>61596</v>
      </c>
      <c r="F283" s="56">
        <f t="shared" si="20"/>
        <v>0.99832781349438271</v>
      </c>
      <c r="G283" s="55">
        <v>103</v>
      </c>
      <c r="H283" s="55">
        <v>30352</v>
      </c>
      <c r="I283" s="56">
        <f t="shared" si="21"/>
        <v>0.49275927008247289</v>
      </c>
      <c r="J283" s="55">
        <v>669</v>
      </c>
      <c r="K283" s="56">
        <f t="shared" si="22"/>
        <v>1.0861094876290668E-2</v>
      </c>
      <c r="L283" s="56">
        <f t="shared" si="23"/>
        <v>2.2041381128096994E-2</v>
      </c>
      <c r="M283" s="55">
        <v>33</v>
      </c>
      <c r="N283" s="56">
        <f t="shared" si="24"/>
        <v>5.3574907461523475E-4</v>
      </c>
      <c r="O283" s="53" t="s">
        <v>443</v>
      </c>
    </row>
    <row r="284" spans="1:15" hidden="1" x14ac:dyDescent="0.25">
      <c r="A284" s="58" t="s">
        <v>22</v>
      </c>
      <c r="B284" s="53" t="s">
        <v>439</v>
      </c>
      <c r="C284" s="53" t="s">
        <v>443</v>
      </c>
      <c r="D284" s="54">
        <v>44988</v>
      </c>
      <c r="E284" s="55">
        <v>96915</v>
      </c>
      <c r="F284" s="56">
        <f t="shared" si="20"/>
        <v>0.99923644430686687</v>
      </c>
      <c r="G284" s="55">
        <v>74</v>
      </c>
      <c r="H284" s="55">
        <v>31082</v>
      </c>
      <c r="I284" s="56">
        <f t="shared" si="21"/>
        <v>0.32071402775628127</v>
      </c>
      <c r="J284" s="55">
        <v>582</v>
      </c>
      <c r="K284" s="56">
        <f t="shared" si="22"/>
        <v>6.0052623432905123E-3</v>
      </c>
      <c r="L284" s="56">
        <f t="shared" si="23"/>
        <v>1.8724663792548741E-2</v>
      </c>
      <c r="M284" s="55">
        <v>58</v>
      </c>
      <c r="N284" s="56">
        <f t="shared" si="24"/>
        <v>5.9846257029355621E-4</v>
      </c>
      <c r="O284" s="53" t="s">
        <v>443</v>
      </c>
    </row>
    <row r="285" spans="1:15" hidden="1" x14ac:dyDescent="0.25">
      <c r="A285" s="58" t="s">
        <v>22</v>
      </c>
      <c r="B285" s="53" t="s">
        <v>444</v>
      </c>
      <c r="C285" s="53" t="s">
        <v>443</v>
      </c>
      <c r="D285" s="54">
        <v>44988</v>
      </c>
      <c r="E285" s="55">
        <v>191523</v>
      </c>
      <c r="F285" s="56">
        <f t="shared" si="20"/>
        <v>0.99897140291244391</v>
      </c>
      <c r="G285" s="55">
        <v>197</v>
      </c>
      <c r="H285" s="55">
        <v>62297</v>
      </c>
      <c r="I285" s="56">
        <f t="shared" si="21"/>
        <v>0.32527163839330003</v>
      </c>
      <c r="J285" s="55">
        <v>1288</v>
      </c>
      <c r="K285" s="56">
        <f t="shared" si="22"/>
        <v>6.7250408567117266E-3</v>
      </c>
      <c r="L285" s="56">
        <f t="shared" si="23"/>
        <v>2.0675152896608182E-2</v>
      </c>
      <c r="M285" s="55">
        <v>580</v>
      </c>
      <c r="N285" s="56">
        <f t="shared" si="24"/>
        <v>3.0283569075254669E-3</v>
      </c>
      <c r="O285" s="53" t="s">
        <v>443</v>
      </c>
    </row>
    <row r="286" spans="1:15" hidden="1" x14ac:dyDescent="0.25">
      <c r="A286" s="58" t="s">
        <v>23</v>
      </c>
      <c r="B286" s="53" t="s">
        <v>439</v>
      </c>
      <c r="C286" s="53" t="s">
        <v>443</v>
      </c>
      <c r="D286" s="54">
        <v>44988</v>
      </c>
      <c r="E286" s="55">
        <v>1744898</v>
      </c>
      <c r="F286" s="56">
        <f t="shared" si="20"/>
        <v>0.99788010531274607</v>
      </c>
      <c r="G286" s="55">
        <v>3699</v>
      </c>
      <c r="H286" s="55">
        <v>704864</v>
      </c>
      <c r="I286" s="56">
        <f t="shared" si="21"/>
        <v>0.40395713674954065</v>
      </c>
      <c r="J286" s="55">
        <v>9825</v>
      </c>
      <c r="K286" s="56">
        <f t="shared" si="22"/>
        <v>5.6307016226736463E-3</v>
      </c>
      <c r="L286" s="56">
        <f t="shared" si="23"/>
        <v>1.3938859127434512E-2</v>
      </c>
      <c r="M286" s="55">
        <v>1713</v>
      </c>
      <c r="N286" s="56">
        <f t="shared" si="24"/>
        <v>9.8171927528142053E-4</v>
      </c>
      <c r="O286" s="53" t="s">
        <v>443</v>
      </c>
    </row>
    <row r="287" spans="1:15" hidden="1" x14ac:dyDescent="0.25">
      <c r="A287" s="58" t="s">
        <v>23</v>
      </c>
      <c r="B287" s="53" t="s">
        <v>444</v>
      </c>
      <c r="C287" s="53" t="s">
        <v>443</v>
      </c>
      <c r="D287" s="54">
        <v>44988</v>
      </c>
      <c r="E287" s="55">
        <v>2168282</v>
      </c>
      <c r="F287" s="56">
        <f t="shared" si="20"/>
        <v>0.9982142544189363</v>
      </c>
      <c r="G287" s="55">
        <v>3872</v>
      </c>
      <c r="H287" s="55">
        <v>784145</v>
      </c>
      <c r="I287" s="56">
        <f t="shared" si="21"/>
        <v>0.3616434578159114</v>
      </c>
      <c r="J287" s="55">
        <v>11899</v>
      </c>
      <c r="K287" s="56">
        <f t="shared" si="22"/>
        <v>5.4877548215591879E-3</v>
      </c>
      <c r="L287" s="56">
        <f t="shared" si="23"/>
        <v>1.5174489412034763E-2</v>
      </c>
      <c r="M287" s="55">
        <v>4893</v>
      </c>
      <c r="N287" s="56">
        <f t="shared" si="24"/>
        <v>2.2566252913597032E-3</v>
      </c>
      <c r="O287" s="53" t="s">
        <v>443</v>
      </c>
    </row>
    <row r="288" spans="1:15" hidden="1" x14ac:dyDescent="0.25">
      <c r="A288" s="58" t="s">
        <v>557</v>
      </c>
      <c r="B288" s="53" t="s">
        <v>439</v>
      </c>
      <c r="C288" s="53" t="s">
        <v>440</v>
      </c>
      <c r="D288" s="54">
        <v>44988</v>
      </c>
      <c r="E288" s="55">
        <v>211897</v>
      </c>
      <c r="F288" s="56">
        <f t="shared" si="20"/>
        <v>0.99854174433805098</v>
      </c>
      <c r="G288" s="55">
        <v>309</v>
      </c>
      <c r="H288" s="55">
        <v>86124</v>
      </c>
      <c r="I288" s="56">
        <f t="shared" si="21"/>
        <v>0.40644275284690201</v>
      </c>
      <c r="J288" s="55">
        <v>1614</v>
      </c>
      <c r="K288" s="56">
        <f t="shared" si="22"/>
        <v>7.6169082148402293E-3</v>
      </c>
      <c r="L288" s="56">
        <f t="shared" si="23"/>
        <v>1.8740420788630346E-2</v>
      </c>
      <c r="M288" s="55">
        <v>1402</v>
      </c>
      <c r="N288" s="56">
        <f t="shared" si="24"/>
        <v>6.6164221296195792E-3</v>
      </c>
      <c r="O288" s="53" t="s">
        <v>440</v>
      </c>
    </row>
    <row r="289" spans="1:15" x14ac:dyDescent="0.25">
      <c r="A289" s="58" t="s">
        <v>451</v>
      </c>
      <c r="B289" s="53" t="s">
        <v>444</v>
      </c>
      <c r="C289" s="53" t="s">
        <v>452</v>
      </c>
      <c r="D289" s="54">
        <v>44988</v>
      </c>
      <c r="E289" s="55">
        <v>245320</v>
      </c>
      <c r="F289" s="56">
        <f>(E289-G289)/E289</f>
        <v>0.99869558128159142</v>
      </c>
      <c r="G289" s="55">
        <v>320</v>
      </c>
      <c r="H289" s="55">
        <v>109864</v>
      </c>
      <c r="I289" s="56">
        <f>H289/E289</f>
        <v>0.44783955649763574</v>
      </c>
      <c r="J289" s="55">
        <v>2151</v>
      </c>
      <c r="K289" s="56">
        <f>J289/E289</f>
        <v>8.7681395728028706E-3</v>
      </c>
      <c r="L289" s="56">
        <f>J289/H289</f>
        <v>1.9578751911454161E-2</v>
      </c>
      <c r="M289" s="55">
        <v>295</v>
      </c>
      <c r="N289" s="56">
        <f>M289/E289</f>
        <v>1.2025110060329366E-3</v>
      </c>
      <c r="O289" s="53" t="s">
        <v>452</v>
      </c>
    </row>
    <row r="290" spans="1:15" x14ac:dyDescent="0.25">
      <c r="A290" s="58" t="s">
        <v>453</v>
      </c>
      <c r="B290" s="53" t="s">
        <v>444</v>
      </c>
      <c r="C290" s="53" t="s">
        <v>452</v>
      </c>
      <c r="D290" s="54">
        <v>44988</v>
      </c>
      <c r="E290" s="55">
        <v>333132</v>
      </c>
      <c r="F290" s="56">
        <f>(E290-G290)/E290</f>
        <v>0.99796477072151579</v>
      </c>
      <c r="G290" s="55">
        <v>678</v>
      </c>
      <c r="H290" s="55">
        <v>122788</v>
      </c>
      <c r="I290" s="56">
        <f>H290/E290</f>
        <v>0.36858662632229866</v>
      </c>
      <c r="J290" s="55">
        <v>2826</v>
      </c>
      <c r="K290" s="56">
        <f>J290/E290</f>
        <v>8.4831238067792948E-3</v>
      </c>
      <c r="L290" s="56">
        <f>J290/H290</f>
        <v>2.3015278365964099E-2</v>
      </c>
      <c r="M290" s="55">
        <v>377</v>
      </c>
      <c r="N290" s="56">
        <f>M290/E290</f>
        <v>1.1316835368562611E-3</v>
      </c>
      <c r="O290" s="53" t="s">
        <v>452</v>
      </c>
    </row>
    <row r="291" spans="1:15" x14ac:dyDescent="0.25">
      <c r="A291" s="58" t="s">
        <v>454</v>
      </c>
      <c r="B291" s="53" t="s">
        <v>444</v>
      </c>
      <c r="C291" s="53" t="s">
        <v>452</v>
      </c>
      <c r="D291" s="54">
        <v>44989</v>
      </c>
      <c r="E291" s="55">
        <v>15041</v>
      </c>
      <c r="F291" s="56">
        <f>(E291-G291)/E291</f>
        <v>0.99946812047071343</v>
      </c>
      <c r="G291" s="55">
        <v>8</v>
      </c>
      <c r="H291" s="55">
        <v>4998</v>
      </c>
      <c r="I291" s="56">
        <f>H291/E291</f>
        <v>0.33229173592181371</v>
      </c>
      <c r="J291" s="55">
        <v>279</v>
      </c>
      <c r="K291" s="56">
        <f>J291/E291</f>
        <v>1.8549298583870753E-2</v>
      </c>
      <c r="L291" s="56">
        <f>J291/H291</f>
        <v>5.5822328931572629E-2</v>
      </c>
      <c r="M291" s="55">
        <v>29</v>
      </c>
      <c r="N291" s="56">
        <f>M291/E291</f>
        <v>1.9280632936639851E-3</v>
      </c>
      <c r="O291" s="53" t="s">
        <v>452</v>
      </c>
    </row>
    <row r="292" spans="1:15" hidden="1" x14ac:dyDescent="0.25">
      <c r="A292" s="58" t="s">
        <v>558</v>
      </c>
      <c r="B292" s="53" t="s">
        <v>439</v>
      </c>
      <c r="C292" s="53" t="s">
        <v>447</v>
      </c>
      <c r="D292" s="54">
        <v>44989</v>
      </c>
      <c r="E292" s="55">
        <v>5810</v>
      </c>
      <c r="F292" s="56">
        <f t="shared" si="20"/>
        <v>0.99931153184165233</v>
      </c>
      <c r="G292" s="55">
        <v>4</v>
      </c>
      <c r="H292" s="55">
        <v>3537</v>
      </c>
      <c r="I292" s="56">
        <f t="shared" si="21"/>
        <v>0.60877796901893289</v>
      </c>
      <c r="J292" s="55">
        <v>1356</v>
      </c>
      <c r="K292" s="56">
        <f t="shared" si="22"/>
        <v>0.23339070567986231</v>
      </c>
      <c r="L292" s="56">
        <f t="shared" si="23"/>
        <v>0.38337574215436809</v>
      </c>
      <c r="M292" s="55">
        <v>1</v>
      </c>
      <c r="N292" s="56">
        <f t="shared" si="24"/>
        <v>1.7211703958691912E-4</v>
      </c>
      <c r="O292" s="53" t="s">
        <v>448</v>
      </c>
    </row>
    <row r="293" spans="1:15" hidden="1" x14ac:dyDescent="0.25">
      <c r="A293" s="52" t="s">
        <v>12</v>
      </c>
      <c r="B293" s="53" t="s">
        <v>439</v>
      </c>
      <c r="C293" s="53" t="s">
        <v>443</v>
      </c>
      <c r="D293" s="54">
        <v>44989</v>
      </c>
      <c r="E293" s="55">
        <v>1530</v>
      </c>
      <c r="F293" s="56">
        <f t="shared" si="20"/>
        <v>0.99803921568627452</v>
      </c>
      <c r="G293" s="55">
        <v>3</v>
      </c>
      <c r="H293" s="55">
        <v>757</v>
      </c>
      <c r="I293" s="56">
        <f t="shared" si="21"/>
        <v>0.49477124183006538</v>
      </c>
      <c r="J293" s="55">
        <v>96</v>
      </c>
      <c r="K293" s="56">
        <f t="shared" si="22"/>
        <v>6.2745098039215685E-2</v>
      </c>
      <c r="L293" s="56">
        <f t="shared" si="23"/>
        <v>0.12681638044914134</v>
      </c>
      <c r="M293" s="55">
        <v>1</v>
      </c>
      <c r="N293" s="56">
        <f t="shared" si="24"/>
        <v>6.5359477124183002E-4</v>
      </c>
      <c r="O293" s="53" t="s">
        <v>443</v>
      </c>
    </row>
    <row r="294" spans="1:15" hidden="1" x14ac:dyDescent="0.25">
      <c r="A294" s="52" t="s">
        <v>12</v>
      </c>
      <c r="B294" s="53" t="s">
        <v>444</v>
      </c>
      <c r="C294" s="53" t="s">
        <v>443</v>
      </c>
      <c r="D294" s="54">
        <v>44989</v>
      </c>
      <c r="E294" s="55">
        <v>1633</v>
      </c>
      <c r="F294" s="56">
        <f t="shared" si="20"/>
        <v>0.99816289038579298</v>
      </c>
      <c r="G294" s="55">
        <v>3</v>
      </c>
      <c r="H294" s="55">
        <v>696</v>
      </c>
      <c r="I294" s="56">
        <f t="shared" si="21"/>
        <v>0.42620943049601961</v>
      </c>
      <c r="J294" s="55">
        <v>54</v>
      </c>
      <c r="K294" s="56">
        <f t="shared" si="22"/>
        <v>3.3067973055725661E-2</v>
      </c>
      <c r="L294" s="56">
        <f t="shared" si="23"/>
        <v>7.7586206896551727E-2</v>
      </c>
      <c r="M294" s="55">
        <v>7</v>
      </c>
      <c r="N294" s="56">
        <f t="shared" si="24"/>
        <v>4.2865890998162893E-3</v>
      </c>
      <c r="O294" s="53" t="s">
        <v>443</v>
      </c>
    </row>
    <row r="295" spans="1:15" hidden="1" x14ac:dyDescent="0.25">
      <c r="A295" s="52" t="s">
        <v>9</v>
      </c>
      <c r="B295" s="53" t="s">
        <v>439</v>
      </c>
      <c r="C295" s="53" t="s">
        <v>443</v>
      </c>
      <c r="D295" s="54">
        <v>44989</v>
      </c>
      <c r="E295" s="55">
        <v>14781</v>
      </c>
      <c r="F295" s="56">
        <f t="shared" si="20"/>
        <v>0.99878222041810427</v>
      </c>
      <c r="G295" s="55">
        <v>18</v>
      </c>
      <c r="H295" s="55">
        <v>6425</v>
      </c>
      <c r="I295" s="56">
        <f t="shared" si="21"/>
        <v>0.43467965631554023</v>
      </c>
      <c r="J295" s="55">
        <v>651</v>
      </c>
      <c r="K295" s="56">
        <f t="shared" si="22"/>
        <v>4.4043028211893646E-2</v>
      </c>
      <c r="L295" s="56">
        <f t="shared" si="23"/>
        <v>0.10132295719844359</v>
      </c>
      <c r="M295" s="55">
        <v>12</v>
      </c>
      <c r="N295" s="56">
        <f t="shared" si="24"/>
        <v>8.1185305459711792E-4</v>
      </c>
      <c r="O295" s="53" t="s">
        <v>443</v>
      </c>
    </row>
    <row r="296" spans="1:15" hidden="1" x14ac:dyDescent="0.25">
      <c r="A296" s="52" t="s">
        <v>9</v>
      </c>
      <c r="B296" s="53" t="s">
        <v>444</v>
      </c>
      <c r="C296" s="53" t="s">
        <v>443</v>
      </c>
      <c r="D296" s="54">
        <v>44989</v>
      </c>
      <c r="E296" s="55">
        <v>20871</v>
      </c>
      <c r="F296" s="56">
        <f t="shared" si="20"/>
        <v>0.99789181160461882</v>
      </c>
      <c r="G296" s="55">
        <v>44</v>
      </c>
      <c r="H296" s="55">
        <v>8718</v>
      </c>
      <c r="I296" s="56">
        <f t="shared" si="21"/>
        <v>0.41770878252120169</v>
      </c>
      <c r="J296" s="55">
        <v>601</v>
      </c>
      <c r="K296" s="56">
        <f t="shared" si="22"/>
        <v>2.8795936946001629E-2</v>
      </c>
      <c r="L296" s="56">
        <f t="shared" si="23"/>
        <v>6.8937829777471898E-2</v>
      </c>
      <c r="M296" s="55">
        <v>84</v>
      </c>
      <c r="N296" s="56">
        <f t="shared" si="24"/>
        <v>4.0247233002731059E-3</v>
      </c>
      <c r="O296" s="53" t="s">
        <v>443</v>
      </c>
    </row>
    <row r="297" spans="1:15" hidden="1" x14ac:dyDescent="0.25">
      <c r="A297" s="52" t="s">
        <v>559</v>
      </c>
      <c r="B297" s="53" t="s">
        <v>439</v>
      </c>
      <c r="C297" s="53" t="s">
        <v>469</v>
      </c>
      <c r="D297" s="54">
        <v>44991</v>
      </c>
      <c r="E297" s="55">
        <v>422841</v>
      </c>
      <c r="F297" s="56">
        <f t="shared" si="20"/>
        <v>0.99748132276671375</v>
      </c>
      <c r="G297" s="55">
        <v>1065</v>
      </c>
      <c r="H297" s="55">
        <v>166865</v>
      </c>
      <c r="I297" s="56">
        <f t="shared" si="21"/>
        <v>0.39462824087541182</v>
      </c>
      <c r="J297" s="55">
        <v>674</v>
      </c>
      <c r="K297" s="56">
        <f t="shared" si="22"/>
        <v>1.5939797701736587E-3</v>
      </c>
      <c r="L297" s="56">
        <f t="shared" si="23"/>
        <v>4.0391933599017169E-3</v>
      </c>
      <c r="M297" s="55">
        <v>304</v>
      </c>
      <c r="N297" s="56">
        <f t="shared" si="24"/>
        <v>7.1894636518218433E-4</v>
      </c>
      <c r="O297" s="53" t="s">
        <v>469</v>
      </c>
    </row>
    <row r="298" spans="1:15" hidden="1" x14ac:dyDescent="0.25">
      <c r="A298" s="52" t="s">
        <v>560</v>
      </c>
      <c r="B298" s="53" t="s">
        <v>439</v>
      </c>
      <c r="C298" s="53" t="s">
        <v>469</v>
      </c>
      <c r="D298" s="54">
        <v>44991</v>
      </c>
      <c r="E298" s="55">
        <v>266495</v>
      </c>
      <c r="F298" s="56">
        <f t="shared" si="20"/>
        <v>0.99831891780333593</v>
      </c>
      <c r="G298" s="55">
        <v>448</v>
      </c>
      <c r="H298" s="55">
        <v>109716</v>
      </c>
      <c r="I298" s="56">
        <f t="shared" si="21"/>
        <v>0.41170003189553273</v>
      </c>
      <c r="J298" s="55">
        <v>476</v>
      </c>
      <c r="K298" s="56">
        <f t="shared" si="22"/>
        <v>1.7861498339556089E-3</v>
      </c>
      <c r="L298" s="56">
        <f t="shared" si="23"/>
        <v>4.3384738780123224E-3</v>
      </c>
      <c r="M298" s="55">
        <v>235</v>
      </c>
      <c r="N298" s="56">
        <f t="shared" si="24"/>
        <v>8.8181767012514311E-4</v>
      </c>
      <c r="O298" s="53" t="s">
        <v>469</v>
      </c>
    </row>
    <row r="299" spans="1:15" hidden="1" x14ac:dyDescent="0.25">
      <c r="A299" s="52" t="s">
        <v>561</v>
      </c>
      <c r="B299" s="53" t="s">
        <v>439</v>
      </c>
      <c r="C299" s="53" t="s">
        <v>469</v>
      </c>
      <c r="D299" s="54">
        <v>44991</v>
      </c>
      <c r="E299" s="55">
        <v>1177401</v>
      </c>
      <c r="F299" s="56">
        <f t="shared" si="20"/>
        <v>0.99828775412964654</v>
      </c>
      <c r="G299" s="55">
        <v>2016</v>
      </c>
      <c r="H299" s="55">
        <v>433183</v>
      </c>
      <c r="I299" s="56">
        <f t="shared" si="21"/>
        <v>0.36791458475064998</v>
      </c>
      <c r="J299" s="55">
        <v>4484</v>
      </c>
      <c r="K299" s="56">
        <f t="shared" si="22"/>
        <v>3.8083881362424524E-3</v>
      </c>
      <c r="L299" s="56">
        <f t="shared" si="23"/>
        <v>1.035128340678189E-2</v>
      </c>
      <c r="M299" s="55">
        <v>753</v>
      </c>
      <c r="N299" s="56">
        <f t="shared" si="24"/>
        <v>6.3954421645641543E-4</v>
      </c>
      <c r="O299" s="53" t="s">
        <v>469</v>
      </c>
    </row>
    <row r="300" spans="1:15" hidden="1" x14ac:dyDescent="0.25">
      <c r="A300" s="58" t="s">
        <v>18</v>
      </c>
      <c r="B300" s="53" t="s">
        <v>439</v>
      </c>
      <c r="C300" s="53" t="s">
        <v>443</v>
      </c>
      <c r="D300" s="54">
        <v>44992</v>
      </c>
      <c r="E300" s="55">
        <v>23018</v>
      </c>
      <c r="F300" s="56">
        <f t="shared" si="20"/>
        <v>0.99878356069163265</v>
      </c>
      <c r="G300" s="55">
        <v>28</v>
      </c>
      <c r="H300" s="55">
        <v>7984</v>
      </c>
      <c r="I300" s="56">
        <f t="shared" si="21"/>
        <v>0.34685897992875142</v>
      </c>
      <c r="J300" s="55">
        <v>203</v>
      </c>
      <c r="K300" s="56">
        <f t="shared" si="22"/>
        <v>8.8191849856633937E-3</v>
      </c>
      <c r="L300" s="56">
        <f t="shared" si="23"/>
        <v>2.5425851703406815E-2</v>
      </c>
      <c r="M300" s="55">
        <v>4</v>
      </c>
      <c r="N300" s="56">
        <f t="shared" si="24"/>
        <v>1.7377704405248067E-4</v>
      </c>
      <c r="O300" s="53" t="s">
        <v>443</v>
      </c>
    </row>
    <row r="301" spans="1:15" hidden="1" x14ac:dyDescent="0.25">
      <c r="A301" s="58" t="s">
        <v>18</v>
      </c>
      <c r="B301" s="53" t="s">
        <v>444</v>
      </c>
      <c r="C301" s="53" t="s">
        <v>443</v>
      </c>
      <c r="D301" s="54">
        <v>44992</v>
      </c>
      <c r="E301" s="55">
        <v>25390</v>
      </c>
      <c r="F301" s="56">
        <f t="shared" si="20"/>
        <v>0.99944860181173689</v>
      </c>
      <c r="G301" s="55">
        <v>14</v>
      </c>
      <c r="H301" s="55">
        <v>9551</v>
      </c>
      <c r="I301" s="56">
        <f t="shared" si="21"/>
        <v>0.37617172115005909</v>
      </c>
      <c r="J301" s="55">
        <v>201</v>
      </c>
      <c r="K301" s="56">
        <f t="shared" si="22"/>
        <v>7.9165025600630174E-3</v>
      </c>
      <c r="L301" s="56">
        <f t="shared" si="23"/>
        <v>2.1044916762642654E-2</v>
      </c>
      <c r="M301" s="55">
        <v>51</v>
      </c>
      <c r="N301" s="56">
        <f t="shared" si="24"/>
        <v>2.0086648286727058E-3</v>
      </c>
      <c r="O301" s="53" t="s">
        <v>443</v>
      </c>
    </row>
    <row r="302" spans="1:15" hidden="1" x14ac:dyDescent="0.25">
      <c r="A302" s="58" t="s">
        <v>19</v>
      </c>
      <c r="B302" s="53" t="s">
        <v>439</v>
      </c>
      <c r="C302" s="53" t="s">
        <v>443</v>
      </c>
      <c r="D302" s="54">
        <v>44992</v>
      </c>
      <c r="E302" s="55">
        <v>216829</v>
      </c>
      <c r="F302" s="56">
        <f t="shared" si="20"/>
        <v>0.99833048162376803</v>
      </c>
      <c r="G302" s="55">
        <v>362</v>
      </c>
      <c r="H302" s="55">
        <v>96632</v>
      </c>
      <c r="I302" s="56">
        <f t="shared" si="21"/>
        <v>0.44565994401117931</v>
      </c>
      <c r="J302" s="55">
        <v>2035</v>
      </c>
      <c r="K302" s="56">
        <f t="shared" si="22"/>
        <v>9.3852759547846457E-3</v>
      </c>
      <c r="L302" s="56">
        <f t="shared" si="23"/>
        <v>2.1059276430168059E-2</v>
      </c>
      <c r="M302" s="55">
        <v>148</v>
      </c>
      <c r="N302" s="56">
        <f t="shared" si="24"/>
        <v>6.825655239843379E-4</v>
      </c>
      <c r="O302" s="53" t="s">
        <v>443</v>
      </c>
    </row>
    <row r="303" spans="1:15" hidden="1" x14ac:dyDescent="0.25">
      <c r="A303" s="58" t="s">
        <v>19</v>
      </c>
      <c r="B303" s="53" t="s">
        <v>444</v>
      </c>
      <c r="C303" s="53" t="s">
        <v>443</v>
      </c>
      <c r="D303" s="54">
        <v>44992</v>
      </c>
      <c r="E303" s="55">
        <v>430300</v>
      </c>
      <c r="F303" s="56">
        <f t="shared" si="20"/>
        <v>0.99863815942365797</v>
      </c>
      <c r="G303" s="55">
        <v>586</v>
      </c>
      <c r="H303" s="55">
        <v>199499</v>
      </c>
      <c r="I303" s="56">
        <f t="shared" si="21"/>
        <v>0.46362770160353239</v>
      </c>
      <c r="J303" s="55">
        <v>3207</v>
      </c>
      <c r="K303" s="56">
        <f t="shared" si="22"/>
        <v>7.4529398094352779E-3</v>
      </c>
      <c r="L303" s="56">
        <f t="shared" si="23"/>
        <v>1.6075268547712018E-2</v>
      </c>
      <c r="M303" s="55">
        <v>587</v>
      </c>
      <c r="N303" s="56">
        <f t="shared" si="24"/>
        <v>1.3641645363699744E-3</v>
      </c>
      <c r="O303" s="53" t="s">
        <v>443</v>
      </c>
    </row>
    <row r="304" spans="1:15" hidden="1" x14ac:dyDescent="0.25">
      <c r="A304" s="52" t="s">
        <v>562</v>
      </c>
      <c r="B304" s="53" t="s">
        <v>439</v>
      </c>
      <c r="C304" s="53" t="s">
        <v>443</v>
      </c>
      <c r="D304" s="54">
        <v>44993</v>
      </c>
      <c r="E304" s="55">
        <v>17532</v>
      </c>
      <c r="F304" s="56">
        <f t="shared" si="20"/>
        <v>0.99771845767738987</v>
      </c>
      <c r="G304" s="55">
        <v>40</v>
      </c>
      <c r="H304" s="55">
        <v>6130</v>
      </c>
      <c r="I304" s="56">
        <f t="shared" si="21"/>
        <v>0.34964636093999546</v>
      </c>
      <c r="J304" s="55">
        <v>34</v>
      </c>
      <c r="K304" s="56">
        <f t="shared" si="22"/>
        <v>1.9393109742185718E-3</v>
      </c>
      <c r="L304" s="56">
        <f t="shared" si="23"/>
        <v>5.5464926590538333E-3</v>
      </c>
      <c r="M304" s="55">
        <v>10</v>
      </c>
      <c r="N304" s="56">
        <f t="shared" si="24"/>
        <v>5.7038558065252115E-4</v>
      </c>
      <c r="O304" s="53" t="s">
        <v>443</v>
      </c>
    </row>
    <row r="305" spans="1:15" hidden="1" x14ac:dyDescent="0.25">
      <c r="A305" s="52" t="s">
        <v>562</v>
      </c>
      <c r="B305" s="53" t="s">
        <v>444</v>
      </c>
      <c r="C305" s="53" t="s">
        <v>443</v>
      </c>
      <c r="D305" s="54">
        <v>44993</v>
      </c>
      <c r="E305" s="55">
        <v>7484</v>
      </c>
      <c r="F305" s="56">
        <f t="shared" si="20"/>
        <v>0.99826296098343137</v>
      </c>
      <c r="G305" s="55">
        <v>13</v>
      </c>
      <c r="H305" s="55">
        <v>2856</v>
      </c>
      <c r="I305" s="56">
        <f t="shared" si="21"/>
        <v>0.38161411010155</v>
      </c>
      <c r="J305" s="55">
        <v>25</v>
      </c>
      <c r="K305" s="56">
        <f t="shared" si="22"/>
        <v>3.3404596472474614E-3</v>
      </c>
      <c r="L305" s="56">
        <f t="shared" si="23"/>
        <v>8.7535014005602242E-3</v>
      </c>
      <c r="M305" s="55">
        <v>17</v>
      </c>
      <c r="N305" s="56">
        <f t="shared" si="24"/>
        <v>2.2715125601282735E-3</v>
      </c>
      <c r="O305" s="53" t="s">
        <v>443</v>
      </c>
    </row>
    <row r="306" spans="1:15" hidden="1" x14ac:dyDescent="0.25">
      <c r="A306" s="52" t="s">
        <v>563</v>
      </c>
      <c r="B306" s="53" t="s">
        <v>439</v>
      </c>
      <c r="C306" s="53" t="s">
        <v>443</v>
      </c>
      <c r="D306" s="54">
        <v>44993</v>
      </c>
      <c r="E306" s="55">
        <v>258592</v>
      </c>
      <c r="F306" s="56">
        <f t="shared" si="20"/>
        <v>0.99833328177205793</v>
      </c>
      <c r="G306" s="55">
        <v>431</v>
      </c>
      <c r="H306" s="55">
        <v>102677</v>
      </c>
      <c r="I306" s="56">
        <f t="shared" si="21"/>
        <v>0.39706178072020787</v>
      </c>
      <c r="J306" s="55">
        <v>900</v>
      </c>
      <c r="K306" s="56">
        <f t="shared" si="22"/>
        <v>3.4803860908303426E-3</v>
      </c>
      <c r="L306" s="56">
        <f t="shared" si="23"/>
        <v>8.7653515392931234E-3</v>
      </c>
      <c r="M306" s="55">
        <v>133</v>
      </c>
      <c r="N306" s="56">
        <f t="shared" si="24"/>
        <v>5.143237223115951E-4</v>
      </c>
      <c r="O306" s="53" t="s">
        <v>443</v>
      </c>
    </row>
    <row r="307" spans="1:15" hidden="1" x14ac:dyDescent="0.25">
      <c r="A307" s="52" t="s">
        <v>563</v>
      </c>
      <c r="B307" s="53" t="s">
        <v>444</v>
      </c>
      <c r="C307" s="53" t="s">
        <v>443</v>
      </c>
      <c r="D307" s="54">
        <v>44993</v>
      </c>
      <c r="E307" s="55">
        <v>130521</v>
      </c>
      <c r="F307" s="56">
        <f t="shared" si="20"/>
        <v>0.99807693781077378</v>
      </c>
      <c r="G307" s="55">
        <v>251</v>
      </c>
      <c r="H307" s="55">
        <v>50143</v>
      </c>
      <c r="I307" s="56">
        <f t="shared" si="21"/>
        <v>0.38417572651144261</v>
      </c>
      <c r="J307" s="55">
        <v>553</v>
      </c>
      <c r="K307" s="56">
        <f t="shared" si="22"/>
        <v>4.2368660981757728E-3</v>
      </c>
      <c r="L307" s="56">
        <f t="shared" si="23"/>
        <v>1.1028458608380034E-2</v>
      </c>
      <c r="M307" s="55">
        <v>217</v>
      </c>
      <c r="N307" s="56">
        <f t="shared" si="24"/>
        <v>1.6625677094107461E-3</v>
      </c>
      <c r="O307" s="53" t="s">
        <v>443</v>
      </c>
    </row>
    <row r="308" spans="1:15" hidden="1" x14ac:dyDescent="0.25">
      <c r="A308" s="52" t="s">
        <v>564</v>
      </c>
      <c r="B308" s="53" t="s">
        <v>444</v>
      </c>
      <c r="C308" s="53" t="s">
        <v>443</v>
      </c>
      <c r="D308" s="54">
        <v>44994</v>
      </c>
      <c r="E308" s="55">
        <v>6591</v>
      </c>
      <c r="F308" s="56">
        <f t="shared" si="20"/>
        <v>0.99878622363829461</v>
      </c>
      <c r="G308" s="55">
        <v>8</v>
      </c>
      <c r="H308" s="55">
        <v>3132</v>
      </c>
      <c r="I308" s="56">
        <f t="shared" si="21"/>
        <v>0.47519344560764681</v>
      </c>
      <c r="J308" s="55">
        <v>78</v>
      </c>
      <c r="K308" s="56">
        <f t="shared" si="22"/>
        <v>1.1834319526627219E-2</v>
      </c>
      <c r="L308" s="56">
        <f t="shared" si="23"/>
        <v>2.4904214559386972E-2</v>
      </c>
      <c r="M308" s="55">
        <v>16</v>
      </c>
      <c r="N308" s="56">
        <f t="shared" si="24"/>
        <v>2.4275527234107115E-3</v>
      </c>
      <c r="O308" s="53" t="s">
        <v>443</v>
      </c>
    </row>
    <row r="309" spans="1:15" hidden="1" x14ac:dyDescent="0.25">
      <c r="A309" s="52" t="s">
        <v>564</v>
      </c>
      <c r="B309" s="53" t="s">
        <v>439</v>
      </c>
      <c r="C309" s="53" t="s">
        <v>443</v>
      </c>
      <c r="D309" s="54">
        <v>44994</v>
      </c>
      <c r="E309" s="55">
        <v>42354</v>
      </c>
      <c r="F309" s="56">
        <f t="shared" si="20"/>
        <v>0.99858336874911457</v>
      </c>
      <c r="G309" s="55">
        <v>60</v>
      </c>
      <c r="H309" s="55">
        <v>16283</v>
      </c>
      <c r="I309" s="56">
        <f t="shared" si="21"/>
        <v>0.38445011096944798</v>
      </c>
      <c r="J309" s="55">
        <v>226</v>
      </c>
      <c r="K309" s="56">
        <f t="shared" si="22"/>
        <v>5.3359777116683193E-3</v>
      </c>
      <c r="L309" s="56">
        <f t="shared" si="23"/>
        <v>1.3879506233495056E-2</v>
      </c>
      <c r="M309" s="55">
        <v>20</v>
      </c>
      <c r="N309" s="56">
        <f t="shared" si="24"/>
        <v>4.7221041696179818E-4</v>
      </c>
      <c r="O309" s="53" t="s">
        <v>443</v>
      </c>
    </row>
    <row r="310" spans="1:15" hidden="1" x14ac:dyDescent="0.25">
      <c r="A310" s="58" t="s">
        <v>449</v>
      </c>
      <c r="B310" s="53"/>
      <c r="C310" s="53" t="s">
        <v>446</v>
      </c>
      <c r="D310" s="54">
        <v>44994</v>
      </c>
      <c r="E310" s="55">
        <v>1643</v>
      </c>
      <c r="F310" s="56">
        <f t="shared" si="20"/>
        <v>0.99939135727328055</v>
      </c>
      <c r="G310" s="55">
        <v>1</v>
      </c>
      <c r="H310" s="55">
        <v>592</v>
      </c>
      <c r="I310" s="56">
        <f t="shared" si="21"/>
        <v>0.36031649421789408</v>
      </c>
      <c r="J310" s="55">
        <v>13</v>
      </c>
      <c r="K310" s="56">
        <f t="shared" si="22"/>
        <v>7.9123554473524045E-3</v>
      </c>
      <c r="L310" s="56">
        <f t="shared" si="23"/>
        <v>2.1959459459459461E-2</v>
      </c>
      <c r="M310" s="55">
        <v>0</v>
      </c>
      <c r="N310" s="56">
        <f t="shared" si="24"/>
        <v>0</v>
      </c>
      <c r="O310" s="53" t="s">
        <v>446</v>
      </c>
    </row>
    <row r="311" spans="1:15" hidden="1" x14ac:dyDescent="0.25">
      <c r="A311" s="52" t="s">
        <v>565</v>
      </c>
      <c r="B311" s="53" t="s">
        <v>439</v>
      </c>
      <c r="C311" s="53" t="s">
        <v>443</v>
      </c>
      <c r="D311" s="54">
        <v>44995</v>
      </c>
      <c r="E311" s="55">
        <v>118687</v>
      </c>
      <c r="F311" s="56">
        <f t="shared" si="20"/>
        <v>0.99900578833402143</v>
      </c>
      <c r="G311" s="55">
        <v>118</v>
      </c>
      <c r="H311" s="55">
        <v>37901</v>
      </c>
      <c r="I311" s="56">
        <f t="shared" si="21"/>
        <v>0.31933573179876484</v>
      </c>
      <c r="J311" s="55">
        <v>736</v>
      </c>
      <c r="K311" s="56">
        <f t="shared" si="22"/>
        <v>6.2011846284765809E-3</v>
      </c>
      <c r="L311" s="56">
        <f t="shared" si="23"/>
        <v>1.9419012690958023E-2</v>
      </c>
      <c r="M311" s="55">
        <v>54</v>
      </c>
      <c r="N311" s="56">
        <f t="shared" si="24"/>
        <v>4.5497822002409701E-4</v>
      </c>
      <c r="O311" s="53" t="s">
        <v>443</v>
      </c>
    </row>
    <row r="312" spans="1:15" hidden="1" x14ac:dyDescent="0.25">
      <c r="A312" s="52" t="s">
        <v>565</v>
      </c>
      <c r="B312" s="53" t="s">
        <v>444</v>
      </c>
      <c r="C312" s="53" t="s">
        <v>443</v>
      </c>
      <c r="D312" s="54">
        <v>44995</v>
      </c>
      <c r="E312" s="55">
        <v>217537</v>
      </c>
      <c r="F312" s="56">
        <f t="shared" si="20"/>
        <v>0.99891512708182972</v>
      </c>
      <c r="G312" s="55">
        <v>236</v>
      </c>
      <c r="H312" s="55">
        <v>69389</v>
      </c>
      <c r="I312" s="56">
        <f t="shared" si="21"/>
        <v>0.31897562253777517</v>
      </c>
      <c r="J312" s="55">
        <v>1453</v>
      </c>
      <c r="K312" s="56">
        <f t="shared" si="22"/>
        <v>6.679323517378653E-3</v>
      </c>
      <c r="L312" s="56">
        <f t="shared" si="23"/>
        <v>2.0939918430875212E-2</v>
      </c>
      <c r="M312" s="55">
        <v>538</v>
      </c>
      <c r="N312" s="56">
        <f t="shared" si="24"/>
        <v>2.4731424998965692E-3</v>
      </c>
      <c r="O312" s="53" t="s">
        <v>443</v>
      </c>
    </row>
    <row r="313" spans="1:15" hidden="1" x14ac:dyDescent="0.25">
      <c r="A313" s="52" t="s">
        <v>566</v>
      </c>
      <c r="B313" s="53" t="s">
        <v>444</v>
      </c>
      <c r="C313" s="53" t="s">
        <v>443</v>
      </c>
      <c r="D313" s="54">
        <v>44995</v>
      </c>
      <c r="E313" s="55">
        <v>2386367</v>
      </c>
      <c r="F313" s="56">
        <f t="shared" si="20"/>
        <v>0.99816708829781842</v>
      </c>
      <c r="G313" s="55">
        <v>4374</v>
      </c>
      <c r="H313" s="55">
        <v>831794</v>
      </c>
      <c r="I313" s="56">
        <f t="shared" si="21"/>
        <v>0.34856080393334304</v>
      </c>
      <c r="J313" s="55">
        <v>12874</v>
      </c>
      <c r="K313" s="56">
        <f t="shared" si="22"/>
        <v>5.3948114435038701E-3</v>
      </c>
      <c r="L313" s="56">
        <f t="shared" si="23"/>
        <v>1.5477389834502293E-2</v>
      </c>
      <c r="M313" s="55">
        <v>4356</v>
      </c>
      <c r="N313" s="56">
        <f t="shared" si="24"/>
        <v>1.8253688556705654E-3</v>
      </c>
      <c r="O313" s="53" t="s">
        <v>443</v>
      </c>
    </row>
    <row r="314" spans="1:15" hidden="1" x14ac:dyDescent="0.25">
      <c r="A314" s="52" t="s">
        <v>566</v>
      </c>
      <c r="B314" s="53" t="s">
        <v>439</v>
      </c>
      <c r="C314" s="53" t="s">
        <v>443</v>
      </c>
      <c r="D314" s="54">
        <v>44995</v>
      </c>
      <c r="E314" s="55">
        <v>2155184</v>
      </c>
      <c r="F314" s="56">
        <f t="shared" si="20"/>
        <v>0.9980099146986986</v>
      </c>
      <c r="G314" s="55">
        <v>4289</v>
      </c>
      <c r="H314" s="55">
        <v>774585</v>
      </c>
      <c r="I314" s="56">
        <f t="shared" si="21"/>
        <v>0.3594055078359899</v>
      </c>
      <c r="J314" s="55">
        <v>11683</v>
      </c>
      <c r="K314" s="56">
        <f t="shared" si="22"/>
        <v>5.4208828573337588E-3</v>
      </c>
      <c r="L314" s="56">
        <f t="shared" si="23"/>
        <v>1.5082915367583933E-2</v>
      </c>
      <c r="M314" s="55">
        <v>1538</v>
      </c>
      <c r="N314" s="56">
        <f t="shared" si="24"/>
        <v>7.1362816353499284E-4</v>
      </c>
      <c r="O314" s="53" t="s">
        <v>443</v>
      </c>
    </row>
    <row r="315" spans="1:15" hidden="1" x14ac:dyDescent="0.25">
      <c r="A315" s="58" t="s">
        <v>22</v>
      </c>
      <c r="B315" s="53" t="s">
        <v>439</v>
      </c>
      <c r="C315" s="53" t="s">
        <v>443</v>
      </c>
      <c r="D315" s="54">
        <v>44995</v>
      </c>
      <c r="E315" s="55">
        <v>96975</v>
      </c>
      <c r="F315" s="56">
        <f t="shared" si="20"/>
        <v>0.99922660479505032</v>
      </c>
      <c r="G315" s="55">
        <v>75</v>
      </c>
      <c r="H315" s="55">
        <v>29387</v>
      </c>
      <c r="I315" s="56">
        <f t="shared" si="21"/>
        <v>0.30303686517143591</v>
      </c>
      <c r="J315" s="55">
        <v>606</v>
      </c>
      <c r="K315" s="56">
        <f t="shared" si="22"/>
        <v>6.2490332559938131E-3</v>
      </c>
      <c r="L315" s="56">
        <f t="shared" si="23"/>
        <v>2.062136318780413E-2</v>
      </c>
      <c r="M315" s="55">
        <v>58</v>
      </c>
      <c r="N315" s="56">
        <f t="shared" si="24"/>
        <v>5.9809229182779071E-4</v>
      </c>
      <c r="O315" s="53" t="s">
        <v>443</v>
      </c>
    </row>
    <row r="316" spans="1:15" hidden="1" x14ac:dyDescent="0.25">
      <c r="A316" s="58" t="s">
        <v>22</v>
      </c>
      <c r="B316" s="53" t="s">
        <v>444</v>
      </c>
      <c r="C316" s="53" t="s">
        <v>443</v>
      </c>
      <c r="D316" s="54">
        <v>44995</v>
      </c>
      <c r="E316" s="55">
        <v>190580</v>
      </c>
      <c r="F316" s="56">
        <f t="shared" si="20"/>
        <v>0.99880365200965471</v>
      </c>
      <c r="G316" s="55">
        <v>228</v>
      </c>
      <c r="H316" s="55">
        <v>58766</v>
      </c>
      <c r="I316" s="56">
        <f t="shared" si="21"/>
        <v>0.3083534473711827</v>
      </c>
      <c r="J316" s="55">
        <v>1312</v>
      </c>
      <c r="K316" s="56">
        <f t="shared" si="22"/>
        <v>6.8842480847937874E-3</v>
      </c>
      <c r="L316" s="56">
        <f t="shared" si="23"/>
        <v>2.2325834666303643E-2</v>
      </c>
      <c r="M316" s="55">
        <v>661</v>
      </c>
      <c r="N316" s="56">
        <f t="shared" si="24"/>
        <v>3.468359743939553E-3</v>
      </c>
      <c r="O316" s="53" t="s">
        <v>443</v>
      </c>
    </row>
    <row r="317" spans="1:15" hidden="1" x14ac:dyDescent="0.25">
      <c r="A317" s="58" t="s">
        <v>23</v>
      </c>
      <c r="B317" s="53" t="s">
        <v>439</v>
      </c>
      <c r="C317" s="53" t="s">
        <v>443</v>
      </c>
      <c r="D317" s="54">
        <v>44995</v>
      </c>
      <c r="E317" s="55">
        <v>1752004</v>
      </c>
      <c r="F317" s="56">
        <f t="shared" si="20"/>
        <v>0.99789555274987962</v>
      </c>
      <c r="G317" s="55">
        <v>3687</v>
      </c>
      <c r="H317" s="55">
        <v>707834</v>
      </c>
      <c r="I317" s="56">
        <f t="shared" si="21"/>
        <v>0.40401391777644341</v>
      </c>
      <c r="J317" s="55">
        <v>12905</v>
      </c>
      <c r="K317" s="56">
        <f t="shared" si="22"/>
        <v>7.3658507628978015E-3</v>
      </c>
      <c r="L317" s="56">
        <f t="shared" si="23"/>
        <v>1.8231675788391064E-2</v>
      </c>
      <c r="M317" s="55">
        <v>1710</v>
      </c>
      <c r="N317" s="56">
        <f t="shared" si="24"/>
        <v>9.760251688923085E-4</v>
      </c>
      <c r="O317" s="53" t="s">
        <v>443</v>
      </c>
    </row>
    <row r="318" spans="1:15" hidden="1" x14ac:dyDescent="0.25">
      <c r="A318" s="58" t="s">
        <v>23</v>
      </c>
      <c r="B318" s="53" t="s">
        <v>444</v>
      </c>
      <c r="C318" s="53" t="s">
        <v>443</v>
      </c>
      <c r="D318" s="54">
        <v>44995</v>
      </c>
      <c r="E318" s="55">
        <v>2170502</v>
      </c>
      <c r="F318" s="56">
        <f t="shared" si="20"/>
        <v>0.9980345560612246</v>
      </c>
      <c r="G318" s="55">
        <v>4266</v>
      </c>
      <c r="H318" s="55">
        <v>776199</v>
      </c>
      <c r="I318" s="56">
        <f t="shared" si="21"/>
        <v>0.35761266287706717</v>
      </c>
      <c r="J318" s="55">
        <v>14645</v>
      </c>
      <c r="K318" s="56">
        <f t="shared" si="22"/>
        <v>6.7472870331379562E-3</v>
      </c>
      <c r="L318" s="56">
        <f t="shared" si="23"/>
        <v>1.8867584214872734E-2</v>
      </c>
      <c r="M318" s="55">
        <v>5069</v>
      </c>
      <c r="N318" s="56">
        <f t="shared" si="24"/>
        <v>2.3354044363930555E-3</v>
      </c>
      <c r="O318" s="53" t="s">
        <v>443</v>
      </c>
    </row>
    <row r="319" spans="1:15" x14ac:dyDescent="0.25">
      <c r="A319" s="58" t="s">
        <v>451</v>
      </c>
      <c r="B319" s="53" t="s">
        <v>444</v>
      </c>
      <c r="C319" s="53" t="s">
        <v>452</v>
      </c>
      <c r="D319" s="54">
        <v>44995</v>
      </c>
      <c r="E319" s="55">
        <v>244272</v>
      </c>
      <c r="F319" s="56">
        <f t="shared" si="20"/>
        <v>0.99864495316696145</v>
      </c>
      <c r="G319" s="55">
        <v>331</v>
      </c>
      <c r="H319" s="55">
        <v>113808</v>
      </c>
      <c r="I319" s="56">
        <f t="shared" si="21"/>
        <v>0.46590685792886616</v>
      </c>
      <c r="J319" s="55">
        <v>2357</v>
      </c>
      <c r="K319" s="56">
        <f t="shared" si="22"/>
        <v>9.6490797144167164E-3</v>
      </c>
      <c r="L319" s="56">
        <f t="shared" si="23"/>
        <v>2.0710319133980037E-2</v>
      </c>
      <c r="M319" s="55">
        <v>246</v>
      </c>
      <c r="N319" s="56">
        <f t="shared" si="24"/>
        <v>1.0070740813519356E-3</v>
      </c>
      <c r="O319" s="53" t="s">
        <v>452</v>
      </c>
    </row>
    <row r="320" spans="1:15" x14ac:dyDescent="0.25">
      <c r="A320" s="58" t="s">
        <v>453</v>
      </c>
      <c r="B320" s="53" t="s">
        <v>444</v>
      </c>
      <c r="C320" s="53" t="s">
        <v>452</v>
      </c>
      <c r="D320" s="54">
        <v>44995</v>
      </c>
      <c r="E320" s="55">
        <v>332944</v>
      </c>
      <c r="F320" s="56">
        <f t="shared" si="20"/>
        <v>0.99804771973665241</v>
      </c>
      <c r="G320" s="55">
        <v>650</v>
      </c>
      <c r="H320" s="55">
        <v>125388</v>
      </c>
      <c r="I320" s="56">
        <f t="shared" si="21"/>
        <v>0.37660387332404249</v>
      </c>
      <c r="J320" s="55">
        <v>2893</v>
      </c>
      <c r="K320" s="56">
        <f t="shared" si="22"/>
        <v>8.689148925945505E-3</v>
      </c>
      <c r="L320" s="56">
        <f t="shared" si="23"/>
        <v>2.3072383322167992E-2</v>
      </c>
      <c r="M320" s="55">
        <v>376</v>
      </c>
      <c r="N320" s="56">
        <f t="shared" si="24"/>
        <v>1.1293190446441444E-3</v>
      </c>
      <c r="O320" s="53" t="s">
        <v>452</v>
      </c>
    </row>
    <row r="321" spans="1:15" hidden="1" x14ac:dyDescent="0.25">
      <c r="A321" s="52" t="s">
        <v>567</v>
      </c>
      <c r="B321" s="53" t="s">
        <v>439</v>
      </c>
      <c r="C321" s="53" t="s">
        <v>447</v>
      </c>
      <c r="D321" s="54">
        <v>44996</v>
      </c>
      <c r="E321" s="55">
        <v>160</v>
      </c>
      <c r="F321" s="56">
        <f t="shared" si="20"/>
        <v>1</v>
      </c>
      <c r="G321" s="55">
        <v>0</v>
      </c>
      <c r="H321" s="55">
        <v>63</v>
      </c>
      <c r="I321" s="56">
        <f t="shared" si="21"/>
        <v>0.39374999999999999</v>
      </c>
      <c r="J321" s="55">
        <v>16</v>
      </c>
      <c r="K321" s="56">
        <f t="shared" si="22"/>
        <v>0.1</v>
      </c>
      <c r="L321" s="56">
        <f t="shared" si="23"/>
        <v>0.25396825396825395</v>
      </c>
      <c r="M321" s="55">
        <v>0</v>
      </c>
      <c r="N321" s="56">
        <f t="shared" si="24"/>
        <v>0</v>
      </c>
      <c r="O321" s="53" t="s">
        <v>448</v>
      </c>
    </row>
    <row r="322" spans="1:15" hidden="1" x14ac:dyDescent="0.25">
      <c r="A322" s="52" t="s">
        <v>568</v>
      </c>
      <c r="B322" s="53" t="s">
        <v>439</v>
      </c>
      <c r="C322" s="53" t="s">
        <v>447</v>
      </c>
      <c r="D322" s="54">
        <v>44996</v>
      </c>
      <c r="E322" s="55">
        <v>4319</v>
      </c>
      <c r="F322" s="56">
        <f t="shared" ref="F322:F385" si="25">(E322-G322)/E322</f>
        <v>0.99768464922435751</v>
      </c>
      <c r="G322" s="55">
        <v>10</v>
      </c>
      <c r="H322" s="55">
        <v>1969</v>
      </c>
      <c r="I322" s="56">
        <f t="shared" ref="I322:I385" si="26">H322/E322</f>
        <v>0.45589256772401021</v>
      </c>
      <c r="J322" s="55">
        <v>538</v>
      </c>
      <c r="K322" s="56">
        <f t="shared" ref="K322:K385" si="27">J322/E322</f>
        <v>0.12456587172956703</v>
      </c>
      <c r="L322" s="56">
        <f t="shared" ref="L322:L385" si="28">J322/H322</f>
        <v>0.27323514474352462</v>
      </c>
      <c r="M322" s="55">
        <v>4</v>
      </c>
      <c r="N322" s="56">
        <f t="shared" ref="N322:N385" si="29">M322/E322</f>
        <v>9.2614031025700389E-4</v>
      </c>
      <c r="O322" s="53" t="s">
        <v>448</v>
      </c>
    </row>
    <row r="323" spans="1:15" hidden="1" x14ac:dyDescent="0.25">
      <c r="A323" s="52" t="s">
        <v>569</v>
      </c>
      <c r="B323" s="53" t="s">
        <v>444</v>
      </c>
      <c r="C323" s="53" t="s">
        <v>443</v>
      </c>
      <c r="D323" s="54">
        <v>44996</v>
      </c>
      <c r="E323" s="55">
        <v>20898</v>
      </c>
      <c r="F323" s="56">
        <f t="shared" si="25"/>
        <v>0.99899511915015793</v>
      </c>
      <c r="G323" s="55">
        <v>21</v>
      </c>
      <c r="H323" s="55">
        <v>6421</v>
      </c>
      <c r="I323" s="56">
        <f t="shared" si="26"/>
        <v>0.30725428270647909</v>
      </c>
      <c r="J323" s="55">
        <v>150</v>
      </c>
      <c r="K323" s="56">
        <f t="shared" si="27"/>
        <v>7.1777203560149296E-3</v>
      </c>
      <c r="L323" s="56">
        <f t="shared" si="28"/>
        <v>2.336084722005918E-2</v>
      </c>
      <c r="M323" s="55">
        <v>80</v>
      </c>
      <c r="N323" s="56">
        <f t="shared" si="29"/>
        <v>3.8281175232079624E-3</v>
      </c>
      <c r="O323" s="53" t="s">
        <v>443</v>
      </c>
    </row>
    <row r="324" spans="1:15" hidden="1" x14ac:dyDescent="0.25">
      <c r="A324" s="52" t="s">
        <v>569</v>
      </c>
      <c r="B324" s="53" t="s">
        <v>439</v>
      </c>
      <c r="C324" s="53" t="s">
        <v>443</v>
      </c>
      <c r="D324" s="54">
        <v>44996</v>
      </c>
      <c r="E324" s="55">
        <v>18529</v>
      </c>
      <c r="F324" s="56">
        <f t="shared" si="25"/>
        <v>0.99946030546710563</v>
      </c>
      <c r="G324" s="55">
        <v>10</v>
      </c>
      <c r="H324" s="55">
        <v>5547</v>
      </c>
      <c r="I324" s="56">
        <f t="shared" si="26"/>
        <v>0.29936855739651358</v>
      </c>
      <c r="J324" s="55">
        <v>105</v>
      </c>
      <c r="K324" s="56">
        <f t="shared" si="27"/>
        <v>5.6667925953910086E-3</v>
      </c>
      <c r="L324" s="56">
        <f t="shared" si="28"/>
        <v>1.8929150892374257E-2</v>
      </c>
      <c r="M324" s="55">
        <v>5</v>
      </c>
      <c r="N324" s="56">
        <f t="shared" si="29"/>
        <v>2.698472664471909E-4</v>
      </c>
      <c r="O324" s="53" t="s">
        <v>443</v>
      </c>
    </row>
    <row r="325" spans="1:15" hidden="1" x14ac:dyDescent="0.25">
      <c r="A325" s="52" t="s">
        <v>570</v>
      </c>
      <c r="B325" s="53" t="s">
        <v>444</v>
      </c>
      <c r="C325" s="53" t="s">
        <v>443</v>
      </c>
      <c r="D325" s="54">
        <v>44996</v>
      </c>
      <c r="E325" s="55">
        <v>262519</v>
      </c>
      <c r="F325" s="56">
        <f t="shared" si="25"/>
        <v>0.99827441061408884</v>
      </c>
      <c r="G325" s="55">
        <v>453</v>
      </c>
      <c r="H325" s="55">
        <v>92932</v>
      </c>
      <c r="I325" s="56">
        <f t="shared" si="26"/>
        <v>0.35400104373397734</v>
      </c>
      <c r="J325" s="55">
        <v>1582</v>
      </c>
      <c r="K325" s="56">
        <f t="shared" si="27"/>
        <v>6.0262304823650858E-3</v>
      </c>
      <c r="L325" s="56">
        <f t="shared" si="28"/>
        <v>1.7023199758963544E-2</v>
      </c>
      <c r="M325" s="55">
        <v>601</v>
      </c>
      <c r="N325" s="56">
        <f t="shared" si="29"/>
        <v>2.2893581036039297E-3</v>
      </c>
      <c r="O325" s="53" t="s">
        <v>443</v>
      </c>
    </row>
    <row r="326" spans="1:15" hidden="1" x14ac:dyDescent="0.25">
      <c r="A326" s="52" t="s">
        <v>570</v>
      </c>
      <c r="B326" s="53" t="s">
        <v>439</v>
      </c>
      <c r="C326" s="53" t="s">
        <v>443</v>
      </c>
      <c r="D326" s="54">
        <v>44996</v>
      </c>
      <c r="E326" s="55">
        <v>302304</v>
      </c>
      <c r="F326" s="56">
        <f t="shared" si="25"/>
        <v>0.99857759076955643</v>
      </c>
      <c r="G326" s="55">
        <v>430</v>
      </c>
      <c r="H326" s="55">
        <v>104138</v>
      </c>
      <c r="I326" s="56">
        <f t="shared" si="26"/>
        <v>0.3444810521858791</v>
      </c>
      <c r="J326" s="55">
        <v>1558</v>
      </c>
      <c r="K326" s="56">
        <f t="shared" si="27"/>
        <v>5.1537525140256165E-3</v>
      </c>
      <c r="L326" s="56">
        <f t="shared" si="28"/>
        <v>1.4960917244425666E-2</v>
      </c>
      <c r="M326" s="55">
        <v>179</v>
      </c>
      <c r="N326" s="56">
        <f t="shared" si="29"/>
        <v>5.9211919127765431E-4</v>
      </c>
      <c r="O326" s="53" t="s">
        <v>443</v>
      </c>
    </row>
    <row r="327" spans="1:15" hidden="1" x14ac:dyDescent="0.25">
      <c r="A327" s="52" t="s">
        <v>571</v>
      </c>
      <c r="B327" s="53" t="s">
        <v>439</v>
      </c>
      <c r="C327" s="53" t="s">
        <v>440</v>
      </c>
      <c r="D327" s="54">
        <v>44998</v>
      </c>
      <c r="E327" s="55">
        <v>213053</v>
      </c>
      <c r="F327" s="56">
        <f t="shared" si="25"/>
        <v>0.99851210731601991</v>
      </c>
      <c r="G327" s="55">
        <v>317</v>
      </c>
      <c r="H327" s="55">
        <v>67256</v>
      </c>
      <c r="I327" s="56">
        <f t="shared" si="26"/>
        <v>0.31567731972795504</v>
      </c>
      <c r="J327" s="55">
        <v>1470</v>
      </c>
      <c r="K327" s="56">
        <f t="shared" si="27"/>
        <v>6.8996916260273267E-3</v>
      </c>
      <c r="L327" s="56">
        <f t="shared" si="28"/>
        <v>2.1856786011656953E-2</v>
      </c>
      <c r="M327" s="55">
        <v>396</v>
      </c>
      <c r="N327" s="56">
        <f t="shared" si="29"/>
        <v>1.8586924380318511E-3</v>
      </c>
      <c r="O327" s="53" t="s">
        <v>440</v>
      </c>
    </row>
    <row r="328" spans="1:15" hidden="1" x14ac:dyDescent="0.25">
      <c r="A328" s="52" t="s">
        <v>572</v>
      </c>
      <c r="B328" s="53" t="s">
        <v>439</v>
      </c>
      <c r="C328" s="53" t="s">
        <v>443</v>
      </c>
      <c r="D328" s="54">
        <v>44998</v>
      </c>
      <c r="E328" s="55">
        <v>118797</v>
      </c>
      <c r="F328" s="56">
        <f t="shared" si="25"/>
        <v>0.99914981018039173</v>
      </c>
      <c r="G328" s="55">
        <v>101</v>
      </c>
      <c r="H328" s="55">
        <v>41802</v>
      </c>
      <c r="I328" s="56">
        <f t="shared" si="26"/>
        <v>0.35187757266597641</v>
      </c>
      <c r="J328" s="55">
        <v>583</v>
      </c>
      <c r="K328" s="56">
        <f t="shared" si="27"/>
        <v>4.9075313349663712E-3</v>
      </c>
      <c r="L328" s="56">
        <f t="shared" si="28"/>
        <v>1.3946701114779197E-2</v>
      </c>
      <c r="M328" s="55">
        <v>50</v>
      </c>
      <c r="N328" s="56">
        <f t="shared" si="29"/>
        <v>4.2088604931100952E-4</v>
      </c>
      <c r="O328" s="53" t="s">
        <v>443</v>
      </c>
    </row>
    <row r="329" spans="1:15" hidden="1" x14ac:dyDescent="0.25">
      <c r="A329" s="52" t="s">
        <v>572</v>
      </c>
      <c r="B329" s="53" t="s">
        <v>444</v>
      </c>
      <c r="C329" s="53" t="s">
        <v>443</v>
      </c>
      <c r="D329" s="54">
        <v>44998</v>
      </c>
      <c r="E329" s="55">
        <v>217318</v>
      </c>
      <c r="F329" s="56">
        <f t="shared" si="25"/>
        <v>0.99896004932863358</v>
      </c>
      <c r="G329" s="55">
        <v>226</v>
      </c>
      <c r="H329" s="55">
        <v>75110</v>
      </c>
      <c r="I329" s="56">
        <f t="shared" si="26"/>
        <v>0.34562254392181041</v>
      </c>
      <c r="J329" s="55">
        <v>1311</v>
      </c>
      <c r="K329" s="56">
        <f t="shared" si="27"/>
        <v>6.0326342042536741E-3</v>
      </c>
      <c r="L329" s="56">
        <f t="shared" si="28"/>
        <v>1.7454400213020901E-2</v>
      </c>
      <c r="M329" s="55">
        <v>323</v>
      </c>
      <c r="N329" s="56">
        <f t="shared" si="29"/>
        <v>1.4863011807581517E-3</v>
      </c>
      <c r="O329" s="53" t="s">
        <v>443</v>
      </c>
    </row>
    <row r="330" spans="1:15" hidden="1" x14ac:dyDescent="0.25">
      <c r="A330" s="52" t="s">
        <v>573</v>
      </c>
      <c r="B330" s="53" t="s">
        <v>439</v>
      </c>
      <c r="C330" s="53" t="s">
        <v>443</v>
      </c>
      <c r="D330" s="54">
        <v>44998</v>
      </c>
      <c r="E330" s="55">
        <v>2158197</v>
      </c>
      <c r="F330" s="56">
        <f t="shared" si="25"/>
        <v>0.99799601241221259</v>
      </c>
      <c r="G330" s="55">
        <v>4325</v>
      </c>
      <c r="H330" s="55">
        <v>810696</v>
      </c>
      <c r="I330" s="56">
        <f t="shared" si="26"/>
        <v>0.37563577375003299</v>
      </c>
      <c r="J330" s="55">
        <v>8049</v>
      </c>
      <c r="K330" s="56">
        <f t="shared" si="27"/>
        <v>3.7295019870753226E-3</v>
      </c>
      <c r="L330" s="56">
        <f t="shared" si="28"/>
        <v>9.9285058764321029E-3</v>
      </c>
      <c r="M330" s="55">
        <v>1225</v>
      </c>
      <c r="N330" s="56">
        <f t="shared" si="29"/>
        <v>5.6760342081839605E-4</v>
      </c>
      <c r="O330" s="53" t="s">
        <v>443</v>
      </c>
    </row>
    <row r="331" spans="1:15" hidden="1" x14ac:dyDescent="0.25">
      <c r="A331" s="52" t="s">
        <v>573</v>
      </c>
      <c r="B331" s="53" t="s">
        <v>444</v>
      </c>
      <c r="C331" s="53" t="s">
        <v>443</v>
      </c>
      <c r="D331" s="54">
        <v>44998</v>
      </c>
      <c r="E331" s="55">
        <v>2384217</v>
      </c>
      <c r="F331" s="56">
        <f t="shared" si="25"/>
        <v>0.99821324988455329</v>
      </c>
      <c r="G331" s="55">
        <v>4260</v>
      </c>
      <c r="H331" s="55">
        <v>891208</v>
      </c>
      <c r="I331" s="56">
        <f t="shared" si="26"/>
        <v>0.37379483495000665</v>
      </c>
      <c r="J331" s="55">
        <v>10705</v>
      </c>
      <c r="K331" s="56">
        <f t="shared" si="27"/>
        <v>4.4899436586518758E-3</v>
      </c>
      <c r="L331" s="56">
        <f t="shared" si="28"/>
        <v>1.2011786249674599E-2</v>
      </c>
      <c r="M331" s="55">
        <v>3003</v>
      </c>
      <c r="N331" s="56">
        <f t="shared" si="29"/>
        <v>1.2595330039170093E-3</v>
      </c>
      <c r="O331" s="53" t="s">
        <v>443</v>
      </c>
    </row>
    <row r="332" spans="1:15" x14ac:dyDescent="0.25">
      <c r="A332" s="52" t="s">
        <v>574</v>
      </c>
      <c r="B332" s="53" t="s">
        <v>439</v>
      </c>
      <c r="C332" s="53" t="s">
        <v>452</v>
      </c>
      <c r="D332" s="54">
        <v>44998</v>
      </c>
      <c r="E332" s="55">
        <v>118798</v>
      </c>
      <c r="F332" s="56">
        <f t="shared" si="25"/>
        <v>0.99915823498712097</v>
      </c>
      <c r="G332" s="55">
        <v>100</v>
      </c>
      <c r="H332" s="55">
        <v>33631</v>
      </c>
      <c r="I332" s="56">
        <f t="shared" si="26"/>
        <v>0.28309399148133807</v>
      </c>
      <c r="J332" s="55">
        <v>764</v>
      </c>
      <c r="K332" s="56">
        <f t="shared" si="27"/>
        <v>6.4310846983955958E-3</v>
      </c>
      <c r="L332" s="56">
        <f t="shared" si="28"/>
        <v>2.2717135975736671E-2</v>
      </c>
      <c r="M332" s="55">
        <v>58</v>
      </c>
      <c r="N332" s="56">
        <f t="shared" si="29"/>
        <v>4.8822370746982272E-4</v>
      </c>
      <c r="O332" s="53" t="s">
        <v>452</v>
      </c>
    </row>
    <row r="333" spans="1:15" x14ac:dyDescent="0.25">
      <c r="A333" s="52" t="s">
        <v>574</v>
      </c>
      <c r="B333" s="53" t="s">
        <v>444</v>
      </c>
      <c r="C333" s="53" t="s">
        <v>452</v>
      </c>
      <c r="D333" s="54">
        <v>44998</v>
      </c>
      <c r="E333" s="55">
        <v>217280</v>
      </c>
      <c r="F333" s="56">
        <f t="shared" si="25"/>
        <v>0.99899668630338734</v>
      </c>
      <c r="G333" s="55">
        <v>218</v>
      </c>
      <c r="H333" s="55">
        <v>67707</v>
      </c>
      <c r="I333" s="56">
        <f t="shared" si="26"/>
        <v>0.31161174521354934</v>
      </c>
      <c r="J333" s="55">
        <v>1712</v>
      </c>
      <c r="K333" s="56">
        <f t="shared" si="27"/>
        <v>7.8792341678939615E-3</v>
      </c>
      <c r="L333" s="56">
        <f t="shared" si="28"/>
        <v>2.5285421005213641E-2</v>
      </c>
      <c r="M333" s="55">
        <v>376</v>
      </c>
      <c r="N333" s="56">
        <f t="shared" si="29"/>
        <v>1.7304860088365242E-3</v>
      </c>
      <c r="O333" s="53" t="s">
        <v>452</v>
      </c>
    </row>
    <row r="334" spans="1:15" x14ac:dyDescent="0.25">
      <c r="A334" s="52" t="s">
        <v>575</v>
      </c>
      <c r="B334" s="53" t="s">
        <v>439</v>
      </c>
      <c r="C334" s="53" t="s">
        <v>452</v>
      </c>
      <c r="D334" s="54">
        <v>44998</v>
      </c>
      <c r="E334" s="55">
        <v>2161357</v>
      </c>
      <c r="F334" s="56">
        <f t="shared" si="25"/>
        <v>0.99817383245803448</v>
      </c>
      <c r="G334" s="55">
        <v>3947</v>
      </c>
      <c r="H334" s="55">
        <v>1020528</v>
      </c>
      <c r="I334" s="56">
        <f t="shared" si="26"/>
        <v>0.4721700302171275</v>
      </c>
      <c r="J334" s="55">
        <v>14172</v>
      </c>
      <c r="K334" s="56">
        <f t="shared" si="27"/>
        <v>6.5569917417622357E-3</v>
      </c>
      <c r="L334" s="56">
        <f t="shared" si="28"/>
        <v>1.388692911904426E-2</v>
      </c>
      <c r="M334" s="55">
        <v>1710</v>
      </c>
      <c r="N334" s="56">
        <f t="shared" si="29"/>
        <v>7.9116962167749246E-4</v>
      </c>
      <c r="O334" s="53" t="s">
        <v>452</v>
      </c>
    </row>
    <row r="335" spans="1:15" x14ac:dyDescent="0.25">
      <c r="A335" s="52" t="s">
        <v>575</v>
      </c>
      <c r="B335" s="53" t="s">
        <v>444</v>
      </c>
      <c r="C335" s="53" t="s">
        <v>452</v>
      </c>
      <c r="D335" s="54">
        <v>44998</v>
      </c>
      <c r="E335" s="55">
        <v>2385796</v>
      </c>
      <c r="F335" s="56">
        <f t="shared" si="25"/>
        <v>0.99837873816537537</v>
      </c>
      <c r="G335" s="55">
        <v>3868</v>
      </c>
      <c r="H335" s="55">
        <v>1196883</v>
      </c>
      <c r="I335" s="56">
        <f t="shared" si="26"/>
        <v>0.50167030207109076</v>
      </c>
      <c r="J335" s="55">
        <v>19035</v>
      </c>
      <c r="K335" s="56">
        <f t="shared" si="27"/>
        <v>7.9784692404547587E-3</v>
      </c>
      <c r="L335" s="56">
        <f t="shared" si="28"/>
        <v>1.5903810146856458E-2</v>
      </c>
      <c r="M335" s="55">
        <v>5208</v>
      </c>
      <c r="N335" s="56">
        <f t="shared" si="29"/>
        <v>2.182919243724107E-3</v>
      </c>
      <c r="O335" s="53" t="s">
        <v>452</v>
      </c>
    </row>
    <row r="336" spans="1:15" hidden="1" x14ac:dyDescent="0.25">
      <c r="A336" s="52" t="s">
        <v>576</v>
      </c>
      <c r="B336" s="53" t="s">
        <v>439</v>
      </c>
      <c r="C336" s="53" t="s">
        <v>440</v>
      </c>
      <c r="D336" s="54">
        <v>44999</v>
      </c>
      <c r="E336" s="55">
        <v>26398</v>
      </c>
      <c r="F336" s="56">
        <f t="shared" si="25"/>
        <v>0.99856049700734906</v>
      </c>
      <c r="G336" s="55">
        <v>38</v>
      </c>
      <c r="H336" s="55">
        <v>7109</v>
      </c>
      <c r="I336" s="56">
        <f t="shared" si="26"/>
        <v>0.26930070459883326</v>
      </c>
      <c r="J336" s="55">
        <v>168</v>
      </c>
      <c r="K336" s="56">
        <f t="shared" si="27"/>
        <v>6.3641184938252899E-3</v>
      </c>
      <c r="L336" s="56">
        <f t="shared" si="28"/>
        <v>2.3632015754677171E-2</v>
      </c>
      <c r="M336" s="55">
        <v>27</v>
      </c>
      <c r="N336" s="56">
        <f t="shared" si="29"/>
        <v>1.0228047579362073E-3</v>
      </c>
      <c r="O336" s="53" t="s">
        <v>440</v>
      </c>
    </row>
    <row r="337" spans="1:15" hidden="1" x14ac:dyDescent="0.25">
      <c r="A337" s="58" t="s">
        <v>18</v>
      </c>
      <c r="B337" s="53" t="s">
        <v>439</v>
      </c>
      <c r="C337" s="53" t="s">
        <v>443</v>
      </c>
      <c r="D337" s="54">
        <v>44999</v>
      </c>
      <c r="E337" s="55">
        <v>23049</v>
      </c>
      <c r="F337" s="56">
        <f t="shared" si="25"/>
        <v>0.99882858258492779</v>
      </c>
      <c r="G337" s="55">
        <v>27</v>
      </c>
      <c r="H337" s="55">
        <v>7939</v>
      </c>
      <c r="I337" s="56">
        <f t="shared" si="26"/>
        <v>0.34444010586142565</v>
      </c>
      <c r="J337" s="55">
        <v>199</v>
      </c>
      <c r="K337" s="56">
        <f t="shared" si="27"/>
        <v>8.6337802073842684E-3</v>
      </c>
      <c r="L337" s="56">
        <f t="shared" si="28"/>
        <v>2.5066129235420079E-2</v>
      </c>
      <c r="M337" s="55">
        <v>2</v>
      </c>
      <c r="N337" s="56">
        <f t="shared" si="29"/>
        <v>8.6771660375721283E-5</v>
      </c>
      <c r="O337" s="53" t="s">
        <v>443</v>
      </c>
    </row>
    <row r="338" spans="1:15" hidden="1" x14ac:dyDescent="0.25">
      <c r="A338" s="58" t="s">
        <v>18</v>
      </c>
      <c r="B338" s="53" t="s">
        <v>444</v>
      </c>
      <c r="C338" s="53" t="s">
        <v>443</v>
      </c>
      <c r="D338" s="54">
        <v>44999</v>
      </c>
      <c r="E338" s="55">
        <v>25583</v>
      </c>
      <c r="F338" s="56">
        <f t="shared" si="25"/>
        <v>0.9994136731423211</v>
      </c>
      <c r="G338" s="55">
        <v>15</v>
      </c>
      <c r="H338" s="55">
        <v>9323</v>
      </c>
      <c r="I338" s="56">
        <f t="shared" si="26"/>
        <v>0.36442168627604271</v>
      </c>
      <c r="J338" s="55">
        <v>214</v>
      </c>
      <c r="K338" s="56">
        <f t="shared" si="27"/>
        <v>8.3649298362193647E-3</v>
      </c>
      <c r="L338" s="56">
        <f t="shared" si="28"/>
        <v>2.2953984768851229E-2</v>
      </c>
      <c r="M338" s="55">
        <v>14</v>
      </c>
      <c r="N338" s="56">
        <f t="shared" si="29"/>
        <v>5.4723840050033225E-4</v>
      </c>
      <c r="O338" s="53" t="s">
        <v>443</v>
      </c>
    </row>
    <row r="339" spans="1:15" hidden="1" x14ac:dyDescent="0.25">
      <c r="A339" s="58" t="s">
        <v>19</v>
      </c>
      <c r="B339" s="53" t="s">
        <v>439</v>
      </c>
      <c r="C339" s="53" t="s">
        <v>443</v>
      </c>
      <c r="D339" s="54">
        <v>44999</v>
      </c>
      <c r="E339" s="55">
        <v>217659</v>
      </c>
      <c r="F339" s="56">
        <f t="shared" si="25"/>
        <v>0.99831387629273316</v>
      </c>
      <c r="G339" s="55">
        <v>367</v>
      </c>
      <c r="H339" s="55">
        <v>79540</v>
      </c>
      <c r="I339" s="56">
        <f t="shared" si="26"/>
        <v>0.36543400456677649</v>
      </c>
      <c r="J339" s="55">
        <v>1752</v>
      </c>
      <c r="K339" s="56">
        <f t="shared" si="27"/>
        <v>8.0492881066255018E-3</v>
      </c>
      <c r="L339" s="56">
        <f t="shared" si="28"/>
        <v>2.2026653256223282E-2</v>
      </c>
      <c r="M339" s="55">
        <v>56</v>
      </c>
      <c r="N339" s="56">
        <f t="shared" si="29"/>
        <v>2.5728318149031282E-4</v>
      </c>
      <c r="O339" s="53" t="s">
        <v>443</v>
      </c>
    </row>
    <row r="340" spans="1:15" hidden="1" x14ac:dyDescent="0.25">
      <c r="A340" s="58" t="s">
        <v>19</v>
      </c>
      <c r="B340" s="53" t="s">
        <v>444</v>
      </c>
      <c r="C340" s="53" t="s">
        <v>443</v>
      </c>
      <c r="D340" s="54">
        <v>44999</v>
      </c>
      <c r="E340" s="55">
        <v>431945</v>
      </c>
      <c r="F340" s="56">
        <f t="shared" si="25"/>
        <v>0.99856463207121282</v>
      </c>
      <c r="G340" s="55">
        <v>620</v>
      </c>
      <c r="H340" s="55">
        <v>175694</v>
      </c>
      <c r="I340" s="56">
        <f t="shared" si="26"/>
        <v>0.40675085948442508</v>
      </c>
      <c r="J340" s="55">
        <v>2966</v>
      </c>
      <c r="K340" s="56">
        <f t="shared" si="27"/>
        <v>6.8666149625531032E-3</v>
      </c>
      <c r="L340" s="56">
        <f t="shared" si="28"/>
        <v>1.6881623732170704E-2</v>
      </c>
      <c r="M340" s="55">
        <v>269</v>
      </c>
      <c r="N340" s="56">
        <f t="shared" si="29"/>
        <v>6.227644723286529E-4</v>
      </c>
      <c r="O340" s="53" t="s">
        <v>443</v>
      </c>
    </row>
    <row r="341" spans="1:15" hidden="1" x14ac:dyDescent="0.25">
      <c r="A341" s="52" t="s">
        <v>577</v>
      </c>
      <c r="B341" s="53" t="s">
        <v>444</v>
      </c>
      <c r="C341" s="53" t="s">
        <v>443</v>
      </c>
      <c r="D341" s="54">
        <v>44999</v>
      </c>
      <c r="E341" s="55">
        <v>5597</v>
      </c>
      <c r="F341" s="56">
        <f t="shared" si="25"/>
        <v>0.99874932999821331</v>
      </c>
      <c r="G341" s="55">
        <v>7</v>
      </c>
      <c r="H341" s="55">
        <v>2498</v>
      </c>
      <c r="I341" s="56">
        <f t="shared" si="26"/>
        <v>0.44631052349472933</v>
      </c>
      <c r="J341" s="55">
        <v>74</v>
      </c>
      <c r="K341" s="56">
        <f t="shared" si="27"/>
        <v>1.3221368590316241E-2</v>
      </c>
      <c r="L341" s="56">
        <f t="shared" si="28"/>
        <v>2.9623698959167333E-2</v>
      </c>
      <c r="M341" s="55">
        <v>4</v>
      </c>
      <c r="N341" s="56">
        <f t="shared" si="29"/>
        <v>7.1466857244952648E-4</v>
      </c>
      <c r="O341" s="53" t="s">
        <v>443</v>
      </c>
    </row>
    <row r="342" spans="1:15" hidden="1" x14ac:dyDescent="0.25">
      <c r="A342" s="52" t="s">
        <v>577</v>
      </c>
      <c r="B342" s="53" t="s">
        <v>439</v>
      </c>
      <c r="C342" s="53" t="s">
        <v>443</v>
      </c>
      <c r="D342" s="54">
        <v>44999</v>
      </c>
      <c r="E342" s="55">
        <v>17719</v>
      </c>
      <c r="F342" s="56">
        <f t="shared" si="25"/>
        <v>0.99892770472374293</v>
      </c>
      <c r="G342" s="55">
        <v>19</v>
      </c>
      <c r="H342" s="55">
        <v>7462</v>
      </c>
      <c r="I342" s="56">
        <f t="shared" si="26"/>
        <v>0.42112986060161406</v>
      </c>
      <c r="J342" s="55">
        <v>251</v>
      </c>
      <c r="K342" s="56">
        <f t="shared" si="27"/>
        <v>1.4165584965291494E-2</v>
      </c>
      <c r="L342" s="56">
        <f t="shared" si="28"/>
        <v>3.3637094612704366E-2</v>
      </c>
      <c r="M342" s="55">
        <v>5</v>
      </c>
      <c r="N342" s="56">
        <f t="shared" si="29"/>
        <v>2.8218296743608558E-4</v>
      </c>
      <c r="O342" s="53" t="s">
        <v>443</v>
      </c>
    </row>
    <row r="343" spans="1:15" hidden="1" x14ac:dyDescent="0.25">
      <c r="A343" s="52" t="s">
        <v>578</v>
      </c>
      <c r="B343" s="53" t="s">
        <v>444</v>
      </c>
      <c r="C343" s="53" t="s">
        <v>443</v>
      </c>
      <c r="D343" s="54">
        <v>44999</v>
      </c>
      <c r="E343" s="55">
        <v>46285</v>
      </c>
      <c r="F343" s="56">
        <f t="shared" si="25"/>
        <v>0.99812034136329264</v>
      </c>
      <c r="G343" s="55">
        <v>87</v>
      </c>
      <c r="H343" s="55">
        <v>21254</v>
      </c>
      <c r="I343" s="56">
        <f t="shared" si="26"/>
        <v>0.45919844442043861</v>
      </c>
      <c r="J343" s="55">
        <v>505</v>
      </c>
      <c r="K343" s="56">
        <f t="shared" si="27"/>
        <v>1.0910662201577185E-2</v>
      </c>
      <c r="L343" s="56">
        <f t="shared" si="28"/>
        <v>2.3760233367836642E-2</v>
      </c>
      <c r="M343" s="55">
        <v>51</v>
      </c>
      <c r="N343" s="56">
        <f t="shared" si="29"/>
        <v>1.1018688560008641E-3</v>
      </c>
      <c r="O343" s="53" t="s">
        <v>443</v>
      </c>
    </row>
    <row r="344" spans="1:15" hidden="1" x14ac:dyDescent="0.25">
      <c r="A344" s="52" t="s">
        <v>578</v>
      </c>
      <c r="B344" s="53" t="s">
        <v>439</v>
      </c>
      <c r="C344" s="53" t="s">
        <v>443</v>
      </c>
      <c r="D344" s="54">
        <v>44999</v>
      </c>
      <c r="E344" s="55">
        <v>184356</v>
      </c>
      <c r="F344" s="56">
        <f t="shared" si="25"/>
        <v>0.99834559222374097</v>
      </c>
      <c r="G344" s="55">
        <v>305</v>
      </c>
      <c r="H344" s="55">
        <v>79307</v>
      </c>
      <c r="I344" s="56">
        <f t="shared" si="26"/>
        <v>0.43018399184187117</v>
      </c>
      <c r="J344" s="55">
        <v>1504</v>
      </c>
      <c r="K344" s="56">
        <f t="shared" si="27"/>
        <v>8.1581288376836123E-3</v>
      </c>
      <c r="L344" s="56">
        <f t="shared" si="28"/>
        <v>1.8964278058683344E-2</v>
      </c>
      <c r="M344" s="55">
        <v>64</v>
      </c>
      <c r="N344" s="56">
        <f t="shared" si="29"/>
        <v>3.4715441862483458E-4</v>
      </c>
      <c r="O344" s="53" t="s">
        <v>443</v>
      </c>
    </row>
    <row r="345" spans="1:15" hidden="1" x14ac:dyDescent="0.25">
      <c r="A345" s="52" t="s">
        <v>579</v>
      </c>
      <c r="B345" s="53" t="s">
        <v>439</v>
      </c>
      <c r="C345" s="53" t="s">
        <v>440</v>
      </c>
      <c r="D345" s="54">
        <v>45000</v>
      </c>
      <c r="E345" s="55">
        <v>15938</v>
      </c>
      <c r="F345" s="56">
        <f t="shared" si="25"/>
        <v>0.99861965114819928</v>
      </c>
      <c r="G345" s="55">
        <v>22</v>
      </c>
      <c r="H345" s="55">
        <v>5734</v>
      </c>
      <c r="I345" s="56">
        <f t="shared" si="26"/>
        <v>0.35976910528297151</v>
      </c>
      <c r="J345" s="55">
        <v>185</v>
      </c>
      <c r="K345" s="56">
        <f t="shared" si="27"/>
        <v>1.1607478981051574E-2</v>
      </c>
      <c r="L345" s="56">
        <f t="shared" si="28"/>
        <v>3.2263690268573425E-2</v>
      </c>
      <c r="M345" s="55">
        <v>26</v>
      </c>
      <c r="N345" s="56">
        <f t="shared" si="29"/>
        <v>1.6313213703099511E-3</v>
      </c>
      <c r="O345" s="53" t="s">
        <v>440</v>
      </c>
    </row>
    <row r="346" spans="1:15" hidden="1" x14ac:dyDescent="0.25">
      <c r="A346" s="52" t="s">
        <v>580</v>
      </c>
      <c r="B346" s="53" t="s">
        <v>439</v>
      </c>
      <c r="C346" s="53" t="s">
        <v>440</v>
      </c>
      <c r="D346" s="54">
        <v>45000</v>
      </c>
      <c r="E346" s="55">
        <v>12600</v>
      </c>
      <c r="F346" s="56">
        <f t="shared" si="25"/>
        <v>0.99746031746031749</v>
      </c>
      <c r="G346" s="55">
        <v>32</v>
      </c>
      <c r="H346" s="55">
        <v>4692</v>
      </c>
      <c r="I346" s="56">
        <f t="shared" si="26"/>
        <v>0.37238095238095237</v>
      </c>
      <c r="J346" s="55">
        <v>145</v>
      </c>
      <c r="K346" s="56">
        <f t="shared" si="27"/>
        <v>1.1507936507936509E-2</v>
      </c>
      <c r="L346" s="56">
        <f t="shared" si="28"/>
        <v>3.0903665814151746E-2</v>
      </c>
      <c r="M346" s="55">
        <v>20</v>
      </c>
      <c r="N346" s="56">
        <f t="shared" si="29"/>
        <v>1.5873015873015873E-3</v>
      </c>
      <c r="O346" s="53" t="s">
        <v>440</v>
      </c>
    </row>
    <row r="347" spans="1:15" hidden="1" x14ac:dyDescent="0.25">
      <c r="A347" s="52" t="s">
        <v>581</v>
      </c>
      <c r="B347" s="53" t="s">
        <v>439</v>
      </c>
      <c r="C347" s="53" t="s">
        <v>440</v>
      </c>
      <c r="D347" s="54">
        <v>45000</v>
      </c>
      <c r="E347" s="55">
        <v>28932</v>
      </c>
      <c r="F347" s="56">
        <f t="shared" si="25"/>
        <v>0.99688925756947322</v>
      </c>
      <c r="G347" s="55">
        <v>90</v>
      </c>
      <c r="H347" s="55">
        <v>10301</v>
      </c>
      <c r="I347" s="56">
        <f t="shared" si="26"/>
        <v>0.35604175307617864</v>
      </c>
      <c r="J347" s="55">
        <v>291</v>
      </c>
      <c r="K347" s="56">
        <f t="shared" si="27"/>
        <v>1.00580671920365E-2</v>
      </c>
      <c r="L347" s="56">
        <f t="shared" si="28"/>
        <v>2.8249684496650811E-2</v>
      </c>
      <c r="M347" s="55">
        <v>65</v>
      </c>
      <c r="N347" s="56">
        <f t="shared" si="29"/>
        <v>2.2466473109359879E-3</v>
      </c>
      <c r="O347" s="53" t="s">
        <v>440</v>
      </c>
    </row>
    <row r="348" spans="1:15" hidden="1" x14ac:dyDescent="0.25">
      <c r="A348" s="52" t="s">
        <v>582</v>
      </c>
      <c r="B348" s="53" t="s">
        <v>439</v>
      </c>
      <c r="C348" s="53" t="s">
        <v>440</v>
      </c>
      <c r="D348" s="54">
        <v>45000</v>
      </c>
      <c r="E348" s="55">
        <v>247371</v>
      </c>
      <c r="F348" s="56">
        <f t="shared" si="25"/>
        <v>0.99847597333559712</v>
      </c>
      <c r="G348" s="55">
        <v>377</v>
      </c>
      <c r="H348" s="55">
        <v>74846</v>
      </c>
      <c r="I348" s="56">
        <f t="shared" si="26"/>
        <v>0.30256578176099869</v>
      </c>
      <c r="J348" s="55">
        <v>1609</v>
      </c>
      <c r="K348" s="56">
        <f t="shared" si="27"/>
        <v>6.504400273273747E-3</v>
      </c>
      <c r="L348" s="56">
        <f t="shared" si="28"/>
        <v>2.1497474814953371E-2</v>
      </c>
      <c r="M348" s="55">
        <v>395</v>
      </c>
      <c r="N348" s="56">
        <f t="shared" si="29"/>
        <v>1.5967918632337663E-3</v>
      </c>
      <c r="O348" s="53" t="s">
        <v>440</v>
      </c>
    </row>
    <row r="349" spans="1:15" hidden="1" x14ac:dyDescent="0.25">
      <c r="A349" s="52" t="s">
        <v>445</v>
      </c>
      <c r="B349" s="53"/>
      <c r="C349" s="53" t="s">
        <v>446</v>
      </c>
      <c r="D349" s="54">
        <v>45000</v>
      </c>
      <c r="E349" s="55">
        <v>295</v>
      </c>
      <c r="F349" s="56">
        <f t="shared" si="25"/>
        <v>0.99322033898305084</v>
      </c>
      <c r="G349" s="55">
        <v>2</v>
      </c>
      <c r="H349" s="55">
        <v>114</v>
      </c>
      <c r="I349" s="56">
        <f t="shared" si="26"/>
        <v>0.38644067796610171</v>
      </c>
      <c r="J349" s="55">
        <v>6</v>
      </c>
      <c r="K349" s="56">
        <f t="shared" si="27"/>
        <v>2.0338983050847456E-2</v>
      </c>
      <c r="L349" s="56">
        <f t="shared" si="28"/>
        <v>5.2631578947368418E-2</v>
      </c>
      <c r="M349" s="55">
        <v>0</v>
      </c>
      <c r="N349" s="56">
        <f t="shared" si="29"/>
        <v>0</v>
      </c>
      <c r="O349" s="53" t="s">
        <v>446</v>
      </c>
    </row>
    <row r="350" spans="1:15" hidden="1" x14ac:dyDescent="0.25">
      <c r="A350" s="58" t="s">
        <v>449</v>
      </c>
      <c r="B350" s="53"/>
      <c r="C350" s="53" t="s">
        <v>446</v>
      </c>
      <c r="D350" s="54">
        <v>45001</v>
      </c>
      <c r="E350" s="55">
        <v>1641</v>
      </c>
      <c r="F350" s="56">
        <f t="shared" si="25"/>
        <v>0.99878123095673366</v>
      </c>
      <c r="G350" s="55">
        <v>2</v>
      </c>
      <c r="H350" s="55">
        <v>587</v>
      </c>
      <c r="I350" s="56">
        <f t="shared" si="26"/>
        <v>0.35770871419865935</v>
      </c>
      <c r="J350" s="55">
        <v>21</v>
      </c>
      <c r="K350" s="56">
        <f t="shared" si="27"/>
        <v>1.2797074954296161E-2</v>
      </c>
      <c r="L350" s="56">
        <f t="shared" si="28"/>
        <v>3.5775127768313458E-2</v>
      </c>
      <c r="M350" s="55">
        <v>0</v>
      </c>
      <c r="N350" s="56">
        <f t="shared" si="29"/>
        <v>0</v>
      </c>
      <c r="O350" s="53" t="s">
        <v>446</v>
      </c>
    </row>
    <row r="351" spans="1:15" hidden="1" x14ac:dyDescent="0.25">
      <c r="A351" s="52" t="s">
        <v>583</v>
      </c>
      <c r="B351" s="53" t="s">
        <v>439</v>
      </c>
      <c r="C351" s="53" t="s">
        <v>443</v>
      </c>
      <c r="D351" s="54">
        <v>45001</v>
      </c>
      <c r="E351" s="55">
        <v>50647</v>
      </c>
      <c r="F351" s="56">
        <f t="shared" si="25"/>
        <v>0.9989732856832586</v>
      </c>
      <c r="G351" s="55">
        <v>52</v>
      </c>
      <c r="H351" s="55">
        <v>16653</v>
      </c>
      <c r="I351" s="56">
        <f t="shared" si="26"/>
        <v>0.32880525993642268</v>
      </c>
      <c r="J351" s="55">
        <v>222</v>
      </c>
      <c r="K351" s="56">
        <f t="shared" si="27"/>
        <v>4.3832803522419889E-3</v>
      </c>
      <c r="L351" s="56">
        <f t="shared" si="28"/>
        <v>1.3330931363718249E-2</v>
      </c>
      <c r="M351" s="55">
        <v>8</v>
      </c>
      <c r="N351" s="56">
        <f t="shared" si="29"/>
        <v>1.5795604872944103E-4</v>
      </c>
      <c r="O351" s="53" t="s">
        <v>443</v>
      </c>
    </row>
    <row r="352" spans="1:15" hidden="1" x14ac:dyDescent="0.25">
      <c r="A352" s="52" t="s">
        <v>584</v>
      </c>
      <c r="B352" s="53" t="s">
        <v>439</v>
      </c>
      <c r="C352" s="53" t="s">
        <v>443</v>
      </c>
      <c r="D352" s="54">
        <v>45001</v>
      </c>
      <c r="E352" s="55">
        <v>2682</v>
      </c>
      <c r="F352" s="56">
        <f t="shared" si="25"/>
        <v>0.9992542878448919</v>
      </c>
      <c r="G352" s="55">
        <v>2</v>
      </c>
      <c r="H352" s="55">
        <v>860</v>
      </c>
      <c r="I352" s="56">
        <f t="shared" si="26"/>
        <v>0.32065622669649513</v>
      </c>
      <c r="J352" s="55">
        <v>8</v>
      </c>
      <c r="K352" s="56">
        <f t="shared" si="27"/>
        <v>2.9828486204325128E-3</v>
      </c>
      <c r="L352" s="56">
        <f t="shared" si="28"/>
        <v>9.3023255813953487E-3</v>
      </c>
      <c r="M352" s="55">
        <v>0</v>
      </c>
      <c r="N352" s="56">
        <f t="shared" si="29"/>
        <v>0</v>
      </c>
      <c r="O352" s="53" t="s">
        <v>443</v>
      </c>
    </row>
    <row r="353" spans="1:15" hidden="1" x14ac:dyDescent="0.25">
      <c r="A353" s="58" t="s">
        <v>22</v>
      </c>
      <c r="B353" s="53" t="s">
        <v>439</v>
      </c>
      <c r="C353" s="53" t="s">
        <v>443</v>
      </c>
      <c r="D353" s="54">
        <v>45002</v>
      </c>
      <c r="E353" s="55">
        <v>96989</v>
      </c>
      <c r="F353" s="56">
        <f t="shared" si="25"/>
        <v>0.99896895524234708</v>
      </c>
      <c r="G353" s="55">
        <v>100</v>
      </c>
      <c r="H353" s="55">
        <v>29477</v>
      </c>
      <c r="I353" s="56">
        <f t="shared" si="26"/>
        <v>0.3039210632133541</v>
      </c>
      <c r="J353" s="55">
        <v>582</v>
      </c>
      <c r="K353" s="56">
        <f t="shared" si="27"/>
        <v>6.0006804895400513E-3</v>
      </c>
      <c r="L353" s="56">
        <f t="shared" si="28"/>
        <v>1.9744207348101912E-2</v>
      </c>
      <c r="M353" s="55">
        <v>31</v>
      </c>
      <c r="N353" s="56">
        <f t="shared" si="29"/>
        <v>3.1962387487240819E-4</v>
      </c>
      <c r="O353" s="53" t="s">
        <v>443</v>
      </c>
    </row>
    <row r="354" spans="1:15" hidden="1" x14ac:dyDescent="0.25">
      <c r="A354" s="58" t="s">
        <v>22</v>
      </c>
      <c r="B354" s="53" t="s">
        <v>444</v>
      </c>
      <c r="C354" s="53" t="s">
        <v>443</v>
      </c>
      <c r="D354" s="54">
        <v>45002</v>
      </c>
      <c r="E354" s="55">
        <v>188901</v>
      </c>
      <c r="F354" s="56">
        <f t="shared" si="25"/>
        <v>0.99876125589594544</v>
      </c>
      <c r="G354" s="55">
        <v>234</v>
      </c>
      <c r="H354" s="55">
        <v>57746</v>
      </c>
      <c r="I354" s="56">
        <f t="shared" si="26"/>
        <v>0.30569451723389501</v>
      </c>
      <c r="J354" s="55">
        <v>1075</v>
      </c>
      <c r="K354" s="56">
        <f t="shared" si="27"/>
        <v>5.6908115891392847E-3</v>
      </c>
      <c r="L354" s="56">
        <f t="shared" si="28"/>
        <v>1.8616008035188585E-2</v>
      </c>
      <c r="M354" s="55">
        <v>193</v>
      </c>
      <c r="N354" s="56">
        <f t="shared" si="29"/>
        <v>1.0216991969338436E-3</v>
      </c>
      <c r="O354" s="53" t="s">
        <v>443</v>
      </c>
    </row>
    <row r="355" spans="1:15" hidden="1" x14ac:dyDescent="0.25">
      <c r="A355" s="58" t="s">
        <v>23</v>
      </c>
      <c r="B355" s="53" t="s">
        <v>439</v>
      </c>
      <c r="C355" s="53" t="s">
        <v>443</v>
      </c>
      <c r="D355" s="54">
        <v>45002</v>
      </c>
      <c r="E355" s="55">
        <v>1764156</v>
      </c>
      <c r="F355" s="56">
        <f t="shared" si="25"/>
        <v>0.99782332174705635</v>
      </c>
      <c r="G355" s="55">
        <v>3840</v>
      </c>
      <c r="H355" s="55">
        <v>719220</v>
      </c>
      <c r="I355" s="56">
        <f t="shared" si="26"/>
        <v>0.40768503465679906</v>
      </c>
      <c r="J355" s="55">
        <v>9914</v>
      </c>
      <c r="K355" s="56">
        <f t="shared" si="27"/>
        <v>5.6196844270007869E-3</v>
      </c>
      <c r="L355" s="56">
        <f t="shared" si="28"/>
        <v>1.378437752009121E-2</v>
      </c>
      <c r="M355" s="55">
        <v>789</v>
      </c>
      <c r="N355" s="56">
        <f t="shared" si="29"/>
        <v>4.4723935978450887E-4</v>
      </c>
      <c r="O355" s="53" t="s">
        <v>443</v>
      </c>
    </row>
    <row r="356" spans="1:15" hidden="1" x14ac:dyDescent="0.25">
      <c r="A356" s="58" t="s">
        <v>23</v>
      </c>
      <c r="B356" s="53" t="s">
        <v>444</v>
      </c>
      <c r="C356" s="53" t="s">
        <v>443</v>
      </c>
      <c r="D356" s="54">
        <v>45002</v>
      </c>
      <c r="E356" s="55">
        <v>2165495</v>
      </c>
      <c r="F356" s="56">
        <f t="shared" si="25"/>
        <v>0.99802077585032523</v>
      </c>
      <c r="G356" s="55">
        <v>4286</v>
      </c>
      <c r="H356" s="55">
        <v>747271</v>
      </c>
      <c r="I356" s="56">
        <f t="shared" si="26"/>
        <v>0.34508091683425729</v>
      </c>
      <c r="J356" s="55">
        <v>9829</v>
      </c>
      <c r="K356" s="56">
        <f t="shared" si="27"/>
        <v>4.5389160445995025E-3</v>
      </c>
      <c r="L356" s="56">
        <f t="shared" si="28"/>
        <v>1.3153193419790142E-2</v>
      </c>
      <c r="M356" s="55">
        <v>1839</v>
      </c>
      <c r="N356" s="56">
        <f t="shared" si="29"/>
        <v>8.4922846739429096E-4</v>
      </c>
      <c r="O356" s="53" t="s">
        <v>443</v>
      </c>
    </row>
    <row r="357" spans="1:15" x14ac:dyDescent="0.25">
      <c r="A357" s="58" t="s">
        <v>451</v>
      </c>
      <c r="B357" s="53" t="s">
        <v>444</v>
      </c>
      <c r="C357" s="53" t="s">
        <v>452</v>
      </c>
      <c r="D357" s="54">
        <v>45002</v>
      </c>
      <c r="E357" s="55">
        <v>242816</v>
      </c>
      <c r="F357" s="56">
        <f t="shared" si="25"/>
        <v>0.99848856747496051</v>
      </c>
      <c r="G357" s="55">
        <v>367</v>
      </c>
      <c r="H357" s="55">
        <v>108423</v>
      </c>
      <c r="I357" s="56">
        <f t="shared" si="26"/>
        <v>0.44652329335793356</v>
      </c>
      <c r="J357" s="55">
        <v>2193</v>
      </c>
      <c r="K357" s="56">
        <f t="shared" si="27"/>
        <v>9.0315300474433317E-3</v>
      </c>
      <c r="L357" s="56">
        <f t="shared" si="28"/>
        <v>2.0226335740571651E-2</v>
      </c>
      <c r="M357" s="55">
        <v>109</v>
      </c>
      <c r="N357" s="56">
        <f t="shared" si="29"/>
        <v>4.4889957828149712E-4</v>
      </c>
      <c r="O357" s="53" t="s">
        <v>452</v>
      </c>
    </row>
    <row r="358" spans="1:15" x14ac:dyDescent="0.25">
      <c r="A358" s="58" t="s">
        <v>453</v>
      </c>
      <c r="B358" s="53" t="s">
        <v>444</v>
      </c>
      <c r="C358" s="53" t="s">
        <v>452</v>
      </c>
      <c r="D358" s="54">
        <v>45002</v>
      </c>
      <c r="E358" s="55">
        <v>332925</v>
      </c>
      <c r="F358" s="56">
        <f t="shared" si="25"/>
        <v>0.9977922955620635</v>
      </c>
      <c r="G358" s="55">
        <v>735</v>
      </c>
      <c r="H358" s="55">
        <v>121920</v>
      </c>
      <c r="I358" s="56">
        <f t="shared" si="26"/>
        <v>0.36620860554178869</v>
      </c>
      <c r="J358" s="55">
        <v>2847</v>
      </c>
      <c r="K358" s="56">
        <f t="shared" si="27"/>
        <v>8.5514755575580078E-3</v>
      </c>
      <c r="L358" s="56">
        <f t="shared" si="28"/>
        <v>2.3351377952755905E-2</v>
      </c>
      <c r="M358" s="55">
        <v>222</v>
      </c>
      <c r="N358" s="56">
        <f t="shared" si="29"/>
        <v>6.668168506420365E-4</v>
      </c>
      <c r="O358" s="53" t="s">
        <v>452</v>
      </c>
    </row>
    <row r="359" spans="1:15" x14ac:dyDescent="0.25">
      <c r="A359" s="58" t="s">
        <v>454</v>
      </c>
      <c r="B359" s="53" t="s">
        <v>444</v>
      </c>
      <c r="C359" s="53" t="s">
        <v>452</v>
      </c>
      <c r="D359" s="54">
        <v>45003</v>
      </c>
      <c r="E359" s="55">
        <v>14849</v>
      </c>
      <c r="F359" s="56">
        <f t="shared" si="25"/>
        <v>0.99905717556737828</v>
      </c>
      <c r="G359" s="55">
        <v>14</v>
      </c>
      <c r="H359" s="55">
        <v>4800</v>
      </c>
      <c r="I359" s="56">
        <f t="shared" si="26"/>
        <v>0.32325409118459153</v>
      </c>
      <c r="J359" s="55">
        <v>229</v>
      </c>
      <c r="K359" s="56">
        <f t="shared" si="27"/>
        <v>1.5421913933598222E-2</v>
      </c>
      <c r="L359" s="56">
        <f t="shared" si="28"/>
        <v>4.7708333333333332E-2</v>
      </c>
      <c r="M359" s="55">
        <v>12</v>
      </c>
      <c r="N359" s="56">
        <f t="shared" si="29"/>
        <v>8.0813522796147888E-4</v>
      </c>
      <c r="O359" s="53" t="s">
        <v>452</v>
      </c>
    </row>
    <row r="360" spans="1:15" hidden="1" x14ac:dyDescent="0.25">
      <c r="A360" s="52" t="s">
        <v>585</v>
      </c>
      <c r="B360" s="53" t="s">
        <v>439</v>
      </c>
      <c r="C360" s="53" t="s">
        <v>447</v>
      </c>
      <c r="D360" s="54">
        <v>45003</v>
      </c>
      <c r="E360" s="55">
        <v>18266</v>
      </c>
      <c r="F360" s="56">
        <f t="shared" si="25"/>
        <v>0.998905069528085</v>
      </c>
      <c r="G360" s="55">
        <v>20</v>
      </c>
      <c r="H360" s="55">
        <v>6480</v>
      </c>
      <c r="I360" s="56">
        <f t="shared" si="26"/>
        <v>0.35475747290047083</v>
      </c>
      <c r="J360" s="55">
        <v>1113</v>
      </c>
      <c r="K360" s="56">
        <f t="shared" si="27"/>
        <v>6.0932880762071609E-2</v>
      </c>
      <c r="L360" s="56">
        <f t="shared" si="28"/>
        <v>0.17175925925925925</v>
      </c>
      <c r="M360" s="55">
        <v>4</v>
      </c>
      <c r="N360" s="56">
        <f t="shared" si="29"/>
        <v>2.1898609438300668E-4</v>
      </c>
      <c r="O360" s="53" t="s">
        <v>448</v>
      </c>
    </row>
    <row r="361" spans="1:15" hidden="1" x14ac:dyDescent="0.25">
      <c r="A361" s="52" t="s">
        <v>29</v>
      </c>
      <c r="B361" s="53" t="s">
        <v>439</v>
      </c>
      <c r="C361" s="53" t="s">
        <v>443</v>
      </c>
      <c r="D361" s="54">
        <v>45003</v>
      </c>
      <c r="E361" s="55">
        <v>27585</v>
      </c>
      <c r="F361" s="56">
        <f t="shared" si="25"/>
        <v>0.99869494290375205</v>
      </c>
      <c r="G361" s="55">
        <v>36</v>
      </c>
      <c r="H361" s="55">
        <v>7974</v>
      </c>
      <c r="I361" s="56">
        <f t="shared" si="26"/>
        <v>0.28907014681892335</v>
      </c>
      <c r="J361" s="55">
        <v>250</v>
      </c>
      <c r="K361" s="56">
        <f t="shared" si="27"/>
        <v>9.0628965017219495E-3</v>
      </c>
      <c r="L361" s="56">
        <f t="shared" si="28"/>
        <v>3.1351893654376725E-2</v>
      </c>
      <c r="M361" s="55">
        <v>8</v>
      </c>
      <c r="N361" s="56">
        <f t="shared" si="29"/>
        <v>2.900126880551024E-4</v>
      </c>
      <c r="O361" s="53" t="s">
        <v>443</v>
      </c>
    </row>
    <row r="362" spans="1:15" hidden="1" x14ac:dyDescent="0.25">
      <c r="A362" s="52" t="s">
        <v>30</v>
      </c>
      <c r="B362" s="53" t="s">
        <v>439</v>
      </c>
      <c r="C362" s="53" t="s">
        <v>443</v>
      </c>
      <c r="D362" s="54">
        <v>45003</v>
      </c>
      <c r="E362" s="55">
        <v>391572</v>
      </c>
      <c r="F362" s="56">
        <f t="shared" si="25"/>
        <v>0.99834513192976004</v>
      </c>
      <c r="G362" s="55">
        <v>648</v>
      </c>
      <c r="H362" s="55">
        <v>133428</v>
      </c>
      <c r="I362" s="56">
        <f t="shared" si="26"/>
        <v>0.34074959394440868</v>
      </c>
      <c r="J362" s="55">
        <v>3208</v>
      </c>
      <c r="K362" s="56">
        <f t="shared" si="27"/>
        <v>8.1926184711879294E-3</v>
      </c>
      <c r="L362" s="56">
        <f t="shared" si="28"/>
        <v>2.4042929520040772E-2</v>
      </c>
      <c r="M362" s="55">
        <v>112</v>
      </c>
      <c r="N362" s="56">
        <f t="shared" si="29"/>
        <v>2.8602658004147388E-4</v>
      </c>
      <c r="O362" s="53" t="s">
        <v>443</v>
      </c>
    </row>
    <row r="363" spans="1:15" hidden="1" x14ac:dyDescent="0.25">
      <c r="A363" s="52" t="s">
        <v>586</v>
      </c>
      <c r="B363" s="53" t="s">
        <v>439</v>
      </c>
      <c r="C363" s="53" t="s">
        <v>440</v>
      </c>
      <c r="D363" s="54">
        <v>45006</v>
      </c>
      <c r="E363" s="55">
        <v>237149</v>
      </c>
      <c r="F363" s="56">
        <f t="shared" si="25"/>
        <v>0.99809824203348951</v>
      </c>
      <c r="G363" s="55">
        <v>451</v>
      </c>
      <c r="H363" s="55">
        <v>103978</v>
      </c>
      <c r="I363" s="56">
        <f t="shared" si="26"/>
        <v>0.43845008834108512</v>
      </c>
      <c r="J363" s="55">
        <v>4066</v>
      </c>
      <c r="K363" s="56">
        <f t="shared" si="27"/>
        <v>1.7145339006278754E-2</v>
      </c>
      <c r="L363" s="56">
        <f t="shared" si="28"/>
        <v>3.9104425936255745E-2</v>
      </c>
      <c r="M363" s="55">
        <v>1918</v>
      </c>
      <c r="N363" s="56">
        <f t="shared" si="29"/>
        <v>8.0877423054704009E-3</v>
      </c>
      <c r="O363" s="53" t="s">
        <v>440</v>
      </c>
    </row>
    <row r="364" spans="1:15" hidden="1" x14ac:dyDescent="0.25">
      <c r="A364" s="58" t="s">
        <v>18</v>
      </c>
      <c r="B364" s="53" t="s">
        <v>439</v>
      </c>
      <c r="C364" s="53" t="s">
        <v>443</v>
      </c>
      <c r="D364" s="54">
        <v>45006</v>
      </c>
      <c r="E364" s="55">
        <v>23188</v>
      </c>
      <c r="F364" s="56">
        <f t="shared" si="25"/>
        <v>0.99844747283077451</v>
      </c>
      <c r="G364" s="55">
        <v>36</v>
      </c>
      <c r="H364" s="55">
        <v>7985</v>
      </c>
      <c r="I364" s="56">
        <f t="shared" si="26"/>
        <v>0.34435915128514749</v>
      </c>
      <c r="J364" s="55">
        <v>245</v>
      </c>
      <c r="K364" s="56">
        <f t="shared" si="27"/>
        <v>1.056580990167328E-2</v>
      </c>
      <c r="L364" s="56">
        <f t="shared" si="28"/>
        <v>3.0682529743268627E-2</v>
      </c>
      <c r="M364" s="55">
        <v>12</v>
      </c>
      <c r="N364" s="56">
        <f t="shared" si="29"/>
        <v>5.1750905640848713E-4</v>
      </c>
      <c r="O364" s="53" t="s">
        <v>443</v>
      </c>
    </row>
    <row r="365" spans="1:15" hidden="1" x14ac:dyDescent="0.25">
      <c r="A365" s="58" t="s">
        <v>18</v>
      </c>
      <c r="B365" s="53" t="s">
        <v>444</v>
      </c>
      <c r="C365" s="53" t="s">
        <v>443</v>
      </c>
      <c r="D365" s="54">
        <v>45006</v>
      </c>
      <c r="E365" s="55">
        <v>25573</v>
      </c>
      <c r="F365" s="56">
        <f t="shared" si="25"/>
        <v>0.99870957650647163</v>
      </c>
      <c r="G365" s="55">
        <v>33</v>
      </c>
      <c r="H365" s="55">
        <v>9149</v>
      </c>
      <c r="I365" s="56">
        <f t="shared" si="26"/>
        <v>0.35776013764517262</v>
      </c>
      <c r="J365" s="55">
        <v>197</v>
      </c>
      <c r="K365" s="56">
        <f t="shared" si="27"/>
        <v>7.703437218941853E-3</v>
      </c>
      <c r="L365" s="56">
        <f t="shared" si="28"/>
        <v>2.1532407913433162E-2</v>
      </c>
      <c r="M365" s="55">
        <v>49</v>
      </c>
      <c r="N365" s="56">
        <f t="shared" si="29"/>
        <v>1.9160833691784303E-3</v>
      </c>
      <c r="O365" s="53" t="s">
        <v>443</v>
      </c>
    </row>
    <row r="366" spans="1:15" hidden="1" x14ac:dyDescent="0.25">
      <c r="A366" s="58" t="s">
        <v>19</v>
      </c>
      <c r="B366" s="53" t="s">
        <v>439</v>
      </c>
      <c r="C366" s="53" t="s">
        <v>443</v>
      </c>
      <c r="D366" s="54">
        <v>45006</v>
      </c>
      <c r="E366" s="55">
        <v>219716</v>
      </c>
      <c r="F366" s="56">
        <f t="shared" si="25"/>
        <v>0.99801106883431334</v>
      </c>
      <c r="G366" s="55">
        <v>437</v>
      </c>
      <c r="H366" s="55">
        <v>87660</v>
      </c>
      <c r="I366" s="56">
        <f t="shared" si="26"/>
        <v>0.3989695789109578</v>
      </c>
      <c r="J366" s="55">
        <v>1774</v>
      </c>
      <c r="K366" s="56">
        <f t="shared" si="27"/>
        <v>8.0740592401099594E-3</v>
      </c>
      <c r="L366" s="56">
        <f t="shared" si="28"/>
        <v>2.0237280401551448E-2</v>
      </c>
      <c r="M366" s="55">
        <v>144</v>
      </c>
      <c r="N366" s="56">
        <f t="shared" si="29"/>
        <v>6.5539150539787726E-4</v>
      </c>
      <c r="O366" s="53" t="s">
        <v>443</v>
      </c>
    </row>
    <row r="367" spans="1:15" hidden="1" x14ac:dyDescent="0.25">
      <c r="A367" s="58" t="s">
        <v>19</v>
      </c>
      <c r="B367" s="53" t="s">
        <v>444</v>
      </c>
      <c r="C367" s="53" t="s">
        <v>443</v>
      </c>
      <c r="D367" s="54">
        <v>45006</v>
      </c>
      <c r="E367" s="55">
        <v>434922</v>
      </c>
      <c r="F367" s="56">
        <f t="shared" si="25"/>
        <v>0.99830774253774235</v>
      </c>
      <c r="G367" s="55">
        <v>736</v>
      </c>
      <c r="H367" s="55">
        <v>186460</v>
      </c>
      <c r="I367" s="56">
        <f t="shared" si="26"/>
        <v>0.42872055219096755</v>
      </c>
      <c r="J367" s="55">
        <v>2533</v>
      </c>
      <c r="K367" s="56">
        <f t="shared" si="27"/>
        <v>5.8240328150794855E-3</v>
      </c>
      <c r="L367" s="56">
        <f t="shared" si="28"/>
        <v>1.3584683041939291E-2</v>
      </c>
      <c r="M367" s="55">
        <v>542</v>
      </c>
      <c r="N367" s="56">
        <f t="shared" si="29"/>
        <v>1.2462004681299175E-3</v>
      </c>
      <c r="O367" s="53" t="s">
        <v>443</v>
      </c>
    </row>
    <row r="368" spans="1:15" hidden="1" x14ac:dyDescent="0.25">
      <c r="A368" s="52" t="s">
        <v>587</v>
      </c>
      <c r="B368" s="53" t="s">
        <v>439</v>
      </c>
      <c r="C368" s="53" t="s">
        <v>443</v>
      </c>
      <c r="D368" s="54">
        <v>45007</v>
      </c>
      <c r="E368" s="55">
        <v>26113</v>
      </c>
      <c r="F368" s="56">
        <f t="shared" si="25"/>
        <v>0.99766399877455669</v>
      </c>
      <c r="G368" s="55">
        <v>61</v>
      </c>
      <c r="H368" s="55">
        <v>11634</v>
      </c>
      <c r="I368" s="56">
        <f t="shared" si="26"/>
        <v>0.44552521732470418</v>
      </c>
      <c r="J368" s="55">
        <v>338</v>
      </c>
      <c r="K368" s="56">
        <f t="shared" si="27"/>
        <v>1.294374449507908E-2</v>
      </c>
      <c r="L368" s="56">
        <f t="shared" si="28"/>
        <v>2.9052776345195118E-2</v>
      </c>
      <c r="M368" s="55">
        <v>6</v>
      </c>
      <c r="N368" s="56">
        <f t="shared" si="29"/>
        <v>2.2977061233868189E-4</v>
      </c>
      <c r="O368" s="53" t="s">
        <v>443</v>
      </c>
    </row>
    <row r="369" spans="1:15" hidden="1" x14ac:dyDescent="0.25">
      <c r="A369" s="52" t="s">
        <v>588</v>
      </c>
      <c r="B369" s="53" t="s">
        <v>439</v>
      </c>
      <c r="C369" s="53" t="s">
        <v>443</v>
      </c>
      <c r="D369" s="54">
        <v>45007</v>
      </c>
      <c r="E369" s="55">
        <v>26544</v>
      </c>
      <c r="F369" s="56">
        <f t="shared" si="25"/>
        <v>0.99807866184448468</v>
      </c>
      <c r="G369" s="55">
        <v>51</v>
      </c>
      <c r="H369" s="55">
        <v>11592</v>
      </c>
      <c r="I369" s="56">
        <f t="shared" si="26"/>
        <v>0.43670886075949367</v>
      </c>
      <c r="J369" s="55">
        <v>310</v>
      </c>
      <c r="K369" s="56">
        <f t="shared" si="27"/>
        <v>1.1678722121760096E-2</v>
      </c>
      <c r="L369" s="56">
        <f t="shared" si="28"/>
        <v>2.6742581090407176E-2</v>
      </c>
      <c r="M369" s="55">
        <v>6</v>
      </c>
      <c r="N369" s="56">
        <f t="shared" si="29"/>
        <v>2.2603978300180831E-4</v>
      </c>
      <c r="O369" s="53" t="s">
        <v>443</v>
      </c>
    </row>
    <row r="370" spans="1:15" hidden="1" x14ac:dyDescent="0.25">
      <c r="A370" s="52" t="s">
        <v>589</v>
      </c>
      <c r="B370" s="53" t="s">
        <v>439</v>
      </c>
      <c r="C370" s="53" t="s">
        <v>443</v>
      </c>
      <c r="D370" s="54">
        <v>45007</v>
      </c>
      <c r="E370" s="55">
        <v>50753</v>
      </c>
      <c r="F370" s="56">
        <f t="shared" si="25"/>
        <v>0.99802967312277102</v>
      </c>
      <c r="G370" s="55">
        <v>100</v>
      </c>
      <c r="H370" s="55">
        <v>21904</v>
      </c>
      <c r="I370" s="56">
        <f t="shared" si="26"/>
        <v>0.43158039918822533</v>
      </c>
      <c r="J370" s="55">
        <v>456</v>
      </c>
      <c r="K370" s="56">
        <f t="shared" si="27"/>
        <v>8.9846905601639309E-3</v>
      </c>
      <c r="L370" s="56">
        <f t="shared" si="28"/>
        <v>2.0818115412710007E-2</v>
      </c>
      <c r="M370" s="55">
        <v>16</v>
      </c>
      <c r="N370" s="56">
        <f t="shared" si="29"/>
        <v>3.1525230035662919E-4</v>
      </c>
      <c r="O370" s="53" t="s">
        <v>443</v>
      </c>
    </row>
    <row r="371" spans="1:15" hidden="1" x14ac:dyDescent="0.25">
      <c r="A371" s="58" t="s">
        <v>449</v>
      </c>
      <c r="B371" s="53"/>
      <c r="C371" s="53" t="s">
        <v>446</v>
      </c>
      <c r="D371" s="54">
        <v>45008</v>
      </c>
      <c r="E371" s="55">
        <v>1640</v>
      </c>
      <c r="F371" s="56">
        <f t="shared" si="25"/>
        <v>0.99878048780487805</v>
      </c>
      <c r="G371" s="55">
        <v>2</v>
      </c>
      <c r="H371" s="55">
        <v>585</v>
      </c>
      <c r="I371" s="56">
        <f t="shared" si="26"/>
        <v>0.35670731707317072</v>
      </c>
      <c r="J371" s="55">
        <v>13</v>
      </c>
      <c r="K371" s="56">
        <f t="shared" si="27"/>
        <v>7.926829268292683E-3</v>
      </c>
      <c r="L371" s="56">
        <f t="shared" si="28"/>
        <v>2.2222222222222223E-2</v>
      </c>
      <c r="M371" s="55">
        <v>0</v>
      </c>
      <c r="N371" s="56">
        <f t="shared" si="29"/>
        <v>0</v>
      </c>
      <c r="O371" s="53" t="s">
        <v>446</v>
      </c>
    </row>
    <row r="372" spans="1:15" hidden="1" x14ac:dyDescent="0.25">
      <c r="A372" s="52" t="s">
        <v>590</v>
      </c>
      <c r="B372" s="53" t="s">
        <v>439</v>
      </c>
      <c r="C372" s="53" t="s">
        <v>440</v>
      </c>
      <c r="D372" s="54">
        <v>45009</v>
      </c>
      <c r="E372" s="55">
        <v>26683</v>
      </c>
      <c r="F372" s="56">
        <f t="shared" si="25"/>
        <v>0.99835101000637105</v>
      </c>
      <c r="G372" s="55">
        <v>44</v>
      </c>
      <c r="H372" s="55">
        <v>9041</v>
      </c>
      <c r="I372" s="56">
        <f t="shared" si="26"/>
        <v>0.33882996664542969</v>
      </c>
      <c r="J372" s="55">
        <v>144</v>
      </c>
      <c r="K372" s="56">
        <f t="shared" si="27"/>
        <v>5.3966945246036804E-3</v>
      </c>
      <c r="L372" s="56">
        <f t="shared" si="28"/>
        <v>1.5927441654684217E-2</v>
      </c>
      <c r="M372" s="55">
        <v>95</v>
      </c>
      <c r="N372" s="56">
        <f t="shared" si="29"/>
        <v>3.5603193044260392E-3</v>
      </c>
      <c r="O372" s="53" t="s">
        <v>440</v>
      </c>
    </row>
    <row r="373" spans="1:15" hidden="1" x14ac:dyDescent="0.25">
      <c r="A373" s="52" t="s">
        <v>591</v>
      </c>
      <c r="B373" s="53" t="s">
        <v>439</v>
      </c>
      <c r="C373" s="53" t="s">
        <v>592</v>
      </c>
      <c r="D373" s="54">
        <v>45009</v>
      </c>
      <c r="E373" s="55">
        <v>33786</v>
      </c>
      <c r="F373" s="56">
        <f t="shared" si="25"/>
        <v>0.99813532232285562</v>
      </c>
      <c r="G373" s="55">
        <v>63</v>
      </c>
      <c r="H373" s="55">
        <v>18749</v>
      </c>
      <c r="I373" s="56">
        <f t="shared" si="26"/>
        <v>0.55493399632984075</v>
      </c>
      <c r="J373" s="55">
        <v>1036</v>
      </c>
      <c r="K373" s="56">
        <f t="shared" si="27"/>
        <v>3.0663588468596459E-2</v>
      </c>
      <c r="L373" s="56">
        <f t="shared" si="28"/>
        <v>5.5256280334951197E-2</v>
      </c>
      <c r="M373" s="55">
        <v>13</v>
      </c>
      <c r="N373" s="56">
        <f t="shared" si="29"/>
        <v>3.8477475877582429E-4</v>
      </c>
      <c r="O373" s="53" t="s">
        <v>592</v>
      </c>
    </row>
    <row r="374" spans="1:15" hidden="1" x14ac:dyDescent="0.25">
      <c r="A374" s="52" t="s">
        <v>591</v>
      </c>
      <c r="B374" s="53" t="s">
        <v>444</v>
      </c>
      <c r="C374" s="53" t="s">
        <v>592</v>
      </c>
      <c r="D374" s="54">
        <v>45009</v>
      </c>
      <c r="E374" s="55">
        <v>7716</v>
      </c>
      <c r="F374" s="56">
        <f t="shared" si="25"/>
        <v>0.99805598755832037</v>
      </c>
      <c r="G374" s="55">
        <v>15</v>
      </c>
      <c r="H374" s="55">
        <v>3986</v>
      </c>
      <c r="I374" s="56">
        <f t="shared" si="26"/>
        <v>0.51658890616899944</v>
      </c>
      <c r="J374" s="55">
        <v>244</v>
      </c>
      <c r="K374" s="56">
        <f t="shared" si="27"/>
        <v>3.1622602384655259E-2</v>
      </c>
      <c r="L374" s="56">
        <f t="shared" si="28"/>
        <v>6.1214249874560964E-2</v>
      </c>
      <c r="M374" s="55">
        <v>9</v>
      </c>
      <c r="N374" s="56">
        <f t="shared" si="29"/>
        <v>1.1664074650077762E-3</v>
      </c>
      <c r="O374" s="53" t="s">
        <v>592</v>
      </c>
    </row>
    <row r="375" spans="1:15" x14ac:dyDescent="0.25">
      <c r="A375" s="58" t="s">
        <v>451</v>
      </c>
      <c r="B375" s="53" t="s">
        <v>444</v>
      </c>
      <c r="C375" s="53" t="s">
        <v>452</v>
      </c>
      <c r="D375" s="54">
        <v>45009</v>
      </c>
      <c r="E375" s="55">
        <v>242534</v>
      </c>
      <c r="F375" s="56">
        <f t="shared" si="25"/>
        <v>0.9979136945747813</v>
      </c>
      <c r="G375" s="55">
        <v>506</v>
      </c>
      <c r="H375" s="55">
        <v>109145</v>
      </c>
      <c r="I375" s="56">
        <f t="shared" si="26"/>
        <v>0.45001937872628167</v>
      </c>
      <c r="J375" s="55">
        <v>1804</v>
      </c>
      <c r="K375" s="56">
        <f t="shared" si="27"/>
        <v>7.4381323855624362E-3</v>
      </c>
      <c r="L375" s="56">
        <f t="shared" si="28"/>
        <v>1.6528471299647258E-2</v>
      </c>
      <c r="M375" s="55">
        <v>253</v>
      </c>
      <c r="N375" s="56">
        <f t="shared" si="29"/>
        <v>1.0431527126093661E-3</v>
      </c>
      <c r="O375" s="53" t="s">
        <v>452</v>
      </c>
    </row>
    <row r="376" spans="1:15" x14ac:dyDescent="0.25">
      <c r="A376" s="58" t="s">
        <v>453</v>
      </c>
      <c r="B376" s="53" t="s">
        <v>444</v>
      </c>
      <c r="C376" s="53" t="s">
        <v>452</v>
      </c>
      <c r="D376" s="54">
        <v>45009</v>
      </c>
      <c r="E376" s="55">
        <v>332843</v>
      </c>
      <c r="F376" s="56">
        <f t="shared" si="25"/>
        <v>0.99724494731750402</v>
      </c>
      <c r="G376" s="55">
        <v>917</v>
      </c>
      <c r="H376" s="55">
        <v>121892</v>
      </c>
      <c r="I376" s="56">
        <f t="shared" si="26"/>
        <v>0.3662147018263866</v>
      </c>
      <c r="J376" s="55">
        <v>2295</v>
      </c>
      <c r="K376" s="56">
        <f t="shared" si="27"/>
        <v>6.8951427549925944E-3</v>
      </c>
      <c r="L376" s="56">
        <f t="shared" si="28"/>
        <v>1.8828142946214682E-2</v>
      </c>
      <c r="M376" s="55">
        <v>358</v>
      </c>
      <c r="N376" s="56">
        <f t="shared" si="29"/>
        <v>1.0755821813888229E-3</v>
      </c>
      <c r="O376" s="53" t="s">
        <v>452</v>
      </c>
    </row>
    <row r="377" spans="1:15" hidden="1" x14ac:dyDescent="0.25">
      <c r="A377" s="58" t="s">
        <v>22</v>
      </c>
      <c r="B377" s="53" t="s">
        <v>439</v>
      </c>
      <c r="C377" s="53" t="s">
        <v>443</v>
      </c>
      <c r="D377" s="54">
        <v>45009</v>
      </c>
      <c r="E377" s="55">
        <v>106493</v>
      </c>
      <c r="F377" s="56">
        <f t="shared" si="25"/>
        <v>0.99699510765965837</v>
      </c>
      <c r="G377" s="55">
        <v>320</v>
      </c>
      <c r="H377" s="55">
        <v>32923</v>
      </c>
      <c r="I377" s="56">
        <f t="shared" si="26"/>
        <v>0.30915647037833471</v>
      </c>
      <c r="J377" s="55">
        <v>888</v>
      </c>
      <c r="K377" s="56">
        <f t="shared" si="27"/>
        <v>8.3385762444479917E-3</v>
      </c>
      <c r="L377" s="56">
        <f t="shared" si="28"/>
        <v>2.6972025635573917E-2</v>
      </c>
      <c r="M377" s="55">
        <v>47</v>
      </c>
      <c r="N377" s="56">
        <f t="shared" si="29"/>
        <v>4.4134356248767527E-4</v>
      </c>
      <c r="O377" s="53" t="s">
        <v>443</v>
      </c>
    </row>
    <row r="378" spans="1:15" hidden="1" x14ac:dyDescent="0.25">
      <c r="A378" s="58" t="s">
        <v>22</v>
      </c>
      <c r="B378" s="53" t="s">
        <v>444</v>
      </c>
      <c r="C378" s="53" t="s">
        <v>443</v>
      </c>
      <c r="D378" s="54">
        <v>45009</v>
      </c>
      <c r="E378" s="55">
        <v>203693</v>
      </c>
      <c r="F378" s="56">
        <f t="shared" si="25"/>
        <v>0.99774660886726596</v>
      </c>
      <c r="G378" s="55">
        <v>459</v>
      </c>
      <c r="H378" s="55">
        <v>61715</v>
      </c>
      <c r="I378" s="56">
        <f t="shared" si="26"/>
        <v>0.30298046570083409</v>
      </c>
      <c r="J378" s="55">
        <v>1427</v>
      </c>
      <c r="K378" s="56">
        <f t="shared" si="27"/>
        <v>7.0056408418551451E-3</v>
      </c>
      <c r="L378" s="56">
        <f t="shared" si="28"/>
        <v>2.312241756461152E-2</v>
      </c>
      <c r="M378" s="55">
        <v>457</v>
      </c>
      <c r="N378" s="56">
        <f t="shared" si="29"/>
        <v>2.2435724349879477E-3</v>
      </c>
      <c r="O378" s="53" t="s">
        <v>443</v>
      </c>
    </row>
    <row r="379" spans="1:15" hidden="1" x14ac:dyDescent="0.25">
      <c r="A379" s="58" t="s">
        <v>23</v>
      </c>
      <c r="B379" s="53" t="s">
        <v>439</v>
      </c>
      <c r="C379" s="53" t="s">
        <v>443</v>
      </c>
      <c r="D379" s="54">
        <v>45009</v>
      </c>
      <c r="E379" s="55">
        <v>1666806</v>
      </c>
      <c r="F379" s="56">
        <f t="shared" si="25"/>
        <v>0.99701704937467228</v>
      </c>
      <c r="G379" s="55">
        <v>4972</v>
      </c>
      <c r="H379" s="55">
        <v>607779</v>
      </c>
      <c r="I379" s="56">
        <f t="shared" si="26"/>
        <v>0.36463691635379281</v>
      </c>
      <c r="J379" s="55">
        <v>10543</v>
      </c>
      <c r="K379" s="56">
        <f t="shared" si="27"/>
        <v>6.3252712073270673E-3</v>
      </c>
      <c r="L379" s="56">
        <f t="shared" si="28"/>
        <v>1.7346765847454419E-2</v>
      </c>
      <c r="M379" s="55">
        <v>1458</v>
      </c>
      <c r="N379" s="56">
        <f t="shared" si="29"/>
        <v>8.7472687283343111E-4</v>
      </c>
      <c r="O379" s="53" t="s">
        <v>443</v>
      </c>
    </row>
    <row r="380" spans="1:15" hidden="1" x14ac:dyDescent="0.25">
      <c r="A380" s="58" t="s">
        <v>23</v>
      </c>
      <c r="B380" s="53" t="s">
        <v>444</v>
      </c>
      <c r="C380" s="53" t="s">
        <v>443</v>
      </c>
      <c r="D380" s="54">
        <v>45009</v>
      </c>
      <c r="E380" s="55">
        <v>2221901</v>
      </c>
      <c r="F380" s="56">
        <f t="shared" si="25"/>
        <v>0.99750033867395527</v>
      </c>
      <c r="G380" s="55">
        <v>5554</v>
      </c>
      <c r="H380" s="55">
        <v>761823</v>
      </c>
      <c r="I380" s="56">
        <f t="shared" si="26"/>
        <v>0.34286991184575732</v>
      </c>
      <c r="J380" s="55">
        <v>12121</v>
      </c>
      <c r="K380" s="56">
        <f t="shared" si="27"/>
        <v>5.455238554733087E-3</v>
      </c>
      <c r="L380" s="56">
        <f t="shared" si="28"/>
        <v>1.5910519897666519E-2</v>
      </c>
      <c r="M380" s="55">
        <v>3613</v>
      </c>
      <c r="N380" s="56">
        <f t="shared" si="29"/>
        <v>1.6260850505940634E-3</v>
      </c>
      <c r="O380" s="53" t="s">
        <v>443</v>
      </c>
    </row>
    <row r="381" spans="1:15" hidden="1" x14ac:dyDescent="0.25">
      <c r="A381" s="52" t="s">
        <v>593</v>
      </c>
      <c r="B381" s="53" t="s">
        <v>439</v>
      </c>
      <c r="C381" s="53" t="s">
        <v>592</v>
      </c>
      <c r="D381" s="54">
        <v>45012</v>
      </c>
      <c r="E381" s="55">
        <v>20759</v>
      </c>
      <c r="F381" s="56">
        <f t="shared" si="25"/>
        <v>0.99841032805048413</v>
      </c>
      <c r="G381" s="55">
        <v>33</v>
      </c>
      <c r="H381" s="55">
        <v>11538</v>
      </c>
      <c r="I381" s="56">
        <f t="shared" si="26"/>
        <v>0.55580711980345876</v>
      </c>
      <c r="J381" s="55">
        <v>392</v>
      </c>
      <c r="K381" s="56">
        <f t="shared" si="27"/>
        <v>1.8883375885158246E-2</v>
      </c>
      <c r="L381" s="56">
        <f t="shared" si="28"/>
        <v>3.3974692321026172E-2</v>
      </c>
      <c r="M381" s="55">
        <v>8</v>
      </c>
      <c r="N381" s="56">
        <f t="shared" si="29"/>
        <v>3.8537501806445399E-4</v>
      </c>
      <c r="O381" s="53" t="s">
        <v>592</v>
      </c>
    </row>
    <row r="382" spans="1:15" hidden="1" x14ac:dyDescent="0.25">
      <c r="A382" s="52" t="s">
        <v>593</v>
      </c>
      <c r="B382" s="53" t="s">
        <v>444</v>
      </c>
      <c r="C382" s="53" t="s">
        <v>592</v>
      </c>
      <c r="D382" s="54">
        <v>45012</v>
      </c>
      <c r="E382" s="55">
        <v>4891</v>
      </c>
      <c r="F382" s="56">
        <f t="shared" si="25"/>
        <v>0.99693314250664489</v>
      </c>
      <c r="G382" s="55">
        <v>15</v>
      </c>
      <c r="H382" s="55">
        <v>2550</v>
      </c>
      <c r="I382" s="56">
        <f t="shared" si="26"/>
        <v>0.52136577387037419</v>
      </c>
      <c r="J382" s="55">
        <v>105</v>
      </c>
      <c r="K382" s="56">
        <f t="shared" si="27"/>
        <v>2.1468002453485995E-2</v>
      </c>
      <c r="L382" s="56">
        <f t="shared" si="28"/>
        <v>4.1176470588235294E-2</v>
      </c>
      <c r="M382" s="55">
        <v>7</v>
      </c>
      <c r="N382" s="56">
        <f t="shared" si="29"/>
        <v>1.4312001635657329E-3</v>
      </c>
      <c r="O382" s="53" t="s">
        <v>592</v>
      </c>
    </row>
    <row r="383" spans="1:15" hidden="1" x14ac:dyDescent="0.25">
      <c r="A383" s="52" t="s">
        <v>594</v>
      </c>
      <c r="B383" s="53" t="s">
        <v>439</v>
      </c>
      <c r="C383" s="53" t="s">
        <v>443</v>
      </c>
      <c r="D383" s="54">
        <v>45012</v>
      </c>
      <c r="E383" s="55">
        <v>90553</v>
      </c>
      <c r="F383" s="56">
        <f t="shared" si="25"/>
        <v>0.997780305456473</v>
      </c>
      <c r="G383" s="55">
        <v>201</v>
      </c>
      <c r="H383" s="55">
        <v>32038</v>
      </c>
      <c r="I383" s="56">
        <f t="shared" si="26"/>
        <v>0.35380384967919343</v>
      </c>
      <c r="J383" s="55">
        <v>517</v>
      </c>
      <c r="K383" s="56">
        <f t="shared" si="27"/>
        <v>5.7093635771316249E-3</v>
      </c>
      <c r="L383" s="56">
        <f t="shared" si="28"/>
        <v>1.6137087208939385E-2</v>
      </c>
      <c r="M383" s="55">
        <v>100</v>
      </c>
      <c r="N383" s="56">
        <f t="shared" si="29"/>
        <v>1.1043256435457687E-3</v>
      </c>
      <c r="O383" s="53" t="s">
        <v>443</v>
      </c>
    </row>
    <row r="384" spans="1:15" hidden="1" x14ac:dyDescent="0.25">
      <c r="A384" s="52" t="s">
        <v>595</v>
      </c>
      <c r="B384" s="53" t="s">
        <v>439</v>
      </c>
      <c r="C384" s="53" t="s">
        <v>443</v>
      </c>
      <c r="D384" s="54">
        <v>45013</v>
      </c>
      <c r="E384" s="55">
        <v>90667</v>
      </c>
      <c r="F384" s="56">
        <f t="shared" si="25"/>
        <v>0.9973529509082687</v>
      </c>
      <c r="G384" s="55">
        <v>240</v>
      </c>
      <c r="H384" s="55">
        <v>32002</v>
      </c>
      <c r="I384" s="56">
        <f t="shared" si="26"/>
        <v>0.35296193763993516</v>
      </c>
      <c r="J384" s="55">
        <v>434</v>
      </c>
      <c r="K384" s="56">
        <f t="shared" si="27"/>
        <v>4.786747107547399E-3</v>
      </c>
      <c r="L384" s="56">
        <f t="shared" si="28"/>
        <v>1.3561652396725205E-2</v>
      </c>
      <c r="M384" s="55">
        <v>71</v>
      </c>
      <c r="N384" s="56">
        <f t="shared" si="29"/>
        <v>7.8308535630383712E-4</v>
      </c>
      <c r="O384" s="53" t="s">
        <v>443</v>
      </c>
    </row>
    <row r="385" spans="1:15" hidden="1" x14ac:dyDescent="0.25">
      <c r="A385" s="58" t="s">
        <v>18</v>
      </c>
      <c r="B385" s="53" t="s">
        <v>439</v>
      </c>
      <c r="C385" s="53" t="s">
        <v>443</v>
      </c>
      <c r="D385" s="54">
        <v>45013</v>
      </c>
      <c r="E385" s="55">
        <v>25783</v>
      </c>
      <c r="F385" s="56">
        <f t="shared" si="25"/>
        <v>0.99658689834387004</v>
      </c>
      <c r="G385" s="55">
        <v>88</v>
      </c>
      <c r="H385" s="55">
        <v>9075</v>
      </c>
      <c r="I385" s="56">
        <f t="shared" si="26"/>
        <v>0.35197610828840709</v>
      </c>
      <c r="J385" s="55">
        <v>341</v>
      </c>
      <c r="K385" s="56">
        <f t="shared" si="27"/>
        <v>1.3225768917503782E-2</v>
      </c>
      <c r="L385" s="56">
        <f t="shared" si="28"/>
        <v>3.7575757575757575E-2</v>
      </c>
      <c r="M385" s="55">
        <v>14</v>
      </c>
      <c r="N385" s="56">
        <f t="shared" si="29"/>
        <v>5.429934452934104E-4</v>
      </c>
      <c r="O385" s="53" t="s">
        <v>443</v>
      </c>
    </row>
    <row r="386" spans="1:15" hidden="1" x14ac:dyDescent="0.25">
      <c r="A386" s="58" t="s">
        <v>18</v>
      </c>
      <c r="B386" s="53" t="s">
        <v>444</v>
      </c>
      <c r="C386" s="53" t="s">
        <v>443</v>
      </c>
      <c r="D386" s="54">
        <v>45013</v>
      </c>
      <c r="E386" s="55">
        <v>26525</v>
      </c>
      <c r="F386" s="56">
        <f t="shared" ref="F386:F449" si="30">(E386-G386)/E386</f>
        <v>0.99841658812441092</v>
      </c>
      <c r="G386" s="55">
        <v>42</v>
      </c>
      <c r="H386" s="55">
        <v>9541</v>
      </c>
      <c r="I386" s="56">
        <f t="shared" ref="I386:I449" si="31">H386/E386</f>
        <v>0.35969839773798301</v>
      </c>
      <c r="J386" s="55">
        <v>255</v>
      </c>
      <c r="K386" s="56">
        <f t="shared" ref="K386:K449" si="32">J386/E386</f>
        <v>9.6135721017907641E-3</v>
      </c>
      <c r="L386" s="56">
        <f t="shared" ref="L386:L449" si="33">J386/H386</f>
        <v>2.6726758201446391E-2</v>
      </c>
      <c r="M386" s="55">
        <v>34</v>
      </c>
      <c r="N386" s="56">
        <f t="shared" ref="N386:N449" si="34">M386/E386</f>
        <v>1.2818096135721018E-3</v>
      </c>
      <c r="O386" s="53" t="s">
        <v>443</v>
      </c>
    </row>
    <row r="387" spans="1:15" hidden="1" x14ac:dyDescent="0.25">
      <c r="A387" s="58" t="s">
        <v>19</v>
      </c>
      <c r="B387" s="53" t="s">
        <v>439</v>
      </c>
      <c r="C387" s="53" t="s">
        <v>443</v>
      </c>
      <c r="D387" s="54">
        <v>45013</v>
      </c>
      <c r="E387" s="55">
        <v>225120</v>
      </c>
      <c r="F387" s="56">
        <f t="shared" si="30"/>
        <v>0.99740138592750538</v>
      </c>
      <c r="G387" s="55">
        <v>585</v>
      </c>
      <c r="H387" s="55">
        <v>82855</v>
      </c>
      <c r="I387" s="56">
        <f t="shared" si="31"/>
        <v>0.36804815209665959</v>
      </c>
      <c r="J387" s="55">
        <v>1732</v>
      </c>
      <c r="K387" s="56">
        <f t="shared" si="32"/>
        <v>7.6936744847192606E-3</v>
      </c>
      <c r="L387" s="56">
        <f t="shared" si="33"/>
        <v>2.0903988896264557E-2</v>
      </c>
      <c r="M387" s="55">
        <v>117</v>
      </c>
      <c r="N387" s="56">
        <f t="shared" si="34"/>
        <v>5.1972281449893392E-4</v>
      </c>
      <c r="O387" s="53" t="s">
        <v>443</v>
      </c>
    </row>
    <row r="388" spans="1:15" hidden="1" x14ac:dyDescent="0.25">
      <c r="A388" s="58" t="s">
        <v>19</v>
      </c>
      <c r="B388" s="53" t="s">
        <v>444</v>
      </c>
      <c r="C388" s="53" t="s">
        <v>443</v>
      </c>
      <c r="D388" s="54">
        <v>45013</v>
      </c>
      <c r="E388" s="55">
        <v>440828</v>
      </c>
      <c r="F388" s="56">
        <f t="shared" si="30"/>
        <v>0.9980173673178655</v>
      </c>
      <c r="G388" s="55">
        <v>874</v>
      </c>
      <c r="H388" s="55">
        <v>165876</v>
      </c>
      <c r="I388" s="56">
        <f t="shared" si="31"/>
        <v>0.37628281325142687</v>
      </c>
      <c r="J388" s="55">
        <v>2331</v>
      </c>
      <c r="K388" s="56">
        <f t="shared" si="32"/>
        <v>5.287776638507536E-3</v>
      </c>
      <c r="L388" s="56">
        <f t="shared" si="33"/>
        <v>1.4052665846777111E-2</v>
      </c>
      <c r="M388" s="55">
        <v>441</v>
      </c>
      <c r="N388" s="56">
        <f t="shared" si="34"/>
        <v>1.0003901748527771E-3</v>
      </c>
      <c r="O388" s="53" t="s">
        <v>443</v>
      </c>
    </row>
    <row r="389" spans="1:15" hidden="1" x14ac:dyDescent="0.25">
      <c r="A389" s="52" t="s">
        <v>445</v>
      </c>
      <c r="B389" s="53"/>
      <c r="C389" s="53" t="s">
        <v>446</v>
      </c>
      <c r="D389" s="54">
        <v>45014</v>
      </c>
      <c r="E389" s="55">
        <v>287</v>
      </c>
      <c r="F389" s="56">
        <f t="shared" si="30"/>
        <v>1</v>
      </c>
      <c r="G389" s="55">
        <v>0</v>
      </c>
      <c r="H389" s="55">
        <v>95</v>
      </c>
      <c r="I389" s="56">
        <f t="shared" si="31"/>
        <v>0.33101045296167247</v>
      </c>
      <c r="J389" s="55">
        <v>6</v>
      </c>
      <c r="K389" s="56">
        <f t="shared" si="32"/>
        <v>2.0905923344947737E-2</v>
      </c>
      <c r="L389" s="56">
        <f t="shared" si="33"/>
        <v>6.3157894736842107E-2</v>
      </c>
      <c r="M389" s="55">
        <v>0</v>
      </c>
      <c r="N389" s="56">
        <f t="shared" si="34"/>
        <v>0</v>
      </c>
      <c r="O389" s="53" t="s">
        <v>446</v>
      </c>
    </row>
    <row r="390" spans="1:15" hidden="1" x14ac:dyDescent="0.25">
      <c r="A390" s="52" t="s">
        <v>596</v>
      </c>
      <c r="B390" s="53" t="s">
        <v>439</v>
      </c>
      <c r="C390" s="53" t="s">
        <v>440</v>
      </c>
      <c r="D390" s="54">
        <v>45014</v>
      </c>
      <c r="E390" s="55">
        <v>12558</v>
      </c>
      <c r="F390" s="56">
        <f t="shared" si="30"/>
        <v>0.99665551839464883</v>
      </c>
      <c r="G390" s="55">
        <v>42</v>
      </c>
      <c r="H390" s="55">
        <v>4008</v>
      </c>
      <c r="I390" s="56">
        <f t="shared" si="31"/>
        <v>0.31915910176779744</v>
      </c>
      <c r="J390" s="55">
        <v>72</v>
      </c>
      <c r="K390" s="56">
        <f t="shared" si="32"/>
        <v>5.733397037744864E-3</v>
      </c>
      <c r="L390" s="56">
        <f t="shared" si="33"/>
        <v>1.7964071856287425E-2</v>
      </c>
      <c r="M390" s="55">
        <v>52</v>
      </c>
      <c r="N390" s="56">
        <f t="shared" si="34"/>
        <v>4.140786749482402E-3</v>
      </c>
      <c r="O390" s="53" t="s">
        <v>440</v>
      </c>
    </row>
    <row r="391" spans="1:15" hidden="1" x14ac:dyDescent="0.25">
      <c r="A391" s="52" t="s">
        <v>597</v>
      </c>
      <c r="B391" s="53" t="s">
        <v>439</v>
      </c>
      <c r="C391" s="53" t="s">
        <v>440</v>
      </c>
      <c r="D391" s="54">
        <v>45014</v>
      </c>
      <c r="E391" s="55">
        <v>15880</v>
      </c>
      <c r="F391" s="56">
        <f t="shared" si="30"/>
        <v>0.99798488664987406</v>
      </c>
      <c r="G391" s="55">
        <v>32</v>
      </c>
      <c r="H391" s="55">
        <v>5263</v>
      </c>
      <c r="I391" s="56">
        <f t="shared" si="31"/>
        <v>0.33142317380352643</v>
      </c>
      <c r="J391" s="55">
        <v>109</v>
      </c>
      <c r="K391" s="56">
        <f t="shared" si="32"/>
        <v>6.8639798488664989E-3</v>
      </c>
      <c r="L391" s="56">
        <f t="shared" si="33"/>
        <v>2.0710621318639558E-2</v>
      </c>
      <c r="M391" s="55">
        <v>58</v>
      </c>
      <c r="N391" s="56">
        <f t="shared" si="34"/>
        <v>3.6523929471032747E-3</v>
      </c>
      <c r="O391" s="53" t="s">
        <v>440</v>
      </c>
    </row>
    <row r="392" spans="1:15" hidden="1" x14ac:dyDescent="0.25">
      <c r="A392" s="52" t="s">
        <v>598</v>
      </c>
      <c r="B392" s="53" t="s">
        <v>439</v>
      </c>
      <c r="C392" s="53" t="s">
        <v>440</v>
      </c>
      <c r="D392" s="54">
        <v>45014</v>
      </c>
      <c r="E392" s="55">
        <v>28849</v>
      </c>
      <c r="F392" s="56">
        <f t="shared" si="30"/>
        <v>0.99584041041283922</v>
      </c>
      <c r="G392" s="55">
        <v>120</v>
      </c>
      <c r="H392" s="55">
        <v>8828</v>
      </c>
      <c r="I392" s="56">
        <f t="shared" si="31"/>
        <v>0.30600714062879131</v>
      </c>
      <c r="J392" s="55">
        <v>176</v>
      </c>
      <c r="K392" s="56">
        <f t="shared" si="32"/>
        <v>6.1007313945024089E-3</v>
      </c>
      <c r="L392" s="56">
        <f t="shared" si="33"/>
        <v>1.9936565473493428E-2</v>
      </c>
      <c r="M392" s="55">
        <v>141</v>
      </c>
      <c r="N392" s="56">
        <f t="shared" si="34"/>
        <v>4.8875177649138615E-3</v>
      </c>
      <c r="O392" s="53" t="s">
        <v>440</v>
      </c>
    </row>
    <row r="393" spans="1:15" hidden="1" x14ac:dyDescent="0.25">
      <c r="A393" s="52" t="s">
        <v>599</v>
      </c>
      <c r="B393" s="53" t="s">
        <v>439</v>
      </c>
      <c r="C393" s="53" t="s">
        <v>440</v>
      </c>
      <c r="D393" s="54">
        <v>45014</v>
      </c>
      <c r="E393" s="55">
        <v>246346</v>
      </c>
      <c r="F393" s="56">
        <f t="shared" si="30"/>
        <v>0.99771053721188896</v>
      </c>
      <c r="G393" s="55">
        <v>564</v>
      </c>
      <c r="H393" s="55">
        <v>90136</v>
      </c>
      <c r="I393" s="56">
        <f t="shared" si="31"/>
        <v>0.36589187565456716</v>
      </c>
      <c r="J393" s="55">
        <v>1605</v>
      </c>
      <c r="K393" s="56">
        <f t="shared" si="32"/>
        <v>6.5152265512734122E-3</v>
      </c>
      <c r="L393" s="56">
        <f t="shared" si="33"/>
        <v>1.780642584538919E-2</v>
      </c>
      <c r="M393" s="55">
        <v>1263</v>
      </c>
      <c r="N393" s="56">
        <f t="shared" si="34"/>
        <v>5.1269352861422549E-3</v>
      </c>
      <c r="O393" s="53" t="s">
        <v>440</v>
      </c>
    </row>
    <row r="394" spans="1:15" hidden="1" x14ac:dyDescent="0.25">
      <c r="A394" s="52" t="s">
        <v>600</v>
      </c>
      <c r="B394" s="53"/>
      <c r="C394" s="53" t="s">
        <v>474</v>
      </c>
      <c r="D394" s="54">
        <v>45015</v>
      </c>
      <c r="E394" s="55">
        <v>3513</v>
      </c>
      <c r="F394" s="56">
        <f t="shared" si="30"/>
        <v>0.98007401081696555</v>
      </c>
      <c r="G394" s="55">
        <v>70</v>
      </c>
      <c r="H394" s="55">
        <v>447</v>
      </c>
      <c r="I394" s="56">
        <f t="shared" si="31"/>
        <v>0.12724167378309137</v>
      </c>
      <c r="J394" s="55">
        <v>107</v>
      </c>
      <c r="K394" s="56">
        <f t="shared" si="32"/>
        <v>3.0458297751209791E-2</v>
      </c>
      <c r="L394" s="56">
        <f t="shared" si="33"/>
        <v>0.23937360178970918</v>
      </c>
      <c r="M394" s="55">
        <v>64</v>
      </c>
      <c r="N394" s="56">
        <f t="shared" si="34"/>
        <v>1.8218047253060064E-2</v>
      </c>
      <c r="O394" s="53" t="s">
        <v>474</v>
      </c>
    </row>
    <row r="395" spans="1:15" hidden="1" x14ac:dyDescent="0.25">
      <c r="A395" s="52" t="s">
        <v>601</v>
      </c>
      <c r="B395" s="53"/>
      <c r="C395" s="53" t="s">
        <v>474</v>
      </c>
      <c r="D395" s="54">
        <v>45015</v>
      </c>
      <c r="E395" s="55">
        <v>14099</v>
      </c>
      <c r="F395" s="56">
        <f t="shared" si="30"/>
        <v>0.96808284275480527</v>
      </c>
      <c r="G395" s="55">
        <v>450</v>
      </c>
      <c r="H395" s="55">
        <v>3304</v>
      </c>
      <c r="I395" s="56">
        <f t="shared" si="31"/>
        <v>0.2343428611958295</v>
      </c>
      <c r="J395" s="55">
        <v>661</v>
      </c>
      <c r="K395" s="56">
        <f t="shared" si="32"/>
        <v>4.6882757642385982E-2</v>
      </c>
      <c r="L395" s="56">
        <f t="shared" si="33"/>
        <v>0.20006053268765134</v>
      </c>
      <c r="M395" s="55">
        <v>154</v>
      </c>
      <c r="N395" s="56">
        <f t="shared" si="34"/>
        <v>1.092276047946663E-2</v>
      </c>
      <c r="O395" s="53" t="s">
        <v>474</v>
      </c>
    </row>
    <row r="396" spans="1:15" hidden="1" x14ac:dyDescent="0.25">
      <c r="A396" s="52" t="s">
        <v>602</v>
      </c>
      <c r="B396" s="53" t="s">
        <v>439</v>
      </c>
      <c r="C396" s="53" t="s">
        <v>443</v>
      </c>
      <c r="D396" s="54">
        <v>45015</v>
      </c>
      <c r="E396" s="55">
        <v>1023840</v>
      </c>
      <c r="F396" s="56">
        <f t="shared" si="30"/>
        <v>0.99733356774496018</v>
      </c>
      <c r="G396" s="55">
        <v>2730</v>
      </c>
      <c r="H396" s="55">
        <v>443119</v>
      </c>
      <c r="I396" s="56">
        <f t="shared" si="31"/>
        <v>0.43280102359743711</v>
      </c>
      <c r="J396" s="55">
        <v>4865</v>
      </c>
      <c r="K396" s="56">
        <f t="shared" si="32"/>
        <v>4.7517190185966561E-3</v>
      </c>
      <c r="L396" s="56">
        <f t="shared" si="33"/>
        <v>1.0978992099187802E-2</v>
      </c>
      <c r="M396" s="55">
        <v>960</v>
      </c>
      <c r="N396" s="56">
        <f t="shared" si="34"/>
        <v>9.3764650726676048E-4</v>
      </c>
      <c r="O396" s="53" t="s">
        <v>443</v>
      </c>
    </row>
    <row r="397" spans="1:15" hidden="1" x14ac:dyDescent="0.25">
      <c r="A397" s="58" t="s">
        <v>449</v>
      </c>
      <c r="B397" s="53"/>
      <c r="C397" s="53" t="s">
        <v>446</v>
      </c>
      <c r="D397" s="54">
        <v>45015</v>
      </c>
      <c r="E397" s="55">
        <v>1631</v>
      </c>
      <c r="F397" s="56">
        <f t="shared" si="30"/>
        <v>0.99816063764561613</v>
      </c>
      <c r="G397" s="55">
        <v>3</v>
      </c>
      <c r="H397" s="55">
        <v>615</v>
      </c>
      <c r="I397" s="56">
        <f t="shared" si="31"/>
        <v>0.37706928264868178</v>
      </c>
      <c r="J397" s="55">
        <v>23</v>
      </c>
      <c r="K397" s="56">
        <f t="shared" si="32"/>
        <v>1.4101778050275904E-2</v>
      </c>
      <c r="L397" s="56">
        <f t="shared" si="33"/>
        <v>3.7398373983739838E-2</v>
      </c>
      <c r="M397" s="55">
        <v>0</v>
      </c>
      <c r="N397" s="56">
        <f t="shared" si="34"/>
        <v>0</v>
      </c>
      <c r="O397" s="53" t="s">
        <v>446</v>
      </c>
    </row>
    <row r="398" spans="1:15" hidden="1" x14ac:dyDescent="0.25">
      <c r="A398" s="58" t="s">
        <v>22</v>
      </c>
      <c r="B398" s="53" t="s">
        <v>439</v>
      </c>
      <c r="C398" s="53" t="s">
        <v>443</v>
      </c>
      <c r="D398" s="54">
        <v>45016</v>
      </c>
      <c r="E398" s="55">
        <v>104288</v>
      </c>
      <c r="F398" s="56">
        <f t="shared" si="30"/>
        <v>0.99554119361767412</v>
      </c>
      <c r="G398" s="55">
        <v>465</v>
      </c>
      <c r="H398" s="55">
        <v>32278</v>
      </c>
      <c r="I398" s="56">
        <f t="shared" si="31"/>
        <v>0.30950828474992331</v>
      </c>
      <c r="J398" s="55">
        <v>708</v>
      </c>
      <c r="K398" s="56">
        <f t="shared" si="32"/>
        <v>6.7888922982509972E-3</v>
      </c>
      <c r="L398" s="56">
        <f t="shared" si="33"/>
        <v>2.1934444513290786E-2</v>
      </c>
      <c r="M398" s="55">
        <v>56</v>
      </c>
      <c r="N398" s="56">
        <f t="shared" si="34"/>
        <v>5.3697453206505061E-4</v>
      </c>
      <c r="O398" s="53" t="s">
        <v>443</v>
      </c>
    </row>
    <row r="399" spans="1:15" hidden="1" x14ac:dyDescent="0.25">
      <c r="A399" s="58" t="s">
        <v>22</v>
      </c>
      <c r="B399" s="53" t="s">
        <v>444</v>
      </c>
      <c r="C399" s="53" t="s">
        <v>443</v>
      </c>
      <c r="D399" s="54">
        <v>45016</v>
      </c>
      <c r="E399" s="55">
        <v>203955</v>
      </c>
      <c r="F399" s="56">
        <f t="shared" si="30"/>
        <v>0.99638645779706303</v>
      </c>
      <c r="G399" s="55">
        <v>737</v>
      </c>
      <c r="H399" s="55">
        <v>63325</v>
      </c>
      <c r="I399" s="56">
        <f t="shared" si="31"/>
        <v>0.31048515603932242</v>
      </c>
      <c r="J399" s="55">
        <v>1172</v>
      </c>
      <c r="K399" s="56">
        <f t="shared" si="32"/>
        <v>5.7463656198671279E-3</v>
      </c>
      <c r="L399" s="56">
        <f t="shared" si="33"/>
        <v>1.850769838136597E-2</v>
      </c>
      <c r="M399" s="55">
        <v>397</v>
      </c>
      <c r="N399" s="56">
        <f t="shared" si="34"/>
        <v>1.9465078080949229E-3</v>
      </c>
      <c r="O399" s="53" t="s">
        <v>443</v>
      </c>
    </row>
    <row r="400" spans="1:15" hidden="1" x14ac:dyDescent="0.25">
      <c r="A400" s="58" t="s">
        <v>23</v>
      </c>
      <c r="B400" s="53" t="s">
        <v>439</v>
      </c>
      <c r="C400" s="53" t="s">
        <v>443</v>
      </c>
      <c r="D400" s="54">
        <v>45016</v>
      </c>
      <c r="E400" s="55">
        <v>1832170</v>
      </c>
      <c r="F400" s="56">
        <f t="shared" si="30"/>
        <v>0.99662040094532711</v>
      </c>
      <c r="G400" s="55">
        <v>6192</v>
      </c>
      <c r="H400" s="55">
        <v>648690</v>
      </c>
      <c r="I400" s="56">
        <f t="shared" si="31"/>
        <v>0.35405557344569555</v>
      </c>
      <c r="J400" s="55">
        <v>9783</v>
      </c>
      <c r="K400" s="56">
        <f t="shared" si="32"/>
        <v>5.3395700180660088E-3</v>
      </c>
      <c r="L400" s="56">
        <f t="shared" si="33"/>
        <v>1.5081163575822041E-2</v>
      </c>
      <c r="M400" s="55">
        <v>1579</v>
      </c>
      <c r="N400" s="56">
        <f t="shared" si="34"/>
        <v>8.6181959097681989E-4</v>
      </c>
      <c r="O400" s="53" t="s">
        <v>443</v>
      </c>
    </row>
    <row r="401" spans="1:15" hidden="1" x14ac:dyDescent="0.25">
      <c r="A401" s="58" t="s">
        <v>23</v>
      </c>
      <c r="B401" s="53" t="s">
        <v>444</v>
      </c>
      <c r="C401" s="53" t="s">
        <v>443</v>
      </c>
      <c r="D401" s="54">
        <v>45016</v>
      </c>
      <c r="E401" s="55">
        <v>2233662</v>
      </c>
      <c r="F401" s="56">
        <f t="shared" si="30"/>
        <v>0.996934182521796</v>
      </c>
      <c r="G401" s="55">
        <v>6848</v>
      </c>
      <c r="H401" s="55">
        <v>765579</v>
      </c>
      <c r="I401" s="56">
        <f t="shared" si="31"/>
        <v>0.34274612721172676</v>
      </c>
      <c r="J401" s="55">
        <v>11408</v>
      </c>
      <c r="K401" s="56">
        <f t="shared" si="32"/>
        <v>5.1073080886902319E-3</v>
      </c>
      <c r="L401" s="56">
        <f t="shared" si="33"/>
        <v>1.4901140182789758E-2</v>
      </c>
      <c r="M401" s="55">
        <v>3808</v>
      </c>
      <c r="N401" s="56">
        <f t="shared" si="34"/>
        <v>1.7048237378797688E-3</v>
      </c>
      <c r="O401" s="53" t="s">
        <v>443</v>
      </c>
    </row>
    <row r="402" spans="1:15" x14ac:dyDescent="0.25">
      <c r="A402" s="58" t="s">
        <v>451</v>
      </c>
      <c r="B402" s="53" t="s">
        <v>444</v>
      </c>
      <c r="C402" s="53" t="s">
        <v>452</v>
      </c>
      <c r="D402" s="54">
        <v>45016</v>
      </c>
      <c r="E402" s="55">
        <v>241444</v>
      </c>
      <c r="F402" s="56">
        <f t="shared" si="30"/>
        <v>0.99723745464786862</v>
      </c>
      <c r="G402" s="55">
        <v>667</v>
      </c>
      <c r="H402" s="55">
        <v>108228</v>
      </c>
      <c r="I402" s="56">
        <f t="shared" si="31"/>
        <v>0.44825301105018139</v>
      </c>
      <c r="J402" s="55">
        <v>1997</v>
      </c>
      <c r="K402" s="56">
        <f t="shared" si="32"/>
        <v>8.2710690677755497E-3</v>
      </c>
      <c r="L402" s="56">
        <f t="shared" si="33"/>
        <v>1.8451786968252209E-2</v>
      </c>
      <c r="M402" s="55">
        <v>263</v>
      </c>
      <c r="N402" s="56">
        <f t="shared" si="34"/>
        <v>1.0892795016649824E-3</v>
      </c>
      <c r="O402" s="53" t="s">
        <v>452</v>
      </c>
    </row>
    <row r="403" spans="1:15" x14ac:dyDescent="0.25">
      <c r="A403" s="58" t="s">
        <v>453</v>
      </c>
      <c r="B403" s="53" t="s">
        <v>444</v>
      </c>
      <c r="C403" s="53" t="s">
        <v>452</v>
      </c>
      <c r="D403" s="54">
        <v>45016</v>
      </c>
      <c r="E403" s="55">
        <v>332771</v>
      </c>
      <c r="F403" s="56">
        <f t="shared" si="30"/>
        <v>0.99625267826823849</v>
      </c>
      <c r="G403" s="55">
        <v>1247</v>
      </c>
      <c r="H403" s="55">
        <v>120812</v>
      </c>
      <c r="I403" s="56">
        <f t="shared" si="31"/>
        <v>0.36304846275667052</v>
      </c>
      <c r="J403" s="55">
        <v>2503</v>
      </c>
      <c r="K403" s="56">
        <f t="shared" si="32"/>
        <v>7.5216890894939763E-3</v>
      </c>
      <c r="L403" s="56">
        <f t="shared" si="33"/>
        <v>2.0718140582061385E-2</v>
      </c>
      <c r="M403" s="55">
        <v>335</v>
      </c>
      <c r="N403" s="56">
        <f t="shared" si="34"/>
        <v>1.0066983000321542E-3</v>
      </c>
      <c r="O403" s="53" t="s">
        <v>452</v>
      </c>
    </row>
    <row r="404" spans="1:15" x14ac:dyDescent="0.25">
      <c r="A404" s="58" t="s">
        <v>454</v>
      </c>
      <c r="B404" s="53" t="s">
        <v>444</v>
      </c>
      <c r="C404" s="53" t="s">
        <v>452</v>
      </c>
      <c r="D404" s="54">
        <v>45017</v>
      </c>
      <c r="E404" s="55">
        <v>14810</v>
      </c>
      <c r="F404" s="56">
        <f t="shared" si="30"/>
        <v>0.99540850776502365</v>
      </c>
      <c r="G404" s="55">
        <v>68</v>
      </c>
      <c r="H404" s="55">
        <v>5047</v>
      </c>
      <c r="I404" s="56">
        <f t="shared" si="31"/>
        <v>0.34078325455773129</v>
      </c>
      <c r="J404" s="55">
        <v>211</v>
      </c>
      <c r="K404" s="56">
        <f t="shared" si="32"/>
        <v>1.4247130317353141E-2</v>
      </c>
      <c r="L404" s="56">
        <f t="shared" si="33"/>
        <v>4.1807014067763028E-2</v>
      </c>
      <c r="M404" s="55">
        <v>18</v>
      </c>
      <c r="N404" s="56">
        <f t="shared" si="34"/>
        <v>1.2153950033760973E-3</v>
      </c>
      <c r="O404" s="53" t="s">
        <v>452</v>
      </c>
    </row>
    <row r="405" spans="1:15" hidden="1" x14ac:dyDescent="0.25">
      <c r="A405" s="52" t="s">
        <v>603</v>
      </c>
      <c r="B405" s="53" t="s">
        <v>439</v>
      </c>
      <c r="C405" s="53" t="s">
        <v>440</v>
      </c>
      <c r="D405" s="54">
        <v>45017</v>
      </c>
      <c r="E405" s="55">
        <v>238250</v>
      </c>
      <c r="F405" s="56">
        <f t="shared" si="30"/>
        <v>0.99703672612801675</v>
      </c>
      <c r="G405" s="55">
        <v>706</v>
      </c>
      <c r="H405" s="55">
        <v>91446</v>
      </c>
      <c r="I405" s="56">
        <f t="shared" si="31"/>
        <v>0.38382371458551939</v>
      </c>
      <c r="J405" s="55">
        <v>3274</v>
      </c>
      <c r="K405" s="56">
        <f t="shared" si="32"/>
        <v>1.374186778593914E-2</v>
      </c>
      <c r="L405" s="56">
        <f t="shared" si="33"/>
        <v>3.5802550138879778E-2</v>
      </c>
      <c r="M405" s="55">
        <v>1488</v>
      </c>
      <c r="N405" s="56">
        <f t="shared" si="34"/>
        <v>6.2455403987408181E-3</v>
      </c>
      <c r="O405" s="53" t="s">
        <v>440</v>
      </c>
    </row>
    <row r="406" spans="1:15" hidden="1" x14ac:dyDescent="0.25">
      <c r="A406" s="52" t="s">
        <v>12</v>
      </c>
      <c r="B406" s="53" t="s">
        <v>439</v>
      </c>
      <c r="C406" s="53" t="s">
        <v>443</v>
      </c>
      <c r="D406" s="54">
        <v>45017</v>
      </c>
      <c r="E406" s="55">
        <v>1814</v>
      </c>
      <c r="F406" s="56">
        <f t="shared" si="30"/>
        <v>0.99448732083792724</v>
      </c>
      <c r="G406" s="55">
        <v>10</v>
      </c>
      <c r="H406" s="55">
        <v>885</v>
      </c>
      <c r="I406" s="56">
        <f t="shared" si="31"/>
        <v>0.48787210584343993</v>
      </c>
      <c r="J406" s="55">
        <v>122</v>
      </c>
      <c r="K406" s="56">
        <f t="shared" si="32"/>
        <v>6.7254685777287757E-2</v>
      </c>
      <c r="L406" s="56">
        <f t="shared" si="33"/>
        <v>0.13785310734463277</v>
      </c>
      <c r="M406" s="55">
        <v>1</v>
      </c>
      <c r="N406" s="56">
        <f t="shared" si="34"/>
        <v>5.5126791620727675E-4</v>
      </c>
      <c r="O406" s="53" t="s">
        <v>443</v>
      </c>
    </row>
    <row r="407" spans="1:15" hidden="1" x14ac:dyDescent="0.25">
      <c r="A407" s="52" t="s">
        <v>12</v>
      </c>
      <c r="B407" s="53" t="s">
        <v>444</v>
      </c>
      <c r="C407" s="53" t="s">
        <v>443</v>
      </c>
      <c r="D407" s="54">
        <v>45017</v>
      </c>
      <c r="E407" s="55">
        <v>1882</v>
      </c>
      <c r="F407" s="56">
        <f t="shared" si="30"/>
        <v>0.99734325185972372</v>
      </c>
      <c r="G407" s="55">
        <v>5</v>
      </c>
      <c r="H407" s="55">
        <v>802</v>
      </c>
      <c r="I407" s="56">
        <f t="shared" si="31"/>
        <v>0.42614240170031881</v>
      </c>
      <c r="J407" s="55">
        <v>68</v>
      </c>
      <c r="K407" s="56">
        <f t="shared" si="32"/>
        <v>3.6131774707757705E-2</v>
      </c>
      <c r="L407" s="56">
        <f t="shared" si="33"/>
        <v>8.4788029925187039E-2</v>
      </c>
      <c r="M407" s="55">
        <v>10</v>
      </c>
      <c r="N407" s="56">
        <f t="shared" si="34"/>
        <v>5.3134962805526037E-3</v>
      </c>
      <c r="O407" s="53" t="s">
        <v>443</v>
      </c>
    </row>
    <row r="408" spans="1:15" hidden="1" x14ac:dyDescent="0.25">
      <c r="A408" s="52" t="s">
        <v>9</v>
      </c>
      <c r="B408" s="53" t="s">
        <v>439</v>
      </c>
      <c r="C408" s="53" t="s">
        <v>443</v>
      </c>
      <c r="D408" s="54">
        <v>45017</v>
      </c>
      <c r="E408" s="55">
        <v>16166</v>
      </c>
      <c r="F408" s="56">
        <f t="shared" si="30"/>
        <v>0.99653593962637632</v>
      </c>
      <c r="G408" s="55">
        <v>56</v>
      </c>
      <c r="H408" s="55">
        <v>7099</v>
      </c>
      <c r="I408" s="56">
        <f t="shared" si="31"/>
        <v>0.43913151057775579</v>
      </c>
      <c r="J408" s="55">
        <v>748</v>
      </c>
      <c r="K408" s="56">
        <f t="shared" si="32"/>
        <v>4.6269949276258812E-2</v>
      </c>
      <c r="L408" s="56">
        <f t="shared" si="33"/>
        <v>0.10536695309198478</v>
      </c>
      <c r="M408" s="55">
        <v>10</v>
      </c>
      <c r="N408" s="56">
        <f t="shared" si="34"/>
        <v>6.1858220957565263E-4</v>
      </c>
      <c r="O408" s="53" t="s">
        <v>443</v>
      </c>
    </row>
    <row r="409" spans="1:15" hidden="1" x14ac:dyDescent="0.25">
      <c r="A409" s="52" t="s">
        <v>9</v>
      </c>
      <c r="B409" s="53" t="s">
        <v>444</v>
      </c>
      <c r="C409" s="53" t="s">
        <v>443</v>
      </c>
      <c r="D409" s="54">
        <v>45017</v>
      </c>
      <c r="E409" s="55">
        <v>22355</v>
      </c>
      <c r="F409" s="56">
        <f t="shared" si="30"/>
        <v>0.99655558040706782</v>
      </c>
      <c r="G409" s="55">
        <v>77</v>
      </c>
      <c r="H409" s="55">
        <v>9186</v>
      </c>
      <c r="I409" s="56">
        <f t="shared" si="31"/>
        <v>0.41091478416461641</v>
      </c>
      <c r="J409" s="55">
        <v>627</v>
      </c>
      <c r="K409" s="56">
        <f t="shared" si="32"/>
        <v>2.8047416685305301E-2</v>
      </c>
      <c r="L409" s="56">
        <f t="shared" si="33"/>
        <v>6.8256041802743306E-2</v>
      </c>
      <c r="M409" s="55">
        <v>57</v>
      </c>
      <c r="N409" s="56">
        <f t="shared" si="34"/>
        <v>2.5497651532095729E-3</v>
      </c>
      <c r="O409" s="53" t="s">
        <v>443</v>
      </c>
    </row>
    <row r="410" spans="1:15" hidden="1" x14ac:dyDescent="0.25">
      <c r="A410" s="52" t="s">
        <v>15</v>
      </c>
      <c r="B410" s="53" t="s">
        <v>439</v>
      </c>
      <c r="C410" s="53" t="s">
        <v>447</v>
      </c>
      <c r="D410" s="54">
        <v>45017</v>
      </c>
      <c r="E410" s="55">
        <v>9433</v>
      </c>
      <c r="F410" s="56">
        <f t="shared" si="30"/>
        <v>0.98272023746422132</v>
      </c>
      <c r="G410" s="55">
        <v>163</v>
      </c>
      <c r="H410" s="55">
        <v>3035</v>
      </c>
      <c r="I410" s="56">
        <f t="shared" si="31"/>
        <v>0.32174281776741226</v>
      </c>
      <c r="J410" s="55">
        <v>465</v>
      </c>
      <c r="K410" s="56">
        <f t="shared" si="32"/>
        <v>4.929502809286547E-2</v>
      </c>
      <c r="L410" s="56">
        <f t="shared" si="33"/>
        <v>0.15321252059308071</v>
      </c>
      <c r="M410" s="55">
        <v>25</v>
      </c>
      <c r="N410" s="56">
        <f t="shared" si="34"/>
        <v>2.6502703275734125E-3</v>
      </c>
      <c r="O410" s="53" t="s">
        <v>448</v>
      </c>
    </row>
    <row r="411" spans="1:15" hidden="1" x14ac:dyDescent="0.25">
      <c r="A411" s="52" t="s">
        <v>17</v>
      </c>
      <c r="B411" s="53" t="s">
        <v>439</v>
      </c>
      <c r="C411" s="53" t="s">
        <v>447</v>
      </c>
      <c r="D411" s="54">
        <v>45017</v>
      </c>
      <c r="E411" s="55">
        <v>85280</v>
      </c>
      <c r="F411" s="56">
        <f t="shared" si="30"/>
        <v>0.97646575984990625</v>
      </c>
      <c r="G411" s="55">
        <v>2007</v>
      </c>
      <c r="H411" s="55">
        <v>33611</v>
      </c>
      <c r="I411" s="56">
        <f t="shared" si="31"/>
        <v>0.394125234521576</v>
      </c>
      <c r="J411" s="55">
        <v>3564</v>
      </c>
      <c r="K411" s="56">
        <f t="shared" si="32"/>
        <v>4.1791744840525329E-2</v>
      </c>
      <c r="L411" s="56">
        <f t="shared" si="33"/>
        <v>0.10603671417095593</v>
      </c>
      <c r="M411" s="55">
        <v>317</v>
      </c>
      <c r="N411" s="56">
        <f t="shared" si="34"/>
        <v>3.7171669793621014E-3</v>
      </c>
      <c r="O411" s="53" t="s">
        <v>448</v>
      </c>
    </row>
    <row r="412" spans="1:15" hidden="1" x14ac:dyDescent="0.25">
      <c r="A412" s="52" t="s">
        <v>604</v>
      </c>
      <c r="B412" s="53"/>
      <c r="C412" s="53" t="s">
        <v>474</v>
      </c>
      <c r="D412" s="54">
        <v>45019</v>
      </c>
      <c r="E412" s="55">
        <v>26</v>
      </c>
      <c r="F412" s="56">
        <f t="shared" si="30"/>
        <v>0.92307692307692313</v>
      </c>
      <c r="G412" s="55">
        <v>2</v>
      </c>
      <c r="H412" s="55">
        <v>8</v>
      </c>
      <c r="I412" s="56">
        <f t="shared" si="31"/>
        <v>0.30769230769230771</v>
      </c>
      <c r="J412" s="55">
        <v>1</v>
      </c>
      <c r="K412" s="56">
        <f t="shared" si="32"/>
        <v>3.8461538461538464E-2</v>
      </c>
      <c r="L412" s="56">
        <f t="shared" si="33"/>
        <v>0.125</v>
      </c>
      <c r="M412" s="55">
        <v>0</v>
      </c>
      <c r="N412" s="56">
        <f t="shared" si="34"/>
        <v>0</v>
      </c>
      <c r="O412" s="53" t="s">
        <v>474</v>
      </c>
    </row>
    <row r="413" spans="1:15" hidden="1" x14ac:dyDescent="0.25">
      <c r="A413" s="52" t="s">
        <v>605</v>
      </c>
      <c r="B413" s="53"/>
      <c r="C413" s="53" t="s">
        <v>474</v>
      </c>
      <c r="D413" s="54">
        <v>45019</v>
      </c>
      <c r="E413" s="55">
        <v>346</v>
      </c>
      <c r="F413" s="56">
        <f t="shared" si="30"/>
        <v>0.97687861271676302</v>
      </c>
      <c r="G413" s="55">
        <v>8</v>
      </c>
      <c r="H413" s="55">
        <v>109</v>
      </c>
      <c r="I413" s="56">
        <f t="shared" si="31"/>
        <v>0.31502890173410403</v>
      </c>
      <c r="J413" s="55">
        <v>13</v>
      </c>
      <c r="K413" s="56">
        <f t="shared" si="32"/>
        <v>3.7572254335260118E-2</v>
      </c>
      <c r="L413" s="56">
        <f t="shared" si="33"/>
        <v>0.11926605504587157</v>
      </c>
      <c r="M413" s="55">
        <v>0</v>
      </c>
      <c r="N413" s="56">
        <f t="shared" si="34"/>
        <v>0</v>
      </c>
      <c r="O413" s="53" t="s">
        <v>474</v>
      </c>
    </row>
    <row r="414" spans="1:15" hidden="1" x14ac:dyDescent="0.25">
      <c r="A414" s="52" t="s">
        <v>606</v>
      </c>
      <c r="B414" s="53" t="s">
        <v>439</v>
      </c>
      <c r="C414" s="53" t="s">
        <v>443</v>
      </c>
      <c r="D414" s="54">
        <v>45019</v>
      </c>
      <c r="E414" s="55">
        <v>128556</v>
      </c>
      <c r="F414" s="56">
        <f t="shared" si="30"/>
        <v>0.99466380410093658</v>
      </c>
      <c r="G414" s="55">
        <v>686</v>
      </c>
      <c r="H414" s="55">
        <v>45200</v>
      </c>
      <c r="I414" s="56">
        <f t="shared" si="31"/>
        <v>0.3515977472852298</v>
      </c>
      <c r="J414" s="55">
        <v>1555</v>
      </c>
      <c r="K414" s="56">
        <f t="shared" si="32"/>
        <v>1.2095895951958679E-2</v>
      </c>
      <c r="L414" s="56">
        <f t="shared" si="33"/>
        <v>3.4402654867256639E-2</v>
      </c>
      <c r="M414" s="55">
        <v>68</v>
      </c>
      <c r="N414" s="56">
        <f t="shared" si="34"/>
        <v>5.289523631724696E-4</v>
      </c>
      <c r="O414" s="53" t="s">
        <v>443</v>
      </c>
    </row>
    <row r="415" spans="1:15" hidden="1" x14ac:dyDescent="0.25">
      <c r="A415" s="52" t="s">
        <v>606</v>
      </c>
      <c r="B415" s="53" t="s">
        <v>444</v>
      </c>
      <c r="C415" s="53" t="s">
        <v>443</v>
      </c>
      <c r="D415" s="54">
        <v>45019</v>
      </c>
      <c r="E415" s="55">
        <v>216603</v>
      </c>
      <c r="F415" s="56">
        <f t="shared" si="30"/>
        <v>0.99551252752731956</v>
      </c>
      <c r="G415" s="55">
        <v>972</v>
      </c>
      <c r="H415" s="55">
        <v>73144</v>
      </c>
      <c r="I415" s="56">
        <f t="shared" si="31"/>
        <v>0.33768692031042968</v>
      </c>
      <c r="J415" s="55">
        <v>1750</v>
      </c>
      <c r="K415" s="56">
        <f t="shared" si="32"/>
        <v>8.0792971473155964E-3</v>
      </c>
      <c r="L415" s="56">
        <f t="shared" si="33"/>
        <v>2.3925407415509133E-2</v>
      </c>
      <c r="M415" s="55">
        <v>567</v>
      </c>
      <c r="N415" s="56">
        <f t="shared" si="34"/>
        <v>2.6176922757302529E-3</v>
      </c>
      <c r="O415" s="53" t="s">
        <v>443</v>
      </c>
    </row>
    <row r="416" spans="1:15" hidden="1" x14ac:dyDescent="0.25">
      <c r="A416" s="52" t="s">
        <v>607</v>
      </c>
      <c r="B416" s="53" t="s">
        <v>439</v>
      </c>
      <c r="C416" s="53" t="s">
        <v>443</v>
      </c>
      <c r="D416" s="54">
        <v>45019</v>
      </c>
      <c r="E416" s="55">
        <v>2253005</v>
      </c>
      <c r="F416" s="56">
        <f t="shared" si="30"/>
        <v>0.99629960874476531</v>
      </c>
      <c r="G416" s="55">
        <v>8337</v>
      </c>
      <c r="H416" s="55">
        <v>838316</v>
      </c>
      <c r="I416" s="56">
        <f t="shared" si="31"/>
        <v>0.37208794476709994</v>
      </c>
      <c r="J416" s="55">
        <v>12156</v>
      </c>
      <c r="K416" s="56">
        <f t="shared" si="32"/>
        <v>5.395460729115115E-3</v>
      </c>
      <c r="L416" s="56">
        <f t="shared" si="33"/>
        <v>1.4500498618659312E-2</v>
      </c>
      <c r="M416" s="55">
        <v>1997</v>
      </c>
      <c r="N416" s="56">
        <f t="shared" si="34"/>
        <v>8.8637175683143178E-4</v>
      </c>
      <c r="O416" s="53" t="s">
        <v>443</v>
      </c>
    </row>
    <row r="417" spans="1:15" hidden="1" x14ac:dyDescent="0.25">
      <c r="A417" s="52" t="s">
        <v>607</v>
      </c>
      <c r="B417" s="53" t="s">
        <v>444</v>
      </c>
      <c r="C417" s="53" t="s">
        <v>443</v>
      </c>
      <c r="D417" s="54">
        <v>45019</v>
      </c>
      <c r="E417" s="55">
        <v>2403673</v>
      </c>
      <c r="F417" s="56">
        <f t="shared" si="30"/>
        <v>0.99669048160877127</v>
      </c>
      <c r="G417" s="55">
        <v>7955</v>
      </c>
      <c r="H417" s="55">
        <v>863594</v>
      </c>
      <c r="I417" s="56">
        <f t="shared" si="31"/>
        <v>0.35928098372781986</v>
      </c>
      <c r="J417" s="55">
        <v>10720</v>
      </c>
      <c r="K417" s="56">
        <f t="shared" si="32"/>
        <v>4.4598412512850127E-3</v>
      </c>
      <c r="L417" s="56">
        <f t="shared" si="33"/>
        <v>1.2413240481059388E-2</v>
      </c>
      <c r="M417" s="55">
        <v>4907</v>
      </c>
      <c r="N417" s="56">
        <f t="shared" si="34"/>
        <v>2.0414590503783168E-3</v>
      </c>
      <c r="O417" s="53" t="s">
        <v>443</v>
      </c>
    </row>
    <row r="418" spans="1:15" hidden="1" x14ac:dyDescent="0.25">
      <c r="A418" s="58" t="s">
        <v>18</v>
      </c>
      <c r="B418" s="53" t="s">
        <v>439</v>
      </c>
      <c r="C418" s="53" t="s">
        <v>443</v>
      </c>
      <c r="D418" s="54">
        <v>45020</v>
      </c>
      <c r="E418" s="55">
        <v>25867</v>
      </c>
      <c r="F418" s="56">
        <f t="shared" si="30"/>
        <v>0.99501295086403529</v>
      </c>
      <c r="G418" s="55">
        <v>129</v>
      </c>
      <c r="H418" s="55">
        <v>8935</v>
      </c>
      <c r="I418" s="56">
        <f t="shared" si="31"/>
        <v>0.34542080643290679</v>
      </c>
      <c r="J418" s="55">
        <v>260</v>
      </c>
      <c r="K418" s="56">
        <f t="shared" si="32"/>
        <v>1.0051416863184753E-2</v>
      </c>
      <c r="L418" s="56">
        <f t="shared" si="33"/>
        <v>2.9099048684946838E-2</v>
      </c>
      <c r="M418" s="55">
        <v>13</v>
      </c>
      <c r="N418" s="56">
        <f t="shared" si="34"/>
        <v>5.0257084315923767E-4</v>
      </c>
      <c r="O418" s="53" t="s">
        <v>443</v>
      </c>
    </row>
    <row r="419" spans="1:15" hidden="1" x14ac:dyDescent="0.25">
      <c r="A419" s="58" t="s">
        <v>18</v>
      </c>
      <c r="B419" s="53" t="s">
        <v>444</v>
      </c>
      <c r="C419" s="53" t="s">
        <v>443</v>
      </c>
      <c r="D419" s="54">
        <v>45020</v>
      </c>
      <c r="E419" s="55">
        <v>26633</v>
      </c>
      <c r="F419" s="56">
        <f t="shared" si="30"/>
        <v>0.99575714339353438</v>
      </c>
      <c r="G419" s="55">
        <v>113</v>
      </c>
      <c r="H419" s="55">
        <v>9755</v>
      </c>
      <c r="I419" s="56">
        <f t="shared" si="31"/>
        <v>0.36627492208913753</v>
      </c>
      <c r="J419" s="55">
        <v>202</v>
      </c>
      <c r="K419" s="56">
        <f t="shared" si="32"/>
        <v>7.5845755266023352E-3</v>
      </c>
      <c r="L419" s="56">
        <f t="shared" si="33"/>
        <v>2.0707329574577139E-2</v>
      </c>
      <c r="M419" s="55">
        <v>33</v>
      </c>
      <c r="N419" s="56">
        <f t="shared" si="34"/>
        <v>1.2390643187023618E-3</v>
      </c>
      <c r="O419" s="53" t="s">
        <v>443</v>
      </c>
    </row>
    <row r="420" spans="1:15" hidden="1" x14ac:dyDescent="0.25">
      <c r="A420" s="58" t="s">
        <v>19</v>
      </c>
      <c r="B420" s="53" t="s">
        <v>439</v>
      </c>
      <c r="C420" s="53" t="s">
        <v>443</v>
      </c>
      <c r="D420" s="54">
        <v>45020</v>
      </c>
      <c r="E420" s="55">
        <v>227842</v>
      </c>
      <c r="F420" s="56">
        <f t="shared" si="30"/>
        <v>0.99610256230194605</v>
      </c>
      <c r="G420" s="55">
        <v>888</v>
      </c>
      <c r="H420" s="55">
        <v>81592</v>
      </c>
      <c r="I420" s="56">
        <f t="shared" si="31"/>
        <v>0.35810781155362048</v>
      </c>
      <c r="J420" s="55">
        <v>1540</v>
      </c>
      <c r="K420" s="56">
        <f t="shared" si="32"/>
        <v>6.759069881760167E-3</v>
      </c>
      <c r="L420" s="56">
        <f t="shared" si="33"/>
        <v>1.887439945092656E-2</v>
      </c>
      <c r="M420" s="55">
        <v>128</v>
      </c>
      <c r="N420" s="56">
        <f t="shared" si="34"/>
        <v>5.6179282134110481E-4</v>
      </c>
      <c r="O420" s="53" t="s">
        <v>443</v>
      </c>
    </row>
    <row r="421" spans="1:15" hidden="1" x14ac:dyDescent="0.25">
      <c r="A421" s="58" t="s">
        <v>19</v>
      </c>
      <c r="B421" s="53" t="s">
        <v>444</v>
      </c>
      <c r="C421" s="53" t="s">
        <v>443</v>
      </c>
      <c r="D421" s="54">
        <v>45020</v>
      </c>
      <c r="E421" s="55">
        <v>443643</v>
      </c>
      <c r="F421" s="56">
        <f t="shared" si="30"/>
        <v>0.99684881763039201</v>
      </c>
      <c r="G421" s="55">
        <v>1398</v>
      </c>
      <c r="H421" s="55">
        <v>171518</v>
      </c>
      <c r="I421" s="56">
        <f t="shared" si="31"/>
        <v>0.38661265927784277</v>
      </c>
      <c r="J421" s="55">
        <v>2261</v>
      </c>
      <c r="K421" s="56">
        <f t="shared" si="32"/>
        <v>5.0964401557107852E-3</v>
      </c>
      <c r="L421" s="56">
        <f t="shared" si="33"/>
        <v>1.3182289905432666E-2</v>
      </c>
      <c r="M421" s="55">
        <v>463</v>
      </c>
      <c r="N421" s="56">
        <f t="shared" si="34"/>
        <v>1.0436319292764678E-3</v>
      </c>
      <c r="O421" s="53" t="s">
        <v>443</v>
      </c>
    </row>
    <row r="422" spans="1:15" hidden="1" x14ac:dyDescent="0.25">
      <c r="A422" s="52" t="s">
        <v>608</v>
      </c>
      <c r="B422" s="53" t="s">
        <v>439</v>
      </c>
      <c r="C422" s="53" t="s">
        <v>443</v>
      </c>
      <c r="D422" s="54">
        <v>45021</v>
      </c>
      <c r="E422" s="55">
        <v>128660</v>
      </c>
      <c r="F422" s="56">
        <f t="shared" si="30"/>
        <v>0.99486242810508319</v>
      </c>
      <c r="G422" s="55">
        <v>661</v>
      </c>
      <c r="H422" s="55">
        <v>43859</v>
      </c>
      <c r="I422" s="56">
        <f t="shared" si="31"/>
        <v>0.34089071972641072</v>
      </c>
      <c r="J422" s="55">
        <v>886</v>
      </c>
      <c r="K422" s="56">
        <f t="shared" si="32"/>
        <v>6.8863671692833825E-3</v>
      </c>
      <c r="L422" s="56">
        <f t="shared" si="33"/>
        <v>2.0201098976264847E-2</v>
      </c>
      <c r="M422" s="55">
        <v>71</v>
      </c>
      <c r="N422" s="56">
        <f t="shared" si="34"/>
        <v>5.5184206435566607E-4</v>
      </c>
      <c r="O422" s="53" t="s">
        <v>443</v>
      </c>
    </row>
    <row r="423" spans="1:15" hidden="1" x14ac:dyDescent="0.25">
      <c r="A423" s="52" t="s">
        <v>608</v>
      </c>
      <c r="B423" s="53" t="s">
        <v>444</v>
      </c>
      <c r="C423" s="53" t="s">
        <v>443</v>
      </c>
      <c r="D423" s="54">
        <v>45021</v>
      </c>
      <c r="E423" s="55">
        <v>216423</v>
      </c>
      <c r="F423" s="56">
        <f t="shared" si="30"/>
        <v>0.99594312988915223</v>
      </c>
      <c r="G423" s="55">
        <v>878</v>
      </c>
      <c r="H423" s="55">
        <v>71195</v>
      </c>
      <c r="I423" s="56">
        <f t="shared" si="31"/>
        <v>0.3289622637150395</v>
      </c>
      <c r="J423" s="55">
        <v>1475</v>
      </c>
      <c r="K423" s="56">
        <f t="shared" si="32"/>
        <v>6.8153569629845253E-3</v>
      </c>
      <c r="L423" s="56">
        <f t="shared" si="33"/>
        <v>2.0717747032797246E-2</v>
      </c>
      <c r="M423" s="55">
        <v>651</v>
      </c>
      <c r="N423" s="56">
        <f t="shared" si="34"/>
        <v>3.0079982256968991E-3</v>
      </c>
      <c r="O423" s="53" t="s">
        <v>443</v>
      </c>
    </row>
    <row r="424" spans="1:15" hidden="1" x14ac:dyDescent="0.25">
      <c r="A424" s="64" t="s">
        <v>609</v>
      </c>
      <c r="B424" s="53" t="s">
        <v>439</v>
      </c>
      <c r="C424" s="53" t="s">
        <v>443</v>
      </c>
      <c r="D424" s="54">
        <v>45021</v>
      </c>
      <c r="E424" s="55">
        <v>2259347</v>
      </c>
      <c r="F424" s="56">
        <f t="shared" si="30"/>
        <v>0.99637461620547885</v>
      </c>
      <c r="G424" s="55">
        <v>8191</v>
      </c>
      <c r="H424" s="55">
        <v>823705</v>
      </c>
      <c r="I424" s="56">
        <f t="shared" si="31"/>
        <v>0.36457657898498991</v>
      </c>
      <c r="J424" s="55">
        <v>11702</v>
      </c>
      <c r="K424" s="56">
        <f t="shared" si="32"/>
        <v>5.1793726240369452E-3</v>
      </c>
      <c r="L424" s="56">
        <f t="shared" si="33"/>
        <v>1.4206542390783108E-2</v>
      </c>
      <c r="M424" s="55">
        <v>2066</v>
      </c>
      <c r="N424" s="56">
        <f t="shared" si="34"/>
        <v>9.1442350378228752E-4</v>
      </c>
      <c r="O424" s="53" t="s">
        <v>443</v>
      </c>
    </row>
    <row r="425" spans="1:15" hidden="1" x14ac:dyDescent="0.25">
      <c r="A425" s="64" t="s">
        <v>609</v>
      </c>
      <c r="B425" s="53" t="s">
        <v>444</v>
      </c>
      <c r="C425" s="53" t="s">
        <v>443</v>
      </c>
      <c r="D425" s="54">
        <v>45021</v>
      </c>
      <c r="E425" s="55">
        <v>2406202</v>
      </c>
      <c r="F425" s="56">
        <f t="shared" si="30"/>
        <v>0.99671432406755545</v>
      </c>
      <c r="G425" s="55">
        <v>7906</v>
      </c>
      <c r="H425" s="55">
        <v>855191</v>
      </c>
      <c r="I425" s="56">
        <f t="shared" si="31"/>
        <v>0.35541114170796967</v>
      </c>
      <c r="J425" s="55">
        <v>12252</v>
      </c>
      <c r="K425" s="56">
        <f t="shared" si="32"/>
        <v>5.0918418320656375E-3</v>
      </c>
      <c r="L425" s="56">
        <f t="shared" si="33"/>
        <v>1.4326624110871138E-2</v>
      </c>
      <c r="M425" s="55">
        <v>5408</v>
      </c>
      <c r="N425" s="56">
        <f t="shared" si="34"/>
        <v>2.2475253532330203E-3</v>
      </c>
      <c r="O425" s="53" t="s">
        <v>443</v>
      </c>
    </row>
    <row r="426" spans="1:15" hidden="1" x14ac:dyDescent="0.25">
      <c r="A426" s="52" t="s">
        <v>610</v>
      </c>
      <c r="B426" s="53" t="s">
        <v>444</v>
      </c>
      <c r="C426" s="53" t="s">
        <v>443</v>
      </c>
      <c r="D426" s="54">
        <v>45021</v>
      </c>
      <c r="E426" s="55">
        <v>5712</v>
      </c>
      <c r="F426" s="56">
        <f t="shared" si="30"/>
        <v>0.99632352941176472</v>
      </c>
      <c r="G426" s="55">
        <v>21</v>
      </c>
      <c r="H426" s="55">
        <v>2824</v>
      </c>
      <c r="I426" s="56">
        <f t="shared" si="31"/>
        <v>0.49439775910364148</v>
      </c>
      <c r="J426" s="55">
        <v>54</v>
      </c>
      <c r="K426" s="56">
        <f t="shared" si="32"/>
        <v>9.4537815126050414E-3</v>
      </c>
      <c r="L426" s="56">
        <f t="shared" si="33"/>
        <v>1.9121813031161474E-2</v>
      </c>
      <c r="M426" s="55">
        <v>12</v>
      </c>
      <c r="N426" s="56">
        <f t="shared" si="34"/>
        <v>2.1008403361344537E-3</v>
      </c>
      <c r="O426" s="53" t="s">
        <v>443</v>
      </c>
    </row>
    <row r="427" spans="1:15" hidden="1" x14ac:dyDescent="0.25">
      <c r="A427" s="52" t="s">
        <v>610</v>
      </c>
      <c r="B427" s="53" t="s">
        <v>439</v>
      </c>
      <c r="C427" s="53" t="s">
        <v>443</v>
      </c>
      <c r="D427" s="54">
        <v>45021</v>
      </c>
      <c r="E427" s="55">
        <v>13550</v>
      </c>
      <c r="F427" s="56">
        <f t="shared" si="30"/>
        <v>0.99542435424354248</v>
      </c>
      <c r="G427" s="55">
        <v>62</v>
      </c>
      <c r="H427" s="55">
        <v>5986</v>
      </c>
      <c r="I427" s="56">
        <f t="shared" si="31"/>
        <v>0.44177121771217714</v>
      </c>
      <c r="J427" s="55">
        <v>107</v>
      </c>
      <c r="K427" s="56">
        <f t="shared" si="32"/>
        <v>7.8966789667896681E-3</v>
      </c>
      <c r="L427" s="56">
        <f t="shared" si="33"/>
        <v>1.7875041764116271E-2</v>
      </c>
      <c r="M427" s="55">
        <v>8</v>
      </c>
      <c r="N427" s="56">
        <f t="shared" si="34"/>
        <v>5.9040590405904064E-4</v>
      </c>
      <c r="O427" s="53" t="s">
        <v>443</v>
      </c>
    </row>
    <row r="428" spans="1:15" hidden="1" x14ac:dyDescent="0.25">
      <c r="A428" s="52" t="s">
        <v>611</v>
      </c>
      <c r="B428" s="53" t="s">
        <v>439</v>
      </c>
      <c r="C428" s="53" t="s">
        <v>443</v>
      </c>
      <c r="D428" s="54">
        <v>45021</v>
      </c>
      <c r="E428" s="55">
        <v>63802</v>
      </c>
      <c r="F428" s="56">
        <f t="shared" si="30"/>
        <v>0.99667722014983862</v>
      </c>
      <c r="G428" s="55">
        <v>212</v>
      </c>
      <c r="H428" s="55">
        <v>23301</v>
      </c>
      <c r="I428" s="56">
        <f t="shared" si="31"/>
        <v>0.36520798721043229</v>
      </c>
      <c r="J428" s="55">
        <v>267</v>
      </c>
      <c r="K428" s="56">
        <f t="shared" si="32"/>
        <v>4.1848217924203004E-3</v>
      </c>
      <c r="L428" s="56">
        <f t="shared" si="33"/>
        <v>1.1458735676580404E-2</v>
      </c>
      <c r="M428" s="55">
        <v>48</v>
      </c>
      <c r="N428" s="56">
        <f t="shared" si="34"/>
        <v>7.5232751324409892E-4</v>
      </c>
      <c r="O428" s="53" t="s">
        <v>443</v>
      </c>
    </row>
    <row r="429" spans="1:15" hidden="1" x14ac:dyDescent="0.25">
      <c r="A429" s="58" t="s">
        <v>449</v>
      </c>
      <c r="B429" s="53"/>
      <c r="C429" s="53" t="s">
        <v>446</v>
      </c>
      <c r="D429" s="54">
        <v>45022</v>
      </c>
      <c r="E429" s="55">
        <v>1631</v>
      </c>
      <c r="F429" s="56">
        <f t="shared" si="30"/>
        <v>0.99816063764561613</v>
      </c>
      <c r="G429" s="55">
        <v>3</v>
      </c>
      <c r="H429" s="55">
        <v>535</v>
      </c>
      <c r="I429" s="56">
        <f t="shared" si="31"/>
        <v>0.32801961986511341</v>
      </c>
      <c r="J429" s="55">
        <v>12</v>
      </c>
      <c r="K429" s="56">
        <f t="shared" si="32"/>
        <v>7.357449417535254E-3</v>
      </c>
      <c r="L429" s="56">
        <f t="shared" si="33"/>
        <v>2.2429906542056073E-2</v>
      </c>
      <c r="M429" s="55">
        <v>1</v>
      </c>
      <c r="N429" s="56">
        <f t="shared" si="34"/>
        <v>6.131207847946045E-4</v>
      </c>
      <c r="O429" s="53" t="s">
        <v>446</v>
      </c>
    </row>
    <row r="430" spans="1:15" hidden="1" x14ac:dyDescent="0.25">
      <c r="A430" s="52" t="s">
        <v>612</v>
      </c>
      <c r="B430" s="53" t="s">
        <v>439</v>
      </c>
      <c r="C430" s="53" t="s">
        <v>443</v>
      </c>
      <c r="D430" s="54">
        <v>45022</v>
      </c>
      <c r="E430" s="55">
        <v>2098</v>
      </c>
      <c r="F430" s="56">
        <f t="shared" si="30"/>
        <v>0.99475691134413724</v>
      </c>
      <c r="G430" s="55">
        <v>11</v>
      </c>
      <c r="H430" s="55">
        <v>642</v>
      </c>
      <c r="I430" s="56">
        <f t="shared" si="31"/>
        <v>0.30600571973307911</v>
      </c>
      <c r="J430" s="55">
        <v>29</v>
      </c>
      <c r="K430" s="56">
        <f t="shared" si="32"/>
        <v>1.3822688274547188E-2</v>
      </c>
      <c r="L430" s="56">
        <f t="shared" si="33"/>
        <v>4.5171339563862926E-2</v>
      </c>
      <c r="M430" s="55">
        <v>2</v>
      </c>
      <c r="N430" s="56">
        <f t="shared" si="34"/>
        <v>9.5328884652049568E-4</v>
      </c>
      <c r="O430" s="53" t="s">
        <v>443</v>
      </c>
    </row>
    <row r="431" spans="1:15" hidden="1" x14ac:dyDescent="0.25">
      <c r="A431" s="52" t="s">
        <v>613</v>
      </c>
      <c r="B431" s="53" t="s">
        <v>439</v>
      </c>
      <c r="C431" s="53" t="s">
        <v>443</v>
      </c>
      <c r="D431" s="54">
        <v>45022</v>
      </c>
      <c r="E431" s="55">
        <v>28979</v>
      </c>
      <c r="F431" s="56">
        <f t="shared" si="30"/>
        <v>0.99603160909624211</v>
      </c>
      <c r="G431" s="55">
        <v>115</v>
      </c>
      <c r="H431" s="55">
        <v>9600</v>
      </c>
      <c r="I431" s="56">
        <f t="shared" si="31"/>
        <v>0.33127437109631114</v>
      </c>
      <c r="J431" s="55">
        <v>142</v>
      </c>
      <c r="K431" s="56">
        <f t="shared" si="32"/>
        <v>4.9001000724662683E-3</v>
      </c>
      <c r="L431" s="56">
        <f t="shared" si="33"/>
        <v>1.4791666666666667E-2</v>
      </c>
      <c r="M431" s="55">
        <v>10</v>
      </c>
      <c r="N431" s="56">
        <f t="shared" si="34"/>
        <v>3.4507746989199077E-4</v>
      </c>
      <c r="O431" s="53" t="s">
        <v>443</v>
      </c>
    </row>
    <row r="432" spans="1:15" hidden="1" x14ac:dyDescent="0.25">
      <c r="A432" s="52" t="s">
        <v>614</v>
      </c>
      <c r="B432" s="53" t="s">
        <v>439</v>
      </c>
      <c r="C432" s="53" t="s">
        <v>443</v>
      </c>
      <c r="D432" s="54">
        <v>45022</v>
      </c>
      <c r="E432" s="55">
        <v>39331</v>
      </c>
      <c r="F432" s="56">
        <f t="shared" si="30"/>
        <v>0.99501665353029412</v>
      </c>
      <c r="G432" s="55">
        <v>196</v>
      </c>
      <c r="H432" s="55">
        <v>12040</v>
      </c>
      <c r="I432" s="56">
        <f t="shared" si="31"/>
        <v>0.30611985456764385</v>
      </c>
      <c r="J432" s="55">
        <v>316</v>
      </c>
      <c r="K432" s="56">
        <f t="shared" si="32"/>
        <v>8.0343749205461345E-3</v>
      </c>
      <c r="L432" s="56">
        <f t="shared" si="33"/>
        <v>2.6245847176079733E-2</v>
      </c>
      <c r="M432" s="55">
        <v>8</v>
      </c>
      <c r="N432" s="56">
        <f t="shared" si="34"/>
        <v>2.0340189672268694E-4</v>
      </c>
      <c r="O432" s="53" t="s">
        <v>443</v>
      </c>
    </row>
    <row r="433" spans="1:15" hidden="1" x14ac:dyDescent="0.25">
      <c r="A433" s="52" t="s">
        <v>615</v>
      </c>
      <c r="B433" s="53" t="s">
        <v>439</v>
      </c>
      <c r="C433" s="53" t="s">
        <v>443</v>
      </c>
      <c r="D433" s="54">
        <v>45022</v>
      </c>
      <c r="E433" s="55">
        <v>549333</v>
      </c>
      <c r="F433" s="56">
        <f t="shared" si="30"/>
        <v>0.99615897825180721</v>
      </c>
      <c r="G433" s="55">
        <v>2110</v>
      </c>
      <c r="H433" s="55">
        <v>185013</v>
      </c>
      <c r="I433" s="56">
        <f t="shared" si="31"/>
        <v>0.3367957140750692</v>
      </c>
      <c r="J433" s="55">
        <v>2826</v>
      </c>
      <c r="K433" s="56">
        <f t="shared" si="32"/>
        <v>5.1444205973425958E-3</v>
      </c>
      <c r="L433" s="56">
        <f t="shared" si="33"/>
        <v>1.527460232524201E-2</v>
      </c>
      <c r="M433" s="55">
        <v>224</v>
      </c>
      <c r="N433" s="56">
        <f t="shared" si="34"/>
        <v>4.0776723772283844E-4</v>
      </c>
      <c r="O433" s="53" t="s">
        <v>443</v>
      </c>
    </row>
    <row r="434" spans="1:15" hidden="1" x14ac:dyDescent="0.25">
      <c r="A434" s="52" t="s">
        <v>616</v>
      </c>
      <c r="B434" s="53" t="s">
        <v>444</v>
      </c>
      <c r="C434" s="53" t="s">
        <v>443</v>
      </c>
      <c r="D434" s="54">
        <v>45023</v>
      </c>
      <c r="E434" s="55">
        <v>7997</v>
      </c>
      <c r="F434" s="56">
        <f t="shared" si="30"/>
        <v>0.99687382768538202</v>
      </c>
      <c r="G434" s="55">
        <v>25</v>
      </c>
      <c r="H434" s="55">
        <v>3568</v>
      </c>
      <c r="I434" s="56">
        <f t="shared" si="31"/>
        <v>0.44616731274227833</v>
      </c>
      <c r="J434" s="55">
        <v>76</v>
      </c>
      <c r="K434" s="56">
        <f t="shared" si="32"/>
        <v>9.5035638364386645E-3</v>
      </c>
      <c r="L434" s="56">
        <f t="shared" si="33"/>
        <v>2.1300448430493273E-2</v>
      </c>
      <c r="M434" s="55">
        <v>29</v>
      </c>
      <c r="N434" s="56">
        <f t="shared" si="34"/>
        <v>3.6263598849568587E-3</v>
      </c>
      <c r="O434" s="53" t="s">
        <v>443</v>
      </c>
    </row>
    <row r="435" spans="1:15" hidden="1" x14ac:dyDescent="0.25">
      <c r="A435" s="52" t="s">
        <v>616</v>
      </c>
      <c r="B435" s="53" t="s">
        <v>439</v>
      </c>
      <c r="C435" s="53" t="s">
        <v>443</v>
      </c>
      <c r="D435" s="54">
        <v>45023</v>
      </c>
      <c r="E435" s="55">
        <v>18070</v>
      </c>
      <c r="F435" s="56">
        <f t="shared" si="30"/>
        <v>0.99501936912008859</v>
      </c>
      <c r="G435" s="55">
        <v>90</v>
      </c>
      <c r="H435" s="55">
        <v>7554</v>
      </c>
      <c r="I435" s="56">
        <f t="shared" si="31"/>
        <v>0.4180409518539015</v>
      </c>
      <c r="J435" s="55">
        <v>107</v>
      </c>
      <c r="K435" s="56">
        <f t="shared" si="32"/>
        <v>5.9214167127836191E-3</v>
      </c>
      <c r="L435" s="56">
        <f t="shared" si="33"/>
        <v>1.4164680963727826E-2</v>
      </c>
      <c r="M435" s="55">
        <v>14</v>
      </c>
      <c r="N435" s="56">
        <f t="shared" si="34"/>
        <v>7.7476480354178199E-4</v>
      </c>
      <c r="O435" s="53" t="s">
        <v>443</v>
      </c>
    </row>
    <row r="436" spans="1:15" hidden="1" x14ac:dyDescent="0.25">
      <c r="A436" s="52" t="s">
        <v>617</v>
      </c>
      <c r="B436" s="53" t="s">
        <v>444</v>
      </c>
      <c r="C436" s="53" t="s">
        <v>443</v>
      </c>
      <c r="D436" s="54">
        <v>45023</v>
      </c>
      <c r="E436" s="55">
        <v>7495</v>
      </c>
      <c r="F436" s="56">
        <f t="shared" si="30"/>
        <v>0.9945296864576384</v>
      </c>
      <c r="G436" s="55">
        <v>41</v>
      </c>
      <c r="H436" s="55">
        <v>2358</v>
      </c>
      <c r="I436" s="56">
        <f t="shared" si="31"/>
        <v>0.31460973982655105</v>
      </c>
      <c r="J436" s="55">
        <v>30</v>
      </c>
      <c r="K436" s="56">
        <f t="shared" si="32"/>
        <v>4.0026684456304206E-3</v>
      </c>
      <c r="L436" s="56">
        <f t="shared" si="33"/>
        <v>1.2722646310432569E-2</v>
      </c>
      <c r="M436" s="55">
        <v>17</v>
      </c>
      <c r="N436" s="56">
        <f t="shared" si="34"/>
        <v>2.2681787858572383E-3</v>
      </c>
      <c r="O436" s="53" t="s">
        <v>443</v>
      </c>
    </row>
    <row r="437" spans="1:15" hidden="1" x14ac:dyDescent="0.25">
      <c r="A437" s="52" t="s">
        <v>617</v>
      </c>
      <c r="B437" s="53" t="s">
        <v>439</v>
      </c>
      <c r="C437" s="53" t="s">
        <v>443</v>
      </c>
      <c r="D437" s="54">
        <v>45023</v>
      </c>
      <c r="E437" s="55">
        <v>14161</v>
      </c>
      <c r="F437" s="56">
        <f t="shared" si="30"/>
        <v>0.99343266718452083</v>
      </c>
      <c r="G437" s="55">
        <v>93</v>
      </c>
      <c r="H437" s="55">
        <v>4084</v>
      </c>
      <c r="I437" s="56">
        <f t="shared" si="31"/>
        <v>0.28839771202598685</v>
      </c>
      <c r="J437" s="55">
        <v>42</v>
      </c>
      <c r="K437" s="56">
        <f t="shared" si="32"/>
        <v>2.9658922392486408E-3</v>
      </c>
      <c r="L437" s="56">
        <f t="shared" si="33"/>
        <v>1.028403525954946E-2</v>
      </c>
      <c r="M437" s="55">
        <v>6</v>
      </c>
      <c r="N437" s="56">
        <f t="shared" si="34"/>
        <v>4.236988913212344E-4</v>
      </c>
      <c r="O437" s="53" t="s">
        <v>443</v>
      </c>
    </row>
    <row r="438" spans="1:15" hidden="1" x14ac:dyDescent="0.25">
      <c r="A438" s="52" t="s">
        <v>618</v>
      </c>
      <c r="B438" s="53" t="s">
        <v>444</v>
      </c>
      <c r="C438" s="53" t="s">
        <v>443</v>
      </c>
      <c r="D438" s="54">
        <v>45023</v>
      </c>
      <c r="E438" s="55">
        <v>110189</v>
      </c>
      <c r="F438" s="56">
        <f t="shared" si="30"/>
        <v>0.99620651789198555</v>
      </c>
      <c r="G438" s="55">
        <v>418</v>
      </c>
      <c r="H438" s="55">
        <v>40968</v>
      </c>
      <c r="I438" s="56">
        <f t="shared" si="31"/>
        <v>0.37179754784960384</v>
      </c>
      <c r="J438" s="55">
        <v>548</v>
      </c>
      <c r="K438" s="56">
        <f t="shared" si="32"/>
        <v>4.9732731942389898E-3</v>
      </c>
      <c r="L438" s="56">
        <f t="shared" si="33"/>
        <v>1.3376293692638156E-2</v>
      </c>
      <c r="M438" s="55">
        <v>305</v>
      </c>
      <c r="N438" s="56">
        <f t="shared" si="34"/>
        <v>2.7679713946038172E-3</v>
      </c>
      <c r="O438" s="53" t="s">
        <v>443</v>
      </c>
    </row>
    <row r="439" spans="1:15" hidden="1" x14ac:dyDescent="0.25">
      <c r="A439" s="52" t="s">
        <v>618</v>
      </c>
      <c r="B439" s="53" t="s">
        <v>439</v>
      </c>
      <c r="C439" s="53" t="s">
        <v>443</v>
      </c>
      <c r="D439" s="54">
        <v>45023</v>
      </c>
      <c r="E439" s="55">
        <v>210578</v>
      </c>
      <c r="F439" s="56">
        <f t="shared" si="30"/>
        <v>0.99554084472262061</v>
      </c>
      <c r="G439" s="55">
        <v>939</v>
      </c>
      <c r="H439" s="55">
        <v>74769</v>
      </c>
      <c r="I439" s="56">
        <f t="shared" si="31"/>
        <v>0.35506558139976635</v>
      </c>
      <c r="J439" s="55">
        <v>785</v>
      </c>
      <c r="K439" s="56">
        <f t="shared" si="32"/>
        <v>3.7278348165525363E-3</v>
      </c>
      <c r="L439" s="56">
        <f t="shared" si="33"/>
        <v>1.049900359774773E-2</v>
      </c>
      <c r="M439" s="55">
        <v>185</v>
      </c>
      <c r="N439" s="56">
        <f t="shared" si="34"/>
        <v>8.7853431982448313E-4</v>
      </c>
      <c r="O439" s="53" t="s">
        <v>443</v>
      </c>
    </row>
    <row r="440" spans="1:15" hidden="1" x14ac:dyDescent="0.25">
      <c r="A440" s="58" t="s">
        <v>22</v>
      </c>
      <c r="B440" s="53" t="s">
        <v>439</v>
      </c>
      <c r="C440" s="53" t="s">
        <v>443</v>
      </c>
      <c r="D440" s="54">
        <v>45023</v>
      </c>
      <c r="E440" s="55">
        <v>104313</v>
      </c>
      <c r="F440" s="56">
        <f t="shared" si="30"/>
        <v>0.99350991726822158</v>
      </c>
      <c r="G440" s="55">
        <v>677</v>
      </c>
      <c r="H440" s="55">
        <v>32141</v>
      </c>
      <c r="I440" s="56">
        <f t="shared" si="31"/>
        <v>0.30812075196763589</v>
      </c>
      <c r="J440" s="55">
        <v>781</v>
      </c>
      <c r="K440" s="56">
        <f t="shared" si="32"/>
        <v>7.4870821469998948E-3</v>
      </c>
      <c r="L440" s="56">
        <f t="shared" si="33"/>
        <v>2.4299181730499983E-2</v>
      </c>
      <c r="M440" s="55">
        <v>32</v>
      </c>
      <c r="N440" s="56">
        <f t="shared" si="34"/>
        <v>3.0676905083738365E-4</v>
      </c>
      <c r="O440" s="53" t="s">
        <v>443</v>
      </c>
    </row>
    <row r="441" spans="1:15" hidden="1" x14ac:dyDescent="0.25">
      <c r="A441" s="58" t="s">
        <v>22</v>
      </c>
      <c r="B441" s="53" t="s">
        <v>444</v>
      </c>
      <c r="C441" s="53" t="s">
        <v>443</v>
      </c>
      <c r="D441" s="54">
        <v>45023</v>
      </c>
      <c r="E441" s="55">
        <v>203399</v>
      </c>
      <c r="F441" s="56">
        <f t="shared" si="30"/>
        <v>0.99458207759133521</v>
      </c>
      <c r="G441" s="55">
        <v>1102</v>
      </c>
      <c r="H441" s="55">
        <v>62426</v>
      </c>
      <c r="I441" s="56">
        <f t="shared" si="31"/>
        <v>0.30691399662731872</v>
      </c>
      <c r="J441" s="55">
        <v>1360</v>
      </c>
      <c r="K441" s="56">
        <f t="shared" si="32"/>
        <v>6.686365223034528E-3</v>
      </c>
      <c r="L441" s="56">
        <f t="shared" si="33"/>
        <v>2.1785794380546567E-2</v>
      </c>
      <c r="M441" s="55">
        <v>359</v>
      </c>
      <c r="N441" s="56">
        <f t="shared" si="34"/>
        <v>1.7650037610804381E-3</v>
      </c>
      <c r="O441" s="53" t="s">
        <v>443</v>
      </c>
    </row>
    <row r="442" spans="1:15" hidden="1" x14ac:dyDescent="0.25">
      <c r="A442" s="58" t="s">
        <v>23</v>
      </c>
      <c r="B442" s="53" t="s">
        <v>439</v>
      </c>
      <c r="C442" s="53" t="s">
        <v>443</v>
      </c>
      <c r="D442" s="54">
        <v>45023</v>
      </c>
      <c r="E442" s="55">
        <v>1847801</v>
      </c>
      <c r="F442" s="56">
        <f t="shared" si="30"/>
        <v>0.99565645867709784</v>
      </c>
      <c r="G442" s="55">
        <v>8026</v>
      </c>
      <c r="H442" s="55">
        <v>709708</v>
      </c>
      <c r="I442" s="56">
        <f t="shared" si="31"/>
        <v>0.38408248507279735</v>
      </c>
      <c r="J442" s="55">
        <v>12062</v>
      </c>
      <c r="K442" s="56">
        <f t="shared" si="32"/>
        <v>6.5277592121662448E-3</v>
      </c>
      <c r="L442" s="56">
        <f t="shared" si="33"/>
        <v>1.6995722184334965E-2</v>
      </c>
      <c r="M442" s="55">
        <v>1547</v>
      </c>
      <c r="N442" s="56">
        <f t="shared" si="34"/>
        <v>8.3721136637549172E-4</v>
      </c>
      <c r="O442" s="53" t="s">
        <v>443</v>
      </c>
    </row>
    <row r="443" spans="1:15" hidden="1" x14ac:dyDescent="0.25">
      <c r="A443" s="58" t="s">
        <v>23</v>
      </c>
      <c r="B443" s="53" t="s">
        <v>444</v>
      </c>
      <c r="C443" s="53" t="s">
        <v>443</v>
      </c>
      <c r="D443" s="54">
        <v>45023</v>
      </c>
      <c r="E443" s="55">
        <v>2240811</v>
      </c>
      <c r="F443" s="56">
        <f t="shared" si="30"/>
        <v>0.99608043694894388</v>
      </c>
      <c r="G443" s="55">
        <v>8783</v>
      </c>
      <c r="H443" s="55">
        <v>769127</v>
      </c>
      <c r="I443" s="56">
        <f t="shared" si="31"/>
        <v>0.34323599803821025</v>
      </c>
      <c r="J443" s="55">
        <v>12471</v>
      </c>
      <c r="K443" s="56">
        <f t="shared" si="32"/>
        <v>5.5653957428805911E-3</v>
      </c>
      <c r="L443" s="56">
        <f t="shared" si="33"/>
        <v>1.6214487334341401E-2</v>
      </c>
      <c r="M443" s="55">
        <v>3565</v>
      </c>
      <c r="N443" s="56">
        <f t="shared" si="34"/>
        <v>1.5909418509637806E-3</v>
      </c>
      <c r="O443" s="53" t="s">
        <v>443</v>
      </c>
    </row>
    <row r="444" spans="1:15" x14ac:dyDescent="0.25">
      <c r="A444" s="58" t="s">
        <v>451</v>
      </c>
      <c r="B444" s="53" t="s">
        <v>444</v>
      </c>
      <c r="C444" s="53" t="s">
        <v>452</v>
      </c>
      <c r="D444" s="54">
        <v>45023</v>
      </c>
      <c r="E444" s="55">
        <v>238042</v>
      </c>
      <c r="F444" s="56">
        <f t="shared" si="30"/>
        <v>0.99618974802765903</v>
      </c>
      <c r="G444" s="55">
        <v>907</v>
      </c>
      <c r="H444" s="55">
        <v>105398</v>
      </c>
      <c r="I444" s="56">
        <f t="shared" si="31"/>
        <v>0.44277060350694414</v>
      </c>
      <c r="J444" s="55">
        <v>3143</v>
      </c>
      <c r="K444" s="56">
        <f t="shared" si="32"/>
        <v>1.3203552314297477E-2</v>
      </c>
      <c r="L444" s="56">
        <f t="shared" si="33"/>
        <v>2.982030019544963E-2</v>
      </c>
      <c r="M444" s="55">
        <v>197</v>
      </c>
      <c r="N444" s="56">
        <f t="shared" si="34"/>
        <v>8.2758504801673657E-4</v>
      </c>
      <c r="O444" s="53" t="s">
        <v>452</v>
      </c>
    </row>
    <row r="445" spans="1:15" x14ac:dyDescent="0.25">
      <c r="A445" s="58" t="s">
        <v>453</v>
      </c>
      <c r="B445" s="53" t="s">
        <v>444</v>
      </c>
      <c r="C445" s="53" t="s">
        <v>452</v>
      </c>
      <c r="D445" s="54">
        <v>45023</v>
      </c>
      <c r="E445" s="55">
        <v>332850</v>
      </c>
      <c r="F445" s="56">
        <f t="shared" si="30"/>
        <v>0.99486555505482954</v>
      </c>
      <c r="G445" s="55">
        <v>1709</v>
      </c>
      <c r="H445" s="55">
        <v>119937</v>
      </c>
      <c r="I445" s="56">
        <f t="shared" si="31"/>
        <v>0.36033348355114919</v>
      </c>
      <c r="J445" s="55">
        <v>3704</v>
      </c>
      <c r="K445" s="56">
        <f t="shared" si="32"/>
        <v>1.1128135796905513E-2</v>
      </c>
      <c r="L445" s="56">
        <f t="shared" si="33"/>
        <v>3.0882880178760515E-2</v>
      </c>
      <c r="M445" s="55">
        <v>290</v>
      </c>
      <c r="N445" s="56">
        <f t="shared" si="34"/>
        <v>8.7126333183115516E-4</v>
      </c>
      <c r="O445" s="53" t="s">
        <v>452</v>
      </c>
    </row>
    <row r="446" spans="1:15" hidden="1" x14ac:dyDescent="0.25">
      <c r="A446" s="58" t="s">
        <v>18</v>
      </c>
      <c r="B446" s="53" t="s">
        <v>439</v>
      </c>
      <c r="C446" s="53" t="s">
        <v>443</v>
      </c>
      <c r="D446" s="54">
        <v>45027</v>
      </c>
      <c r="E446" s="55">
        <v>25937</v>
      </c>
      <c r="F446" s="56">
        <f t="shared" si="30"/>
        <v>0.99390831630489263</v>
      </c>
      <c r="G446" s="55">
        <v>158</v>
      </c>
      <c r="H446" s="55">
        <v>9232</v>
      </c>
      <c r="I446" s="56">
        <f t="shared" si="31"/>
        <v>0.35593939160272969</v>
      </c>
      <c r="J446" s="55">
        <v>286</v>
      </c>
      <c r="K446" s="56">
        <f t="shared" si="32"/>
        <v>1.1026718587346261E-2</v>
      </c>
      <c r="L446" s="56">
        <f t="shared" si="33"/>
        <v>3.0979202772963604E-2</v>
      </c>
      <c r="M446" s="55">
        <v>19</v>
      </c>
      <c r="N446" s="56">
        <f t="shared" si="34"/>
        <v>7.3254424181670968E-4</v>
      </c>
      <c r="O446" s="53" t="s">
        <v>443</v>
      </c>
    </row>
    <row r="447" spans="1:15" hidden="1" x14ac:dyDescent="0.25">
      <c r="A447" s="58" t="s">
        <v>18</v>
      </c>
      <c r="B447" s="53" t="s">
        <v>444</v>
      </c>
      <c r="C447" s="53" t="s">
        <v>443</v>
      </c>
      <c r="D447" s="54">
        <v>45027</v>
      </c>
      <c r="E447" s="55">
        <v>26722</v>
      </c>
      <c r="F447" s="56">
        <f t="shared" si="30"/>
        <v>0.99550931816480803</v>
      </c>
      <c r="G447" s="55">
        <v>120</v>
      </c>
      <c r="H447" s="55">
        <v>10200</v>
      </c>
      <c r="I447" s="56">
        <f t="shared" si="31"/>
        <v>0.38170795599131802</v>
      </c>
      <c r="J447" s="55">
        <v>287</v>
      </c>
      <c r="K447" s="56">
        <f t="shared" si="32"/>
        <v>1.0740214055834144E-2</v>
      </c>
      <c r="L447" s="56">
        <f t="shared" si="33"/>
        <v>2.8137254901960784E-2</v>
      </c>
      <c r="M447" s="55">
        <v>34</v>
      </c>
      <c r="N447" s="56">
        <f t="shared" si="34"/>
        <v>1.2723598533043933E-3</v>
      </c>
      <c r="O447" s="53" t="s">
        <v>443</v>
      </c>
    </row>
    <row r="448" spans="1:15" hidden="1" x14ac:dyDescent="0.25">
      <c r="A448" s="58" t="s">
        <v>19</v>
      </c>
      <c r="B448" s="53" t="s">
        <v>439</v>
      </c>
      <c r="C448" s="53" t="s">
        <v>443</v>
      </c>
      <c r="D448" s="54">
        <v>45027</v>
      </c>
      <c r="E448" s="55">
        <v>229129</v>
      </c>
      <c r="F448" s="56">
        <f t="shared" si="30"/>
        <v>0.99498099323961608</v>
      </c>
      <c r="G448" s="55">
        <v>1150</v>
      </c>
      <c r="H448" s="55">
        <v>82143</v>
      </c>
      <c r="I448" s="56">
        <f t="shared" si="31"/>
        <v>0.35850110636366411</v>
      </c>
      <c r="J448" s="55">
        <v>1645</v>
      </c>
      <c r="K448" s="56">
        <f t="shared" si="32"/>
        <v>7.1793618442013013E-3</v>
      </c>
      <c r="L448" s="56">
        <f t="shared" si="33"/>
        <v>2.0026052128604994E-2</v>
      </c>
      <c r="M448" s="55">
        <v>125</v>
      </c>
      <c r="N448" s="56">
        <f t="shared" si="34"/>
        <v>5.4554421308520532E-4</v>
      </c>
      <c r="O448" s="53" t="s">
        <v>443</v>
      </c>
    </row>
    <row r="449" spans="1:15" hidden="1" x14ac:dyDescent="0.25">
      <c r="A449" s="58" t="s">
        <v>19</v>
      </c>
      <c r="B449" s="53" t="s">
        <v>444</v>
      </c>
      <c r="C449" s="53" t="s">
        <v>443</v>
      </c>
      <c r="D449" s="54">
        <v>45027</v>
      </c>
      <c r="E449" s="55">
        <v>445785</v>
      </c>
      <c r="F449" s="56">
        <f t="shared" si="30"/>
        <v>0.99608331370503722</v>
      </c>
      <c r="G449" s="55">
        <v>1746</v>
      </c>
      <c r="H449" s="55">
        <v>173279</v>
      </c>
      <c r="I449" s="56">
        <f t="shared" si="31"/>
        <v>0.38870531758583171</v>
      </c>
      <c r="J449" s="55">
        <v>2565</v>
      </c>
      <c r="K449" s="56">
        <f t="shared" si="32"/>
        <v>5.7538948147649654E-3</v>
      </c>
      <c r="L449" s="56">
        <f t="shared" si="33"/>
        <v>1.4802717005522884E-2</v>
      </c>
      <c r="M449" s="55">
        <v>457</v>
      </c>
      <c r="N449" s="56">
        <f t="shared" si="34"/>
        <v>1.0251578675819061E-3</v>
      </c>
      <c r="O449" s="53" t="s">
        <v>443</v>
      </c>
    </row>
    <row r="450" spans="1:15" hidden="1" x14ac:dyDescent="0.25">
      <c r="A450" s="52" t="s">
        <v>619</v>
      </c>
      <c r="B450" s="53" t="s">
        <v>439</v>
      </c>
      <c r="C450" s="53" t="s">
        <v>447</v>
      </c>
      <c r="D450" s="54">
        <v>45027</v>
      </c>
      <c r="E450" s="55">
        <v>73905</v>
      </c>
      <c r="F450" s="56">
        <f t="shared" ref="F450:F513" si="35">(E450-G450)/E450</f>
        <v>0.99548068466274275</v>
      </c>
      <c r="G450" s="55">
        <v>334</v>
      </c>
      <c r="H450" s="55">
        <v>32069</v>
      </c>
      <c r="I450" s="56">
        <f t="shared" ref="I450:I513" si="36">H450/E450</f>
        <v>0.43392192679791625</v>
      </c>
      <c r="J450" s="55">
        <v>2423</v>
      </c>
      <c r="K450" s="56">
        <f t="shared" ref="K450:K513" si="37">J450/E450</f>
        <v>3.2785332521480276E-2</v>
      </c>
      <c r="L450" s="56">
        <f t="shared" ref="L450:L513" si="38">J450/H450</f>
        <v>7.5555832735663728E-2</v>
      </c>
      <c r="M450" s="55">
        <v>53</v>
      </c>
      <c r="N450" s="56">
        <f t="shared" ref="N450:N513" si="39">M450/E450</f>
        <v>7.1713686489412079E-4</v>
      </c>
      <c r="O450" s="53" t="s">
        <v>448</v>
      </c>
    </row>
    <row r="451" spans="1:15" hidden="1" x14ac:dyDescent="0.25">
      <c r="A451" s="52" t="s">
        <v>620</v>
      </c>
      <c r="B451" s="53" t="s">
        <v>439</v>
      </c>
      <c r="C451" s="53" t="s">
        <v>443</v>
      </c>
      <c r="D451" s="54">
        <v>45028</v>
      </c>
      <c r="E451" s="55">
        <v>249215</v>
      </c>
      <c r="F451" s="56">
        <f t="shared" si="35"/>
        <v>0.99455088979395301</v>
      </c>
      <c r="G451" s="55">
        <v>1358</v>
      </c>
      <c r="H451" s="55">
        <v>86040</v>
      </c>
      <c r="I451" s="56">
        <f t="shared" si="36"/>
        <v>0.34524406636839677</v>
      </c>
      <c r="J451" s="55">
        <v>977</v>
      </c>
      <c r="K451" s="56">
        <f t="shared" si="37"/>
        <v>3.9203097726862347E-3</v>
      </c>
      <c r="L451" s="56">
        <f t="shared" si="38"/>
        <v>1.1355183635518363E-2</v>
      </c>
      <c r="M451" s="55">
        <v>106</v>
      </c>
      <c r="N451" s="56">
        <f t="shared" si="39"/>
        <v>4.2533555363842465E-4</v>
      </c>
      <c r="O451" s="53" t="s">
        <v>443</v>
      </c>
    </row>
    <row r="452" spans="1:15" hidden="1" x14ac:dyDescent="0.25">
      <c r="A452" s="52" t="s">
        <v>445</v>
      </c>
      <c r="B452" s="53"/>
      <c r="C452" s="53" t="s">
        <v>446</v>
      </c>
      <c r="D452" s="54">
        <v>45028</v>
      </c>
      <c r="E452" s="55">
        <v>283</v>
      </c>
      <c r="F452" s="56">
        <f t="shared" si="35"/>
        <v>1</v>
      </c>
      <c r="G452" s="55">
        <v>0</v>
      </c>
      <c r="H452" s="55">
        <v>84</v>
      </c>
      <c r="I452" s="56">
        <f t="shared" si="36"/>
        <v>0.29681978798586572</v>
      </c>
      <c r="J452" s="55">
        <v>2</v>
      </c>
      <c r="K452" s="56">
        <f t="shared" si="37"/>
        <v>7.0671378091872791E-3</v>
      </c>
      <c r="L452" s="56">
        <f t="shared" si="38"/>
        <v>2.3809523809523808E-2</v>
      </c>
      <c r="M452" s="55">
        <v>0</v>
      </c>
      <c r="N452" s="56">
        <f t="shared" si="39"/>
        <v>0</v>
      </c>
      <c r="O452" s="53" t="s">
        <v>446</v>
      </c>
    </row>
    <row r="453" spans="1:15" hidden="1" x14ac:dyDescent="0.25">
      <c r="A453" s="52" t="s">
        <v>621</v>
      </c>
      <c r="B453" s="65" t="s">
        <v>622</v>
      </c>
      <c r="C453" s="53" t="s">
        <v>592</v>
      </c>
      <c r="D453" s="54">
        <v>45028</v>
      </c>
      <c r="E453" s="55">
        <v>31437</v>
      </c>
      <c r="F453" s="56">
        <f>(E453-G453)/E453</f>
        <v>0.99605560327003217</v>
      </c>
      <c r="G453" s="55">
        <v>124</v>
      </c>
      <c r="H453" s="55">
        <v>14920</v>
      </c>
      <c r="I453" s="56">
        <f>H453/E453</f>
        <v>0.47459999363806982</v>
      </c>
      <c r="J453" s="55">
        <v>779</v>
      </c>
      <c r="K453" s="56">
        <f>J453/E453</f>
        <v>2.4779718166491712E-2</v>
      </c>
      <c r="L453" s="56">
        <f>J453/H453</f>
        <v>5.2211796246648796E-2</v>
      </c>
      <c r="M453" s="55">
        <v>13</v>
      </c>
      <c r="N453" s="56">
        <f>M453/E453</f>
        <v>4.1352546362566405E-4</v>
      </c>
      <c r="O453" s="53" t="s">
        <v>592</v>
      </c>
    </row>
    <row r="454" spans="1:15" hidden="1" x14ac:dyDescent="0.25">
      <c r="A454" s="52" t="s">
        <v>623</v>
      </c>
      <c r="B454" s="53" t="s">
        <v>439</v>
      </c>
      <c r="C454" s="53" t="s">
        <v>443</v>
      </c>
      <c r="D454" s="54">
        <v>45029</v>
      </c>
      <c r="E454" s="55">
        <v>22178</v>
      </c>
      <c r="F454" s="56">
        <f t="shared" si="35"/>
        <v>0.99526557850121744</v>
      </c>
      <c r="G454" s="55">
        <v>105</v>
      </c>
      <c r="H454" s="55">
        <v>7786</v>
      </c>
      <c r="I454" s="56">
        <f t="shared" si="36"/>
        <v>0.35106862656686805</v>
      </c>
      <c r="J454" s="55">
        <v>53</v>
      </c>
      <c r="K454" s="56">
        <f t="shared" si="37"/>
        <v>2.3897556136712058E-3</v>
      </c>
      <c r="L454" s="56">
        <f t="shared" si="38"/>
        <v>6.8070896480863091E-3</v>
      </c>
      <c r="M454" s="55">
        <v>16</v>
      </c>
      <c r="N454" s="56">
        <f t="shared" si="39"/>
        <v>7.2143565695734517E-4</v>
      </c>
      <c r="O454" s="53" t="s">
        <v>443</v>
      </c>
    </row>
    <row r="455" spans="1:15" hidden="1" x14ac:dyDescent="0.25">
      <c r="A455" s="52" t="s">
        <v>624</v>
      </c>
      <c r="B455" s="53" t="s">
        <v>439</v>
      </c>
      <c r="C455" s="53" t="s">
        <v>443</v>
      </c>
      <c r="D455" s="54">
        <v>45029</v>
      </c>
      <c r="E455" s="55">
        <v>2294</v>
      </c>
      <c r="F455" s="56">
        <f t="shared" si="35"/>
        <v>0.98823016564952049</v>
      </c>
      <c r="G455" s="55">
        <v>27</v>
      </c>
      <c r="H455" s="55">
        <v>676</v>
      </c>
      <c r="I455" s="56">
        <f t="shared" si="36"/>
        <v>0.2946817785527463</v>
      </c>
      <c r="J455" s="55">
        <v>6</v>
      </c>
      <c r="K455" s="56">
        <f t="shared" si="37"/>
        <v>2.6155187445510027E-3</v>
      </c>
      <c r="L455" s="56">
        <f t="shared" si="38"/>
        <v>8.8757396449704144E-3</v>
      </c>
      <c r="M455" s="55">
        <v>1</v>
      </c>
      <c r="N455" s="56">
        <f t="shared" si="39"/>
        <v>4.3591979075850045E-4</v>
      </c>
      <c r="O455" s="53" t="s">
        <v>443</v>
      </c>
    </row>
    <row r="456" spans="1:15" hidden="1" x14ac:dyDescent="0.25">
      <c r="A456" s="52" t="s">
        <v>625</v>
      </c>
      <c r="B456" s="53" t="s">
        <v>439</v>
      </c>
      <c r="C456" s="53" t="s">
        <v>443</v>
      </c>
      <c r="D456" s="54">
        <v>45029</v>
      </c>
      <c r="E456" s="55">
        <v>418356</v>
      </c>
      <c r="F456" s="56">
        <f t="shared" si="35"/>
        <v>0.99500425474954346</v>
      </c>
      <c r="G456" s="55">
        <v>2090</v>
      </c>
      <c r="H456" s="55">
        <v>149159</v>
      </c>
      <c r="I456" s="56">
        <f t="shared" si="36"/>
        <v>0.35653606019753509</v>
      </c>
      <c r="J456" s="55">
        <v>1081</v>
      </c>
      <c r="K456" s="56">
        <f t="shared" si="37"/>
        <v>2.5839237395902056E-3</v>
      </c>
      <c r="L456" s="56">
        <f t="shared" si="38"/>
        <v>7.2472998612219171E-3</v>
      </c>
      <c r="M456" s="55">
        <v>196</v>
      </c>
      <c r="N456" s="56">
        <f t="shared" si="39"/>
        <v>4.6850051152606869E-4</v>
      </c>
      <c r="O456" s="53" t="s">
        <v>443</v>
      </c>
    </row>
    <row r="457" spans="1:15" hidden="1" x14ac:dyDescent="0.25">
      <c r="A457" s="52" t="s">
        <v>626</v>
      </c>
      <c r="B457" s="53" t="s">
        <v>439</v>
      </c>
      <c r="C457" s="53" t="s">
        <v>443</v>
      </c>
      <c r="D457" s="54">
        <v>45029</v>
      </c>
      <c r="E457" s="55">
        <v>43324</v>
      </c>
      <c r="F457" s="56">
        <f t="shared" si="35"/>
        <v>0.99249838426738068</v>
      </c>
      <c r="G457" s="55">
        <v>325</v>
      </c>
      <c r="H457" s="55">
        <v>13991</v>
      </c>
      <c r="I457" s="56">
        <f t="shared" si="36"/>
        <v>0.32293878681562183</v>
      </c>
      <c r="J457" s="55">
        <v>154</v>
      </c>
      <c r="K457" s="56">
        <f t="shared" si="37"/>
        <v>3.5546117625334687E-3</v>
      </c>
      <c r="L457" s="56">
        <f t="shared" si="38"/>
        <v>1.1007075977414052E-2</v>
      </c>
      <c r="M457" s="55">
        <v>19</v>
      </c>
      <c r="N457" s="56">
        <f t="shared" si="39"/>
        <v>4.385559966762072E-4</v>
      </c>
      <c r="O457" s="53" t="s">
        <v>443</v>
      </c>
    </row>
    <row r="458" spans="1:15" hidden="1" x14ac:dyDescent="0.25">
      <c r="A458" s="58" t="s">
        <v>449</v>
      </c>
      <c r="B458" s="53"/>
      <c r="C458" s="53" t="s">
        <v>446</v>
      </c>
      <c r="D458" s="54">
        <v>45029</v>
      </c>
      <c r="E458" s="55">
        <v>1639</v>
      </c>
      <c r="F458" s="56">
        <f t="shared" si="35"/>
        <v>0.99755948749237344</v>
      </c>
      <c r="G458" s="55">
        <v>4</v>
      </c>
      <c r="H458" s="55">
        <v>559</v>
      </c>
      <c r="I458" s="56">
        <f t="shared" si="36"/>
        <v>0.3410616229408176</v>
      </c>
      <c r="J458" s="55">
        <v>13</v>
      </c>
      <c r="K458" s="56">
        <f t="shared" si="37"/>
        <v>7.9316656497864547E-3</v>
      </c>
      <c r="L458" s="56">
        <f t="shared" si="38"/>
        <v>2.3255813953488372E-2</v>
      </c>
      <c r="M458" s="55">
        <v>0</v>
      </c>
      <c r="N458" s="56">
        <f t="shared" si="39"/>
        <v>0</v>
      </c>
      <c r="O458" s="53" t="s">
        <v>446</v>
      </c>
    </row>
    <row r="459" spans="1:15" hidden="1" x14ac:dyDescent="0.25">
      <c r="A459" s="58" t="s">
        <v>22</v>
      </c>
      <c r="B459" s="53" t="s">
        <v>439</v>
      </c>
      <c r="C459" s="53" t="s">
        <v>443</v>
      </c>
      <c r="D459" s="54">
        <v>45030</v>
      </c>
      <c r="E459" s="55">
        <v>105155</v>
      </c>
      <c r="F459" s="56">
        <f t="shared" si="35"/>
        <v>0.99282012267604969</v>
      </c>
      <c r="G459" s="55">
        <v>755</v>
      </c>
      <c r="H459" s="55">
        <v>32793</v>
      </c>
      <c r="I459" s="56">
        <f t="shared" si="36"/>
        <v>0.31185392991298561</v>
      </c>
      <c r="J459" s="55">
        <v>553</v>
      </c>
      <c r="K459" s="56">
        <f t="shared" si="37"/>
        <v>5.2589035233702626E-3</v>
      </c>
      <c r="L459" s="56">
        <f t="shared" si="38"/>
        <v>1.686335498429543E-2</v>
      </c>
      <c r="M459" s="55">
        <v>55</v>
      </c>
      <c r="N459" s="56">
        <f t="shared" si="39"/>
        <v>5.230374209500261E-4</v>
      </c>
      <c r="O459" s="53" t="s">
        <v>443</v>
      </c>
    </row>
    <row r="460" spans="1:15" hidden="1" x14ac:dyDescent="0.25">
      <c r="A460" s="58" t="s">
        <v>22</v>
      </c>
      <c r="B460" s="53" t="s">
        <v>444</v>
      </c>
      <c r="C460" s="53" t="s">
        <v>443</v>
      </c>
      <c r="D460" s="54">
        <v>45030</v>
      </c>
      <c r="E460" s="55">
        <v>207014</v>
      </c>
      <c r="F460" s="56">
        <f t="shared" si="35"/>
        <v>0.99446414252176185</v>
      </c>
      <c r="G460" s="55">
        <v>1146</v>
      </c>
      <c r="H460" s="55">
        <v>63483</v>
      </c>
      <c r="I460" s="56">
        <f t="shared" si="36"/>
        <v>0.30666041910208969</v>
      </c>
      <c r="J460" s="55">
        <v>1099</v>
      </c>
      <c r="K460" s="56">
        <f t="shared" si="37"/>
        <v>5.3088196933540723E-3</v>
      </c>
      <c r="L460" s="56">
        <f t="shared" si="38"/>
        <v>1.7311721248208182E-2</v>
      </c>
      <c r="M460" s="55">
        <v>498</v>
      </c>
      <c r="N460" s="56">
        <f t="shared" si="39"/>
        <v>2.4056344015380604E-3</v>
      </c>
      <c r="O460" s="53" t="s">
        <v>443</v>
      </c>
    </row>
    <row r="461" spans="1:15" hidden="1" x14ac:dyDescent="0.25">
      <c r="A461" s="58" t="s">
        <v>23</v>
      </c>
      <c r="B461" s="53" t="s">
        <v>439</v>
      </c>
      <c r="C461" s="53" t="s">
        <v>443</v>
      </c>
      <c r="D461" s="54">
        <v>45030</v>
      </c>
      <c r="E461" s="55">
        <v>1885869</v>
      </c>
      <c r="F461" s="56">
        <f t="shared" si="35"/>
        <v>0.9949179927131736</v>
      </c>
      <c r="G461" s="55">
        <v>9584</v>
      </c>
      <c r="H461" s="55">
        <v>642469</v>
      </c>
      <c r="I461" s="56">
        <f t="shared" si="36"/>
        <v>0.34067530671536572</v>
      </c>
      <c r="J461" s="55">
        <v>7776</v>
      </c>
      <c r="K461" s="56">
        <f t="shared" si="37"/>
        <v>4.1232980657723312E-3</v>
      </c>
      <c r="L461" s="56">
        <f t="shared" si="38"/>
        <v>1.2103307708231837E-2</v>
      </c>
      <c r="M461" s="55">
        <v>1601</v>
      </c>
      <c r="N461" s="56">
        <f t="shared" si="39"/>
        <v>8.4894549939576924E-4</v>
      </c>
      <c r="O461" s="53" t="s">
        <v>443</v>
      </c>
    </row>
    <row r="462" spans="1:15" hidden="1" x14ac:dyDescent="0.25">
      <c r="A462" s="58" t="s">
        <v>23</v>
      </c>
      <c r="B462" s="53" t="s">
        <v>444</v>
      </c>
      <c r="C462" s="53" t="s">
        <v>443</v>
      </c>
      <c r="D462" s="54">
        <v>45030</v>
      </c>
      <c r="E462" s="55">
        <v>2273969</v>
      </c>
      <c r="F462" s="56">
        <f t="shared" si="35"/>
        <v>0.99563582441097487</v>
      </c>
      <c r="G462" s="55">
        <v>9924</v>
      </c>
      <c r="H462" s="55">
        <v>761356</v>
      </c>
      <c r="I462" s="56">
        <f t="shared" si="36"/>
        <v>0.33481371118075925</v>
      </c>
      <c r="J462" s="55">
        <v>9006</v>
      </c>
      <c r="K462" s="56">
        <f t="shared" si="37"/>
        <v>3.960476154248365E-3</v>
      </c>
      <c r="L462" s="56">
        <f t="shared" si="38"/>
        <v>1.1828894761451936E-2</v>
      </c>
      <c r="M462" s="55">
        <v>3810</v>
      </c>
      <c r="N462" s="56">
        <f t="shared" si="39"/>
        <v>1.6754845822436453E-3</v>
      </c>
      <c r="O462" s="53" t="s">
        <v>443</v>
      </c>
    </row>
    <row r="463" spans="1:15" x14ac:dyDescent="0.25">
      <c r="A463" s="58" t="s">
        <v>451</v>
      </c>
      <c r="B463" s="53" t="s">
        <v>444</v>
      </c>
      <c r="C463" s="53" t="s">
        <v>452</v>
      </c>
      <c r="D463" s="54">
        <v>45030</v>
      </c>
      <c r="E463" s="55">
        <v>238448</v>
      </c>
      <c r="F463" s="56">
        <f t="shared" si="35"/>
        <v>0.99592363953566398</v>
      </c>
      <c r="G463" s="55">
        <v>972</v>
      </c>
      <c r="H463" s="55">
        <v>106462</v>
      </c>
      <c r="I463" s="56">
        <f t="shared" si="36"/>
        <v>0.44647889686640274</v>
      </c>
      <c r="J463" s="55">
        <v>2225</v>
      </c>
      <c r="K463" s="56">
        <f t="shared" si="37"/>
        <v>9.331174931221901E-3</v>
      </c>
      <c r="L463" s="56">
        <f t="shared" si="38"/>
        <v>2.0899475869324266E-2</v>
      </c>
      <c r="M463" s="55">
        <v>223</v>
      </c>
      <c r="N463" s="56">
        <f t="shared" si="39"/>
        <v>9.352143863651614E-4</v>
      </c>
      <c r="O463" s="53" t="s">
        <v>452</v>
      </c>
    </row>
    <row r="464" spans="1:15" x14ac:dyDescent="0.25">
      <c r="A464" s="58" t="s">
        <v>453</v>
      </c>
      <c r="B464" s="53" t="s">
        <v>444</v>
      </c>
      <c r="C464" s="53" t="s">
        <v>452</v>
      </c>
      <c r="D464" s="54">
        <v>45030</v>
      </c>
      <c r="E464" s="55">
        <v>332969</v>
      </c>
      <c r="F464" s="56">
        <f t="shared" si="35"/>
        <v>0.99439287140844945</v>
      </c>
      <c r="G464" s="55">
        <v>1867</v>
      </c>
      <c r="H464" s="55">
        <v>120031</v>
      </c>
      <c r="I464" s="56">
        <f t="shared" si="36"/>
        <v>0.36048701230444874</v>
      </c>
      <c r="J464" s="55">
        <v>2852</v>
      </c>
      <c r="K464" s="56">
        <f t="shared" si="37"/>
        <v>8.5653619406010767E-3</v>
      </c>
      <c r="L464" s="56">
        <f t="shared" si="38"/>
        <v>2.3760528530129717E-2</v>
      </c>
      <c r="M464" s="55">
        <v>329</v>
      </c>
      <c r="N464" s="56">
        <f t="shared" si="39"/>
        <v>9.8807997140874966E-4</v>
      </c>
      <c r="O464" s="53" t="s">
        <v>452</v>
      </c>
    </row>
    <row r="465" spans="1:15" x14ac:dyDescent="0.25">
      <c r="A465" s="58" t="s">
        <v>454</v>
      </c>
      <c r="B465" s="53" t="s">
        <v>444</v>
      </c>
      <c r="C465" s="53" t="s">
        <v>452</v>
      </c>
      <c r="D465" s="54">
        <v>45031</v>
      </c>
      <c r="E465" s="55">
        <v>14896</v>
      </c>
      <c r="F465" s="56">
        <f t="shared" si="35"/>
        <v>0.9938238453276047</v>
      </c>
      <c r="G465" s="55">
        <v>92</v>
      </c>
      <c r="H465" s="55">
        <v>4369</v>
      </c>
      <c r="I465" s="56">
        <f t="shared" si="36"/>
        <v>0.29330021482277119</v>
      </c>
      <c r="J465" s="55">
        <v>141</v>
      </c>
      <c r="K465" s="56">
        <f t="shared" si="37"/>
        <v>9.4656283566058007E-3</v>
      </c>
      <c r="L465" s="56">
        <f t="shared" si="38"/>
        <v>3.2272831311512935E-2</v>
      </c>
      <c r="M465" s="55">
        <v>13</v>
      </c>
      <c r="N465" s="56">
        <f t="shared" si="39"/>
        <v>8.7271750805585397E-4</v>
      </c>
      <c r="O465" s="53" t="s">
        <v>452</v>
      </c>
    </row>
    <row r="466" spans="1:15" hidden="1" x14ac:dyDescent="0.25">
      <c r="A466" s="52" t="s">
        <v>29</v>
      </c>
      <c r="B466" s="53" t="s">
        <v>439</v>
      </c>
      <c r="C466" s="53" t="s">
        <v>443</v>
      </c>
      <c r="D466" s="54">
        <v>45031</v>
      </c>
      <c r="E466" s="55">
        <v>25186</v>
      </c>
      <c r="F466" s="56">
        <f t="shared" si="35"/>
        <v>0.99166203446359091</v>
      </c>
      <c r="G466" s="55">
        <v>210</v>
      </c>
      <c r="H466" s="55">
        <v>7636</v>
      </c>
      <c r="I466" s="56">
        <f t="shared" si="36"/>
        <v>0.30318430874295244</v>
      </c>
      <c r="J466" s="55">
        <v>186</v>
      </c>
      <c r="K466" s="56">
        <f t="shared" si="37"/>
        <v>7.3850551893909315E-3</v>
      </c>
      <c r="L466" s="56">
        <f t="shared" si="38"/>
        <v>2.4358302776322682E-2</v>
      </c>
      <c r="M466" s="55">
        <v>8</v>
      </c>
      <c r="N466" s="56">
        <f t="shared" si="39"/>
        <v>3.1763678233939492E-4</v>
      </c>
      <c r="O466" s="53" t="s">
        <v>443</v>
      </c>
    </row>
    <row r="467" spans="1:15" hidden="1" x14ac:dyDescent="0.25">
      <c r="A467" s="52" t="s">
        <v>30</v>
      </c>
      <c r="B467" s="53" t="s">
        <v>439</v>
      </c>
      <c r="C467" s="53" t="s">
        <v>443</v>
      </c>
      <c r="D467" s="54">
        <v>45031</v>
      </c>
      <c r="E467" s="55">
        <v>395764</v>
      </c>
      <c r="F467" s="56">
        <f t="shared" si="35"/>
        <v>0.99420108953820963</v>
      </c>
      <c r="G467" s="55">
        <v>2295</v>
      </c>
      <c r="H467" s="55">
        <v>134485</v>
      </c>
      <c r="I467" s="56">
        <f t="shared" si="36"/>
        <v>0.33981109954417277</v>
      </c>
      <c r="J467" s="55">
        <v>2675</v>
      </c>
      <c r="K467" s="56">
        <f t="shared" si="37"/>
        <v>6.7590786428275438E-3</v>
      </c>
      <c r="L467" s="56">
        <f t="shared" si="38"/>
        <v>1.9890694129456817E-2</v>
      </c>
      <c r="M467" s="55">
        <v>548</v>
      </c>
      <c r="N467" s="56">
        <f t="shared" si="39"/>
        <v>1.384663587390465E-3</v>
      </c>
      <c r="O467" s="53" t="s">
        <v>443</v>
      </c>
    </row>
    <row r="468" spans="1:15" hidden="1" x14ac:dyDescent="0.25">
      <c r="A468" s="52" t="s">
        <v>621</v>
      </c>
      <c r="B468" s="53" t="s">
        <v>444</v>
      </c>
      <c r="C468" s="53" t="s">
        <v>443</v>
      </c>
      <c r="D468" s="54">
        <v>45031</v>
      </c>
      <c r="E468" s="55">
        <v>1081731</v>
      </c>
      <c r="F468" s="56">
        <f t="shared" si="35"/>
        <v>0.99594908530863957</v>
      </c>
      <c r="G468" s="55">
        <v>4382</v>
      </c>
      <c r="H468" s="55">
        <v>381238</v>
      </c>
      <c r="I468" s="56">
        <f t="shared" si="36"/>
        <v>0.35243327592534557</v>
      </c>
      <c r="J468" s="55">
        <v>7312</v>
      </c>
      <c r="K468" s="56">
        <f t="shared" si="37"/>
        <v>6.7595363357433593E-3</v>
      </c>
      <c r="L468" s="56">
        <f t="shared" si="38"/>
        <v>1.9179620079845135E-2</v>
      </c>
      <c r="M468" s="55">
        <v>2756</v>
      </c>
      <c r="N468" s="56">
        <f t="shared" si="39"/>
        <v>2.5477683453649751E-3</v>
      </c>
      <c r="O468" s="53" t="s">
        <v>443</v>
      </c>
    </row>
    <row r="469" spans="1:15" hidden="1" x14ac:dyDescent="0.25">
      <c r="A469" s="52" t="s">
        <v>621</v>
      </c>
      <c r="B469" s="53" t="s">
        <v>439</v>
      </c>
      <c r="C469" s="53" t="s">
        <v>443</v>
      </c>
      <c r="D469" s="54">
        <v>45031</v>
      </c>
      <c r="E469" s="55">
        <v>867344</v>
      </c>
      <c r="F469" s="56">
        <f t="shared" si="35"/>
        <v>0.99517607777306349</v>
      </c>
      <c r="G469" s="55">
        <v>4184</v>
      </c>
      <c r="H469" s="55">
        <v>328333</v>
      </c>
      <c r="I469" s="56">
        <f t="shared" si="36"/>
        <v>0.37854991791031012</v>
      </c>
      <c r="J469" s="55">
        <v>7233</v>
      </c>
      <c r="K469" s="56">
        <f t="shared" si="37"/>
        <v>8.3392517847589876E-3</v>
      </c>
      <c r="L469" s="56">
        <f t="shared" si="38"/>
        <v>2.2029463989303541E-2</v>
      </c>
      <c r="M469" s="55">
        <v>896</v>
      </c>
      <c r="N469" s="56">
        <f t="shared" si="39"/>
        <v>1.0330387942961501E-3</v>
      </c>
      <c r="O469" s="53" t="s">
        <v>443</v>
      </c>
    </row>
    <row r="470" spans="1:15" hidden="1" x14ac:dyDescent="0.25">
      <c r="A470" s="52" t="s">
        <v>627</v>
      </c>
      <c r="B470" s="53" t="s">
        <v>439</v>
      </c>
      <c r="C470" s="53" t="s">
        <v>443</v>
      </c>
      <c r="D470" s="54">
        <v>45033</v>
      </c>
      <c r="E470" s="55">
        <v>98596</v>
      </c>
      <c r="F470" s="56">
        <f t="shared" si="35"/>
        <v>0.99344801006126005</v>
      </c>
      <c r="G470" s="55">
        <v>646</v>
      </c>
      <c r="H470" s="55">
        <v>33372</v>
      </c>
      <c r="I470" s="56">
        <f t="shared" si="36"/>
        <v>0.33847214897156069</v>
      </c>
      <c r="J470" s="55">
        <v>298</v>
      </c>
      <c r="K470" s="56">
        <f t="shared" si="37"/>
        <v>3.022434987220577E-3</v>
      </c>
      <c r="L470" s="56">
        <f t="shared" si="38"/>
        <v>8.9296416157257589E-3</v>
      </c>
      <c r="M470" s="55">
        <v>58</v>
      </c>
      <c r="N470" s="56">
        <f t="shared" si="39"/>
        <v>5.8825915858655529E-4</v>
      </c>
      <c r="O470" s="53" t="s">
        <v>443</v>
      </c>
    </row>
    <row r="471" spans="1:15" hidden="1" x14ac:dyDescent="0.25">
      <c r="A471" s="52" t="s">
        <v>627</v>
      </c>
      <c r="B471" s="53" t="s">
        <v>444</v>
      </c>
      <c r="C471" s="53" t="s">
        <v>443</v>
      </c>
      <c r="D471" s="54">
        <v>45033</v>
      </c>
      <c r="E471" s="55">
        <v>168703</v>
      </c>
      <c r="F471" s="56">
        <f t="shared" si="35"/>
        <v>0.99504454574014689</v>
      </c>
      <c r="G471" s="55">
        <v>836</v>
      </c>
      <c r="H471" s="55">
        <v>55341</v>
      </c>
      <c r="I471" s="56">
        <f t="shared" si="36"/>
        <v>0.32803803133317133</v>
      </c>
      <c r="J471" s="55">
        <v>679</v>
      </c>
      <c r="K471" s="56">
        <f t="shared" si="37"/>
        <v>4.0248246919141924E-3</v>
      </c>
      <c r="L471" s="56">
        <f t="shared" si="38"/>
        <v>1.2269384362407619E-2</v>
      </c>
      <c r="M471" s="55">
        <v>535</v>
      </c>
      <c r="N471" s="56">
        <f t="shared" si="39"/>
        <v>3.1712536232313591E-3</v>
      </c>
      <c r="O471" s="53" t="s">
        <v>443</v>
      </c>
    </row>
    <row r="472" spans="1:15" hidden="1" x14ac:dyDescent="0.25">
      <c r="A472" s="52" t="s">
        <v>628</v>
      </c>
      <c r="B472" s="53" t="s">
        <v>439</v>
      </c>
      <c r="C472" s="53" t="s">
        <v>443</v>
      </c>
      <c r="D472" s="54">
        <v>45033</v>
      </c>
      <c r="E472" s="55">
        <v>1440021</v>
      </c>
      <c r="F472" s="56">
        <f t="shared" si="35"/>
        <v>0.99512437665839593</v>
      </c>
      <c r="G472" s="55">
        <v>7021</v>
      </c>
      <c r="H472" s="55">
        <v>594956</v>
      </c>
      <c r="I472" s="56">
        <f t="shared" si="36"/>
        <v>0.4131578636700437</v>
      </c>
      <c r="J472" s="55">
        <v>4024</v>
      </c>
      <c r="K472" s="56">
        <f t="shared" si="37"/>
        <v>2.7944036927239255E-3</v>
      </c>
      <c r="L472" s="56">
        <f t="shared" si="38"/>
        <v>6.7635253699433236E-3</v>
      </c>
      <c r="M472" s="55">
        <v>1467</v>
      </c>
      <c r="N472" s="56">
        <f t="shared" si="39"/>
        <v>1.0187351434458247E-3</v>
      </c>
      <c r="O472" s="53" t="s">
        <v>443</v>
      </c>
    </row>
    <row r="473" spans="1:15" hidden="1" x14ac:dyDescent="0.25">
      <c r="A473" s="52" t="s">
        <v>628</v>
      </c>
      <c r="B473" s="53" t="s">
        <v>444</v>
      </c>
      <c r="C473" s="53" t="s">
        <v>443</v>
      </c>
      <c r="D473" s="54">
        <v>45033</v>
      </c>
      <c r="E473" s="55">
        <v>1679912</v>
      </c>
      <c r="F473" s="56">
        <f t="shared" si="35"/>
        <v>0.99606527008557588</v>
      </c>
      <c r="G473" s="55">
        <v>6610</v>
      </c>
      <c r="H473" s="55">
        <v>619606</v>
      </c>
      <c r="I473" s="56">
        <f t="shared" si="36"/>
        <v>0.36883241503126352</v>
      </c>
      <c r="J473" s="55">
        <v>5407</v>
      </c>
      <c r="K473" s="56">
        <f t="shared" si="37"/>
        <v>3.2186209753844249E-3</v>
      </c>
      <c r="L473" s="56">
        <f t="shared" si="38"/>
        <v>8.7265133003876661E-3</v>
      </c>
      <c r="M473" s="55">
        <v>3701</v>
      </c>
      <c r="N473" s="56">
        <f t="shared" si="39"/>
        <v>2.2030915905118841E-3</v>
      </c>
      <c r="O473" s="53" t="s">
        <v>443</v>
      </c>
    </row>
    <row r="474" spans="1:15" hidden="1" x14ac:dyDescent="0.25">
      <c r="A474" s="52" t="s">
        <v>629</v>
      </c>
      <c r="B474" s="53" t="s">
        <v>439</v>
      </c>
      <c r="C474" s="53" t="s">
        <v>592</v>
      </c>
      <c r="D474" s="54">
        <v>45034</v>
      </c>
      <c r="E474" s="55">
        <v>17656</v>
      </c>
      <c r="F474" s="56">
        <f t="shared" si="35"/>
        <v>0.99637516991391029</v>
      </c>
      <c r="G474" s="55">
        <v>64</v>
      </c>
      <c r="H474" s="55">
        <v>9469</v>
      </c>
      <c r="I474" s="56">
        <f t="shared" si="36"/>
        <v>0.53630493883099228</v>
      </c>
      <c r="J474" s="55">
        <v>683</v>
      </c>
      <c r="K474" s="56">
        <f t="shared" si="37"/>
        <v>3.8683733574988673E-2</v>
      </c>
      <c r="L474" s="56">
        <f t="shared" si="38"/>
        <v>7.2130108776005911E-2</v>
      </c>
      <c r="M474" s="55">
        <v>8</v>
      </c>
      <c r="N474" s="56">
        <f t="shared" si="39"/>
        <v>4.5310376076121433E-4</v>
      </c>
      <c r="O474" s="53" t="s">
        <v>592</v>
      </c>
    </row>
    <row r="475" spans="1:15" hidden="1" x14ac:dyDescent="0.25">
      <c r="A475" s="52" t="s">
        <v>629</v>
      </c>
      <c r="B475" s="53" t="s">
        <v>444</v>
      </c>
      <c r="C475" s="53" t="s">
        <v>592</v>
      </c>
      <c r="D475" s="54">
        <v>45034</v>
      </c>
      <c r="E475" s="55">
        <v>4667</v>
      </c>
      <c r="F475" s="56">
        <f t="shared" si="35"/>
        <v>0.99678594386115282</v>
      </c>
      <c r="G475" s="55">
        <v>15</v>
      </c>
      <c r="H475" s="55">
        <v>2719</v>
      </c>
      <c r="I475" s="56">
        <f t="shared" si="36"/>
        <v>0.58260124276837366</v>
      </c>
      <c r="J475" s="55">
        <v>207</v>
      </c>
      <c r="K475" s="56">
        <f t="shared" si="37"/>
        <v>4.4353974716091711E-2</v>
      </c>
      <c r="L475" s="56">
        <f t="shared" si="38"/>
        <v>7.6130930489150428E-2</v>
      </c>
      <c r="M475" s="55">
        <v>3</v>
      </c>
      <c r="N475" s="56">
        <f t="shared" si="39"/>
        <v>6.4281122776944509E-4</v>
      </c>
      <c r="O475" s="53" t="s">
        <v>592</v>
      </c>
    </row>
    <row r="476" spans="1:15" hidden="1" x14ac:dyDescent="0.25">
      <c r="A476" s="58" t="s">
        <v>18</v>
      </c>
      <c r="B476" s="53" t="s">
        <v>439</v>
      </c>
      <c r="C476" s="53" t="s">
        <v>443</v>
      </c>
      <c r="D476" s="54">
        <v>45034</v>
      </c>
      <c r="E476" s="55">
        <v>26069</v>
      </c>
      <c r="F476" s="56">
        <f t="shared" si="35"/>
        <v>0.99397752119375504</v>
      </c>
      <c r="G476" s="55">
        <v>157</v>
      </c>
      <c r="H476" s="55">
        <v>9248</v>
      </c>
      <c r="I476" s="56">
        <f t="shared" si="36"/>
        <v>0.35475085350416202</v>
      </c>
      <c r="J476" s="55">
        <v>233</v>
      </c>
      <c r="K476" s="56">
        <f t="shared" si="37"/>
        <v>8.9378188653189607E-3</v>
      </c>
      <c r="L476" s="56">
        <f t="shared" si="38"/>
        <v>2.5194636678200693E-2</v>
      </c>
      <c r="M476" s="55">
        <v>13</v>
      </c>
      <c r="N476" s="56">
        <f t="shared" si="39"/>
        <v>4.9867658905213084E-4</v>
      </c>
      <c r="O476" s="53" t="s">
        <v>443</v>
      </c>
    </row>
    <row r="477" spans="1:15" hidden="1" x14ac:dyDescent="0.25">
      <c r="A477" s="58" t="s">
        <v>18</v>
      </c>
      <c r="B477" s="53" t="s">
        <v>444</v>
      </c>
      <c r="C477" s="53" t="s">
        <v>443</v>
      </c>
      <c r="D477" s="54">
        <v>45034</v>
      </c>
      <c r="E477" s="55">
        <v>26859</v>
      </c>
      <c r="F477" s="56">
        <f t="shared" si="35"/>
        <v>0.99545776089951232</v>
      </c>
      <c r="G477" s="55">
        <v>122</v>
      </c>
      <c r="H477" s="55">
        <v>9867</v>
      </c>
      <c r="I477" s="56">
        <f t="shared" si="36"/>
        <v>0.36736289511895454</v>
      </c>
      <c r="J477" s="55">
        <v>176</v>
      </c>
      <c r="K477" s="56">
        <f t="shared" si="37"/>
        <v>6.5527383744741052E-3</v>
      </c>
      <c r="L477" s="56">
        <f t="shared" si="38"/>
        <v>1.7837235228539576E-2</v>
      </c>
      <c r="M477" s="55">
        <v>37</v>
      </c>
      <c r="N477" s="56">
        <f t="shared" si="39"/>
        <v>1.3775643173610335E-3</v>
      </c>
      <c r="O477" s="53" t="s">
        <v>443</v>
      </c>
    </row>
    <row r="478" spans="1:15" hidden="1" x14ac:dyDescent="0.25">
      <c r="A478" s="58" t="s">
        <v>19</v>
      </c>
      <c r="B478" s="53" t="s">
        <v>439</v>
      </c>
      <c r="C478" s="53" t="s">
        <v>443</v>
      </c>
      <c r="D478" s="54">
        <v>45034</v>
      </c>
      <c r="E478" s="55">
        <v>230740</v>
      </c>
      <c r="F478" s="56">
        <f t="shared" si="35"/>
        <v>0.99862182543122124</v>
      </c>
      <c r="G478" s="55">
        <v>318</v>
      </c>
      <c r="H478" s="55">
        <v>82884</v>
      </c>
      <c r="I478" s="56">
        <f t="shared" si="36"/>
        <v>0.35920949986998352</v>
      </c>
      <c r="J478" s="55">
        <v>1364</v>
      </c>
      <c r="K478" s="56">
        <f t="shared" si="37"/>
        <v>5.9114154459564876E-3</v>
      </c>
      <c r="L478" s="56">
        <f t="shared" si="38"/>
        <v>1.6456734713575599E-2</v>
      </c>
      <c r="M478" s="55">
        <v>117</v>
      </c>
      <c r="N478" s="56">
        <f t="shared" si="39"/>
        <v>5.0706422813556382E-4</v>
      </c>
      <c r="O478" s="53" t="s">
        <v>443</v>
      </c>
    </row>
    <row r="479" spans="1:15" hidden="1" x14ac:dyDescent="0.25">
      <c r="A479" s="58" t="s">
        <v>19</v>
      </c>
      <c r="B479" s="53" t="s">
        <v>444</v>
      </c>
      <c r="C479" s="53" t="s">
        <v>443</v>
      </c>
      <c r="D479" s="54">
        <v>45034</v>
      </c>
      <c r="E479" s="55">
        <v>448953</v>
      </c>
      <c r="F479" s="56">
        <f t="shared" si="35"/>
        <v>0.99873928896788755</v>
      </c>
      <c r="G479" s="55">
        <v>566</v>
      </c>
      <c r="H479" s="55">
        <v>174098</v>
      </c>
      <c r="I479" s="56">
        <f t="shared" si="36"/>
        <v>0.38778669482106143</v>
      </c>
      <c r="J479" s="55">
        <v>2058</v>
      </c>
      <c r="K479" s="56">
        <f t="shared" si="37"/>
        <v>4.5839987704726333E-3</v>
      </c>
      <c r="L479" s="56">
        <f t="shared" si="38"/>
        <v>1.1820928442601294E-2</v>
      </c>
      <c r="M479" s="55">
        <v>462</v>
      </c>
      <c r="N479" s="56">
        <f t="shared" si="39"/>
        <v>1.0290609484734483E-3</v>
      </c>
      <c r="O479" s="53" t="s">
        <v>443</v>
      </c>
    </row>
    <row r="480" spans="1:15" hidden="1" x14ac:dyDescent="0.25">
      <c r="A480" s="52" t="s">
        <v>630</v>
      </c>
      <c r="B480" s="53" t="s">
        <v>444</v>
      </c>
      <c r="C480" s="53" t="s">
        <v>443</v>
      </c>
      <c r="D480" s="54">
        <v>45035</v>
      </c>
      <c r="E480" s="55">
        <v>4792</v>
      </c>
      <c r="F480" s="56">
        <f t="shared" si="35"/>
        <v>0.99436560934891483</v>
      </c>
      <c r="G480" s="55">
        <v>27</v>
      </c>
      <c r="H480" s="55">
        <v>1995</v>
      </c>
      <c r="I480" s="56">
        <f t="shared" si="36"/>
        <v>0.41631886477462438</v>
      </c>
      <c r="J480" s="55">
        <v>43</v>
      </c>
      <c r="K480" s="56">
        <f t="shared" si="37"/>
        <v>8.9732888146911525E-3</v>
      </c>
      <c r="L480" s="56">
        <f t="shared" si="38"/>
        <v>2.155388471177945E-2</v>
      </c>
      <c r="M480" s="55">
        <v>13</v>
      </c>
      <c r="N480" s="56">
        <f t="shared" si="39"/>
        <v>2.7128547579298831E-3</v>
      </c>
      <c r="O480" s="53" t="s">
        <v>443</v>
      </c>
    </row>
    <row r="481" spans="1:15" hidden="1" x14ac:dyDescent="0.25">
      <c r="A481" s="52" t="s">
        <v>630</v>
      </c>
      <c r="B481" s="53" t="s">
        <v>439</v>
      </c>
      <c r="C481" s="53" t="s">
        <v>443</v>
      </c>
      <c r="D481" s="54">
        <v>45035</v>
      </c>
      <c r="E481" s="55">
        <v>37739</v>
      </c>
      <c r="F481" s="56">
        <f t="shared" si="35"/>
        <v>0.9951774026868756</v>
      </c>
      <c r="G481" s="55">
        <v>182</v>
      </c>
      <c r="H481" s="55">
        <v>13962</v>
      </c>
      <c r="I481" s="56">
        <f t="shared" si="36"/>
        <v>0.3699621081639683</v>
      </c>
      <c r="J481" s="55">
        <v>190</v>
      </c>
      <c r="K481" s="56">
        <f t="shared" si="37"/>
        <v>5.0345796126023473E-3</v>
      </c>
      <c r="L481" s="56">
        <f t="shared" si="38"/>
        <v>1.3608365563672826E-2</v>
      </c>
      <c r="M481" s="55">
        <v>19</v>
      </c>
      <c r="N481" s="56">
        <f t="shared" si="39"/>
        <v>5.0345796126023473E-4</v>
      </c>
      <c r="O481" s="53" t="s">
        <v>443</v>
      </c>
    </row>
    <row r="482" spans="1:15" hidden="1" x14ac:dyDescent="0.25">
      <c r="A482" s="52" t="s">
        <v>631</v>
      </c>
      <c r="B482" s="53" t="s">
        <v>439</v>
      </c>
      <c r="C482" s="53" t="s">
        <v>443</v>
      </c>
      <c r="D482" s="54">
        <v>45035</v>
      </c>
      <c r="E482" s="55">
        <v>129791</v>
      </c>
      <c r="F482" s="56">
        <f t="shared" si="35"/>
        <v>0.99406738525783755</v>
      </c>
      <c r="G482" s="55">
        <v>770</v>
      </c>
      <c r="H482" s="55">
        <v>43752</v>
      </c>
      <c r="I482" s="56">
        <f t="shared" si="36"/>
        <v>0.33709579246634974</v>
      </c>
      <c r="J482" s="55">
        <v>569</v>
      </c>
      <c r="K482" s="56">
        <f t="shared" si="37"/>
        <v>4.3839711536239031E-3</v>
      </c>
      <c r="L482" s="56">
        <f t="shared" si="38"/>
        <v>1.3005119765953557E-2</v>
      </c>
      <c r="M482" s="55">
        <v>81</v>
      </c>
      <c r="N482" s="56">
        <f t="shared" si="39"/>
        <v>6.2408025209760305E-4</v>
      </c>
      <c r="O482" s="53" t="s">
        <v>443</v>
      </c>
    </row>
    <row r="483" spans="1:15" hidden="1" x14ac:dyDescent="0.25">
      <c r="A483" s="52" t="s">
        <v>631</v>
      </c>
      <c r="B483" s="53" t="s">
        <v>444</v>
      </c>
      <c r="C483" s="53" t="s">
        <v>443</v>
      </c>
      <c r="D483" s="54">
        <v>45035</v>
      </c>
      <c r="E483" s="55">
        <v>220238</v>
      </c>
      <c r="F483" s="56">
        <f t="shared" si="35"/>
        <v>0.99562291702612626</v>
      </c>
      <c r="G483" s="55">
        <v>964</v>
      </c>
      <c r="H483" s="55">
        <v>72297</v>
      </c>
      <c r="I483" s="56">
        <f t="shared" si="36"/>
        <v>0.32826760141301681</v>
      </c>
      <c r="J483" s="55">
        <v>981</v>
      </c>
      <c r="K483" s="56">
        <f t="shared" si="37"/>
        <v>4.4542721964420306E-3</v>
      </c>
      <c r="L483" s="56">
        <f t="shared" si="38"/>
        <v>1.3569027760487988E-2</v>
      </c>
      <c r="M483" s="55">
        <v>612</v>
      </c>
      <c r="N483" s="56">
        <f t="shared" si="39"/>
        <v>2.7788120124592488E-3</v>
      </c>
      <c r="O483" s="53" t="s">
        <v>443</v>
      </c>
    </row>
    <row r="484" spans="1:15" hidden="1" x14ac:dyDescent="0.25">
      <c r="A484" s="52" t="s">
        <v>632</v>
      </c>
      <c r="B484" s="53" t="s">
        <v>439</v>
      </c>
      <c r="C484" s="53" t="s">
        <v>443</v>
      </c>
      <c r="D484" s="54">
        <v>45035</v>
      </c>
      <c r="E484" s="55">
        <v>2319334</v>
      </c>
      <c r="F484" s="56">
        <f t="shared" si="35"/>
        <v>0.99541894354155114</v>
      </c>
      <c r="G484" s="55">
        <v>10625</v>
      </c>
      <c r="H484" s="55">
        <v>993500</v>
      </c>
      <c r="I484" s="56">
        <f t="shared" si="36"/>
        <v>0.42835572625589935</v>
      </c>
      <c r="J484" s="55">
        <v>9306</v>
      </c>
      <c r="K484" s="56">
        <f t="shared" si="37"/>
        <v>4.0123587202188218E-3</v>
      </c>
      <c r="L484" s="56">
        <f t="shared" si="38"/>
        <v>9.3668847508807246E-3</v>
      </c>
      <c r="M484" s="55">
        <v>2525</v>
      </c>
      <c r="N484" s="56">
        <f t="shared" si="39"/>
        <v>1.0886745936549026E-3</v>
      </c>
      <c r="O484" s="53" t="s">
        <v>443</v>
      </c>
    </row>
    <row r="485" spans="1:15" hidden="1" x14ac:dyDescent="0.25">
      <c r="A485" s="52" t="s">
        <v>632</v>
      </c>
      <c r="B485" s="53" t="s">
        <v>444</v>
      </c>
      <c r="C485" s="53" t="s">
        <v>443</v>
      </c>
      <c r="D485" s="54">
        <v>45035</v>
      </c>
      <c r="E485" s="55">
        <v>2446269</v>
      </c>
      <c r="F485" s="56">
        <f t="shared" si="35"/>
        <v>0.99636998220555462</v>
      </c>
      <c r="G485" s="55">
        <v>8880</v>
      </c>
      <c r="H485" s="55">
        <v>920184</v>
      </c>
      <c r="I485" s="56">
        <f t="shared" si="36"/>
        <v>0.37615814123467206</v>
      </c>
      <c r="J485" s="55">
        <v>9242</v>
      </c>
      <c r="K485" s="56">
        <f t="shared" si="37"/>
        <v>3.7779982495792573E-3</v>
      </c>
      <c r="L485" s="56">
        <f t="shared" si="38"/>
        <v>1.0043643445223998E-2</v>
      </c>
      <c r="M485" s="55">
        <v>5845</v>
      </c>
      <c r="N485" s="56">
        <f t="shared" si="39"/>
        <v>2.3893529288888508E-3</v>
      </c>
      <c r="O485" s="53" t="s">
        <v>443</v>
      </c>
    </row>
    <row r="486" spans="1:15" hidden="1" x14ac:dyDescent="0.25">
      <c r="A486" s="52" t="s">
        <v>633</v>
      </c>
      <c r="B486" s="53" t="s">
        <v>444</v>
      </c>
      <c r="C486" s="53" t="s">
        <v>443</v>
      </c>
      <c r="D486" s="54">
        <v>45035</v>
      </c>
      <c r="E486" s="55">
        <v>94696</v>
      </c>
      <c r="F486" s="56">
        <f t="shared" si="35"/>
        <v>0.9963884430176565</v>
      </c>
      <c r="G486" s="55">
        <v>342</v>
      </c>
      <c r="H486" s="55">
        <v>38081</v>
      </c>
      <c r="I486" s="56">
        <f t="shared" si="36"/>
        <v>0.40213947790825377</v>
      </c>
      <c r="J486" s="55">
        <v>537</v>
      </c>
      <c r="K486" s="56">
        <f t="shared" si="37"/>
        <v>5.6707780687674245E-3</v>
      </c>
      <c r="L486" s="56">
        <f t="shared" si="38"/>
        <v>1.410152044326567E-2</v>
      </c>
      <c r="M486" s="55">
        <v>262</v>
      </c>
      <c r="N486" s="56">
        <f t="shared" si="39"/>
        <v>2.7667483315029144E-3</v>
      </c>
      <c r="O486" s="53" t="s">
        <v>443</v>
      </c>
    </row>
    <row r="487" spans="1:15" hidden="1" x14ac:dyDescent="0.25">
      <c r="A487" s="52" t="s">
        <v>633</v>
      </c>
      <c r="B487" s="53" t="s">
        <v>439</v>
      </c>
      <c r="C487" s="53" t="s">
        <v>443</v>
      </c>
      <c r="D487" s="54">
        <v>45035</v>
      </c>
      <c r="E487" s="55">
        <v>187009</v>
      </c>
      <c r="F487" s="56">
        <f t="shared" si="35"/>
        <v>0.99566865765818757</v>
      </c>
      <c r="G487" s="55">
        <v>810</v>
      </c>
      <c r="H487" s="55">
        <v>70717</v>
      </c>
      <c r="I487" s="56">
        <f t="shared" si="36"/>
        <v>0.37814757578512265</v>
      </c>
      <c r="J487" s="55">
        <v>829</v>
      </c>
      <c r="K487" s="56">
        <f t="shared" si="37"/>
        <v>4.4329417300771621E-3</v>
      </c>
      <c r="L487" s="56">
        <f t="shared" si="38"/>
        <v>1.172278235784889E-2</v>
      </c>
      <c r="M487" s="55">
        <v>142</v>
      </c>
      <c r="N487" s="56">
        <f t="shared" si="39"/>
        <v>7.5932174387328955E-4</v>
      </c>
      <c r="O487" s="53" t="s">
        <v>443</v>
      </c>
    </row>
    <row r="488" spans="1:15" hidden="1" x14ac:dyDescent="0.25">
      <c r="A488" s="58" t="s">
        <v>449</v>
      </c>
      <c r="B488" s="53"/>
      <c r="C488" s="53" t="s">
        <v>446</v>
      </c>
      <c r="D488" s="54">
        <v>45036</v>
      </c>
      <c r="E488" s="55">
        <v>1642</v>
      </c>
      <c r="F488" s="56">
        <f t="shared" si="35"/>
        <v>0.99695493300852622</v>
      </c>
      <c r="G488" s="55">
        <v>5</v>
      </c>
      <c r="H488" s="55">
        <v>565</v>
      </c>
      <c r="I488" s="56">
        <f t="shared" si="36"/>
        <v>0.34409257003654081</v>
      </c>
      <c r="J488" s="55">
        <v>19</v>
      </c>
      <c r="K488" s="56">
        <f t="shared" si="37"/>
        <v>1.1571254567600487E-2</v>
      </c>
      <c r="L488" s="56">
        <f t="shared" si="38"/>
        <v>3.3628318584070796E-2</v>
      </c>
      <c r="M488" s="55">
        <v>1</v>
      </c>
      <c r="N488" s="56">
        <f t="shared" si="39"/>
        <v>6.0901339829476245E-4</v>
      </c>
      <c r="O488" s="53" t="s">
        <v>446</v>
      </c>
    </row>
    <row r="489" spans="1:15" hidden="1" x14ac:dyDescent="0.25">
      <c r="A489" s="52" t="s">
        <v>634</v>
      </c>
      <c r="B489" s="53" t="s">
        <v>439</v>
      </c>
      <c r="C489" s="53" t="s">
        <v>443</v>
      </c>
      <c r="D489" s="54">
        <v>45037</v>
      </c>
      <c r="E489" s="55">
        <v>42910</v>
      </c>
      <c r="F489" s="56">
        <f t="shared" si="35"/>
        <v>0.99594500116522955</v>
      </c>
      <c r="G489" s="55">
        <v>174</v>
      </c>
      <c r="H489" s="55">
        <v>17265</v>
      </c>
      <c r="I489" s="56">
        <f t="shared" si="36"/>
        <v>0.40235376369144721</v>
      </c>
      <c r="J489" s="55">
        <v>397</v>
      </c>
      <c r="K489" s="56">
        <f t="shared" si="37"/>
        <v>9.2519226287578644E-3</v>
      </c>
      <c r="L489" s="56">
        <f t="shared" si="38"/>
        <v>2.2994497538372429E-2</v>
      </c>
      <c r="M489" s="55">
        <v>17</v>
      </c>
      <c r="N489" s="56">
        <f t="shared" si="39"/>
        <v>3.9617804707527381E-4</v>
      </c>
      <c r="O489" s="53" t="s">
        <v>443</v>
      </c>
    </row>
    <row r="490" spans="1:15" hidden="1" x14ac:dyDescent="0.25">
      <c r="A490" s="52" t="s">
        <v>634</v>
      </c>
      <c r="B490" s="53" t="s">
        <v>444</v>
      </c>
      <c r="C490" s="53" t="s">
        <v>443</v>
      </c>
      <c r="D490" s="54">
        <v>45037</v>
      </c>
      <c r="E490" s="55">
        <v>13892</v>
      </c>
      <c r="F490" s="56">
        <f t="shared" si="35"/>
        <v>0.9967607255974662</v>
      </c>
      <c r="G490" s="55">
        <v>45</v>
      </c>
      <c r="H490" s="55">
        <v>5459</v>
      </c>
      <c r="I490" s="56">
        <f t="shared" si="36"/>
        <v>0.39295997696515983</v>
      </c>
      <c r="J490" s="55">
        <v>123</v>
      </c>
      <c r="K490" s="56">
        <f t="shared" si="37"/>
        <v>8.8540167002591416E-3</v>
      </c>
      <c r="L490" s="56">
        <f t="shared" si="38"/>
        <v>2.2531599193991572E-2</v>
      </c>
      <c r="M490" s="55">
        <v>9</v>
      </c>
      <c r="N490" s="56">
        <f t="shared" si="39"/>
        <v>6.4785488050676646E-4</v>
      </c>
      <c r="O490" s="53" t="s">
        <v>443</v>
      </c>
    </row>
    <row r="491" spans="1:15" hidden="1" x14ac:dyDescent="0.25">
      <c r="A491" s="58" t="s">
        <v>22</v>
      </c>
      <c r="B491" s="53" t="s">
        <v>439</v>
      </c>
      <c r="C491" s="53" t="s">
        <v>443</v>
      </c>
      <c r="D491" s="54">
        <v>45037</v>
      </c>
      <c r="E491" s="55">
        <v>105314</v>
      </c>
      <c r="F491" s="56">
        <f t="shared" si="35"/>
        <v>0.99466357749207135</v>
      </c>
      <c r="G491" s="55">
        <v>562</v>
      </c>
      <c r="H491" s="55">
        <v>32307</v>
      </c>
      <c r="I491" s="56">
        <f t="shared" si="36"/>
        <v>0.30676833089617717</v>
      </c>
      <c r="J491" s="55">
        <v>644</v>
      </c>
      <c r="K491" s="56">
        <f t="shared" si="37"/>
        <v>6.1150464325730675E-3</v>
      </c>
      <c r="L491" s="56">
        <f t="shared" si="38"/>
        <v>1.9933760485343732E-2</v>
      </c>
      <c r="M491" s="55">
        <v>81</v>
      </c>
      <c r="N491" s="56">
        <f t="shared" si="39"/>
        <v>7.6912851092922124E-4</v>
      </c>
      <c r="O491" s="53" t="s">
        <v>443</v>
      </c>
    </row>
    <row r="492" spans="1:15" hidden="1" x14ac:dyDescent="0.25">
      <c r="A492" s="58" t="s">
        <v>22</v>
      </c>
      <c r="B492" s="53" t="s">
        <v>444</v>
      </c>
      <c r="C492" s="53" t="s">
        <v>443</v>
      </c>
      <c r="D492" s="54">
        <v>45037</v>
      </c>
      <c r="E492" s="55">
        <v>206840</v>
      </c>
      <c r="F492" s="56">
        <f t="shared" si="35"/>
        <v>0.99593405530845103</v>
      </c>
      <c r="G492" s="55">
        <v>841</v>
      </c>
      <c r="H492" s="55">
        <v>62825</v>
      </c>
      <c r="I492" s="56">
        <f t="shared" si="36"/>
        <v>0.30373718816476503</v>
      </c>
      <c r="J492" s="55">
        <v>1163</v>
      </c>
      <c r="K492" s="56">
        <f t="shared" si="37"/>
        <v>5.6227035389673176E-3</v>
      </c>
      <c r="L492" s="56">
        <f t="shared" si="38"/>
        <v>1.8511738957421409E-2</v>
      </c>
      <c r="M492" s="55">
        <v>425</v>
      </c>
      <c r="N492" s="56">
        <f t="shared" si="39"/>
        <v>2.0547282923999224E-3</v>
      </c>
      <c r="O492" s="53" t="s">
        <v>443</v>
      </c>
    </row>
    <row r="493" spans="1:15" hidden="1" x14ac:dyDescent="0.25">
      <c r="A493" s="58" t="s">
        <v>23</v>
      </c>
      <c r="B493" s="53" t="s">
        <v>439</v>
      </c>
      <c r="C493" s="53" t="s">
        <v>443</v>
      </c>
      <c r="D493" s="54">
        <v>45037</v>
      </c>
      <c r="E493" s="55">
        <v>1903092</v>
      </c>
      <c r="F493" s="56">
        <f t="shared" si="35"/>
        <v>0.99565496570843659</v>
      </c>
      <c r="G493" s="55">
        <v>8269</v>
      </c>
      <c r="H493" s="55">
        <v>642254</v>
      </c>
      <c r="I493" s="56">
        <f t="shared" si="36"/>
        <v>0.33747921803044728</v>
      </c>
      <c r="J493" s="55">
        <v>7210</v>
      </c>
      <c r="K493" s="56">
        <f t="shared" si="37"/>
        <v>3.7885714405819582E-3</v>
      </c>
      <c r="L493" s="56">
        <f t="shared" si="38"/>
        <v>1.1226088120899208E-2</v>
      </c>
      <c r="M493" s="55">
        <v>1729</v>
      </c>
      <c r="N493" s="56">
        <f t="shared" si="39"/>
        <v>9.0852150079975119E-4</v>
      </c>
      <c r="O493" s="53" t="s">
        <v>443</v>
      </c>
    </row>
    <row r="494" spans="1:15" hidden="1" x14ac:dyDescent="0.25">
      <c r="A494" s="58" t="s">
        <v>23</v>
      </c>
      <c r="B494" s="53" t="s">
        <v>444</v>
      </c>
      <c r="C494" s="53" t="s">
        <v>443</v>
      </c>
      <c r="D494" s="54">
        <v>45037</v>
      </c>
      <c r="E494" s="55">
        <v>2279587</v>
      </c>
      <c r="F494" s="56">
        <f t="shared" si="35"/>
        <v>0.99632301816074575</v>
      </c>
      <c r="G494" s="55">
        <v>8382</v>
      </c>
      <c r="H494" s="55">
        <v>757186</v>
      </c>
      <c r="I494" s="56">
        <f t="shared" si="36"/>
        <v>0.33215929025740187</v>
      </c>
      <c r="J494" s="55">
        <v>8619</v>
      </c>
      <c r="K494" s="56">
        <f t="shared" si="37"/>
        <v>3.7809480401493779E-3</v>
      </c>
      <c r="L494" s="56">
        <f t="shared" si="38"/>
        <v>1.1382936293064055E-2</v>
      </c>
      <c r="M494" s="55">
        <v>3679</v>
      </c>
      <c r="N494" s="56">
        <f t="shared" si="39"/>
        <v>1.6138888316173062E-3</v>
      </c>
      <c r="O494" s="53" t="s">
        <v>443</v>
      </c>
    </row>
    <row r="495" spans="1:15" x14ac:dyDescent="0.25">
      <c r="A495" s="58" t="s">
        <v>453</v>
      </c>
      <c r="B495" s="53" t="s">
        <v>444</v>
      </c>
      <c r="C495" s="53" t="s">
        <v>452</v>
      </c>
      <c r="D495" s="54">
        <v>45037</v>
      </c>
      <c r="E495" s="55">
        <v>332852</v>
      </c>
      <c r="F495" s="56">
        <f t="shared" si="35"/>
        <v>0.99491365531827958</v>
      </c>
      <c r="G495" s="55">
        <v>1693</v>
      </c>
      <c r="H495" s="55">
        <v>123871</v>
      </c>
      <c r="I495" s="56">
        <f t="shared" si="36"/>
        <v>0.3721503851561655</v>
      </c>
      <c r="J495" s="55">
        <v>2630</v>
      </c>
      <c r="K495" s="56">
        <f t="shared" si="37"/>
        <v>7.9014096355136815E-3</v>
      </c>
      <c r="L495" s="56">
        <f t="shared" si="38"/>
        <v>2.1231765304227785E-2</v>
      </c>
      <c r="M495" s="55">
        <v>304</v>
      </c>
      <c r="N495" s="56">
        <f t="shared" si="39"/>
        <v>9.1331883239397687E-4</v>
      </c>
      <c r="O495" s="53" t="s">
        <v>452</v>
      </c>
    </row>
    <row r="496" spans="1:15" x14ac:dyDescent="0.25">
      <c r="A496" s="58" t="s">
        <v>451</v>
      </c>
      <c r="B496" s="53" t="s">
        <v>444</v>
      </c>
      <c r="C496" s="53" t="s">
        <v>452</v>
      </c>
      <c r="D496" s="54">
        <v>45037</v>
      </c>
      <c r="E496" s="55">
        <v>237372</v>
      </c>
      <c r="F496" s="56">
        <f t="shared" si="35"/>
        <v>0.99668031612827124</v>
      </c>
      <c r="G496" s="55">
        <v>788</v>
      </c>
      <c r="H496" s="55">
        <v>109976</v>
      </c>
      <c r="I496" s="56">
        <f t="shared" si="36"/>
        <v>0.46330653994573917</v>
      </c>
      <c r="J496" s="55">
        <v>2393</v>
      </c>
      <c r="K496" s="56">
        <f t="shared" si="37"/>
        <v>1.0081222722140775E-2</v>
      </c>
      <c r="L496" s="56">
        <f t="shared" si="38"/>
        <v>2.1759292936640723E-2</v>
      </c>
      <c r="M496" s="55">
        <v>217</v>
      </c>
      <c r="N496" s="56">
        <f t="shared" si="39"/>
        <v>9.1417690376287015E-4</v>
      </c>
      <c r="O496" s="53" t="s">
        <v>452</v>
      </c>
    </row>
    <row r="497" spans="1:15" hidden="1" x14ac:dyDescent="0.25">
      <c r="A497" s="52" t="s">
        <v>635</v>
      </c>
      <c r="B497" s="53" t="s">
        <v>439</v>
      </c>
      <c r="C497" s="53" t="s">
        <v>440</v>
      </c>
      <c r="D497" s="54">
        <v>45037</v>
      </c>
      <c r="E497" s="55">
        <v>162082</v>
      </c>
      <c r="F497" s="56">
        <f t="shared" si="35"/>
        <v>0.99534803371133129</v>
      </c>
      <c r="G497" s="55">
        <v>754</v>
      </c>
      <c r="H497" s="55">
        <v>66927</v>
      </c>
      <c r="I497" s="56">
        <f t="shared" si="36"/>
        <v>0.41292062042669758</v>
      </c>
      <c r="J497" s="55">
        <v>1518</v>
      </c>
      <c r="K497" s="56">
        <f t="shared" si="37"/>
        <v>9.365629742969608E-3</v>
      </c>
      <c r="L497" s="56">
        <f t="shared" si="38"/>
        <v>2.2681429019678158E-2</v>
      </c>
      <c r="M497" s="55">
        <v>891</v>
      </c>
      <c r="N497" s="56">
        <f t="shared" si="39"/>
        <v>5.497217457829987E-3</v>
      </c>
      <c r="O497" s="53" t="s">
        <v>440</v>
      </c>
    </row>
    <row r="498" spans="1:15" hidden="1" x14ac:dyDescent="0.25">
      <c r="A498" s="65" t="s">
        <v>636</v>
      </c>
      <c r="B498" s="53" t="s">
        <v>444</v>
      </c>
      <c r="C498" s="53" t="s">
        <v>443</v>
      </c>
      <c r="D498" s="54">
        <v>45040</v>
      </c>
      <c r="E498" s="55">
        <v>23526</v>
      </c>
      <c r="F498" s="56">
        <f t="shared" si="35"/>
        <v>0.99634446994814252</v>
      </c>
      <c r="G498" s="55">
        <v>86</v>
      </c>
      <c r="H498" s="55">
        <v>11998</v>
      </c>
      <c r="I498" s="56">
        <f t="shared" si="36"/>
        <v>0.50998894839751763</v>
      </c>
      <c r="J498" s="55">
        <v>332</v>
      </c>
      <c r="K498" s="56">
        <f t="shared" si="37"/>
        <v>1.4112046246705772E-2</v>
      </c>
      <c r="L498" s="56">
        <f t="shared" si="38"/>
        <v>2.7671278546424403E-2</v>
      </c>
      <c r="M498" s="55">
        <v>179</v>
      </c>
      <c r="N498" s="56">
        <f t="shared" si="39"/>
        <v>7.6086032474708834E-3</v>
      </c>
      <c r="O498" s="53" t="s">
        <v>443</v>
      </c>
    </row>
    <row r="499" spans="1:15" hidden="1" x14ac:dyDescent="0.25">
      <c r="A499" s="58" t="s">
        <v>18</v>
      </c>
      <c r="B499" s="53" t="s">
        <v>444</v>
      </c>
      <c r="C499" s="53" t="s">
        <v>443</v>
      </c>
      <c r="D499" s="54">
        <v>45041</v>
      </c>
      <c r="E499" s="55">
        <v>26947</v>
      </c>
      <c r="F499" s="56">
        <f t="shared" si="35"/>
        <v>0.99654878094036436</v>
      </c>
      <c r="G499" s="55">
        <v>93</v>
      </c>
      <c r="H499" s="55">
        <v>9894</v>
      </c>
      <c r="I499" s="56">
        <f t="shared" si="36"/>
        <v>0.36716517608639182</v>
      </c>
      <c r="J499" s="55">
        <v>179</v>
      </c>
      <c r="K499" s="56">
        <f t="shared" si="37"/>
        <v>6.6426689427394516E-3</v>
      </c>
      <c r="L499" s="56">
        <f t="shared" si="38"/>
        <v>1.8091772791590865E-2</v>
      </c>
      <c r="M499" s="55">
        <v>26</v>
      </c>
      <c r="N499" s="56">
        <f t="shared" si="39"/>
        <v>9.6485694140349579E-4</v>
      </c>
      <c r="O499" s="53" t="s">
        <v>443</v>
      </c>
    </row>
    <row r="500" spans="1:15" hidden="1" x14ac:dyDescent="0.25">
      <c r="A500" s="58" t="s">
        <v>18</v>
      </c>
      <c r="B500" s="53" t="s">
        <v>439</v>
      </c>
      <c r="C500" s="53" t="s">
        <v>443</v>
      </c>
      <c r="D500" s="54">
        <v>45041</v>
      </c>
      <c r="E500" s="55">
        <v>26154</v>
      </c>
      <c r="F500" s="56">
        <f t="shared" si="35"/>
        <v>0.99445591496520613</v>
      </c>
      <c r="G500" s="55">
        <v>145</v>
      </c>
      <c r="H500" s="55">
        <v>9001</v>
      </c>
      <c r="I500" s="56">
        <f t="shared" si="36"/>
        <v>0.34415385791848285</v>
      </c>
      <c r="J500" s="55">
        <v>223</v>
      </c>
      <c r="K500" s="56">
        <f t="shared" si="37"/>
        <v>8.5264204328209837E-3</v>
      </c>
      <c r="L500" s="56">
        <f t="shared" si="38"/>
        <v>2.477502499722253E-2</v>
      </c>
      <c r="M500" s="55">
        <v>14</v>
      </c>
      <c r="N500" s="56">
        <f t="shared" si="39"/>
        <v>5.3529096887665372E-4</v>
      </c>
      <c r="O500" s="53" t="s">
        <v>443</v>
      </c>
    </row>
    <row r="501" spans="1:15" hidden="1" x14ac:dyDescent="0.25">
      <c r="A501" s="58" t="s">
        <v>19</v>
      </c>
      <c r="B501" s="53" t="s">
        <v>439</v>
      </c>
      <c r="C501" s="53" t="s">
        <v>443</v>
      </c>
      <c r="D501" s="54">
        <v>45041</v>
      </c>
      <c r="E501" s="55">
        <v>232199</v>
      </c>
      <c r="F501" s="56">
        <f t="shared" si="35"/>
        <v>0.99478895257946842</v>
      </c>
      <c r="G501" s="55">
        <v>1210</v>
      </c>
      <c r="H501" s="55">
        <v>82640</v>
      </c>
      <c r="I501" s="56">
        <f t="shared" si="36"/>
        <v>0.35590161887002097</v>
      </c>
      <c r="J501" s="55">
        <v>1568</v>
      </c>
      <c r="K501" s="56">
        <f t="shared" si="37"/>
        <v>6.7528283928871358E-3</v>
      </c>
      <c r="L501" s="56">
        <f t="shared" si="38"/>
        <v>1.8973862536302032E-2</v>
      </c>
      <c r="M501" s="55">
        <v>127</v>
      </c>
      <c r="N501" s="56">
        <f t="shared" si="39"/>
        <v>5.4694464661777186E-4</v>
      </c>
      <c r="O501" s="53" t="s">
        <v>443</v>
      </c>
    </row>
    <row r="502" spans="1:15" hidden="1" x14ac:dyDescent="0.25">
      <c r="A502" s="58" t="s">
        <v>19</v>
      </c>
      <c r="B502" s="53" t="s">
        <v>444</v>
      </c>
      <c r="C502" s="53" t="s">
        <v>443</v>
      </c>
      <c r="D502" s="54">
        <v>45041</v>
      </c>
      <c r="E502" s="55">
        <v>450922</v>
      </c>
      <c r="F502" s="56">
        <f t="shared" si="35"/>
        <v>0.99647167359321565</v>
      </c>
      <c r="G502" s="55">
        <v>1591</v>
      </c>
      <c r="H502" s="55">
        <v>173036</v>
      </c>
      <c r="I502" s="56">
        <f t="shared" si="36"/>
        <v>0.38373820749486609</v>
      </c>
      <c r="J502" s="55">
        <v>2250</v>
      </c>
      <c r="K502" s="56">
        <f t="shared" si="37"/>
        <v>4.9897765023662628E-3</v>
      </c>
      <c r="L502" s="56">
        <f t="shared" si="38"/>
        <v>1.300307450472734E-2</v>
      </c>
      <c r="M502" s="55">
        <v>405</v>
      </c>
      <c r="N502" s="56">
        <f t="shared" si="39"/>
        <v>8.9815977042592731E-4</v>
      </c>
      <c r="O502" s="53" t="s">
        <v>443</v>
      </c>
    </row>
    <row r="503" spans="1:15" hidden="1" x14ac:dyDescent="0.25">
      <c r="A503" s="52" t="s">
        <v>637</v>
      </c>
      <c r="B503" s="53" t="s">
        <v>439</v>
      </c>
      <c r="C503" s="53" t="s">
        <v>443</v>
      </c>
      <c r="D503" s="54">
        <v>45041</v>
      </c>
      <c r="E503" s="55">
        <v>16590</v>
      </c>
      <c r="F503" s="56">
        <f t="shared" si="35"/>
        <v>0.99590114526823392</v>
      </c>
      <c r="G503" s="55">
        <v>68</v>
      </c>
      <c r="H503" s="55">
        <v>6846</v>
      </c>
      <c r="I503" s="56">
        <f t="shared" si="36"/>
        <v>0.41265822784810124</v>
      </c>
      <c r="J503" s="55">
        <v>205</v>
      </c>
      <c r="K503" s="56">
        <f t="shared" si="37"/>
        <v>1.2356841470765521E-2</v>
      </c>
      <c r="L503" s="56">
        <f t="shared" si="38"/>
        <v>2.9944493134677185E-2</v>
      </c>
      <c r="M503" s="55">
        <v>4</v>
      </c>
      <c r="N503" s="56">
        <f t="shared" si="39"/>
        <v>2.4110910186859555E-4</v>
      </c>
      <c r="O503" s="53" t="s">
        <v>443</v>
      </c>
    </row>
    <row r="504" spans="1:15" hidden="1" x14ac:dyDescent="0.25">
      <c r="A504" s="52" t="s">
        <v>638</v>
      </c>
      <c r="B504" s="53" t="s">
        <v>439</v>
      </c>
      <c r="C504" s="53" t="s">
        <v>443</v>
      </c>
      <c r="D504" s="54">
        <v>45041</v>
      </c>
      <c r="E504" s="55">
        <v>2390</v>
      </c>
      <c r="F504" s="56">
        <f t="shared" si="35"/>
        <v>0.99497907949790798</v>
      </c>
      <c r="G504" s="55">
        <v>12</v>
      </c>
      <c r="H504" s="55">
        <v>1041</v>
      </c>
      <c r="I504" s="56">
        <f t="shared" si="36"/>
        <v>0.43556485355648533</v>
      </c>
      <c r="J504" s="55">
        <v>50</v>
      </c>
      <c r="K504" s="56">
        <f t="shared" si="37"/>
        <v>2.0920502092050208E-2</v>
      </c>
      <c r="L504" s="56">
        <f t="shared" si="38"/>
        <v>4.8030739673390971E-2</v>
      </c>
      <c r="M504" s="55">
        <v>0</v>
      </c>
      <c r="N504" s="56">
        <f t="shared" si="39"/>
        <v>0</v>
      </c>
      <c r="O504" s="53" t="s">
        <v>443</v>
      </c>
    </row>
    <row r="505" spans="1:15" hidden="1" x14ac:dyDescent="0.25">
      <c r="A505" s="52" t="s">
        <v>639</v>
      </c>
      <c r="B505" s="53" t="s">
        <v>439</v>
      </c>
      <c r="C505" s="53" t="s">
        <v>443</v>
      </c>
      <c r="D505" s="54">
        <v>45041</v>
      </c>
      <c r="E505" s="55">
        <v>17694</v>
      </c>
      <c r="F505" s="56">
        <f t="shared" si="35"/>
        <v>0.99559172600881651</v>
      </c>
      <c r="G505" s="55">
        <v>78</v>
      </c>
      <c r="H505" s="55">
        <v>7266</v>
      </c>
      <c r="I505" s="56">
        <f t="shared" si="36"/>
        <v>0.41064767717870465</v>
      </c>
      <c r="J505" s="55">
        <v>219</v>
      </c>
      <c r="K505" s="56">
        <f t="shared" si="37"/>
        <v>1.2377076975245847E-2</v>
      </c>
      <c r="L505" s="56">
        <f t="shared" si="38"/>
        <v>3.014037985136251E-2</v>
      </c>
      <c r="M505" s="55">
        <v>6</v>
      </c>
      <c r="N505" s="56">
        <f t="shared" si="39"/>
        <v>3.3909799932180403E-4</v>
      </c>
      <c r="O505" s="53" t="s">
        <v>443</v>
      </c>
    </row>
    <row r="506" spans="1:15" hidden="1" x14ac:dyDescent="0.25">
      <c r="A506" s="52" t="s">
        <v>640</v>
      </c>
      <c r="B506" s="53" t="s">
        <v>439</v>
      </c>
      <c r="C506" s="53" t="s">
        <v>443</v>
      </c>
      <c r="D506" s="54">
        <v>45041</v>
      </c>
      <c r="E506" s="55">
        <v>1978</v>
      </c>
      <c r="F506" s="56">
        <f t="shared" si="35"/>
        <v>0.99393326592517695</v>
      </c>
      <c r="G506" s="55">
        <v>12</v>
      </c>
      <c r="H506" s="55">
        <v>762</v>
      </c>
      <c r="I506" s="56">
        <f t="shared" si="36"/>
        <v>0.38523761375126392</v>
      </c>
      <c r="J506" s="55">
        <v>31</v>
      </c>
      <c r="K506" s="56">
        <f t="shared" si="37"/>
        <v>1.5672396359959553E-2</v>
      </c>
      <c r="L506" s="56">
        <f t="shared" si="38"/>
        <v>4.0682414698162729E-2</v>
      </c>
      <c r="M506" s="55">
        <v>0</v>
      </c>
      <c r="N506" s="56">
        <f t="shared" si="39"/>
        <v>0</v>
      </c>
      <c r="O506" s="53" t="s">
        <v>443</v>
      </c>
    </row>
    <row r="507" spans="1:15" hidden="1" x14ac:dyDescent="0.25">
      <c r="A507" s="52" t="s">
        <v>641</v>
      </c>
      <c r="B507" s="53" t="s">
        <v>439</v>
      </c>
      <c r="C507" s="53" t="s">
        <v>443</v>
      </c>
      <c r="D507" s="54">
        <v>45041</v>
      </c>
      <c r="E507" s="55">
        <v>32027</v>
      </c>
      <c r="F507" s="56">
        <f t="shared" si="35"/>
        <v>0.995784806569457</v>
      </c>
      <c r="G507" s="55">
        <v>135</v>
      </c>
      <c r="H507" s="55">
        <v>12976</v>
      </c>
      <c r="I507" s="56">
        <f t="shared" si="36"/>
        <v>0.40515814781278298</v>
      </c>
      <c r="J507" s="55">
        <v>378</v>
      </c>
      <c r="K507" s="56">
        <f t="shared" si="37"/>
        <v>1.1802541605520342E-2</v>
      </c>
      <c r="L507" s="56">
        <f t="shared" si="38"/>
        <v>2.9130702836004933E-2</v>
      </c>
      <c r="M507" s="55">
        <v>14</v>
      </c>
      <c r="N507" s="56">
        <f t="shared" si="39"/>
        <v>4.3713117057482748E-4</v>
      </c>
      <c r="O507" s="53" t="s">
        <v>443</v>
      </c>
    </row>
    <row r="508" spans="1:15" hidden="1" x14ac:dyDescent="0.25">
      <c r="A508" s="52" t="s">
        <v>642</v>
      </c>
      <c r="B508" s="53" t="s">
        <v>439</v>
      </c>
      <c r="C508" s="53" t="s">
        <v>443</v>
      </c>
      <c r="D508" s="54">
        <v>45041</v>
      </c>
      <c r="E508" s="55">
        <v>3489</v>
      </c>
      <c r="F508" s="56">
        <f t="shared" si="35"/>
        <v>0.9957007738607051</v>
      </c>
      <c r="G508" s="55">
        <v>15</v>
      </c>
      <c r="H508" s="55">
        <v>1449</v>
      </c>
      <c r="I508" s="56">
        <f t="shared" si="36"/>
        <v>0.41530524505588995</v>
      </c>
      <c r="J508" s="55">
        <v>67</v>
      </c>
      <c r="K508" s="56">
        <f t="shared" si="37"/>
        <v>1.9203210088850675E-2</v>
      </c>
      <c r="L508" s="56">
        <f t="shared" si="38"/>
        <v>4.6238785369220152E-2</v>
      </c>
      <c r="M508" s="55">
        <v>0</v>
      </c>
      <c r="N508" s="56">
        <f t="shared" si="39"/>
        <v>0</v>
      </c>
      <c r="O508" s="53" t="s">
        <v>443</v>
      </c>
    </row>
    <row r="509" spans="1:15" hidden="1" x14ac:dyDescent="0.25">
      <c r="A509" s="52" t="s">
        <v>643</v>
      </c>
      <c r="B509" s="53" t="s">
        <v>439</v>
      </c>
      <c r="C509" s="53" t="s">
        <v>443</v>
      </c>
      <c r="D509" s="54">
        <v>45041</v>
      </c>
      <c r="E509" s="55">
        <v>101678</v>
      </c>
      <c r="F509" s="56">
        <f t="shared" si="35"/>
        <v>0.99633155648222826</v>
      </c>
      <c r="G509" s="55">
        <v>373</v>
      </c>
      <c r="H509" s="55">
        <v>41540</v>
      </c>
      <c r="I509" s="56">
        <f t="shared" si="36"/>
        <v>0.40854462125533547</v>
      </c>
      <c r="J509" s="55">
        <v>1508</v>
      </c>
      <c r="K509" s="56">
        <f t="shared" si="37"/>
        <v>1.4831133578551899E-2</v>
      </c>
      <c r="L509" s="56">
        <f t="shared" si="38"/>
        <v>3.6302359171882521E-2</v>
      </c>
      <c r="M509" s="55">
        <v>36</v>
      </c>
      <c r="N509" s="56">
        <f t="shared" si="39"/>
        <v>3.540588917956687E-4</v>
      </c>
      <c r="O509" s="53" t="s">
        <v>443</v>
      </c>
    </row>
    <row r="510" spans="1:15" hidden="1" x14ac:dyDescent="0.25">
      <c r="A510" s="52" t="s">
        <v>644</v>
      </c>
      <c r="B510" s="53" t="s">
        <v>439</v>
      </c>
      <c r="C510" s="53" t="s">
        <v>443</v>
      </c>
      <c r="D510" s="54">
        <v>45041</v>
      </c>
      <c r="E510" s="55">
        <v>6202</v>
      </c>
      <c r="F510" s="56">
        <f t="shared" si="35"/>
        <v>0.99500161238310225</v>
      </c>
      <c r="G510" s="55">
        <v>31</v>
      </c>
      <c r="H510" s="55">
        <v>2674</v>
      </c>
      <c r="I510" s="56">
        <f t="shared" si="36"/>
        <v>0.43115124153498874</v>
      </c>
      <c r="J510" s="55">
        <v>173</v>
      </c>
      <c r="K510" s="56">
        <f t="shared" si="37"/>
        <v>2.7894227668494035E-2</v>
      </c>
      <c r="L510" s="56">
        <f t="shared" si="38"/>
        <v>6.4697083021690346E-2</v>
      </c>
      <c r="M510" s="55">
        <v>1</v>
      </c>
      <c r="N510" s="56">
        <f t="shared" si="39"/>
        <v>1.6123831022250886E-4</v>
      </c>
      <c r="O510" s="53" t="s">
        <v>443</v>
      </c>
    </row>
    <row r="511" spans="1:15" hidden="1" x14ac:dyDescent="0.25">
      <c r="A511" s="52" t="s">
        <v>645</v>
      </c>
      <c r="B511" s="53" t="s">
        <v>444</v>
      </c>
      <c r="C511" s="53" t="s">
        <v>443</v>
      </c>
      <c r="D511" s="54">
        <v>45042</v>
      </c>
      <c r="E511" s="55">
        <v>168853</v>
      </c>
      <c r="F511" s="56">
        <f t="shared" si="35"/>
        <v>0.9959313722587102</v>
      </c>
      <c r="G511" s="55">
        <v>687</v>
      </c>
      <c r="H511" s="55">
        <v>54051</v>
      </c>
      <c r="I511" s="56">
        <f t="shared" si="36"/>
        <v>0.32010683849265337</v>
      </c>
      <c r="J511" s="55">
        <v>448</v>
      </c>
      <c r="K511" s="56">
        <f t="shared" si="37"/>
        <v>2.6531953829662487E-3</v>
      </c>
      <c r="L511" s="56">
        <f t="shared" si="38"/>
        <v>8.2884682984588638E-3</v>
      </c>
      <c r="M511" s="55">
        <v>350</v>
      </c>
      <c r="N511" s="56">
        <f t="shared" si="39"/>
        <v>2.0728088929423817E-3</v>
      </c>
      <c r="O511" s="53" t="s">
        <v>443</v>
      </c>
    </row>
    <row r="512" spans="1:15" hidden="1" x14ac:dyDescent="0.25">
      <c r="A512" s="52" t="s">
        <v>645</v>
      </c>
      <c r="B512" s="53" t="s">
        <v>439</v>
      </c>
      <c r="C512" s="53" t="s">
        <v>443</v>
      </c>
      <c r="D512" s="54">
        <v>45042</v>
      </c>
      <c r="E512" s="55">
        <v>98865</v>
      </c>
      <c r="F512" s="56">
        <f t="shared" si="35"/>
        <v>0.99458858038739695</v>
      </c>
      <c r="G512" s="55">
        <v>535</v>
      </c>
      <c r="H512" s="55">
        <v>32708</v>
      </c>
      <c r="I512" s="56">
        <f t="shared" si="36"/>
        <v>0.33083497698882314</v>
      </c>
      <c r="J512" s="55">
        <v>217</v>
      </c>
      <c r="K512" s="56">
        <f t="shared" si="37"/>
        <v>2.1949122540838519E-3</v>
      </c>
      <c r="L512" s="56">
        <f t="shared" si="38"/>
        <v>6.6344625168154583E-3</v>
      </c>
      <c r="M512" s="55">
        <v>39</v>
      </c>
      <c r="N512" s="56">
        <f t="shared" si="39"/>
        <v>3.9447731755424062E-4</v>
      </c>
      <c r="O512" s="53" t="s">
        <v>443</v>
      </c>
    </row>
    <row r="513" spans="1:15" hidden="1" x14ac:dyDescent="0.25">
      <c r="A513" s="52" t="s">
        <v>646</v>
      </c>
      <c r="B513" s="53" t="s">
        <v>444</v>
      </c>
      <c r="C513" s="53" t="s">
        <v>443</v>
      </c>
      <c r="D513" s="54">
        <v>45042</v>
      </c>
      <c r="E513" s="55">
        <v>1685835</v>
      </c>
      <c r="F513" s="56">
        <f t="shared" si="35"/>
        <v>0.99615324156871821</v>
      </c>
      <c r="G513" s="55">
        <v>6485</v>
      </c>
      <c r="H513" s="55">
        <v>588709</v>
      </c>
      <c r="I513" s="56">
        <f t="shared" si="36"/>
        <v>0.34920914561626731</v>
      </c>
      <c r="J513" s="55">
        <v>4209</v>
      </c>
      <c r="K513" s="56">
        <f t="shared" si="37"/>
        <v>2.4966856186993389E-3</v>
      </c>
      <c r="L513" s="56">
        <f t="shared" si="38"/>
        <v>7.1495424734461339E-3</v>
      </c>
      <c r="M513" s="55">
        <v>2855</v>
      </c>
      <c r="N513" s="56">
        <f t="shared" si="39"/>
        <v>1.6935227943422695E-3</v>
      </c>
      <c r="O513" s="53" t="s">
        <v>443</v>
      </c>
    </row>
    <row r="514" spans="1:15" hidden="1" x14ac:dyDescent="0.25">
      <c r="A514" s="52" t="s">
        <v>646</v>
      </c>
      <c r="B514" s="53" t="s">
        <v>439</v>
      </c>
      <c r="C514" s="53" t="s">
        <v>443</v>
      </c>
      <c r="D514" s="54">
        <v>45042</v>
      </c>
      <c r="E514" s="55">
        <v>1453228</v>
      </c>
      <c r="F514" s="56">
        <f t="shared" ref="F514:F577" si="40">(E514-G514)/E514</f>
        <v>0.99542191590032669</v>
      </c>
      <c r="G514" s="55">
        <v>6653</v>
      </c>
      <c r="H514" s="55">
        <v>524882</v>
      </c>
      <c r="I514" s="56">
        <f t="shared" ref="I514:I577" si="41">H514/E514</f>
        <v>0.361183516970496</v>
      </c>
      <c r="J514" s="55">
        <v>2828</v>
      </c>
      <c r="K514" s="56">
        <f t="shared" ref="K514:K577" si="42">J514/E514</f>
        <v>1.9460126009132773E-3</v>
      </c>
      <c r="L514" s="56">
        <f t="shared" ref="L514:L577" si="43">J514/H514</f>
        <v>5.3878776563113231E-3</v>
      </c>
      <c r="M514" s="55">
        <v>1146</v>
      </c>
      <c r="N514" s="56">
        <f t="shared" ref="N514:N577" si="44">M514/E514</f>
        <v>7.885892647265261E-4</v>
      </c>
      <c r="O514" s="53" t="s">
        <v>443</v>
      </c>
    </row>
    <row r="515" spans="1:15" hidden="1" x14ac:dyDescent="0.25">
      <c r="A515" s="52" t="s">
        <v>445</v>
      </c>
      <c r="B515" s="53"/>
      <c r="C515" s="53" t="s">
        <v>446</v>
      </c>
      <c r="D515" s="54">
        <v>45042</v>
      </c>
      <c r="E515" s="55">
        <v>267</v>
      </c>
      <c r="F515" s="56">
        <f t="shared" si="40"/>
        <v>1</v>
      </c>
      <c r="G515" s="55">
        <v>0</v>
      </c>
      <c r="H515" s="55">
        <v>85</v>
      </c>
      <c r="I515" s="56">
        <f t="shared" si="41"/>
        <v>0.31835205992509363</v>
      </c>
      <c r="J515" s="55">
        <v>3</v>
      </c>
      <c r="K515" s="56">
        <f t="shared" si="42"/>
        <v>1.1235955056179775E-2</v>
      </c>
      <c r="L515" s="56">
        <f t="shared" si="43"/>
        <v>3.5294117647058823E-2</v>
      </c>
      <c r="M515" s="55">
        <v>0</v>
      </c>
      <c r="N515" s="56">
        <f t="shared" si="44"/>
        <v>0</v>
      </c>
      <c r="O515" s="53" t="s">
        <v>446</v>
      </c>
    </row>
    <row r="516" spans="1:15" hidden="1" x14ac:dyDescent="0.25">
      <c r="A516" s="52" t="s">
        <v>647</v>
      </c>
      <c r="B516" s="53" t="s">
        <v>439</v>
      </c>
      <c r="C516" s="53" t="s">
        <v>443</v>
      </c>
      <c r="D516" s="54">
        <v>45042</v>
      </c>
      <c r="E516" s="55">
        <v>137025</v>
      </c>
      <c r="F516" s="56">
        <f t="shared" si="40"/>
        <v>0.99436599160737094</v>
      </c>
      <c r="G516" s="55">
        <v>772</v>
      </c>
      <c r="H516" s="55">
        <v>50585</v>
      </c>
      <c r="I516" s="56">
        <f t="shared" si="41"/>
        <v>0.3691662105455209</v>
      </c>
      <c r="J516" s="55">
        <v>2943</v>
      </c>
      <c r="K516" s="56">
        <f t="shared" si="42"/>
        <v>2.1477832512315272E-2</v>
      </c>
      <c r="L516" s="56">
        <f t="shared" si="43"/>
        <v>5.8179302164673319E-2</v>
      </c>
      <c r="M516" s="55">
        <v>57</v>
      </c>
      <c r="N516" s="56">
        <f t="shared" si="44"/>
        <v>4.1598248494800218E-4</v>
      </c>
      <c r="O516" s="53" t="s">
        <v>443</v>
      </c>
    </row>
    <row r="517" spans="1:15" hidden="1" x14ac:dyDescent="0.25">
      <c r="A517" s="52" t="s">
        <v>647</v>
      </c>
      <c r="B517" s="53" t="s">
        <v>444</v>
      </c>
      <c r="C517" s="53" t="s">
        <v>443</v>
      </c>
      <c r="D517" s="54">
        <v>45042</v>
      </c>
      <c r="E517" s="55">
        <v>232449</v>
      </c>
      <c r="F517" s="56">
        <f t="shared" si="40"/>
        <v>0.99603784055857414</v>
      </c>
      <c r="G517" s="55">
        <v>921</v>
      </c>
      <c r="H517" s="55">
        <v>80566</v>
      </c>
      <c r="I517" s="56">
        <f t="shared" si="41"/>
        <v>0.34659645771760689</v>
      </c>
      <c r="J517" s="55">
        <v>4092</v>
      </c>
      <c r="K517" s="56">
        <f t="shared" si="42"/>
        <v>1.7603861492198287E-2</v>
      </c>
      <c r="L517" s="56">
        <f t="shared" si="43"/>
        <v>5.0790656108035646E-2</v>
      </c>
      <c r="M517" s="55">
        <v>518</v>
      </c>
      <c r="N517" s="56">
        <f t="shared" si="44"/>
        <v>2.2284458096184538E-3</v>
      </c>
      <c r="O517" s="53" t="s">
        <v>443</v>
      </c>
    </row>
    <row r="518" spans="1:15" hidden="1" x14ac:dyDescent="0.25">
      <c r="A518" s="52" t="s">
        <v>648</v>
      </c>
      <c r="B518" s="53" t="s">
        <v>439</v>
      </c>
      <c r="C518" s="53" t="s">
        <v>443</v>
      </c>
      <c r="D518" s="54">
        <v>45042</v>
      </c>
      <c r="E518" s="55">
        <v>2463351</v>
      </c>
      <c r="F518" s="56">
        <f t="shared" si="40"/>
        <v>0.99542452537214554</v>
      </c>
      <c r="G518" s="55">
        <v>11271</v>
      </c>
      <c r="H518" s="55">
        <v>909114</v>
      </c>
      <c r="I518" s="56">
        <f t="shared" si="41"/>
        <v>0.36905581056049258</v>
      </c>
      <c r="J518" s="55">
        <v>26045</v>
      </c>
      <c r="K518" s="56">
        <f t="shared" si="42"/>
        <v>1.0572995890557213E-2</v>
      </c>
      <c r="L518" s="56">
        <f t="shared" si="43"/>
        <v>2.8648772321183041E-2</v>
      </c>
      <c r="M518" s="55">
        <v>2093</v>
      </c>
      <c r="N518" s="56">
        <f t="shared" si="44"/>
        <v>8.4965561140089253E-4</v>
      </c>
      <c r="O518" s="53" t="s">
        <v>443</v>
      </c>
    </row>
    <row r="519" spans="1:15" hidden="1" x14ac:dyDescent="0.25">
      <c r="A519" s="52" t="s">
        <v>648</v>
      </c>
      <c r="B519" s="53" t="s">
        <v>444</v>
      </c>
      <c r="C519" s="53" t="s">
        <v>443</v>
      </c>
      <c r="D519" s="54">
        <v>45042</v>
      </c>
      <c r="E519" s="55">
        <v>2581365</v>
      </c>
      <c r="F519" s="56">
        <f t="shared" si="40"/>
        <v>0.99633411005417671</v>
      </c>
      <c r="G519" s="55">
        <v>9463</v>
      </c>
      <c r="H519" s="55">
        <v>913513</v>
      </c>
      <c r="I519" s="56">
        <f t="shared" si="41"/>
        <v>0.35388757498455276</v>
      </c>
      <c r="J519" s="55">
        <v>22378</v>
      </c>
      <c r="K519" s="56">
        <f t="shared" si="42"/>
        <v>8.6690568749479436E-3</v>
      </c>
      <c r="L519" s="56">
        <f t="shared" si="43"/>
        <v>2.4496640989236058E-2</v>
      </c>
      <c r="M519" s="55">
        <v>5022</v>
      </c>
      <c r="N519" s="56">
        <f t="shared" si="44"/>
        <v>1.9454823320220116E-3</v>
      </c>
      <c r="O519" s="53" t="s">
        <v>443</v>
      </c>
    </row>
    <row r="520" spans="1:15" x14ac:dyDescent="0.25">
      <c r="A520" s="52" t="s">
        <v>649</v>
      </c>
      <c r="B520" s="53" t="s">
        <v>444</v>
      </c>
      <c r="C520" s="53" t="s">
        <v>452</v>
      </c>
      <c r="D520" s="54">
        <v>45043</v>
      </c>
      <c r="E520" s="55">
        <v>1074</v>
      </c>
      <c r="F520" s="56">
        <f t="shared" si="40"/>
        <v>0.9981378026070763</v>
      </c>
      <c r="G520" s="55">
        <v>2</v>
      </c>
      <c r="H520" s="55">
        <v>596</v>
      </c>
      <c r="I520" s="56">
        <f t="shared" si="41"/>
        <v>0.55493482309124764</v>
      </c>
      <c r="J520" s="55">
        <v>37</v>
      </c>
      <c r="K520" s="56">
        <f t="shared" si="42"/>
        <v>3.4450651769087522E-2</v>
      </c>
      <c r="L520" s="56">
        <f t="shared" si="43"/>
        <v>6.2080536912751678E-2</v>
      </c>
      <c r="M520" s="55">
        <v>2</v>
      </c>
      <c r="N520" s="56">
        <f t="shared" si="44"/>
        <v>1.8621973929236499E-3</v>
      </c>
      <c r="O520" s="53" t="s">
        <v>452</v>
      </c>
    </row>
    <row r="521" spans="1:15" x14ac:dyDescent="0.25">
      <c r="A521" s="52" t="s">
        <v>649</v>
      </c>
      <c r="B521" s="53" t="s">
        <v>439</v>
      </c>
      <c r="C521" s="53" t="s">
        <v>452</v>
      </c>
      <c r="D521" s="54">
        <v>45043</v>
      </c>
      <c r="E521" s="55">
        <v>2062</v>
      </c>
      <c r="F521" s="56">
        <f t="shared" si="40"/>
        <v>0.99563530552861301</v>
      </c>
      <c r="G521" s="55">
        <v>9</v>
      </c>
      <c r="H521" s="55">
        <v>1140</v>
      </c>
      <c r="I521" s="56">
        <f t="shared" si="41"/>
        <v>0.55286129970902032</v>
      </c>
      <c r="J521" s="55">
        <v>50</v>
      </c>
      <c r="K521" s="56">
        <f t="shared" si="42"/>
        <v>2.4248302618816681E-2</v>
      </c>
      <c r="L521" s="56">
        <f t="shared" si="43"/>
        <v>4.3859649122807015E-2</v>
      </c>
      <c r="M521" s="55">
        <v>0</v>
      </c>
      <c r="N521" s="56">
        <f t="shared" si="44"/>
        <v>0</v>
      </c>
      <c r="O521" s="53" t="s">
        <v>452</v>
      </c>
    </row>
    <row r="522" spans="1:15" x14ac:dyDescent="0.25">
      <c r="A522" s="52" t="s">
        <v>650</v>
      </c>
      <c r="B522" s="53" t="s">
        <v>444</v>
      </c>
      <c r="C522" s="53" t="s">
        <v>452</v>
      </c>
      <c r="D522" s="54">
        <v>45043</v>
      </c>
      <c r="E522" s="55">
        <v>678768</v>
      </c>
      <c r="F522" s="56">
        <f t="shared" si="40"/>
        <v>0.99574523253895297</v>
      </c>
      <c r="G522" s="55">
        <v>2888</v>
      </c>
      <c r="H522" s="55">
        <v>258730</v>
      </c>
      <c r="I522" s="56">
        <f t="shared" si="41"/>
        <v>0.38117589515121514</v>
      </c>
      <c r="J522" s="55">
        <v>2941</v>
      </c>
      <c r="K522" s="56">
        <f t="shared" si="42"/>
        <v>4.3328501048959288E-3</v>
      </c>
      <c r="L522" s="56">
        <f t="shared" si="43"/>
        <v>1.136706218838171E-2</v>
      </c>
      <c r="M522" s="55">
        <v>1372</v>
      </c>
      <c r="N522" s="56">
        <f t="shared" si="44"/>
        <v>2.0213091954835822E-3</v>
      </c>
      <c r="O522" s="53" t="s">
        <v>452</v>
      </c>
    </row>
    <row r="523" spans="1:15" x14ac:dyDescent="0.25">
      <c r="A523" s="52" t="s">
        <v>650</v>
      </c>
      <c r="B523" s="53" t="s">
        <v>439</v>
      </c>
      <c r="C523" s="53" t="s">
        <v>452</v>
      </c>
      <c r="D523" s="54">
        <v>45043</v>
      </c>
      <c r="E523" s="55">
        <v>1710636</v>
      </c>
      <c r="F523" s="56">
        <f t="shared" si="40"/>
        <v>0.98448764085404494</v>
      </c>
      <c r="G523" s="55">
        <v>26536</v>
      </c>
      <c r="H523" s="55">
        <v>678239</v>
      </c>
      <c r="I523" s="56">
        <f t="shared" si="41"/>
        <v>0.39648353010225434</v>
      </c>
      <c r="J523" s="55">
        <v>7716</v>
      </c>
      <c r="K523" s="56">
        <f t="shared" si="42"/>
        <v>4.510603073944428E-3</v>
      </c>
      <c r="L523" s="56">
        <f t="shared" si="43"/>
        <v>1.1376520666018911E-2</v>
      </c>
      <c r="M523" s="55">
        <v>1287</v>
      </c>
      <c r="N523" s="56">
        <f t="shared" si="44"/>
        <v>7.5235175689041965E-4</v>
      </c>
      <c r="O523" s="53" t="s">
        <v>452</v>
      </c>
    </row>
    <row r="524" spans="1:15" hidden="1" x14ac:dyDescent="0.25">
      <c r="A524" s="58" t="s">
        <v>449</v>
      </c>
      <c r="B524" s="53"/>
      <c r="C524" s="53" t="s">
        <v>446</v>
      </c>
      <c r="D524" s="54">
        <v>45043</v>
      </c>
      <c r="E524" s="55">
        <v>1646</v>
      </c>
      <c r="F524" s="56">
        <f t="shared" si="40"/>
        <v>0.99696233292831105</v>
      </c>
      <c r="G524" s="55">
        <v>5</v>
      </c>
      <c r="H524" s="55">
        <v>567</v>
      </c>
      <c r="I524" s="56">
        <f t="shared" si="41"/>
        <v>0.34447144592952611</v>
      </c>
      <c r="J524" s="55">
        <v>16</v>
      </c>
      <c r="K524" s="56">
        <f t="shared" si="42"/>
        <v>9.7205346294046164E-3</v>
      </c>
      <c r="L524" s="56">
        <f t="shared" si="43"/>
        <v>2.821869488536155E-2</v>
      </c>
      <c r="M524" s="55">
        <v>0</v>
      </c>
      <c r="N524" s="56">
        <f t="shared" si="44"/>
        <v>0</v>
      </c>
      <c r="O524" s="53" t="s">
        <v>446</v>
      </c>
    </row>
    <row r="525" spans="1:15" hidden="1" x14ac:dyDescent="0.25">
      <c r="A525" s="52" t="s">
        <v>651</v>
      </c>
      <c r="B525" s="53" t="s">
        <v>444</v>
      </c>
      <c r="C525" s="53" t="s">
        <v>443</v>
      </c>
      <c r="D525" s="54">
        <v>45043</v>
      </c>
      <c r="E525" s="55">
        <v>296</v>
      </c>
      <c r="F525" s="56">
        <f t="shared" si="40"/>
        <v>0.9932432432432432</v>
      </c>
      <c r="G525" s="55">
        <v>2</v>
      </c>
      <c r="H525" s="55">
        <v>214</v>
      </c>
      <c r="I525" s="56">
        <f t="shared" si="41"/>
        <v>0.72297297297297303</v>
      </c>
      <c r="J525" s="55">
        <v>4</v>
      </c>
      <c r="K525" s="56">
        <f t="shared" si="42"/>
        <v>1.3513513513513514E-2</v>
      </c>
      <c r="L525" s="56">
        <f t="shared" si="43"/>
        <v>1.8691588785046728E-2</v>
      </c>
      <c r="M525" s="55">
        <v>1</v>
      </c>
      <c r="N525" s="56">
        <f t="shared" si="44"/>
        <v>3.3783783783783786E-3</v>
      </c>
      <c r="O525" s="53" t="s">
        <v>443</v>
      </c>
    </row>
    <row r="526" spans="1:15" hidden="1" x14ac:dyDescent="0.25">
      <c r="A526" s="52" t="s">
        <v>651</v>
      </c>
      <c r="B526" s="53" t="s">
        <v>439</v>
      </c>
      <c r="C526" s="53" t="s">
        <v>443</v>
      </c>
      <c r="D526" s="54">
        <v>45043</v>
      </c>
      <c r="E526" s="55">
        <v>579</v>
      </c>
      <c r="F526" s="56">
        <f t="shared" si="40"/>
        <v>0.99654576856649391</v>
      </c>
      <c r="G526" s="55">
        <v>2</v>
      </c>
      <c r="H526" s="55">
        <v>415</v>
      </c>
      <c r="I526" s="56">
        <f t="shared" si="41"/>
        <v>0.71675302245250427</v>
      </c>
      <c r="J526" s="55">
        <v>11</v>
      </c>
      <c r="K526" s="56">
        <f t="shared" si="42"/>
        <v>1.8998272884283247E-2</v>
      </c>
      <c r="L526" s="56">
        <f t="shared" si="43"/>
        <v>2.6506024096385541E-2</v>
      </c>
      <c r="M526" s="55">
        <v>0</v>
      </c>
      <c r="N526" s="56">
        <f t="shared" si="44"/>
        <v>0</v>
      </c>
      <c r="O526" s="53" t="s">
        <v>443</v>
      </c>
    </row>
    <row r="527" spans="1:15" hidden="1" x14ac:dyDescent="0.25">
      <c r="A527" s="52" t="s">
        <v>652</v>
      </c>
      <c r="B527" s="53" t="s">
        <v>439</v>
      </c>
      <c r="C527" s="53" t="s">
        <v>443</v>
      </c>
      <c r="D527" s="54">
        <v>45043</v>
      </c>
      <c r="E527" s="55">
        <v>200</v>
      </c>
      <c r="F527" s="56">
        <f t="shared" si="40"/>
        <v>1</v>
      </c>
      <c r="G527" s="55">
        <v>0</v>
      </c>
      <c r="H527" s="55">
        <v>130</v>
      </c>
      <c r="I527" s="56">
        <f t="shared" si="41"/>
        <v>0.65</v>
      </c>
      <c r="J527" s="55">
        <v>3</v>
      </c>
      <c r="K527" s="56">
        <f t="shared" si="42"/>
        <v>1.4999999999999999E-2</v>
      </c>
      <c r="L527" s="56">
        <f t="shared" si="43"/>
        <v>2.3076923076923078E-2</v>
      </c>
      <c r="M527" s="55">
        <v>0</v>
      </c>
      <c r="N527" s="56">
        <f t="shared" si="44"/>
        <v>0</v>
      </c>
      <c r="O527" s="53" t="s">
        <v>443</v>
      </c>
    </row>
    <row r="528" spans="1:15" hidden="1" x14ac:dyDescent="0.25">
      <c r="A528" s="52" t="s">
        <v>652</v>
      </c>
      <c r="B528" s="53" t="s">
        <v>444</v>
      </c>
      <c r="C528" s="53" t="s">
        <v>443</v>
      </c>
      <c r="D528" s="54">
        <v>45043</v>
      </c>
      <c r="E528" s="55">
        <v>93</v>
      </c>
      <c r="F528" s="56">
        <f t="shared" si="40"/>
        <v>1</v>
      </c>
      <c r="G528" s="55">
        <v>0</v>
      </c>
      <c r="H528" s="55">
        <v>61</v>
      </c>
      <c r="I528" s="56">
        <f t="shared" si="41"/>
        <v>0.65591397849462363</v>
      </c>
      <c r="J528" s="55">
        <v>3</v>
      </c>
      <c r="K528" s="56">
        <f t="shared" si="42"/>
        <v>3.2258064516129031E-2</v>
      </c>
      <c r="L528" s="56">
        <f t="shared" si="43"/>
        <v>4.9180327868852458E-2</v>
      </c>
      <c r="M528" s="55">
        <v>0</v>
      </c>
      <c r="N528" s="56">
        <f t="shared" si="44"/>
        <v>0</v>
      </c>
      <c r="O528" s="53" t="s">
        <v>443</v>
      </c>
    </row>
    <row r="529" spans="1:15" hidden="1" x14ac:dyDescent="0.25">
      <c r="A529" s="52" t="s">
        <v>653</v>
      </c>
      <c r="B529" s="53" t="s">
        <v>444</v>
      </c>
      <c r="C529" s="53" t="s">
        <v>443</v>
      </c>
      <c r="D529" s="54">
        <v>45044</v>
      </c>
      <c r="E529" s="55">
        <v>36959</v>
      </c>
      <c r="F529" s="56">
        <f t="shared" si="40"/>
        <v>0.9953461944316675</v>
      </c>
      <c r="G529" s="55">
        <v>172</v>
      </c>
      <c r="H529" s="55">
        <v>14761</v>
      </c>
      <c r="I529" s="56">
        <f t="shared" si="41"/>
        <v>0.39938851159392841</v>
      </c>
      <c r="J529" s="55">
        <v>200</v>
      </c>
      <c r="K529" s="56">
        <f t="shared" si="42"/>
        <v>5.4114018236424144E-3</v>
      </c>
      <c r="L529" s="56">
        <f t="shared" si="43"/>
        <v>1.3549217532687487E-2</v>
      </c>
      <c r="M529" s="55">
        <v>78</v>
      </c>
      <c r="N529" s="56">
        <f t="shared" si="44"/>
        <v>2.1104467112205419E-3</v>
      </c>
      <c r="O529" s="53" t="s">
        <v>443</v>
      </c>
    </row>
    <row r="530" spans="1:15" hidden="1" x14ac:dyDescent="0.25">
      <c r="A530" s="52" t="s">
        <v>653</v>
      </c>
      <c r="B530" s="53" t="s">
        <v>439</v>
      </c>
      <c r="C530" s="53" t="s">
        <v>443</v>
      </c>
      <c r="D530" s="54">
        <v>45044</v>
      </c>
      <c r="E530" s="55">
        <v>100800</v>
      </c>
      <c r="F530" s="56">
        <f t="shared" si="40"/>
        <v>0.99488095238095242</v>
      </c>
      <c r="G530" s="55">
        <v>516</v>
      </c>
      <c r="H530" s="55">
        <v>36145</v>
      </c>
      <c r="I530" s="56">
        <f t="shared" si="41"/>
        <v>0.35858134920634921</v>
      </c>
      <c r="J530" s="55">
        <v>406</v>
      </c>
      <c r="K530" s="56">
        <f t="shared" si="42"/>
        <v>4.0277777777777777E-3</v>
      </c>
      <c r="L530" s="56">
        <f t="shared" si="43"/>
        <v>1.1232535620417762E-2</v>
      </c>
      <c r="M530" s="55">
        <v>62</v>
      </c>
      <c r="N530" s="56">
        <f t="shared" si="44"/>
        <v>6.1507936507936511E-4</v>
      </c>
      <c r="O530" s="53" t="s">
        <v>443</v>
      </c>
    </row>
    <row r="531" spans="1:15" hidden="1" x14ac:dyDescent="0.25">
      <c r="A531" s="52" t="s">
        <v>654</v>
      </c>
      <c r="B531" s="53" t="s">
        <v>444</v>
      </c>
      <c r="C531" s="53" t="s">
        <v>443</v>
      </c>
      <c r="D531" s="54">
        <v>45044</v>
      </c>
      <c r="E531" s="55">
        <v>2801</v>
      </c>
      <c r="F531" s="56">
        <f t="shared" si="40"/>
        <v>0.99607283113173861</v>
      </c>
      <c r="G531" s="55">
        <v>11</v>
      </c>
      <c r="H531" s="55">
        <v>977</v>
      </c>
      <c r="I531" s="56">
        <f t="shared" si="41"/>
        <v>0.34880399857193861</v>
      </c>
      <c r="J531" s="55">
        <v>9</v>
      </c>
      <c r="K531" s="56">
        <f t="shared" si="42"/>
        <v>3.2131381649410924E-3</v>
      </c>
      <c r="L531" s="56">
        <f t="shared" si="43"/>
        <v>9.2118730808597744E-3</v>
      </c>
      <c r="M531" s="55">
        <v>2</v>
      </c>
      <c r="N531" s="56">
        <f t="shared" si="44"/>
        <v>7.140307033202428E-4</v>
      </c>
      <c r="O531" s="53" t="s">
        <v>443</v>
      </c>
    </row>
    <row r="532" spans="1:15" hidden="1" x14ac:dyDescent="0.25">
      <c r="A532" s="52" t="s">
        <v>654</v>
      </c>
      <c r="B532" s="53" t="s">
        <v>439</v>
      </c>
      <c r="C532" s="53" t="s">
        <v>443</v>
      </c>
      <c r="D532" s="54">
        <v>45044</v>
      </c>
      <c r="E532" s="55">
        <v>9694</v>
      </c>
      <c r="F532" s="56">
        <f t="shared" si="40"/>
        <v>0.99453270063957089</v>
      </c>
      <c r="G532" s="55">
        <v>53</v>
      </c>
      <c r="H532" s="55">
        <v>3036</v>
      </c>
      <c r="I532" s="56">
        <f t="shared" si="41"/>
        <v>0.31318341242005365</v>
      </c>
      <c r="J532" s="55">
        <v>34</v>
      </c>
      <c r="K532" s="56">
        <f t="shared" si="42"/>
        <v>3.5073241180111408E-3</v>
      </c>
      <c r="L532" s="56">
        <f t="shared" si="43"/>
        <v>1.1198945981554678E-2</v>
      </c>
      <c r="M532" s="55">
        <v>5</v>
      </c>
      <c r="N532" s="56">
        <f t="shared" si="44"/>
        <v>5.1578295853105011E-4</v>
      </c>
      <c r="O532" s="53" t="s">
        <v>443</v>
      </c>
    </row>
    <row r="533" spans="1:15" hidden="1" x14ac:dyDescent="0.25">
      <c r="A533" s="52" t="s">
        <v>655</v>
      </c>
      <c r="B533" s="53" t="s">
        <v>444</v>
      </c>
      <c r="C533" s="53" t="s">
        <v>443</v>
      </c>
      <c r="D533" s="54">
        <v>45044</v>
      </c>
      <c r="E533" s="55">
        <v>114888</v>
      </c>
      <c r="F533" s="56">
        <f t="shared" si="40"/>
        <v>0.99691003412018664</v>
      </c>
      <c r="G533" s="55">
        <v>355</v>
      </c>
      <c r="H533" s="55">
        <v>40585</v>
      </c>
      <c r="I533" s="56">
        <f t="shared" si="41"/>
        <v>0.35325708516120047</v>
      </c>
      <c r="J533" s="55">
        <v>607</v>
      </c>
      <c r="K533" s="56">
        <f t="shared" si="42"/>
        <v>5.2834064480189406E-3</v>
      </c>
      <c r="L533" s="56">
        <f t="shared" si="43"/>
        <v>1.495626462978933E-2</v>
      </c>
      <c r="M533" s="55">
        <v>222</v>
      </c>
      <c r="N533" s="56">
        <f t="shared" si="44"/>
        <v>1.9323166910382285E-3</v>
      </c>
      <c r="O533" s="53" t="s">
        <v>443</v>
      </c>
    </row>
    <row r="534" spans="1:15" hidden="1" x14ac:dyDescent="0.25">
      <c r="A534" s="52" t="s">
        <v>655</v>
      </c>
      <c r="B534" s="53" t="s">
        <v>439</v>
      </c>
      <c r="C534" s="53" t="s">
        <v>443</v>
      </c>
      <c r="D534" s="54">
        <v>45044</v>
      </c>
      <c r="E534" s="55">
        <v>199283</v>
      </c>
      <c r="F534" s="56">
        <f t="shared" si="40"/>
        <v>0.99559420522573427</v>
      </c>
      <c r="G534" s="55">
        <v>878</v>
      </c>
      <c r="H534" s="55">
        <v>83997</v>
      </c>
      <c r="I534" s="56">
        <f t="shared" si="41"/>
        <v>0.42149606338724327</v>
      </c>
      <c r="J534" s="55">
        <v>1082</v>
      </c>
      <c r="K534" s="56">
        <f t="shared" si="42"/>
        <v>5.4294646307010636E-3</v>
      </c>
      <c r="L534" s="56">
        <f t="shared" si="43"/>
        <v>1.288141243139636E-2</v>
      </c>
      <c r="M534" s="55">
        <v>158</v>
      </c>
      <c r="N534" s="56">
        <f t="shared" si="44"/>
        <v>7.9284233978814053E-4</v>
      </c>
      <c r="O534" s="53" t="s">
        <v>443</v>
      </c>
    </row>
    <row r="535" spans="1:15" hidden="1" x14ac:dyDescent="0.25">
      <c r="A535" s="58" t="s">
        <v>22</v>
      </c>
      <c r="B535" s="53" t="s">
        <v>439</v>
      </c>
      <c r="C535" s="53" t="s">
        <v>443</v>
      </c>
      <c r="D535" s="54">
        <v>45044</v>
      </c>
      <c r="E535" s="55">
        <v>105579</v>
      </c>
      <c r="F535" s="56">
        <f t="shared" si="40"/>
        <v>0.99390977372394129</v>
      </c>
      <c r="G535" s="55">
        <v>643</v>
      </c>
      <c r="H535" s="55">
        <v>32098</v>
      </c>
      <c r="I535" s="56">
        <f t="shared" si="41"/>
        <v>0.3040187916157569</v>
      </c>
      <c r="J535" s="55">
        <v>796</v>
      </c>
      <c r="K535" s="56">
        <f t="shared" si="42"/>
        <v>7.5393780960228834E-3</v>
      </c>
      <c r="L535" s="56">
        <f t="shared" si="43"/>
        <v>2.4799052900492242E-2</v>
      </c>
      <c r="M535" s="55">
        <v>59</v>
      </c>
      <c r="N535" s="56">
        <f t="shared" si="44"/>
        <v>5.5882325083586701E-4</v>
      </c>
      <c r="O535" s="53" t="s">
        <v>443</v>
      </c>
    </row>
    <row r="536" spans="1:15" hidden="1" x14ac:dyDescent="0.25">
      <c r="A536" s="58" t="s">
        <v>22</v>
      </c>
      <c r="B536" s="53" t="s">
        <v>444</v>
      </c>
      <c r="C536" s="53" t="s">
        <v>443</v>
      </c>
      <c r="D536" s="54">
        <v>45044</v>
      </c>
      <c r="E536" s="55">
        <v>206556</v>
      </c>
      <c r="F536" s="56">
        <f t="shared" si="40"/>
        <v>0.99555568465694533</v>
      </c>
      <c r="G536" s="55">
        <v>918</v>
      </c>
      <c r="H536" s="55">
        <v>62029</v>
      </c>
      <c r="I536" s="56">
        <f t="shared" si="41"/>
        <v>0.30030112899165362</v>
      </c>
      <c r="J536" s="55">
        <v>1292</v>
      </c>
      <c r="K536" s="56">
        <f t="shared" si="42"/>
        <v>6.2549623346695327E-3</v>
      </c>
      <c r="L536" s="56">
        <f t="shared" si="43"/>
        <v>2.0828967096035725E-2</v>
      </c>
      <c r="M536" s="55">
        <v>481</v>
      </c>
      <c r="N536" s="56">
        <f t="shared" si="44"/>
        <v>2.3286663180929141E-3</v>
      </c>
      <c r="O536" s="53" t="s">
        <v>443</v>
      </c>
    </row>
    <row r="537" spans="1:15" hidden="1" x14ac:dyDescent="0.25">
      <c r="A537" s="58" t="s">
        <v>23</v>
      </c>
      <c r="B537" s="53" t="s">
        <v>439</v>
      </c>
      <c r="C537" s="53" t="s">
        <v>443</v>
      </c>
      <c r="D537" s="54">
        <v>45044</v>
      </c>
      <c r="E537" s="55">
        <v>1923125</v>
      </c>
      <c r="F537" s="56">
        <f t="shared" si="40"/>
        <v>0.99572674683132922</v>
      </c>
      <c r="G537" s="55">
        <v>8218</v>
      </c>
      <c r="H537" s="55">
        <v>637758</v>
      </c>
      <c r="I537" s="56">
        <f t="shared" si="41"/>
        <v>0.33162586935326616</v>
      </c>
      <c r="J537" s="55">
        <v>8871</v>
      </c>
      <c r="K537" s="56">
        <f t="shared" si="42"/>
        <v>4.6128046798830031E-3</v>
      </c>
      <c r="L537" s="56">
        <f t="shared" si="43"/>
        <v>1.3909664794483174E-2</v>
      </c>
      <c r="M537" s="55">
        <v>1698</v>
      </c>
      <c r="N537" s="56">
        <f t="shared" si="44"/>
        <v>8.8293792655183621E-4</v>
      </c>
      <c r="O537" s="53" t="s">
        <v>443</v>
      </c>
    </row>
    <row r="538" spans="1:15" hidden="1" x14ac:dyDescent="0.25">
      <c r="A538" s="58" t="s">
        <v>23</v>
      </c>
      <c r="B538" s="53" t="s">
        <v>444</v>
      </c>
      <c r="C538" s="53" t="s">
        <v>443</v>
      </c>
      <c r="D538" s="54">
        <v>45044</v>
      </c>
      <c r="E538" s="55">
        <v>2276123</v>
      </c>
      <c r="F538" s="56">
        <f t="shared" si="40"/>
        <v>0.99639518602465682</v>
      </c>
      <c r="G538" s="55">
        <v>8205</v>
      </c>
      <c r="H538" s="55">
        <v>739935</v>
      </c>
      <c r="I538" s="56">
        <f t="shared" si="41"/>
        <v>0.32508568297934692</v>
      </c>
      <c r="J538" s="55">
        <v>10283</v>
      </c>
      <c r="K538" s="56">
        <f t="shared" si="42"/>
        <v>4.5177699096226346E-3</v>
      </c>
      <c r="L538" s="56">
        <f t="shared" si="43"/>
        <v>1.389716664301594E-2</v>
      </c>
      <c r="M538" s="55">
        <v>4468</v>
      </c>
      <c r="N538" s="56">
        <f t="shared" si="44"/>
        <v>1.9629870617712663E-3</v>
      </c>
      <c r="O538" s="53" t="s">
        <v>443</v>
      </c>
    </row>
    <row r="539" spans="1:15" x14ac:dyDescent="0.25">
      <c r="A539" s="58" t="s">
        <v>451</v>
      </c>
      <c r="B539" s="53" t="s">
        <v>444</v>
      </c>
      <c r="C539" s="53" t="s">
        <v>452</v>
      </c>
      <c r="D539" s="54">
        <v>45044</v>
      </c>
      <c r="E539" s="55">
        <v>235331</v>
      </c>
      <c r="F539" s="56">
        <f t="shared" si="40"/>
        <v>0.99658778486472244</v>
      </c>
      <c r="G539" s="55">
        <v>803</v>
      </c>
      <c r="H539" s="55">
        <v>104943</v>
      </c>
      <c r="I539" s="56">
        <f t="shared" si="41"/>
        <v>0.44593784924213131</v>
      </c>
      <c r="J539" s="55">
        <v>1611</v>
      </c>
      <c r="K539" s="56">
        <f t="shared" si="42"/>
        <v>6.845676940139633E-3</v>
      </c>
      <c r="L539" s="56">
        <f t="shared" si="43"/>
        <v>1.5351190646350876E-2</v>
      </c>
      <c r="M539" s="55">
        <v>230</v>
      </c>
      <c r="N539" s="56">
        <f t="shared" si="44"/>
        <v>9.7734680088896065E-4</v>
      </c>
      <c r="O539" s="53" t="s">
        <v>452</v>
      </c>
    </row>
    <row r="540" spans="1:15" x14ac:dyDescent="0.25">
      <c r="A540" s="58" t="s">
        <v>453</v>
      </c>
      <c r="B540" s="53" t="s">
        <v>444</v>
      </c>
      <c r="C540" s="53" t="s">
        <v>452</v>
      </c>
      <c r="D540" s="54">
        <v>45044</v>
      </c>
      <c r="E540" s="55">
        <v>332784</v>
      </c>
      <c r="F540" s="56">
        <f t="shared" si="40"/>
        <v>0.99478340304822344</v>
      </c>
      <c r="G540" s="55">
        <v>1736</v>
      </c>
      <c r="H540" s="55">
        <v>119981</v>
      </c>
      <c r="I540" s="56">
        <f t="shared" si="41"/>
        <v>0.36053716524832924</v>
      </c>
      <c r="J540" s="55">
        <v>1983</v>
      </c>
      <c r="K540" s="56">
        <f t="shared" si="42"/>
        <v>5.9588201355834413E-3</v>
      </c>
      <c r="L540" s="56">
        <f t="shared" si="43"/>
        <v>1.6527616872671506E-2</v>
      </c>
      <c r="M540" s="55">
        <v>297</v>
      </c>
      <c r="N540" s="56">
        <f t="shared" si="44"/>
        <v>8.9247079186499352E-4</v>
      </c>
      <c r="O540" s="53" t="s">
        <v>452</v>
      </c>
    </row>
    <row r="541" spans="1:15" x14ac:dyDescent="0.25">
      <c r="A541" s="58" t="s">
        <v>454</v>
      </c>
      <c r="B541" s="53" t="s">
        <v>444</v>
      </c>
      <c r="C541" s="53" t="s">
        <v>452</v>
      </c>
      <c r="D541" s="54">
        <v>45045</v>
      </c>
      <c r="E541" s="55">
        <v>14780</v>
      </c>
      <c r="F541" s="56">
        <f t="shared" si="40"/>
        <v>0.99499323410013529</v>
      </c>
      <c r="G541" s="55">
        <v>74</v>
      </c>
      <c r="H541" s="55">
        <v>4768</v>
      </c>
      <c r="I541" s="56">
        <f t="shared" si="41"/>
        <v>0.32259810554803792</v>
      </c>
      <c r="J541" s="55">
        <v>171</v>
      </c>
      <c r="K541" s="56">
        <f t="shared" si="42"/>
        <v>1.1569688768606225E-2</v>
      </c>
      <c r="L541" s="56">
        <f t="shared" si="43"/>
        <v>3.5864093959731544E-2</v>
      </c>
      <c r="M541" s="55">
        <v>17</v>
      </c>
      <c r="N541" s="56">
        <f t="shared" si="44"/>
        <v>1.1502029769959404E-3</v>
      </c>
      <c r="O541" s="53" t="s">
        <v>452</v>
      </c>
    </row>
    <row r="542" spans="1:15" hidden="1" x14ac:dyDescent="0.25">
      <c r="A542" s="52" t="s">
        <v>15</v>
      </c>
      <c r="B542" s="53" t="s">
        <v>439</v>
      </c>
      <c r="C542" s="53" t="s">
        <v>447</v>
      </c>
      <c r="D542" s="54">
        <v>45047</v>
      </c>
      <c r="E542" s="55">
        <v>9461</v>
      </c>
      <c r="F542" s="56">
        <f t="shared" si="40"/>
        <v>0.98182010358313077</v>
      </c>
      <c r="G542" s="55">
        <v>172</v>
      </c>
      <c r="H542" s="55">
        <v>3456</v>
      </c>
      <c r="I542" s="56">
        <f t="shared" si="41"/>
        <v>0.36528908149244266</v>
      </c>
      <c r="J542" s="55">
        <v>567</v>
      </c>
      <c r="K542" s="56">
        <f t="shared" si="42"/>
        <v>5.9930239932353871E-2</v>
      </c>
      <c r="L542" s="56">
        <f t="shared" si="43"/>
        <v>0.1640625</v>
      </c>
      <c r="M542" s="55">
        <v>29</v>
      </c>
      <c r="N542" s="56">
        <f t="shared" si="44"/>
        <v>3.0652150935419091E-3</v>
      </c>
      <c r="O542" s="53" t="s">
        <v>448</v>
      </c>
    </row>
    <row r="543" spans="1:15" hidden="1" x14ac:dyDescent="0.25">
      <c r="A543" s="52" t="s">
        <v>17</v>
      </c>
      <c r="B543" s="53" t="s">
        <v>439</v>
      </c>
      <c r="C543" s="53" t="s">
        <v>447</v>
      </c>
      <c r="D543" s="54">
        <v>45047</v>
      </c>
      <c r="E543" s="55">
        <v>85261</v>
      </c>
      <c r="F543" s="56">
        <f t="shared" si="40"/>
        <v>0.97441972296829737</v>
      </c>
      <c r="G543" s="55">
        <v>2181</v>
      </c>
      <c r="H543" s="55">
        <v>37997</v>
      </c>
      <c r="I543" s="56">
        <f t="shared" si="41"/>
        <v>0.44565510608601822</v>
      </c>
      <c r="J543" s="55">
        <v>4302</v>
      </c>
      <c r="K543" s="56">
        <f t="shared" si="42"/>
        <v>5.0456832549465758E-2</v>
      </c>
      <c r="L543" s="56">
        <f t="shared" si="43"/>
        <v>0.11321946469458115</v>
      </c>
      <c r="M543" s="55">
        <v>357</v>
      </c>
      <c r="N543" s="56">
        <f t="shared" si="44"/>
        <v>4.1871430079403246E-3</v>
      </c>
      <c r="O543" s="53" t="s">
        <v>448</v>
      </c>
    </row>
    <row r="544" spans="1:15" hidden="1" x14ac:dyDescent="0.25">
      <c r="A544" s="58" t="s">
        <v>18</v>
      </c>
      <c r="B544" s="53" t="s">
        <v>439</v>
      </c>
      <c r="C544" s="53" t="s">
        <v>443</v>
      </c>
      <c r="D544" s="54">
        <v>45048</v>
      </c>
      <c r="E544" s="55">
        <v>26231</v>
      </c>
      <c r="F544" s="56">
        <f t="shared" si="40"/>
        <v>0.99332850444130993</v>
      </c>
      <c r="G544" s="55">
        <v>175</v>
      </c>
      <c r="H544" s="55">
        <v>9283</v>
      </c>
      <c r="I544" s="56">
        <f t="shared" si="41"/>
        <v>0.35389424726468682</v>
      </c>
      <c r="J544" s="55">
        <v>316</v>
      </c>
      <c r="K544" s="56">
        <f t="shared" si="42"/>
        <v>1.2046814837406123E-2</v>
      </c>
      <c r="L544" s="56">
        <f t="shared" si="43"/>
        <v>3.4040719594958524E-2</v>
      </c>
      <c r="M544" s="55">
        <v>10</v>
      </c>
      <c r="N544" s="56">
        <f t="shared" si="44"/>
        <v>3.8122831763943424E-4</v>
      </c>
      <c r="O544" s="53" t="s">
        <v>443</v>
      </c>
    </row>
    <row r="545" spans="1:15" hidden="1" x14ac:dyDescent="0.25">
      <c r="A545" s="58" t="s">
        <v>18</v>
      </c>
      <c r="B545" s="53" t="s">
        <v>444</v>
      </c>
      <c r="C545" s="53" t="s">
        <v>443</v>
      </c>
      <c r="D545" s="54">
        <v>45048</v>
      </c>
      <c r="E545" s="55">
        <v>27102</v>
      </c>
      <c r="F545" s="56">
        <f t="shared" si="40"/>
        <v>0.99535089661279608</v>
      </c>
      <c r="G545" s="55">
        <v>126</v>
      </c>
      <c r="H545" s="55">
        <v>10104</v>
      </c>
      <c r="I545" s="56">
        <f t="shared" si="41"/>
        <v>0.37281381447863626</v>
      </c>
      <c r="J545" s="55">
        <v>271</v>
      </c>
      <c r="K545" s="56">
        <f t="shared" si="42"/>
        <v>9.9992620470813962E-3</v>
      </c>
      <c r="L545" s="56">
        <f t="shared" si="43"/>
        <v>2.6821060965954078E-2</v>
      </c>
      <c r="M545" s="55">
        <v>25</v>
      </c>
      <c r="N545" s="56">
        <f t="shared" si="44"/>
        <v>9.2244114825474136E-4</v>
      </c>
      <c r="O545" s="53" t="s">
        <v>443</v>
      </c>
    </row>
    <row r="546" spans="1:15" hidden="1" x14ac:dyDescent="0.25">
      <c r="A546" s="58" t="s">
        <v>19</v>
      </c>
      <c r="B546" s="53" t="s">
        <v>439</v>
      </c>
      <c r="C546" s="53" t="s">
        <v>443</v>
      </c>
      <c r="D546" s="54">
        <v>45048</v>
      </c>
      <c r="E546" s="55">
        <v>233675</v>
      </c>
      <c r="F546" s="56">
        <f t="shared" si="40"/>
        <v>0.99459933668556755</v>
      </c>
      <c r="G546" s="55">
        <v>1262</v>
      </c>
      <c r="H546" s="55">
        <v>82903</v>
      </c>
      <c r="I546" s="56">
        <f t="shared" si="41"/>
        <v>0.35477907349951854</v>
      </c>
      <c r="J546" s="55">
        <v>2098</v>
      </c>
      <c r="K546" s="56">
        <f t="shared" si="42"/>
        <v>8.978281801647588E-3</v>
      </c>
      <c r="L546" s="56">
        <f t="shared" si="43"/>
        <v>2.5306683714702724E-2</v>
      </c>
      <c r="M546" s="55">
        <v>123</v>
      </c>
      <c r="N546" s="56">
        <f t="shared" si="44"/>
        <v>5.2637209799935808E-4</v>
      </c>
      <c r="O546" s="53" t="s">
        <v>443</v>
      </c>
    </row>
    <row r="547" spans="1:15" hidden="1" x14ac:dyDescent="0.25">
      <c r="A547" s="58" t="s">
        <v>19</v>
      </c>
      <c r="B547" s="53" t="s">
        <v>444</v>
      </c>
      <c r="C547" s="53" t="s">
        <v>443</v>
      </c>
      <c r="D547" s="54">
        <v>45048</v>
      </c>
      <c r="E547" s="55">
        <v>453737</v>
      </c>
      <c r="F547" s="56">
        <f t="shared" si="40"/>
        <v>0.99624011266438484</v>
      </c>
      <c r="G547" s="55">
        <v>1706</v>
      </c>
      <c r="H547" s="55">
        <v>173750</v>
      </c>
      <c r="I547" s="56">
        <f t="shared" si="41"/>
        <v>0.38293108122105979</v>
      </c>
      <c r="J547" s="55">
        <v>2701</v>
      </c>
      <c r="K547" s="56">
        <f t="shared" si="42"/>
        <v>5.9527876280752951E-3</v>
      </c>
      <c r="L547" s="56">
        <f t="shared" si="43"/>
        <v>1.5545323741007195E-2</v>
      </c>
      <c r="M547" s="55">
        <v>405</v>
      </c>
      <c r="N547" s="56">
        <f t="shared" si="44"/>
        <v>8.9258755622750624E-4</v>
      </c>
      <c r="O547" s="53" t="s">
        <v>443</v>
      </c>
    </row>
    <row r="548" spans="1:15" hidden="1" x14ac:dyDescent="0.25">
      <c r="A548" s="52" t="s">
        <v>656</v>
      </c>
      <c r="B548" s="53" t="s">
        <v>439</v>
      </c>
      <c r="C548" s="53" t="s">
        <v>447</v>
      </c>
      <c r="D548" s="54">
        <v>45048</v>
      </c>
      <c r="E548" s="55">
        <v>60488</v>
      </c>
      <c r="F548" s="56">
        <f t="shared" si="40"/>
        <v>0.99537098267424939</v>
      </c>
      <c r="G548" s="55">
        <v>280</v>
      </c>
      <c r="H548" s="55">
        <v>26778</v>
      </c>
      <c r="I548" s="56">
        <f t="shared" si="41"/>
        <v>0.44269937838910195</v>
      </c>
      <c r="J548" s="55">
        <v>1613</v>
      </c>
      <c r="K548" s="56">
        <f t="shared" si="42"/>
        <v>2.6666446237270203E-2</v>
      </c>
      <c r="L548" s="56">
        <f t="shared" si="43"/>
        <v>6.0236014638882666E-2</v>
      </c>
      <c r="M548" s="55">
        <v>46</v>
      </c>
      <c r="N548" s="56">
        <f t="shared" si="44"/>
        <v>7.6048141780187808E-4</v>
      </c>
      <c r="O548" s="53" t="s">
        <v>448</v>
      </c>
    </row>
    <row r="549" spans="1:15" hidden="1" x14ac:dyDescent="0.25">
      <c r="A549" s="52" t="s">
        <v>657</v>
      </c>
      <c r="B549" s="53" t="s">
        <v>439</v>
      </c>
      <c r="C549" s="53" t="s">
        <v>443</v>
      </c>
      <c r="D549" s="54">
        <v>45049</v>
      </c>
      <c r="E549" s="55">
        <v>12366</v>
      </c>
      <c r="F549" s="56">
        <f t="shared" si="40"/>
        <v>0.9929645803008248</v>
      </c>
      <c r="G549" s="55">
        <v>87</v>
      </c>
      <c r="H549" s="55">
        <v>4740</v>
      </c>
      <c r="I549" s="56">
        <f t="shared" si="41"/>
        <v>0.38330907326540514</v>
      </c>
      <c r="J549" s="55">
        <v>82</v>
      </c>
      <c r="K549" s="56">
        <f t="shared" si="42"/>
        <v>6.6310852337053208E-3</v>
      </c>
      <c r="L549" s="56">
        <f t="shared" si="43"/>
        <v>1.729957805907173E-2</v>
      </c>
      <c r="M549" s="55">
        <v>4</v>
      </c>
      <c r="N549" s="56">
        <f t="shared" si="44"/>
        <v>3.2346757237586933E-4</v>
      </c>
      <c r="O549" s="53" t="s">
        <v>443</v>
      </c>
    </row>
    <row r="550" spans="1:15" hidden="1" x14ac:dyDescent="0.25">
      <c r="A550" s="52" t="s">
        <v>657</v>
      </c>
      <c r="B550" s="53" t="s">
        <v>444</v>
      </c>
      <c r="C550" s="53" t="s">
        <v>443</v>
      </c>
      <c r="D550" s="54">
        <v>45049</v>
      </c>
      <c r="E550" s="55">
        <v>3939</v>
      </c>
      <c r="F550" s="56">
        <f t="shared" si="40"/>
        <v>0.9951764407209952</v>
      </c>
      <c r="G550" s="55">
        <v>19</v>
      </c>
      <c r="H550" s="55">
        <v>1614</v>
      </c>
      <c r="I550" s="56">
        <f t="shared" si="41"/>
        <v>0.40974866717440978</v>
      </c>
      <c r="J550" s="55">
        <v>20</v>
      </c>
      <c r="K550" s="56">
        <f t="shared" si="42"/>
        <v>5.0774308200050777E-3</v>
      </c>
      <c r="L550" s="56">
        <f t="shared" si="43"/>
        <v>1.2391573729863693E-2</v>
      </c>
      <c r="M550" s="55">
        <v>10</v>
      </c>
      <c r="N550" s="56">
        <f t="shared" si="44"/>
        <v>2.5387154100025388E-3</v>
      </c>
      <c r="O550" s="53" t="s">
        <v>443</v>
      </c>
    </row>
    <row r="551" spans="1:15" hidden="1" x14ac:dyDescent="0.25">
      <c r="A551" s="52" t="s">
        <v>658</v>
      </c>
      <c r="B551" s="53" t="s">
        <v>439</v>
      </c>
      <c r="C551" s="53" t="s">
        <v>443</v>
      </c>
      <c r="D551" s="54">
        <v>45049</v>
      </c>
      <c r="E551" s="55">
        <v>228233</v>
      </c>
      <c r="F551" s="56">
        <f t="shared" si="40"/>
        <v>0.9948648968378806</v>
      </c>
      <c r="G551" s="55">
        <v>1172</v>
      </c>
      <c r="H551" s="55">
        <v>100400</v>
      </c>
      <c r="I551" s="56">
        <f t="shared" si="41"/>
        <v>0.43990132890511013</v>
      </c>
      <c r="J551" s="55">
        <v>2500</v>
      </c>
      <c r="K551" s="56">
        <f t="shared" si="42"/>
        <v>1.0953718349230829E-2</v>
      </c>
      <c r="L551" s="56">
        <f t="shared" si="43"/>
        <v>2.4900398406374501E-2</v>
      </c>
      <c r="M551" s="55">
        <v>150</v>
      </c>
      <c r="N551" s="56">
        <f t="shared" si="44"/>
        <v>6.5722310095384985E-4</v>
      </c>
      <c r="O551" s="53" t="s">
        <v>443</v>
      </c>
    </row>
    <row r="552" spans="1:15" hidden="1" x14ac:dyDescent="0.25">
      <c r="A552" s="52" t="s">
        <v>658</v>
      </c>
      <c r="B552" s="53" t="s">
        <v>444</v>
      </c>
      <c r="C552" s="53" t="s">
        <v>443</v>
      </c>
      <c r="D552" s="54">
        <v>45049</v>
      </c>
      <c r="E552" s="55">
        <v>293839</v>
      </c>
      <c r="F552" s="56">
        <f t="shared" si="40"/>
        <v>0.99577659874965541</v>
      </c>
      <c r="G552" s="55">
        <v>1241</v>
      </c>
      <c r="H552" s="55">
        <v>125796</v>
      </c>
      <c r="I552" s="56">
        <f t="shared" si="41"/>
        <v>0.42811199330245475</v>
      </c>
      <c r="J552" s="55">
        <v>2451</v>
      </c>
      <c r="K552" s="56">
        <f t="shared" si="42"/>
        <v>8.3413025500359041E-3</v>
      </c>
      <c r="L552" s="56">
        <f t="shared" si="43"/>
        <v>1.9483926356958885E-2</v>
      </c>
      <c r="M552" s="55">
        <v>545</v>
      </c>
      <c r="N552" s="56">
        <f t="shared" si="44"/>
        <v>1.8547571969684078E-3</v>
      </c>
      <c r="O552" s="53" t="s">
        <v>443</v>
      </c>
    </row>
    <row r="553" spans="1:15" hidden="1" x14ac:dyDescent="0.25">
      <c r="A553" s="52" t="s">
        <v>659</v>
      </c>
      <c r="B553" s="53" t="s">
        <v>439</v>
      </c>
      <c r="C553" s="53" t="s">
        <v>447</v>
      </c>
      <c r="D553" s="54">
        <v>45049</v>
      </c>
      <c r="E553" s="55">
        <v>32024</v>
      </c>
      <c r="F553" s="56">
        <f t="shared" si="40"/>
        <v>0.99313015238571067</v>
      </c>
      <c r="G553" s="55">
        <v>220</v>
      </c>
      <c r="H553" s="55">
        <v>13089</v>
      </c>
      <c r="I553" s="56">
        <f t="shared" si="41"/>
        <v>0.40872470647014741</v>
      </c>
      <c r="J553" s="55">
        <v>2663</v>
      </c>
      <c r="K553" s="56">
        <f t="shared" si="42"/>
        <v>8.3156382712965271E-2</v>
      </c>
      <c r="L553" s="56">
        <f t="shared" si="43"/>
        <v>0.20345328138131255</v>
      </c>
      <c r="M553" s="55">
        <v>27</v>
      </c>
      <c r="N553" s="56">
        <f t="shared" si="44"/>
        <v>8.4311766175368473E-4</v>
      </c>
      <c r="O553" s="53" t="s">
        <v>448</v>
      </c>
    </row>
    <row r="554" spans="1:15" hidden="1" x14ac:dyDescent="0.25">
      <c r="A554" s="52" t="s">
        <v>660</v>
      </c>
      <c r="B554" s="53" t="s">
        <v>439</v>
      </c>
      <c r="C554" s="53" t="s">
        <v>443</v>
      </c>
      <c r="D554" s="54">
        <v>45050</v>
      </c>
      <c r="E554" s="55">
        <v>130464</v>
      </c>
      <c r="F554" s="56">
        <f t="shared" si="40"/>
        <v>0.99317052980132448</v>
      </c>
      <c r="G554" s="55">
        <v>891</v>
      </c>
      <c r="H554" s="55">
        <v>43901</v>
      </c>
      <c r="I554" s="56">
        <f t="shared" si="41"/>
        <v>0.33649895756683834</v>
      </c>
      <c r="J554" s="55">
        <v>640</v>
      </c>
      <c r="K554" s="56">
        <f t="shared" si="42"/>
        <v>4.9055678194751045E-3</v>
      </c>
      <c r="L554" s="56">
        <f t="shared" si="43"/>
        <v>1.4578255620600897E-2</v>
      </c>
      <c r="M554" s="55">
        <v>64</v>
      </c>
      <c r="N554" s="56">
        <f t="shared" si="44"/>
        <v>4.9055678194751039E-4</v>
      </c>
      <c r="O554" s="53" t="s">
        <v>443</v>
      </c>
    </row>
    <row r="555" spans="1:15" hidden="1" x14ac:dyDescent="0.25">
      <c r="A555" s="52" t="s">
        <v>660</v>
      </c>
      <c r="B555" s="53" t="s">
        <v>444</v>
      </c>
      <c r="C555" s="53" t="s">
        <v>443</v>
      </c>
      <c r="D555" s="54">
        <v>45050</v>
      </c>
      <c r="E555" s="55">
        <v>221169</v>
      </c>
      <c r="F555" s="56">
        <f t="shared" si="40"/>
        <v>0.99514850634582608</v>
      </c>
      <c r="G555" s="55">
        <v>1073</v>
      </c>
      <c r="H555" s="55">
        <v>71390</v>
      </c>
      <c r="I555" s="56">
        <f t="shared" si="41"/>
        <v>0.3227848387432235</v>
      </c>
      <c r="J555" s="55">
        <v>1107</v>
      </c>
      <c r="K555" s="56">
        <f t="shared" si="42"/>
        <v>5.0052222508579413E-3</v>
      </c>
      <c r="L555" s="56">
        <f t="shared" si="43"/>
        <v>1.5506373441658495E-2</v>
      </c>
      <c r="M555" s="55">
        <v>451</v>
      </c>
      <c r="N555" s="56">
        <f t="shared" si="44"/>
        <v>2.0391646207199021E-3</v>
      </c>
      <c r="O555" s="53" t="s">
        <v>443</v>
      </c>
    </row>
    <row r="556" spans="1:15" hidden="1" x14ac:dyDescent="0.25">
      <c r="A556" s="52" t="s">
        <v>661</v>
      </c>
      <c r="B556" s="53" t="s">
        <v>439</v>
      </c>
      <c r="C556" s="53" t="s">
        <v>443</v>
      </c>
      <c r="D556" s="54">
        <v>45050</v>
      </c>
      <c r="E556" s="55">
        <v>2357839</v>
      </c>
      <c r="F556" s="56">
        <f t="shared" si="40"/>
        <v>0.9949313757215823</v>
      </c>
      <c r="G556" s="55">
        <v>11951</v>
      </c>
      <c r="H556" s="55">
        <v>823345</v>
      </c>
      <c r="I556" s="56">
        <f t="shared" si="41"/>
        <v>0.349194749938397</v>
      </c>
      <c r="J556" s="55">
        <v>9861</v>
      </c>
      <c r="K556" s="56">
        <f t="shared" si="42"/>
        <v>4.1822193966593989E-3</v>
      </c>
      <c r="L556" s="56">
        <f t="shared" si="43"/>
        <v>1.1976753365842994E-2</v>
      </c>
      <c r="M556" s="55">
        <v>2101</v>
      </c>
      <c r="N556" s="56">
        <f t="shared" si="44"/>
        <v>8.9107017060961334E-4</v>
      </c>
      <c r="O556" s="53" t="s">
        <v>443</v>
      </c>
    </row>
    <row r="557" spans="1:15" hidden="1" x14ac:dyDescent="0.25">
      <c r="A557" s="52" t="s">
        <v>661</v>
      </c>
      <c r="B557" s="53" t="s">
        <v>444</v>
      </c>
      <c r="C557" s="53" t="s">
        <v>443</v>
      </c>
      <c r="D557" s="54">
        <v>45050</v>
      </c>
      <c r="E557" s="55">
        <v>2456614</v>
      </c>
      <c r="F557" s="56">
        <f t="shared" si="40"/>
        <v>0.99600547745799706</v>
      </c>
      <c r="G557" s="55">
        <v>9813</v>
      </c>
      <c r="H557" s="55">
        <v>858291</v>
      </c>
      <c r="I557" s="56">
        <f t="shared" si="41"/>
        <v>0.3493796746253176</v>
      </c>
      <c r="J557" s="55">
        <v>11555</v>
      </c>
      <c r="K557" s="56">
        <f t="shared" si="42"/>
        <v>4.703628653097312E-3</v>
      </c>
      <c r="L557" s="56">
        <f t="shared" si="43"/>
        <v>1.3462799912850071E-2</v>
      </c>
      <c r="M557" s="55">
        <v>4569</v>
      </c>
      <c r="N557" s="56">
        <f t="shared" si="44"/>
        <v>1.8598770502814036E-3</v>
      </c>
      <c r="O557" s="53" t="s">
        <v>443</v>
      </c>
    </row>
    <row r="558" spans="1:15" hidden="1" x14ac:dyDescent="0.25">
      <c r="A558" s="58" t="s">
        <v>449</v>
      </c>
      <c r="B558" s="53"/>
      <c r="C558" s="53" t="s">
        <v>446</v>
      </c>
      <c r="D558" s="54">
        <v>45050</v>
      </c>
      <c r="E558" s="55">
        <v>1644</v>
      </c>
      <c r="F558" s="56">
        <f t="shared" si="40"/>
        <v>0.99817518248175185</v>
      </c>
      <c r="G558" s="55">
        <v>3</v>
      </c>
      <c r="H558" s="55">
        <v>579</v>
      </c>
      <c r="I558" s="56">
        <f t="shared" si="41"/>
        <v>0.3521897810218978</v>
      </c>
      <c r="J558" s="55">
        <v>18</v>
      </c>
      <c r="K558" s="56">
        <f t="shared" si="42"/>
        <v>1.0948905109489052E-2</v>
      </c>
      <c r="L558" s="56">
        <f t="shared" si="43"/>
        <v>3.1088082901554404E-2</v>
      </c>
      <c r="M558" s="55">
        <v>0</v>
      </c>
      <c r="N558" s="56">
        <f t="shared" si="44"/>
        <v>0</v>
      </c>
      <c r="O558" s="53" t="s">
        <v>446</v>
      </c>
    </row>
    <row r="559" spans="1:15" hidden="1" x14ac:dyDescent="0.25">
      <c r="A559" s="52" t="s">
        <v>662</v>
      </c>
      <c r="B559" s="53" t="s">
        <v>439</v>
      </c>
      <c r="C559" s="53" t="s">
        <v>443</v>
      </c>
      <c r="D559" s="54">
        <v>45050</v>
      </c>
      <c r="E559" s="55">
        <v>39627</v>
      </c>
      <c r="F559" s="56">
        <f t="shared" si="40"/>
        <v>0.99593711358417236</v>
      </c>
      <c r="G559" s="55">
        <v>161</v>
      </c>
      <c r="H559" s="55">
        <v>14780</v>
      </c>
      <c r="I559" s="56">
        <f t="shared" si="41"/>
        <v>0.37297802003684355</v>
      </c>
      <c r="J559" s="55">
        <v>103</v>
      </c>
      <c r="K559" s="56">
        <f t="shared" si="42"/>
        <v>2.5992378933555405E-3</v>
      </c>
      <c r="L559" s="56">
        <f t="shared" si="43"/>
        <v>6.9688768606224628E-3</v>
      </c>
      <c r="M559" s="55">
        <v>18</v>
      </c>
      <c r="N559" s="56">
        <f t="shared" si="44"/>
        <v>4.5423574835339541E-4</v>
      </c>
      <c r="O559" s="53" t="s">
        <v>443</v>
      </c>
    </row>
    <row r="560" spans="1:15" hidden="1" x14ac:dyDescent="0.25">
      <c r="A560" s="52" t="s">
        <v>663</v>
      </c>
      <c r="B560" s="53" t="s">
        <v>439</v>
      </c>
      <c r="C560" s="53" t="s">
        <v>443</v>
      </c>
      <c r="D560" s="54">
        <v>45050</v>
      </c>
      <c r="E560" s="55">
        <v>388622</v>
      </c>
      <c r="F560" s="56">
        <f t="shared" si="40"/>
        <v>0.99453196164910895</v>
      </c>
      <c r="G560" s="55">
        <v>2125</v>
      </c>
      <c r="H560" s="55">
        <v>136973</v>
      </c>
      <c r="I560" s="56">
        <f t="shared" si="41"/>
        <v>0.35245817272310881</v>
      </c>
      <c r="J560" s="55">
        <v>1340</v>
      </c>
      <c r="K560" s="56">
        <f t="shared" si="42"/>
        <v>3.4480806542089744E-3</v>
      </c>
      <c r="L560" s="56">
        <f t="shared" si="43"/>
        <v>9.7829499244376627E-3</v>
      </c>
      <c r="M560" s="55">
        <v>202</v>
      </c>
      <c r="N560" s="56">
        <f t="shared" si="44"/>
        <v>5.1978529264941255E-4</v>
      </c>
      <c r="O560" s="53" t="s">
        <v>443</v>
      </c>
    </row>
    <row r="561" spans="1:15" x14ac:dyDescent="0.25">
      <c r="A561" s="52" t="s">
        <v>664</v>
      </c>
      <c r="B561" s="53" t="s">
        <v>444</v>
      </c>
      <c r="C561" s="53" t="s">
        <v>452</v>
      </c>
      <c r="D561" s="54">
        <v>45051</v>
      </c>
      <c r="E561" s="55">
        <v>220</v>
      </c>
      <c r="F561" s="56">
        <f t="shared" si="40"/>
        <v>1</v>
      </c>
      <c r="G561" s="55">
        <v>0</v>
      </c>
      <c r="H561" s="55">
        <v>96</v>
      </c>
      <c r="I561" s="56">
        <f t="shared" si="41"/>
        <v>0.43636363636363634</v>
      </c>
      <c r="J561" s="55">
        <v>7</v>
      </c>
      <c r="K561" s="56">
        <f t="shared" si="42"/>
        <v>3.1818181818181815E-2</v>
      </c>
      <c r="L561" s="56">
        <f t="shared" si="43"/>
        <v>7.2916666666666671E-2</v>
      </c>
      <c r="M561" s="55">
        <v>0</v>
      </c>
      <c r="N561" s="56">
        <f t="shared" si="44"/>
        <v>0</v>
      </c>
      <c r="O561" s="53" t="s">
        <v>452</v>
      </c>
    </row>
    <row r="562" spans="1:15" x14ac:dyDescent="0.25">
      <c r="A562" s="52" t="s">
        <v>664</v>
      </c>
      <c r="B562" s="53" t="s">
        <v>439</v>
      </c>
      <c r="C562" s="53" t="s">
        <v>452</v>
      </c>
      <c r="D562" s="54">
        <v>45051</v>
      </c>
      <c r="E562" s="55">
        <v>188</v>
      </c>
      <c r="F562" s="56">
        <f t="shared" si="40"/>
        <v>0.99468085106382975</v>
      </c>
      <c r="G562" s="55">
        <v>1</v>
      </c>
      <c r="H562" s="55">
        <v>79</v>
      </c>
      <c r="I562" s="56">
        <f t="shared" si="41"/>
        <v>0.42021276595744683</v>
      </c>
      <c r="J562" s="55">
        <v>5</v>
      </c>
      <c r="K562" s="56">
        <f t="shared" si="42"/>
        <v>2.6595744680851064E-2</v>
      </c>
      <c r="L562" s="56">
        <f t="shared" si="43"/>
        <v>6.3291139240506333E-2</v>
      </c>
      <c r="M562" s="55">
        <v>0</v>
      </c>
      <c r="N562" s="56">
        <f t="shared" si="44"/>
        <v>0</v>
      </c>
      <c r="O562" s="53" t="s">
        <v>452</v>
      </c>
    </row>
    <row r="563" spans="1:15" x14ac:dyDescent="0.25">
      <c r="A563" s="52" t="s">
        <v>665</v>
      </c>
      <c r="B563" s="53" t="s">
        <v>439</v>
      </c>
      <c r="C563" s="53" t="s">
        <v>452</v>
      </c>
      <c r="D563" s="54">
        <v>45051</v>
      </c>
      <c r="E563" s="55">
        <v>5270</v>
      </c>
      <c r="F563" s="56">
        <f t="shared" si="40"/>
        <v>0.99696394686907019</v>
      </c>
      <c r="G563" s="55">
        <v>16</v>
      </c>
      <c r="H563" s="55">
        <v>3116</v>
      </c>
      <c r="I563" s="56">
        <f t="shared" si="41"/>
        <v>0.59127134724857688</v>
      </c>
      <c r="J563" s="55">
        <v>304</v>
      </c>
      <c r="K563" s="56">
        <f t="shared" si="42"/>
        <v>5.7685009487666035E-2</v>
      </c>
      <c r="L563" s="56">
        <f t="shared" si="43"/>
        <v>9.7560975609756101E-2</v>
      </c>
      <c r="M563" s="55">
        <v>3</v>
      </c>
      <c r="N563" s="56">
        <f t="shared" si="44"/>
        <v>5.6925996204933583E-4</v>
      </c>
      <c r="O563" s="53" t="s">
        <v>452</v>
      </c>
    </row>
    <row r="564" spans="1:15" x14ac:dyDescent="0.25">
      <c r="A564" s="52" t="s">
        <v>665</v>
      </c>
      <c r="B564" s="53" t="s">
        <v>444</v>
      </c>
      <c r="C564" s="53" t="s">
        <v>452</v>
      </c>
      <c r="D564" s="54">
        <v>45051</v>
      </c>
      <c r="E564" s="55">
        <v>2868</v>
      </c>
      <c r="F564" s="56">
        <f t="shared" si="40"/>
        <v>0.997907949790795</v>
      </c>
      <c r="G564" s="55">
        <v>6</v>
      </c>
      <c r="H564" s="55">
        <v>1708</v>
      </c>
      <c r="I564" s="56">
        <f t="shared" si="41"/>
        <v>0.59553695955369601</v>
      </c>
      <c r="J564" s="55">
        <v>168</v>
      </c>
      <c r="K564" s="56">
        <f t="shared" si="42"/>
        <v>5.8577405857740586E-2</v>
      </c>
      <c r="L564" s="56">
        <f t="shared" si="43"/>
        <v>9.8360655737704916E-2</v>
      </c>
      <c r="M564" s="55">
        <v>1</v>
      </c>
      <c r="N564" s="56">
        <f t="shared" si="44"/>
        <v>3.4867503486750347E-4</v>
      </c>
      <c r="O564" s="53" t="s">
        <v>452</v>
      </c>
    </row>
    <row r="565" spans="1:15" hidden="1" x14ac:dyDescent="0.25">
      <c r="A565" s="58" t="s">
        <v>666</v>
      </c>
      <c r="B565" s="53" t="s">
        <v>444</v>
      </c>
      <c r="C565" s="53" t="s">
        <v>443</v>
      </c>
      <c r="D565" s="54">
        <v>45051</v>
      </c>
      <c r="E565" s="55">
        <v>208040</v>
      </c>
      <c r="F565" s="56">
        <f t="shared" si="40"/>
        <v>0.99474139588540667</v>
      </c>
      <c r="G565" s="55">
        <v>1094</v>
      </c>
      <c r="H565" s="55">
        <v>61907</v>
      </c>
      <c r="I565" s="56">
        <f t="shared" si="41"/>
        <v>0.29757258219573157</v>
      </c>
      <c r="J565" s="55">
        <v>1132</v>
      </c>
      <c r="K565" s="56">
        <f t="shared" si="42"/>
        <v>5.4412612959046334E-3</v>
      </c>
      <c r="L565" s="56">
        <f t="shared" si="43"/>
        <v>1.8285492755261926E-2</v>
      </c>
      <c r="M565" s="55">
        <v>407</v>
      </c>
      <c r="N565" s="56">
        <f t="shared" si="44"/>
        <v>1.9563545472024609E-3</v>
      </c>
      <c r="O565" s="53" t="s">
        <v>443</v>
      </c>
    </row>
    <row r="566" spans="1:15" hidden="1" x14ac:dyDescent="0.25">
      <c r="A566" s="58" t="s">
        <v>667</v>
      </c>
      <c r="B566" s="53" t="s">
        <v>439</v>
      </c>
      <c r="C566" s="53" t="s">
        <v>443</v>
      </c>
      <c r="D566" s="54">
        <v>45051</v>
      </c>
      <c r="E566" s="55">
        <v>105718</v>
      </c>
      <c r="F566" s="56">
        <f t="shared" si="40"/>
        <v>0.99290565466618741</v>
      </c>
      <c r="G566" s="55">
        <v>750</v>
      </c>
      <c r="H566" s="55">
        <v>31664</v>
      </c>
      <c r="I566" s="56">
        <f t="shared" si="41"/>
        <v>0.29951380086645607</v>
      </c>
      <c r="J566" s="55">
        <v>620</v>
      </c>
      <c r="K566" s="56">
        <f t="shared" si="42"/>
        <v>5.8646588092850791E-3</v>
      </c>
      <c r="L566" s="56">
        <f t="shared" si="43"/>
        <v>1.9580596260737746E-2</v>
      </c>
      <c r="M566" s="55">
        <v>42</v>
      </c>
      <c r="N566" s="56">
        <f t="shared" si="44"/>
        <v>3.9728333869350538E-4</v>
      </c>
      <c r="O566" s="53" t="s">
        <v>443</v>
      </c>
    </row>
    <row r="567" spans="1:15" hidden="1" x14ac:dyDescent="0.25">
      <c r="A567" s="58" t="s">
        <v>23</v>
      </c>
      <c r="B567" s="53" t="s">
        <v>439</v>
      </c>
      <c r="C567" s="53" t="s">
        <v>443</v>
      </c>
      <c r="D567" s="54">
        <v>45051</v>
      </c>
      <c r="E567" s="55">
        <v>1937286</v>
      </c>
      <c r="F567" s="56">
        <f t="shared" si="40"/>
        <v>0.99512100949472615</v>
      </c>
      <c r="G567" s="55">
        <v>9452</v>
      </c>
      <c r="H567" s="55">
        <v>660433</v>
      </c>
      <c r="I567" s="56">
        <f t="shared" si="41"/>
        <v>0.34090629881184298</v>
      </c>
      <c r="J567" s="55">
        <v>10979</v>
      </c>
      <c r="K567" s="56">
        <f t="shared" si="42"/>
        <v>5.6672065972706151E-3</v>
      </c>
      <c r="L567" s="56">
        <f t="shared" si="43"/>
        <v>1.6623942171272485E-2</v>
      </c>
      <c r="M567" s="55">
        <v>1432</v>
      </c>
      <c r="N567" s="56">
        <f t="shared" si="44"/>
        <v>7.3917841764200025E-4</v>
      </c>
      <c r="O567" s="53" t="s">
        <v>443</v>
      </c>
    </row>
    <row r="568" spans="1:15" hidden="1" x14ac:dyDescent="0.25">
      <c r="A568" s="58" t="s">
        <v>668</v>
      </c>
      <c r="B568" s="53" t="s">
        <v>444</v>
      </c>
      <c r="C568" s="53" t="s">
        <v>443</v>
      </c>
      <c r="D568" s="54">
        <v>45051</v>
      </c>
      <c r="E568" s="55">
        <v>2294957</v>
      </c>
      <c r="F568" s="56">
        <f t="shared" si="40"/>
        <v>0.99584436658290332</v>
      </c>
      <c r="G568" s="55">
        <v>9537</v>
      </c>
      <c r="H568" s="55">
        <v>756783</v>
      </c>
      <c r="I568" s="56">
        <f t="shared" si="41"/>
        <v>0.32975911966978033</v>
      </c>
      <c r="J568" s="55">
        <v>11975</v>
      </c>
      <c r="K568" s="56">
        <f t="shared" si="42"/>
        <v>5.2179626894970146E-3</v>
      </c>
      <c r="L568" s="56">
        <f t="shared" si="43"/>
        <v>1.5823558404456761E-2</v>
      </c>
      <c r="M568" s="55">
        <v>3699</v>
      </c>
      <c r="N568" s="56">
        <f t="shared" si="44"/>
        <v>1.6117949050897249E-3</v>
      </c>
      <c r="O568" s="53" t="s">
        <v>443</v>
      </c>
    </row>
    <row r="569" spans="1:15" x14ac:dyDescent="0.25">
      <c r="A569" s="58" t="s">
        <v>451</v>
      </c>
      <c r="B569" s="53" t="s">
        <v>444</v>
      </c>
      <c r="C569" s="53" t="s">
        <v>452</v>
      </c>
      <c r="D569" s="54">
        <v>45051</v>
      </c>
      <c r="E569" s="55">
        <v>234667</v>
      </c>
      <c r="F569" s="56">
        <f t="shared" si="40"/>
        <v>0.9958238695683671</v>
      </c>
      <c r="G569" s="55">
        <v>980</v>
      </c>
      <c r="H569" s="55">
        <v>103613</v>
      </c>
      <c r="I569" s="56">
        <f t="shared" si="41"/>
        <v>0.44153204327834761</v>
      </c>
      <c r="J569" s="55">
        <v>2426</v>
      </c>
      <c r="K569" s="56">
        <f t="shared" si="42"/>
        <v>1.03380534970831E-2</v>
      </c>
      <c r="L569" s="56">
        <f t="shared" si="43"/>
        <v>2.3414050360476002E-2</v>
      </c>
      <c r="M569" s="55">
        <v>200</v>
      </c>
      <c r="N569" s="56">
        <f t="shared" si="44"/>
        <v>8.522715166597775E-4</v>
      </c>
      <c r="O569" s="53" t="s">
        <v>452</v>
      </c>
    </row>
    <row r="570" spans="1:15" x14ac:dyDescent="0.25">
      <c r="A570" s="58" t="s">
        <v>453</v>
      </c>
      <c r="B570" s="53" t="s">
        <v>444</v>
      </c>
      <c r="C570" s="53" t="s">
        <v>452</v>
      </c>
      <c r="D570" s="54">
        <v>45051</v>
      </c>
      <c r="E570" s="55">
        <v>332694</v>
      </c>
      <c r="F570" s="56">
        <f t="shared" si="40"/>
        <v>0.99370893373490354</v>
      </c>
      <c r="G570" s="55">
        <v>2093</v>
      </c>
      <c r="H570" s="55">
        <v>118691</v>
      </c>
      <c r="I570" s="56">
        <f t="shared" si="41"/>
        <v>0.3567572604254961</v>
      </c>
      <c r="J570" s="55">
        <v>2503</v>
      </c>
      <c r="K570" s="56">
        <f t="shared" si="42"/>
        <v>7.5234299386222779E-3</v>
      </c>
      <c r="L570" s="56">
        <f t="shared" si="43"/>
        <v>2.1088372328146195E-2</v>
      </c>
      <c r="M570" s="55">
        <v>295</v>
      </c>
      <c r="N570" s="56">
        <f t="shared" si="44"/>
        <v>8.8670069192711622E-4</v>
      </c>
      <c r="O570" s="53" t="s">
        <v>452</v>
      </c>
    </row>
    <row r="571" spans="1:15" hidden="1" x14ac:dyDescent="0.25">
      <c r="A571" s="52" t="s">
        <v>12</v>
      </c>
      <c r="B571" s="53" t="s">
        <v>439</v>
      </c>
      <c r="C571" s="53" t="s">
        <v>443</v>
      </c>
      <c r="D571" s="54">
        <v>45052</v>
      </c>
      <c r="E571" s="55">
        <v>1921</v>
      </c>
      <c r="F571" s="56">
        <f t="shared" si="40"/>
        <v>0.99427381572097862</v>
      </c>
      <c r="G571" s="55">
        <v>11</v>
      </c>
      <c r="H571" s="55">
        <v>896</v>
      </c>
      <c r="I571" s="56">
        <f t="shared" si="41"/>
        <v>0.46642373763664757</v>
      </c>
      <c r="J571" s="55">
        <v>62</v>
      </c>
      <c r="K571" s="56">
        <f t="shared" si="42"/>
        <v>3.2274856845393024E-2</v>
      </c>
      <c r="L571" s="56">
        <f t="shared" si="43"/>
        <v>6.9196428571428575E-2</v>
      </c>
      <c r="M571" s="55">
        <v>0</v>
      </c>
      <c r="N571" s="56">
        <f t="shared" si="44"/>
        <v>0</v>
      </c>
      <c r="O571" s="53" t="s">
        <v>443</v>
      </c>
    </row>
    <row r="572" spans="1:15" hidden="1" x14ac:dyDescent="0.25">
      <c r="A572" s="52" t="s">
        <v>12</v>
      </c>
      <c r="B572" s="53" t="s">
        <v>444</v>
      </c>
      <c r="C572" s="53" t="s">
        <v>443</v>
      </c>
      <c r="D572" s="54">
        <v>45052</v>
      </c>
      <c r="E572" s="55">
        <v>1919</v>
      </c>
      <c r="F572" s="56">
        <f t="shared" si="40"/>
        <v>0.99687337154768108</v>
      </c>
      <c r="G572" s="55">
        <v>6</v>
      </c>
      <c r="H572" s="55">
        <v>780</v>
      </c>
      <c r="I572" s="56">
        <f t="shared" si="41"/>
        <v>0.4064616988014591</v>
      </c>
      <c r="J572" s="55">
        <v>43</v>
      </c>
      <c r="K572" s="56">
        <f t="shared" si="42"/>
        <v>2.2407503908285567E-2</v>
      </c>
      <c r="L572" s="56">
        <f t="shared" si="43"/>
        <v>5.5128205128205127E-2</v>
      </c>
      <c r="M572" s="55">
        <v>5</v>
      </c>
      <c r="N572" s="56">
        <f t="shared" si="44"/>
        <v>2.6055237102657635E-3</v>
      </c>
      <c r="O572" s="53" t="s">
        <v>443</v>
      </c>
    </row>
    <row r="573" spans="1:15" hidden="1" x14ac:dyDescent="0.25">
      <c r="A573" s="52" t="s">
        <v>9</v>
      </c>
      <c r="B573" s="53" t="s">
        <v>439</v>
      </c>
      <c r="C573" s="53" t="s">
        <v>443</v>
      </c>
      <c r="D573" s="54">
        <v>45052</v>
      </c>
      <c r="E573" s="55">
        <v>19221</v>
      </c>
      <c r="F573" s="56">
        <f t="shared" si="40"/>
        <v>0.99531762135164659</v>
      </c>
      <c r="G573" s="55">
        <v>90</v>
      </c>
      <c r="H573" s="55">
        <v>7921</v>
      </c>
      <c r="I573" s="56">
        <f t="shared" si="41"/>
        <v>0.41210134748452215</v>
      </c>
      <c r="J573" s="55">
        <v>441</v>
      </c>
      <c r="K573" s="56">
        <f t="shared" si="42"/>
        <v>2.2943655376931483E-2</v>
      </c>
      <c r="L573" s="56">
        <f t="shared" si="43"/>
        <v>5.5674788536800912E-2</v>
      </c>
      <c r="M573" s="55">
        <v>11</v>
      </c>
      <c r="N573" s="56">
        <f t="shared" si="44"/>
        <v>5.722907236876333E-4</v>
      </c>
      <c r="O573" s="53" t="s">
        <v>443</v>
      </c>
    </row>
    <row r="574" spans="1:15" hidden="1" x14ac:dyDescent="0.25">
      <c r="A574" s="52" t="s">
        <v>9</v>
      </c>
      <c r="B574" s="53" t="s">
        <v>444</v>
      </c>
      <c r="C574" s="53" t="s">
        <v>443</v>
      </c>
      <c r="D574" s="54">
        <v>45052</v>
      </c>
      <c r="E574" s="55">
        <v>20062</v>
      </c>
      <c r="F574" s="56">
        <f t="shared" si="40"/>
        <v>0.99636128003190105</v>
      </c>
      <c r="G574" s="55">
        <v>73</v>
      </c>
      <c r="H574" s="55">
        <v>7657</v>
      </c>
      <c r="I574" s="56">
        <f t="shared" si="41"/>
        <v>0.38166683281826336</v>
      </c>
      <c r="J574" s="55">
        <v>265</v>
      </c>
      <c r="K574" s="56">
        <f t="shared" si="42"/>
        <v>1.3209051938989134E-2</v>
      </c>
      <c r="L574" s="56">
        <f t="shared" si="43"/>
        <v>3.4608854642810501E-2</v>
      </c>
      <c r="M574" s="55">
        <v>34</v>
      </c>
      <c r="N574" s="56">
        <f t="shared" si="44"/>
        <v>1.6947462865118134E-3</v>
      </c>
      <c r="O574" s="53" t="s">
        <v>443</v>
      </c>
    </row>
    <row r="575" spans="1:15" hidden="1" x14ac:dyDescent="0.25">
      <c r="A575" s="52" t="s">
        <v>669</v>
      </c>
      <c r="B575" s="53" t="s">
        <v>439</v>
      </c>
      <c r="C575" s="53" t="s">
        <v>440</v>
      </c>
      <c r="D575" s="54">
        <v>45052</v>
      </c>
      <c r="E575" s="55">
        <v>161590</v>
      </c>
      <c r="F575" s="56">
        <f t="shared" si="40"/>
        <v>0.994616003465561</v>
      </c>
      <c r="G575" s="55">
        <v>870</v>
      </c>
      <c r="H575" s="55">
        <v>57413</v>
      </c>
      <c r="I575" s="56">
        <f t="shared" si="41"/>
        <v>0.35530045176062874</v>
      </c>
      <c r="J575" s="55">
        <v>1096</v>
      </c>
      <c r="K575" s="56">
        <f t="shared" si="42"/>
        <v>6.782597933040411E-3</v>
      </c>
      <c r="L575" s="56">
        <f t="shared" si="43"/>
        <v>1.9089753191785831E-2</v>
      </c>
      <c r="M575" s="55">
        <v>784</v>
      </c>
      <c r="N575" s="56">
        <f t="shared" si="44"/>
        <v>4.8517853827588341E-3</v>
      </c>
      <c r="O575" s="53" t="s">
        <v>440</v>
      </c>
    </row>
    <row r="576" spans="1:15" hidden="1" x14ac:dyDescent="0.25">
      <c r="A576" s="52" t="s">
        <v>670</v>
      </c>
      <c r="B576" s="53" t="s">
        <v>439</v>
      </c>
      <c r="C576" s="53" t="s">
        <v>443</v>
      </c>
      <c r="D576" s="54">
        <v>45054</v>
      </c>
      <c r="E576" s="55">
        <v>7040</v>
      </c>
      <c r="F576" s="56">
        <f t="shared" si="40"/>
        <v>0.9951704545454545</v>
      </c>
      <c r="G576" s="55">
        <v>34</v>
      </c>
      <c r="H576" s="55">
        <v>3298</v>
      </c>
      <c r="I576" s="56">
        <f t="shared" si="41"/>
        <v>0.46846590909090907</v>
      </c>
      <c r="J576" s="55">
        <v>821</v>
      </c>
      <c r="K576" s="56">
        <f t="shared" si="42"/>
        <v>0.11661931818181819</v>
      </c>
      <c r="L576" s="56">
        <f t="shared" si="43"/>
        <v>0.24893875075803518</v>
      </c>
      <c r="M576" s="55">
        <v>2</v>
      </c>
      <c r="N576" s="56">
        <f t="shared" si="44"/>
        <v>2.8409090909090908E-4</v>
      </c>
      <c r="O576" s="53" t="s">
        <v>443</v>
      </c>
    </row>
    <row r="577" spans="1:15" hidden="1" x14ac:dyDescent="0.25">
      <c r="A577" s="58" t="s">
        <v>18</v>
      </c>
      <c r="B577" s="53" t="s">
        <v>444</v>
      </c>
      <c r="C577" s="53" t="s">
        <v>443</v>
      </c>
      <c r="D577" s="54">
        <v>45055</v>
      </c>
      <c r="E577" s="55">
        <v>27234</v>
      </c>
      <c r="F577" s="56">
        <f t="shared" si="40"/>
        <v>0.99449217889402952</v>
      </c>
      <c r="G577" s="55">
        <v>150</v>
      </c>
      <c r="H577" s="55">
        <v>9741</v>
      </c>
      <c r="I577" s="56">
        <f t="shared" si="41"/>
        <v>0.35767790262172283</v>
      </c>
      <c r="J577" s="55">
        <v>164</v>
      </c>
      <c r="K577" s="56">
        <f t="shared" si="42"/>
        <v>6.0218844091943892E-3</v>
      </c>
      <c r="L577" s="56">
        <f t="shared" si="43"/>
        <v>1.6836053793245046E-2</v>
      </c>
      <c r="M577" s="55">
        <v>28</v>
      </c>
      <c r="N577" s="56">
        <f t="shared" si="44"/>
        <v>1.0281266064478226E-3</v>
      </c>
      <c r="O577" s="53" t="s">
        <v>443</v>
      </c>
    </row>
    <row r="578" spans="1:15" hidden="1" x14ac:dyDescent="0.25">
      <c r="A578" s="58" t="s">
        <v>18</v>
      </c>
      <c r="B578" s="53" t="s">
        <v>439</v>
      </c>
      <c r="C578" s="53" t="s">
        <v>443</v>
      </c>
      <c r="D578" s="54">
        <v>45055</v>
      </c>
      <c r="E578" s="55">
        <v>26291</v>
      </c>
      <c r="F578" s="56">
        <f t="shared" ref="F578:F641" si="45">(E578-G578)/E578</f>
        <v>0.99231676239017153</v>
      </c>
      <c r="G578" s="55">
        <v>202</v>
      </c>
      <c r="H578" s="55">
        <v>8968</v>
      </c>
      <c r="I578" s="56">
        <f t="shared" ref="I578:I641" si="46">H578/E578</f>
        <v>0.34110532121258225</v>
      </c>
      <c r="J578" s="55">
        <v>227</v>
      </c>
      <c r="K578" s="56">
        <f t="shared" ref="K578:K641" si="47">J578/E578</f>
        <v>8.6341333536191084E-3</v>
      </c>
      <c r="L578" s="56">
        <f t="shared" ref="L578:L641" si="48">J578/H578</f>
        <v>2.5312221231043711E-2</v>
      </c>
      <c r="M578" s="55">
        <v>9</v>
      </c>
      <c r="N578" s="56">
        <f t="shared" ref="N578:N641" si="49">M578/E578</f>
        <v>3.4232246776463431E-4</v>
      </c>
      <c r="O578" s="53" t="s">
        <v>443</v>
      </c>
    </row>
    <row r="579" spans="1:15" hidden="1" x14ac:dyDescent="0.25">
      <c r="A579" s="58" t="s">
        <v>19</v>
      </c>
      <c r="B579" s="53" t="s">
        <v>444</v>
      </c>
      <c r="C579" s="53" t="s">
        <v>443</v>
      </c>
      <c r="D579" s="54">
        <v>45055</v>
      </c>
      <c r="E579" s="55">
        <v>456838</v>
      </c>
      <c r="F579" s="56">
        <f t="shared" si="45"/>
        <v>0.99563740319325456</v>
      </c>
      <c r="G579" s="55">
        <v>1993</v>
      </c>
      <c r="H579" s="55">
        <v>170245</v>
      </c>
      <c r="I579" s="56">
        <f t="shared" si="46"/>
        <v>0.37265945477390233</v>
      </c>
      <c r="J579" s="55">
        <v>1981</v>
      </c>
      <c r="K579" s="56">
        <f t="shared" si="47"/>
        <v>4.3363292895949989E-3</v>
      </c>
      <c r="L579" s="56">
        <f t="shared" si="48"/>
        <v>1.1636171400041117E-2</v>
      </c>
      <c r="M579" s="55">
        <v>377</v>
      </c>
      <c r="N579" s="56">
        <f t="shared" si="49"/>
        <v>8.2523783047820014E-4</v>
      </c>
      <c r="O579" s="53" t="s">
        <v>443</v>
      </c>
    </row>
    <row r="580" spans="1:15" hidden="1" x14ac:dyDescent="0.25">
      <c r="A580" s="58" t="s">
        <v>19</v>
      </c>
      <c r="B580" s="53" t="s">
        <v>439</v>
      </c>
      <c r="C580" s="53" t="s">
        <v>443</v>
      </c>
      <c r="D580" s="54">
        <v>45055</v>
      </c>
      <c r="E580" s="55">
        <v>234727</v>
      </c>
      <c r="F580" s="56">
        <f t="shared" si="45"/>
        <v>0.9941762132179085</v>
      </c>
      <c r="G580" s="55">
        <v>1367</v>
      </c>
      <c r="H580" s="55">
        <v>80262</v>
      </c>
      <c r="I580" s="56">
        <f t="shared" si="46"/>
        <v>0.34193765523352659</v>
      </c>
      <c r="J580" s="55">
        <v>1635</v>
      </c>
      <c r="K580" s="56">
        <f t="shared" si="47"/>
        <v>6.9655386896266729E-3</v>
      </c>
      <c r="L580" s="56">
        <f t="shared" si="48"/>
        <v>2.0370785676908126E-2</v>
      </c>
      <c r="M580" s="55">
        <v>89</v>
      </c>
      <c r="N580" s="56">
        <f t="shared" si="49"/>
        <v>3.791638797411461E-4</v>
      </c>
      <c r="O580" s="53" t="s">
        <v>443</v>
      </c>
    </row>
    <row r="581" spans="1:15" hidden="1" x14ac:dyDescent="0.25">
      <c r="A581" s="52" t="s">
        <v>671</v>
      </c>
      <c r="B581" s="53" t="s">
        <v>439</v>
      </c>
      <c r="C581" s="53" t="s">
        <v>443</v>
      </c>
      <c r="D581" s="54">
        <v>45056</v>
      </c>
      <c r="E581" s="55">
        <v>130588</v>
      </c>
      <c r="F581" s="56">
        <f t="shared" si="45"/>
        <v>0.9930468343186204</v>
      </c>
      <c r="G581" s="55">
        <v>908</v>
      </c>
      <c r="H581" s="55">
        <v>42121</v>
      </c>
      <c r="I581" s="56">
        <f t="shared" si="46"/>
        <v>0.32254877936717002</v>
      </c>
      <c r="J581" s="55">
        <v>426</v>
      </c>
      <c r="K581" s="56">
        <f t="shared" si="47"/>
        <v>3.2621680399424141E-3</v>
      </c>
      <c r="L581" s="56">
        <f t="shared" si="48"/>
        <v>1.0113719997151065E-2</v>
      </c>
      <c r="M581" s="55">
        <v>63</v>
      </c>
      <c r="N581" s="56">
        <f t="shared" si="49"/>
        <v>4.8243330168162466E-4</v>
      </c>
      <c r="O581" s="53" t="s">
        <v>443</v>
      </c>
    </row>
    <row r="582" spans="1:15" hidden="1" x14ac:dyDescent="0.25">
      <c r="A582" s="52" t="s">
        <v>671</v>
      </c>
      <c r="B582" s="53" t="s">
        <v>444</v>
      </c>
      <c r="C582" s="53" t="s">
        <v>443</v>
      </c>
      <c r="D582" s="54">
        <v>45056</v>
      </c>
      <c r="E582" s="55">
        <v>221157</v>
      </c>
      <c r="F582" s="56">
        <f t="shared" si="45"/>
        <v>0.9950939830075467</v>
      </c>
      <c r="G582" s="55">
        <v>1085</v>
      </c>
      <c r="H582" s="55">
        <v>68677</v>
      </c>
      <c r="I582" s="56">
        <f t="shared" si="46"/>
        <v>0.31053504976102947</v>
      </c>
      <c r="J582" s="55">
        <v>771</v>
      </c>
      <c r="K582" s="56">
        <f t="shared" si="47"/>
        <v>3.4862111531626851E-3</v>
      </c>
      <c r="L582" s="56">
        <f t="shared" si="48"/>
        <v>1.1226465920177061E-2</v>
      </c>
      <c r="M582" s="55">
        <v>484</v>
      </c>
      <c r="N582" s="56">
        <f t="shared" si="49"/>
        <v>2.1884905293524512E-3</v>
      </c>
      <c r="O582" s="53" t="s">
        <v>443</v>
      </c>
    </row>
    <row r="583" spans="1:15" hidden="1" x14ac:dyDescent="0.25">
      <c r="A583" s="52" t="s">
        <v>672</v>
      </c>
      <c r="B583" s="53" t="s">
        <v>439</v>
      </c>
      <c r="C583" s="53" t="s">
        <v>443</v>
      </c>
      <c r="D583" s="54">
        <v>45056</v>
      </c>
      <c r="E583" s="55">
        <v>2369822</v>
      </c>
      <c r="F583" s="56">
        <f t="shared" si="45"/>
        <v>0.99496249085374344</v>
      </c>
      <c r="G583" s="55">
        <v>11938</v>
      </c>
      <c r="H583" s="55">
        <v>839360</v>
      </c>
      <c r="I583" s="56">
        <f t="shared" si="46"/>
        <v>0.35418693893465414</v>
      </c>
      <c r="J583" s="55">
        <v>8081</v>
      </c>
      <c r="K583" s="56">
        <f t="shared" si="47"/>
        <v>3.4099607481068196E-3</v>
      </c>
      <c r="L583" s="56">
        <f t="shared" si="48"/>
        <v>9.6275733892489512E-3</v>
      </c>
      <c r="M583" s="55">
        <v>2041</v>
      </c>
      <c r="N583" s="56">
        <f t="shared" si="49"/>
        <v>8.6124611890682089E-4</v>
      </c>
      <c r="O583" s="53" t="s">
        <v>443</v>
      </c>
    </row>
    <row r="584" spans="1:15" hidden="1" x14ac:dyDescent="0.25">
      <c r="A584" s="52" t="s">
        <v>672</v>
      </c>
      <c r="B584" s="53" t="s">
        <v>444</v>
      </c>
      <c r="C584" s="53" t="s">
        <v>443</v>
      </c>
      <c r="D584" s="54">
        <v>45056</v>
      </c>
      <c r="E584" s="55">
        <v>2460240</v>
      </c>
      <c r="F584" s="56">
        <f t="shared" si="45"/>
        <v>0.99606379865378991</v>
      </c>
      <c r="G584" s="55">
        <v>9684</v>
      </c>
      <c r="H584" s="55">
        <v>834397</v>
      </c>
      <c r="I584" s="56">
        <f t="shared" si="46"/>
        <v>0.33915268429096346</v>
      </c>
      <c r="J584" s="55">
        <v>8376</v>
      </c>
      <c r="K584" s="56">
        <f t="shared" si="47"/>
        <v>3.4045458979611743E-3</v>
      </c>
      <c r="L584" s="56">
        <f t="shared" si="48"/>
        <v>1.0038387002829588E-2</v>
      </c>
      <c r="M584" s="55">
        <v>4371</v>
      </c>
      <c r="N584" s="56">
        <f t="shared" si="49"/>
        <v>1.7766559360062432E-3</v>
      </c>
      <c r="O584" s="53" t="s">
        <v>443</v>
      </c>
    </row>
    <row r="585" spans="1:15" hidden="1" x14ac:dyDescent="0.25">
      <c r="A585" s="52" t="s">
        <v>445</v>
      </c>
      <c r="B585" s="53"/>
      <c r="C585" s="53" t="s">
        <v>446</v>
      </c>
      <c r="D585" s="54">
        <v>45056</v>
      </c>
      <c r="E585" s="55">
        <v>257</v>
      </c>
      <c r="F585" s="56">
        <f t="shared" si="45"/>
        <v>1</v>
      </c>
      <c r="G585" s="55">
        <v>0</v>
      </c>
      <c r="H585" s="55">
        <v>96</v>
      </c>
      <c r="I585" s="56">
        <f t="shared" si="46"/>
        <v>0.37354085603112841</v>
      </c>
      <c r="J585" s="55">
        <v>4</v>
      </c>
      <c r="K585" s="56">
        <f t="shared" si="47"/>
        <v>1.556420233463035E-2</v>
      </c>
      <c r="L585" s="56">
        <f t="shared" si="48"/>
        <v>4.1666666666666664E-2</v>
      </c>
      <c r="M585" s="55">
        <v>0</v>
      </c>
      <c r="N585" s="56">
        <f t="shared" si="49"/>
        <v>0</v>
      </c>
      <c r="O585" s="53" t="s">
        <v>446</v>
      </c>
    </row>
    <row r="586" spans="1:15" hidden="1" x14ac:dyDescent="0.25">
      <c r="A586" s="52" t="s">
        <v>673</v>
      </c>
      <c r="B586" s="53" t="s">
        <v>439</v>
      </c>
      <c r="C586" s="53" t="s">
        <v>443</v>
      </c>
      <c r="D586" s="54">
        <v>45057</v>
      </c>
      <c r="E586" s="55">
        <v>130580</v>
      </c>
      <c r="F586" s="56">
        <f t="shared" si="45"/>
        <v>0.99362076887731654</v>
      </c>
      <c r="G586" s="55">
        <v>833</v>
      </c>
      <c r="H586" s="55">
        <v>41081</v>
      </c>
      <c r="I586" s="56">
        <f t="shared" si="46"/>
        <v>0.31460407413080105</v>
      </c>
      <c r="J586" s="55">
        <v>377</v>
      </c>
      <c r="K586" s="56">
        <f t="shared" si="47"/>
        <v>2.8871190075049776E-3</v>
      </c>
      <c r="L586" s="56">
        <f t="shared" si="48"/>
        <v>9.1769917966943362E-3</v>
      </c>
      <c r="M586" s="55">
        <v>62</v>
      </c>
      <c r="N586" s="56">
        <f t="shared" si="49"/>
        <v>4.7480471741461172E-4</v>
      </c>
      <c r="O586" s="53" t="s">
        <v>443</v>
      </c>
    </row>
    <row r="587" spans="1:15" hidden="1" x14ac:dyDescent="0.25">
      <c r="A587" s="52" t="s">
        <v>673</v>
      </c>
      <c r="B587" s="53" t="s">
        <v>444</v>
      </c>
      <c r="C587" s="53" t="s">
        <v>443</v>
      </c>
      <c r="D587" s="54">
        <v>45057</v>
      </c>
      <c r="E587" s="55">
        <v>220984</v>
      </c>
      <c r="F587" s="56">
        <f t="shared" si="45"/>
        <v>0.99538428121492961</v>
      </c>
      <c r="G587" s="55">
        <v>1020</v>
      </c>
      <c r="H587" s="55">
        <v>66437</v>
      </c>
      <c r="I587" s="56">
        <f t="shared" si="46"/>
        <v>0.3006416754154147</v>
      </c>
      <c r="J587" s="55">
        <v>765</v>
      </c>
      <c r="K587" s="56">
        <f t="shared" si="47"/>
        <v>3.4617890888028091E-3</v>
      </c>
      <c r="L587" s="56">
        <f t="shared" si="48"/>
        <v>1.1514668031368063E-2</v>
      </c>
      <c r="M587" s="55">
        <v>484</v>
      </c>
      <c r="N587" s="56">
        <f t="shared" si="49"/>
        <v>2.1902038156608621E-3</v>
      </c>
      <c r="O587" s="53" t="s">
        <v>443</v>
      </c>
    </row>
    <row r="588" spans="1:15" hidden="1" x14ac:dyDescent="0.25">
      <c r="A588" s="52" t="s">
        <v>674</v>
      </c>
      <c r="B588" s="53" t="s">
        <v>439</v>
      </c>
      <c r="C588" s="53" t="s">
        <v>443</v>
      </c>
      <c r="D588" s="54">
        <v>45057</v>
      </c>
      <c r="E588" s="55">
        <v>2373312</v>
      </c>
      <c r="F588" s="56">
        <f t="shared" si="45"/>
        <v>0.99518436682576927</v>
      </c>
      <c r="G588" s="55">
        <v>11429</v>
      </c>
      <c r="H588" s="55">
        <v>908815</v>
      </c>
      <c r="I588" s="56">
        <f t="shared" si="46"/>
        <v>0.38293111061672463</v>
      </c>
      <c r="J588" s="55">
        <v>9785</v>
      </c>
      <c r="K588" s="56">
        <f t="shared" si="47"/>
        <v>4.1229303184747729E-3</v>
      </c>
      <c r="L588" s="56">
        <f t="shared" si="48"/>
        <v>1.07667677140012E-2</v>
      </c>
      <c r="M588" s="55">
        <v>2018</v>
      </c>
      <c r="N588" s="56">
        <f t="shared" si="49"/>
        <v>8.5028854191947798E-4</v>
      </c>
      <c r="O588" s="53" t="s">
        <v>443</v>
      </c>
    </row>
    <row r="589" spans="1:15" hidden="1" x14ac:dyDescent="0.25">
      <c r="A589" s="52" t="s">
        <v>674</v>
      </c>
      <c r="B589" s="53" t="s">
        <v>444</v>
      </c>
      <c r="C589" s="53" t="s">
        <v>443</v>
      </c>
      <c r="D589" s="54">
        <v>45057</v>
      </c>
      <c r="E589" s="55">
        <v>2461320</v>
      </c>
      <c r="F589" s="56">
        <f t="shared" si="45"/>
        <v>0.99626013683714432</v>
      </c>
      <c r="G589" s="55">
        <v>9205</v>
      </c>
      <c r="H589" s="55">
        <v>826621</v>
      </c>
      <c r="I589" s="56">
        <f t="shared" si="46"/>
        <v>0.3358445874571368</v>
      </c>
      <c r="J589" s="55">
        <v>9128</v>
      </c>
      <c r="K589" s="56">
        <f t="shared" si="47"/>
        <v>3.7085791363983553E-3</v>
      </c>
      <c r="L589" s="56">
        <f t="shared" si="48"/>
        <v>1.1042545495456805E-2</v>
      </c>
      <c r="M589" s="55">
        <v>4400</v>
      </c>
      <c r="N589" s="56">
        <f t="shared" si="49"/>
        <v>1.7876586547056052E-3</v>
      </c>
      <c r="O589" s="53" t="s">
        <v>443</v>
      </c>
    </row>
    <row r="590" spans="1:15" hidden="1" x14ac:dyDescent="0.25">
      <c r="A590" s="52" t="s">
        <v>675</v>
      </c>
      <c r="B590" s="53" t="s">
        <v>444</v>
      </c>
      <c r="C590" s="53" t="s">
        <v>592</v>
      </c>
      <c r="D590" s="54">
        <v>45057</v>
      </c>
      <c r="E590" s="55">
        <v>15504</v>
      </c>
      <c r="F590" s="56">
        <f t="shared" si="45"/>
        <v>0.99696852425180593</v>
      </c>
      <c r="G590" s="55">
        <v>47</v>
      </c>
      <c r="H590" s="55">
        <v>7033</v>
      </c>
      <c r="I590" s="56">
        <f t="shared" si="46"/>
        <v>0.45362487100103199</v>
      </c>
      <c r="J590" s="55">
        <v>114</v>
      </c>
      <c r="K590" s="56">
        <f t="shared" si="47"/>
        <v>7.3529411764705881E-3</v>
      </c>
      <c r="L590" s="56">
        <f t="shared" si="48"/>
        <v>1.6209299018910849E-2</v>
      </c>
      <c r="M590" s="55">
        <v>18</v>
      </c>
      <c r="N590" s="56">
        <f t="shared" si="49"/>
        <v>1.1609907120743034E-3</v>
      </c>
      <c r="O590" s="53" t="s">
        <v>592</v>
      </c>
    </row>
    <row r="591" spans="1:15" hidden="1" x14ac:dyDescent="0.25">
      <c r="A591" s="52" t="s">
        <v>675</v>
      </c>
      <c r="B591" s="53" t="s">
        <v>439</v>
      </c>
      <c r="C591" s="53" t="s">
        <v>592</v>
      </c>
      <c r="D591" s="54">
        <v>45057</v>
      </c>
      <c r="E591" s="55">
        <v>79468</v>
      </c>
      <c r="F591" s="56">
        <f t="shared" si="45"/>
        <v>0.99656465495545377</v>
      </c>
      <c r="G591" s="55">
        <v>273</v>
      </c>
      <c r="H591" s="55">
        <v>31746</v>
      </c>
      <c r="I591" s="56">
        <f t="shared" si="46"/>
        <v>0.39948155232294758</v>
      </c>
      <c r="J591" s="55">
        <v>456</v>
      </c>
      <c r="K591" s="56">
        <f t="shared" si="47"/>
        <v>5.7381587557255751E-3</v>
      </c>
      <c r="L591" s="56">
        <f t="shared" si="48"/>
        <v>1.4364014364014363E-2</v>
      </c>
      <c r="M591" s="55">
        <v>33</v>
      </c>
      <c r="N591" s="56">
        <f t="shared" si="49"/>
        <v>4.1526148890119291E-4</v>
      </c>
      <c r="O591" s="53" t="s">
        <v>592</v>
      </c>
    </row>
    <row r="592" spans="1:15" hidden="1" x14ac:dyDescent="0.25">
      <c r="A592" s="52" t="s">
        <v>676</v>
      </c>
      <c r="B592" s="53" t="s">
        <v>444</v>
      </c>
      <c r="C592" s="53" t="s">
        <v>592</v>
      </c>
      <c r="D592" s="54">
        <v>45057</v>
      </c>
      <c r="E592" s="55">
        <v>1985</v>
      </c>
      <c r="F592" s="56">
        <f t="shared" si="45"/>
        <v>0.99546599496221666</v>
      </c>
      <c r="G592" s="55">
        <v>9</v>
      </c>
      <c r="H592" s="55">
        <v>716</v>
      </c>
      <c r="I592" s="56">
        <f t="shared" si="46"/>
        <v>0.36070528967254406</v>
      </c>
      <c r="J592" s="55">
        <v>18</v>
      </c>
      <c r="K592" s="56">
        <f t="shared" si="47"/>
        <v>9.0680100755667504E-3</v>
      </c>
      <c r="L592" s="56">
        <f t="shared" si="48"/>
        <v>2.5139664804469275E-2</v>
      </c>
      <c r="M592" s="55">
        <v>3</v>
      </c>
      <c r="N592" s="56">
        <f t="shared" si="49"/>
        <v>1.5113350125944584E-3</v>
      </c>
      <c r="O592" s="53" t="s">
        <v>592</v>
      </c>
    </row>
    <row r="593" spans="1:15" hidden="1" x14ac:dyDescent="0.25">
      <c r="A593" s="52" t="s">
        <v>676</v>
      </c>
      <c r="B593" s="53" t="s">
        <v>439</v>
      </c>
      <c r="C593" s="53" t="s">
        <v>592</v>
      </c>
      <c r="D593" s="54">
        <v>45057</v>
      </c>
      <c r="E593" s="55">
        <v>2815</v>
      </c>
      <c r="F593" s="56">
        <f t="shared" si="45"/>
        <v>0.99502664298401422</v>
      </c>
      <c r="G593" s="55">
        <v>14</v>
      </c>
      <c r="H593" s="55">
        <v>1106</v>
      </c>
      <c r="I593" s="56">
        <f t="shared" si="46"/>
        <v>0.39289520426287744</v>
      </c>
      <c r="J593" s="55">
        <v>24</v>
      </c>
      <c r="K593" s="56">
        <f t="shared" si="47"/>
        <v>8.5257548845470692E-3</v>
      </c>
      <c r="L593" s="56">
        <f t="shared" si="48"/>
        <v>2.1699819168173599E-2</v>
      </c>
      <c r="M593" s="55">
        <v>0</v>
      </c>
      <c r="N593" s="56">
        <f t="shared" si="49"/>
        <v>0</v>
      </c>
      <c r="O593" s="53" t="s">
        <v>592</v>
      </c>
    </row>
    <row r="594" spans="1:15" hidden="1" x14ac:dyDescent="0.25">
      <c r="A594" s="58" t="s">
        <v>449</v>
      </c>
      <c r="B594" s="53"/>
      <c r="C594" s="53" t="s">
        <v>446</v>
      </c>
      <c r="D594" s="54">
        <v>45057</v>
      </c>
      <c r="E594" s="55">
        <v>1647</v>
      </c>
      <c r="F594" s="56">
        <f t="shared" si="45"/>
        <v>0.99696417729204612</v>
      </c>
      <c r="G594" s="55">
        <v>5</v>
      </c>
      <c r="H594" s="55">
        <v>571</v>
      </c>
      <c r="I594" s="56">
        <f t="shared" si="46"/>
        <v>0.34669095324833032</v>
      </c>
      <c r="J594" s="55">
        <v>15</v>
      </c>
      <c r="K594" s="56">
        <f t="shared" si="47"/>
        <v>9.1074681238615673E-3</v>
      </c>
      <c r="L594" s="56">
        <f t="shared" si="48"/>
        <v>2.6269702276707531E-2</v>
      </c>
      <c r="M594" s="55">
        <v>0</v>
      </c>
      <c r="N594" s="56">
        <f t="shared" si="49"/>
        <v>0</v>
      </c>
      <c r="O594" s="53" t="s">
        <v>446</v>
      </c>
    </row>
    <row r="595" spans="1:15" hidden="1" x14ac:dyDescent="0.25">
      <c r="A595" s="52" t="s">
        <v>677</v>
      </c>
      <c r="B595" s="53" t="s">
        <v>444</v>
      </c>
      <c r="C595" s="53" t="s">
        <v>443</v>
      </c>
      <c r="D595" s="54">
        <v>45058</v>
      </c>
      <c r="E595" s="55">
        <v>6075</v>
      </c>
      <c r="F595" s="56">
        <f t="shared" si="45"/>
        <v>0.99654320987654321</v>
      </c>
      <c r="G595" s="55">
        <v>21</v>
      </c>
      <c r="H595" s="55">
        <v>2373</v>
      </c>
      <c r="I595" s="56">
        <f t="shared" si="46"/>
        <v>0.39061728395061729</v>
      </c>
      <c r="J595" s="55">
        <v>30</v>
      </c>
      <c r="K595" s="56">
        <f t="shared" si="47"/>
        <v>4.9382716049382715E-3</v>
      </c>
      <c r="L595" s="56">
        <f t="shared" si="48"/>
        <v>1.2642225031605562E-2</v>
      </c>
      <c r="M595" s="55">
        <v>21</v>
      </c>
      <c r="N595" s="56">
        <f t="shared" si="49"/>
        <v>3.4567901234567903E-3</v>
      </c>
      <c r="O595" s="53" t="s">
        <v>443</v>
      </c>
    </row>
    <row r="596" spans="1:15" hidden="1" x14ac:dyDescent="0.25">
      <c r="A596" s="52" t="s">
        <v>677</v>
      </c>
      <c r="B596" s="53" t="s">
        <v>439</v>
      </c>
      <c r="C596" s="53" t="s">
        <v>443</v>
      </c>
      <c r="D596" s="54">
        <v>45058</v>
      </c>
      <c r="E596" s="55">
        <v>20181</v>
      </c>
      <c r="F596" s="56">
        <f t="shared" si="45"/>
        <v>0.9940042614340221</v>
      </c>
      <c r="G596" s="55">
        <v>121</v>
      </c>
      <c r="H596" s="55">
        <v>7234</v>
      </c>
      <c r="I596" s="56">
        <f t="shared" si="46"/>
        <v>0.35845597344036467</v>
      </c>
      <c r="J596" s="55">
        <v>76</v>
      </c>
      <c r="K596" s="56">
        <f t="shared" si="47"/>
        <v>3.7659184381348795E-3</v>
      </c>
      <c r="L596" s="56">
        <f t="shared" si="48"/>
        <v>1.0505944152612662E-2</v>
      </c>
      <c r="M596" s="55">
        <v>14</v>
      </c>
      <c r="N596" s="56">
        <f t="shared" si="49"/>
        <v>6.9372181755116198E-4</v>
      </c>
      <c r="O596" s="53" t="s">
        <v>443</v>
      </c>
    </row>
    <row r="597" spans="1:15" hidden="1" x14ac:dyDescent="0.25">
      <c r="A597" s="52" t="s">
        <v>678</v>
      </c>
      <c r="B597" s="53" t="s">
        <v>444</v>
      </c>
      <c r="C597" s="53" t="s">
        <v>443</v>
      </c>
      <c r="D597" s="54">
        <v>45058</v>
      </c>
      <c r="E597" s="55">
        <v>106309</v>
      </c>
      <c r="F597" s="56">
        <f t="shared" si="45"/>
        <v>0.99571061716317533</v>
      </c>
      <c r="G597" s="55">
        <v>456</v>
      </c>
      <c r="H597" s="55">
        <v>50001</v>
      </c>
      <c r="I597" s="56">
        <f t="shared" si="46"/>
        <v>0.47033647198261669</v>
      </c>
      <c r="J597" s="55">
        <v>684</v>
      </c>
      <c r="K597" s="56">
        <f t="shared" si="47"/>
        <v>6.4340742552370916E-3</v>
      </c>
      <c r="L597" s="56">
        <f t="shared" si="48"/>
        <v>1.367972640547189E-2</v>
      </c>
      <c r="M597" s="55">
        <v>282</v>
      </c>
      <c r="N597" s="56">
        <f t="shared" si="49"/>
        <v>2.6526446490889766E-3</v>
      </c>
      <c r="O597" s="53" t="s">
        <v>443</v>
      </c>
    </row>
    <row r="598" spans="1:15" hidden="1" x14ac:dyDescent="0.25">
      <c r="A598" s="52" t="s">
        <v>678</v>
      </c>
      <c r="B598" s="53" t="s">
        <v>439</v>
      </c>
      <c r="C598" s="53" t="s">
        <v>443</v>
      </c>
      <c r="D598" s="54">
        <v>45058</v>
      </c>
      <c r="E598" s="55">
        <v>225593</v>
      </c>
      <c r="F598" s="56">
        <f t="shared" si="45"/>
        <v>0.99542982273386138</v>
      </c>
      <c r="G598" s="55">
        <v>1031</v>
      </c>
      <c r="H598" s="55">
        <v>92249</v>
      </c>
      <c r="I598" s="56">
        <f t="shared" si="46"/>
        <v>0.40891782989720427</v>
      </c>
      <c r="J598" s="55">
        <v>927</v>
      </c>
      <c r="K598" s="56">
        <f t="shared" si="47"/>
        <v>4.1091700540353644E-3</v>
      </c>
      <c r="L598" s="56">
        <f t="shared" si="48"/>
        <v>1.0048889418855489E-2</v>
      </c>
      <c r="M598" s="55">
        <v>132</v>
      </c>
      <c r="N598" s="56">
        <f t="shared" si="49"/>
        <v>5.8512453843869274E-4</v>
      </c>
      <c r="O598" s="53" t="s">
        <v>443</v>
      </c>
    </row>
    <row r="599" spans="1:15" hidden="1" x14ac:dyDescent="0.25">
      <c r="A599" s="58" t="s">
        <v>22</v>
      </c>
      <c r="B599" s="53" t="s">
        <v>444</v>
      </c>
      <c r="C599" s="53" t="s">
        <v>443</v>
      </c>
      <c r="D599" s="54">
        <v>45058</v>
      </c>
      <c r="E599" s="55">
        <v>207586</v>
      </c>
      <c r="F599" s="56">
        <f t="shared" si="45"/>
        <v>0.99540431435645949</v>
      </c>
      <c r="G599" s="55">
        <v>954</v>
      </c>
      <c r="H599" s="55">
        <v>61169</v>
      </c>
      <c r="I599" s="56">
        <f t="shared" si="46"/>
        <v>0.29466823388860519</v>
      </c>
      <c r="J599" s="55">
        <v>953</v>
      </c>
      <c r="K599" s="56">
        <f t="shared" si="47"/>
        <v>4.590868362991724E-3</v>
      </c>
      <c r="L599" s="56">
        <f t="shared" si="48"/>
        <v>1.5579787147084308E-2</v>
      </c>
      <c r="M599" s="55">
        <v>465</v>
      </c>
      <c r="N599" s="56">
        <f t="shared" si="49"/>
        <v>2.2400354551848391E-3</v>
      </c>
      <c r="O599" s="53" t="s">
        <v>443</v>
      </c>
    </row>
    <row r="600" spans="1:15" hidden="1" x14ac:dyDescent="0.25">
      <c r="A600" s="58" t="s">
        <v>22</v>
      </c>
      <c r="B600" s="53" t="s">
        <v>439</v>
      </c>
      <c r="C600" s="53" t="s">
        <v>443</v>
      </c>
      <c r="D600" s="54">
        <v>45058</v>
      </c>
      <c r="E600" s="55">
        <v>105535</v>
      </c>
      <c r="F600" s="56">
        <f t="shared" si="45"/>
        <v>0.99416307386175207</v>
      </c>
      <c r="G600" s="55">
        <v>616</v>
      </c>
      <c r="H600" s="55">
        <v>31712</v>
      </c>
      <c r="I600" s="56">
        <f t="shared" si="46"/>
        <v>0.30048798976642821</v>
      </c>
      <c r="J600" s="55">
        <v>462</v>
      </c>
      <c r="K600" s="56">
        <f t="shared" si="47"/>
        <v>4.3776946036859811E-3</v>
      </c>
      <c r="L600" s="56">
        <f t="shared" si="48"/>
        <v>1.45686175580222E-2</v>
      </c>
      <c r="M600" s="55">
        <v>47</v>
      </c>
      <c r="N600" s="56">
        <f t="shared" si="49"/>
        <v>4.4534988392476427E-4</v>
      </c>
      <c r="O600" s="53" t="s">
        <v>443</v>
      </c>
    </row>
    <row r="601" spans="1:15" hidden="1" x14ac:dyDescent="0.25">
      <c r="A601" s="58" t="s">
        <v>23</v>
      </c>
      <c r="B601" s="53" t="s">
        <v>444</v>
      </c>
      <c r="C601" s="53" t="s">
        <v>443</v>
      </c>
      <c r="D601" s="54">
        <v>45058</v>
      </c>
      <c r="E601" s="55">
        <v>2297937</v>
      </c>
      <c r="F601" s="56">
        <f t="shared" si="45"/>
        <v>0.99615133051950511</v>
      </c>
      <c r="G601" s="55">
        <v>8844</v>
      </c>
      <c r="H601" s="55">
        <v>760330</v>
      </c>
      <c r="I601" s="56">
        <f t="shared" si="46"/>
        <v>0.33087504139582591</v>
      </c>
      <c r="J601" s="55">
        <v>9322</v>
      </c>
      <c r="K601" s="56">
        <f t="shared" si="47"/>
        <v>4.0566821457681387E-3</v>
      </c>
      <c r="L601" s="56">
        <f t="shared" si="48"/>
        <v>1.2260465850354452E-2</v>
      </c>
      <c r="M601" s="55">
        <v>3747</v>
      </c>
      <c r="N601" s="56">
        <f t="shared" si="49"/>
        <v>1.6305930058134754E-3</v>
      </c>
      <c r="O601" s="53" t="s">
        <v>443</v>
      </c>
    </row>
    <row r="602" spans="1:15" hidden="1" x14ac:dyDescent="0.25">
      <c r="A602" s="58" t="s">
        <v>23</v>
      </c>
      <c r="B602" s="53" t="s">
        <v>439</v>
      </c>
      <c r="C602" s="53" t="s">
        <v>443</v>
      </c>
      <c r="D602" s="54">
        <v>45058</v>
      </c>
      <c r="E602" s="55">
        <v>1931207</v>
      </c>
      <c r="F602" s="56">
        <f t="shared" si="45"/>
        <v>0.99541789150515714</v>
      </c>
      <c r="G602" s="55">
        <v>8849</v>
      </c>
      <c r="H602" s="55">
        <v>658589</v>
      </c>
      <c r="I602" s="56">
        <f t="shared" si="46"/>
        <v>0.34102455096734841</v>
      </c>
      <c r="J602" s="55">
        <v>8211</v>
      </c>
      <c r="K602" s="56">
        <f t="shared" si="47"/>
        <v>4.2517451521250698E-3</v>
      </c>
      <c r="L602" s="56">
        <f t="shared" si="48"/>
        <v>1.2467563229874778E-2</v>
      </c>
      <c r="M602" s="55">
        <v>1511</v>
      </c>
      <c r="N602" s="56">
        <f t="shared" si="49"/>
        <v>7.8241224270624542E-4</v>
      </c>
      <c r="O602" s="53" t="s">
        <v>443</v>
      </c>
    </row>
    <row r="603" spans="1:15" x14ac:dyDescent="0.25">
      <c r="A603" s="58" t="s">
        <v>451</v>
      </c>
      <c r="B603" s="53" t="s">
        <v>444</v>
      </c>
      <c r="C603" s="53" t="s">
        <v>452</v>
      </c>
      <c r="D603" s="54">
        <v>45058</v>
      </c>
      <c r="E603" s="55">
        <v>234031</v>
      </c>
      <c r="F603" s="56">
        <f t="shared" si="45"/>
        <v>0.99615008268135419</v>
      </c>
      <c r="G603" s="55">
        <v>901</v>
      </c>
      <c r="H603" s="55">
        <v>104160</v>
      </c>
      <c r="I603" s="56">
        <f t="shared" si="46"/>
        <v>0.445069242963539</v>
      </c>
      <c r="J603" s="55">
        <v>1430</v>
      </c>
      <c r="K603" s="56">
        <f t="shared" si="47"/>
        <v>6.1103016267075733E-3</v>
      </c>
      <c r="L603" s="56">
        <f t="shared" si="48"/>
        <v>1.3728878648233488E-2</v>
      </c>
      <c r="M603" s="55">
        <v>214</v>
      </c>
      <c r="N603" s="56">
        <f t="shared" si="49"/>
        <v>9.144087749058885E-4</v>
      </c>
      <c r="O603" s="53" t="s">
        <v>452</v>
      </c>
    </row>
    <row r="604" spans="1:15" x14ac:dyDescent="0.25">
      <c r="A604" s="58" t="s">
        <v>453</v>
      </c>
      <c r="B604" s="53" t="s">
        <v>444</v>
      </c>
      <c r="C604" s="53" t="s">
        <v>452</v>
      </c>
      <c r="D604" s="54">
        <v>45058</v>
      </c>
      <c r="E604" s="55">
        <v>332479</v>
      </c>
      <c r="F604" s="56">
        <f t="shared" si="45"/>
        <v>0.99393044372727302</v>
      </c>
      <c r="G604" s="55">
        <v>2018</v>
      </c>
      <c r="H604" s="55">
        <v>119256</v>
      </c>
      <c r="I604" s="56">
        <f t="shared" si="46"/>
        <v>0.35868731558985678</v>
      </c>
      <c r="J604" s="55">
        <v>1813</v>
      </c>
      <c r="K604" s="56">
        <f t="shared" si="47"/>
        <v>5.4529759774301538E-3</v>
      </c>
      <c r="L604" s="56">
        <f t="shared" si="48"/>
        <v>1.5202589387536056E-2</v>
      </c>
      <c r="M604" s="55">
        <v>282</v>
      </c>
      <c r="N604" s="56">
        <f t="shared" si="49"/>
        <v>8.4817386962785619E-4</v>
      </c>
      <c r="O604" s="53" t="s">
        <v>452</v>
      </c>
    </row>
    <row r="605" spans="1:15" x14ac:dyDescent="0.25">
      <c r="A605" s="58" t="s">
        <v>454</v>
      </c>
      <c r="B605" s="53" t="s">
        <v>444</v>
      </c>
      <c r="C605" s="53" t="s">
        <v>452</v>
      </c>
      <c r="D605" s="54">
        <v>45059</v>
      </c>
      <c r="E605" s="55">
        <v>14811</v>
      </c>
      <c r="F605" s="56">
        <f t="shared" si="45"/>
        <v>0.99520626561339542</v>
      </c>
      <c r="G605" s="55">
        <v>71</v>
      </c>
      <c r="H605" s="55">
        <v>3710</v>
      </c>
      <c r="I605" s="56">
        <f t="shared" si="46"/>
        <v>0.25048950104651946</v>
      </c>
      <c r="J605" s="55">
        <v>105</v>
      </c>
      <c r="K605" s="56">
        <f t="shared" si="47"/>
        <v>7.0893255013165894E-3</v>
      </c>
      <c r="L605" s="56">
        <f t="shared" si="48"/>
        <v>2.8301886792452831E-2</v>
      </c>
      <c r="M605" s="55">
        <v>12</v>
      </c>
      <c r="N605" s="56">
        <f t="shared" si="49"/>
        <v>8.1020862872189592E-4</v>
      </c>
      <c r="O605" s="53" t="s">
        <v>452</v>
      </c>
    </row>
    <row r="606" spans="1:15" hidden="1" x14ac:dyDescent="0.25">
      <c r="A606" s="52" t="s">
        <v>679</v>
      </c>
      <c r="B606" s="53" t="s">
        <v>439</v>
      </c>
      <c r="C606" s="53" t="s">
        <v>447</v>
      </c>
      <c r="D606" s="54">
        <v>45059</v>
      </c>
      <c r="E606" s="55">
        <v>26950</v>
      </c>
      <c r="F606" s="56">
        <f t="shared" si="45"/>
        <v>0.99491651205936915</v>
      </c>
      <c r="G606" s="55">
        <v>137</v>
      </c>
      <c r="H606" s="55">
        <v>12181</v>
      </c>
      <c r="I606" s="56">
        <f t="shared" si="46"/>
        <v>0.45198515769944342</v>
      </c>
      <c r="J606" s="55">
        <v>1462</v>
      </c>
      <c r="K606" s="56">
        <f t="shared" si="47"/>
        <v>5.4248608534322819E-2</v>
      </c>
      <c r="L606" s="56">
        <f t="shared" si="48"/>
        <v>0.12002298661850423</v>
      </c>
      <c r="M606" s="55">
        <v>11</v>
      </c>
      <c r="N606" s="56">
        <f t="shared" si="49"/>
        <v>4.0816326530612246E-4</v>
      </c>
      <c r="O606" s="53" t="s">
        <v>448</v>
      </c>
    </row>
    <row r="607" spans="1:15" hidden="1" x14ac:dyDescent="0.25">
      <c r="A607" s="52" t="s">
        <v>680</v>
      </c>
      <c r="B607" s="53" t="s">
        <v>439</v>
      </c>
      <c r="C607" s="53" t="s">
        <v>443</v>
      </c>
      <c r="D607" s="54">
        <v>45061</v>
      </c>
      <c r="E607" s="55">
        <v>21300</v>
      </c>
      <c r="F607" s="56">
        <f t="shared" si="45"/>
        <v>0.99497652582159624</v>
      </c>
      <c r="G607" s="55">
        <v>107</v>
      </c>
      <c r="H607" s="55">
        <v>10352</v>
      </c>
      <c r="I607" s="56">
        <f t="shared" si="46"/>
        <v>0.48600938967136148</v>
      </c>
      <c r="J607" s="55">
        <v>593</v>
      </c>
      <c r="K607" s="56">
        <f t="shared" si="47"/>
        <v>2.7840375586854461E-2</v>
      </c>
      <c r="L607" s="56">
        <f t="shared" si="48"/>
        <v>5.7283616692426584E-2</v>
      </c>
      <c r="M607" s="55">
        <v>21</v>
      </c>
      <c r="N607" s="56">
        <f t="shared" si="49"/>
        <v>9.8591549295774642E-4</v>
      </c>
      <c r="O607" s="53" t="s">
        <v>443</v>
      </c>
    </row>
    <row r="608" spans="1:15" hidden="1" x14ac:dyDescent="0.25">
      <c r="A608" s="52" t="s">
        <v>680</v>
      </c>
      <c r="B608" s="53" t="s">
        <v>444</v>
      </c>
      <c r="C608" s="53" t="s">
        <v>443</v>
      </c>
      <c r="D608" s="54">
        <v>45061</v>
      </c>
      <c r="E608" s="55">
        <v>14376</v>
      </c>
      <c r="F608" s="56">
        <f t="shared" si="45"/>
        <v>0.99186143572621033</v>
      </c>
      <c r="G608" s="55">
        <v>117</v>
      </c>
      <c r="H608" s="55">
        <v>5935</v>
      </c>
      <c r="I608" s="56">
        <f t="shared" si="46"/>
        <v>0.41284084585420144</v>
      </c>
      <c r="J608" s="55">
        <v>314</v>
      </c>
      <c r="K608" s="56">
        <f t="shared" si="47"/>
        <v>2.1841958820255983E-2</v>
      </c>
      <c r="L608" s="56">
        <f t="shared" si="48"/>
        <v>5.2906486941870258E-2</v>
      </c>
      <c r="M608" s="55">
        <v>29</v>
      </c>
      <c r="N608" s="56">
        <f t="shared" si="49"/>
        <v>2.0172509738452978E-3</v>
      </c>
      <c r="O608" s="53" t="s">
        <v>443</v>
      </c>
    </row>
    <row r="609" spans="1:15" hidden="1" x14ac:dyDescent="0.25">
      <c r="A609" s="52" t="s">
        <v>681</v>
      </c>
      <c r="B609" s="53" t="s">
        <v>439</v>
      </c>
      <c r="C609" s="53" t="s">
        <v>592</v>
      </c>
      <c r="D609" s="54">
        <v>45062</v>
      </c>
      <c r="E609" s="55">
        <v>2430</v>
      </c>
      <c r="F609" s="56">
        <f t="shared" si="45"/>
        <v>0.99506172839506168</v>
      </c>
      <c r="G609" s="55">
        <v>12</v>
      </c>
      <c r="H609" s="55">
        <v>1480</v>
      </c>
      <c r="I609" s="56">
        <f t="shared" si="46"/>
        <v>0.60905349794238683</v>
      </c>
      <c r="J609" s="55">
        <v>14</v>
      </c>
      <c r="K609" s="56">
        <f t="shared" si="47"/>
        <v>5.7613168724279839E-3</v>
      </c>
      <c r="L609" s="56">
        <f t="shared" si="48"/>
        <v>9.45945945945946E-3</v>
      </c>
      <c r="M609" s="55">
        <v>0</v>
      </c>
      <c r="N609" s="56">
        <f t="shared" si="49"/>
        <v>0</v>
      </c>
      <c r="O609" s="53" t="s">
        <v>592</v>
      </c>
    </row>
    <row r="610" spans="1:15" hidden="1" x14ac:dyDescent="0.25">
      <c r="A610" s="52" t="s">
        <v>682</v>
      </c>
      <c r="B610" s="53" t="s">
        <v>439</v>
      </c>
      <c r="C610" s="53" t="s">
        <v>592</v>
      </c>
      <c r="D610" s="54">
        <v>45062</v>
      </c>
      <c r="E610" s="55">
        <v>73338</v>
      </c>
      <c r="F610" s="56">
        <f t="shared" si="45"/>
        <v>0.99614115465379471</v>
      </c>
      <c r="G610" s="55">
        <v>283</v>
      </c>
      <c r="H610" s="55">
        <v>44742</v>
      </c>
      <c r="I610" s="56">
        <f t="shared" si="46"/>
        <v>0.61007935858627182</v>
      </c>
      <c r="J610" s="55">
        <v>243</v>
      </c>
      <c r="K610" s="56">
        <f t="shared" si="47"/>
        <v>3.3134255092857729E-3</v>
      </c>
      <c r="L610" s="56">
        <f t="shared" si="48"/>
        <v>5.4311385275579993E-3</v>
      </c>
      <c r="M610" s="55">
        <v>26</v>
      </c>
      <c r="N610" s="56">
        <f t="shared" si="49"/>
        <v>3.5452289399765468E-4</v>
      </c>
      <c r="O610" s="53" t="s">
        <v>592</v>
      </c>
    </row>
    <row r="611" spans="1:15" hidden="1" x14ac:dyDescent="0.25">
      <c r="A611" s="58" t="s">
        <v>18</v>
      </c>
      <c r="B611" s="53" t="s">
        <v>444</v>
      </c>
      <c r="C611" s="53" t="s">
        <v>443</v>
      </c>
      <c r="D611" s="54">
        <v>45062</v>
      </c>
      <c r="E611" s="55">
        <v>27366</v>
      </c>
      <c r="F611" s="56">
        <f t="shared" si="45"/>
        <v>0.99601695534604984</v>
      </c>
      <c r="G611" s="55">
        <v>109</v>
      </c>
      <c r="H611" s="55">
        <v>9978</v>
      </c>
      <c r="I611" s="56">
        <f t="shared" si="46"/>
        <v>0.36461302345976759</v>
      </c>
      <c r="J611" s="55">
        <v>292</v>
      </c>
      <c r="K611" s="56">
        <f t="shared" si="47"/>
        <v>1.0670174669297669E-2</v>
      </c>
      <c r="L611" s="56">
        <f t="shared" si="48"/>
        <v>2.9264381639607137E-2</v>
      </c>
      <c r="M611" s="55">
        <v>26</v>
      </c>
      <c r="N611" s="56">
        <f t="shared" si="49"/>
        <v>9.5008404589636778E-4</v>
      </c>
      <c r="O611" s="53" t="s">
        <v>443</v>
      </c>
    </row>
    <row r="612" spans="1:15" hidden="1" x14ac:dyDescent="0.25">
      <c r="A612" s="58" t="s">
        <v>18</v>
      </c>
      <c r="B612" s="53" t="s">
        <v>439</v>
      </c>
      <c r="C612" s="53" t="s">
        <v>443</v>
      </c>
      <c r="D612" s="54">
        <v>45062</v>
      </c>
      <c r="E612" s="55">
        <v>26370</v>
      </c>
      <c r="F612" s="56">
        <f t="shared" si="45"/>
        <v>0.99378081152825182</v>
      </c>
      <c r="G612" s="55">
        <v>164</v>
      </c>
      <c r="H612" s="55">
        <v>9486</v>
      </c>
      <c r="I612" s="56">
        <f t="shared" si="46"/>
        <v>0.35972696245733787</v>
      </c>
      <c r="J612" s="55">
        <v>361</v>
      </c>
      <c r="K612" s="56">
        <f t="shared" si="47"/>
        <v>1.3689799014031096E-2</v>
      </c>
      <c r="L612" s="56">
        <f t="shared" si="48"/>
        <v>3.8056082648113006E-2</v>
      </c>
      <c r="M612" s="55">
        <v>12</v>
      </c>
      <c r="N612" s="56">
        <f t="shared" si="49"/>
        <v>4.5506257110352672E-4</v>
      </c>
      <c r="O612" s="53" t="s">
        <v>443</v>
      </c>
    </row>
    <row r="613" spans="1:15" hidden="1" x14ac:dyDescent="0.25">
      <c r="A613" s="58" t="s">
        <v>19</v>
      </c>
      <c r="B613" s="53" t="s">
        <v>444</v>
      </c>
      <c r="C613" s="53" t="s">
        <v>443</v>
      </c>
      <c r="D613" s="54">
        <v>45062</v>
      </c>
      <c r="E613" s="55">
        <v>461672</v>
      </c>
      <c r="F613" s="56">
        <f t="shared" si="45"/>
        <v>0.99591268259716859</v>
      </c>
      <c r="G613" s="55">
        <v>1887</v>
      </c>
      <c r="H613" s="55">
        <v>175151</v>
      </c>
      <c r="I613" s="56">
        <f t="shared" si="46"/>
        <v>0.37938406487722887</v>
      </c>
      <c r="J613" s="55">
        <v>2805</v>
      </c>
      <c r="K613" s="56">
        <f t="shared" si="47"/>
        <v>6.0757420852899898E-3</v>
      </c>
      <c r="L613" s="56">
        <f t="shared" si="48"/>
        <v>1.6014752984567601E-2</v>
      </c>
      <c r="M613" s="55">
        <v>411</v>
      </c>
      <c r="N613" s="56">
        <f t="shared" si="49"/>
        <v>8.9024242319222309E-4</v>
      </c>
      <c r="O613" s="53" t="s">
        <v>443</v>
      </c>
    </row>
    <row r="614" spans="1:15" hidden="1" x14ac:dyDescent="0.25">
      <c r="A614" s="58" t="s">
        <v>19</v>
      </c>
      <c r="B614" s="53" t="s">
        <v>439</v>
      </c>
      <c r="C614" s="53" t="s">
        <v>443</v>
      </c>
      <c r="D614" s="54">
        <v>45062</v>
      </c>
      <c r="E614" s="55">
        <v>237056</v>
      </c>
      <c r="F614" s="56">
        <f t="shared" si="45"/>
        <v>0.99441060340172782</v>
      </c>
      <c r="G614" s="55">
        <v>1325</v>
      </c>
      <c r="H614" s="55">
        <v>84680</v>
      </c>
      <c r="I614" s="56">
        <f t="shared" si="46"/>
        <v>0.35721517278617709</v>
      </c>
      <c r="J614" s="55">
        <v>2295</v>
      </c>
      <c r="K614" s="56">
        <f t="shared" si="47"/>
        <v>9.6812567494600436E-3</v>
      </c>
      <c r="L614" s="56">
        <f t="shared" si="48"/>
        <v>2.7102031176192726E-2</v>
      </c>
      <c r="M614" s="55">
        <v>124</v>
      </c>
      <c r="N614" s="56">
        <f t="shared" si="49"/>
        <v>5.2308315334773222E-4</v>
      </c>
      <c r="O614" s="53" t="s">
        <v>443</v>
      </c>
    </row>
    <row r="615" spans="1:15" x14ac:dyDescent="0.25">
      <c r="A615" s="52" t="s">
        <v>683</v>
      </c>
      <c r="B615" s="53" t="s">
        <v>439</v>
      </c>
      <c r="C615" s="53" t="s">
        <v>452</v>
      </c>
      <c r="D615" s="54">
        <v>45062</v>
      </c>
      <c r="E615" s="55">
        <v>46794</v>
      </c>
      <c r="F615" s="56">
        <f t="shared" si="45"/>
        <v>0.99444373210240633</v>
      </c>
      <c r="G615" s="55">
        <v>260</v>
      </c>
      <c r="H615" s="55">
        <v>15307</v>
      </c>
      <c r="I615" s="56">
        <f t="shared" si="46"/>
        <v>0.32711458734025728</v>
      </c>
      <c r="J615" s="55">
        <v>389</v>
      </c>
      <c r="K615" s="56">
        <f t="shared" si="47"/>
        <v>8.3130315852459717E-3</v>
      </c>
      <c r="L615" s="56">
        <f t="shared" si="48"/>
        <v>2.5413209642647153E-2</v>
      </c>
      <c r="M615" s="55">
        <v>34</v>
      </c>
      <c r="N615" s="56">
        <f t="shared" si="49"/>
        <v>7.265888789161004E-4</v>
      </c>
      <c r="O615" s="53" t="s">
        <v>452</v>
      </c>
    </row>
    <row r="616" spans="1:15" x14ac:dyDescent="0.25">
      <c r="A616" s="52" t="s">
        <v>683</v>
      </c>
      <c r="B616" s="53" t="s">
        <v>444</v>
      </c>
      <c r="C616" s="53" t="s">
        <v>452</v>
      </c>
      <c r="D616" s="54">
        <v>45062</v>
      </c>
      <c r="E616" s="55">
        <v>64902</v>
      </c>
      <c r="F616" s="56">
        <f t="shared" si="45"/>
        <v>0.99619426211827067</v>
      </c>
      <c r="G616" s="55">
        <v>247</v>
      </c>
      <c r="H616" s="55">
        <v>19668</v>
      </c>
      <c r="I616" s="56">
        <f t="shared" si="46"/>
        <v>0.30304150873624852</v>
      </c>
      <c r="J616" s="55">
        <v>536</v>
      </c>
      <c r="K616" s="56">
        <f t="shared" si="47"/>
        <v>8.2586052818094981E-3</v>
      </c>
      <c r="L616" s="56">
        <f t="shared" si="48"/>
        <v>2.7252389668497051E-2</v>
      </c>
      <c r="M616" s="55">
        <v>121</v>
      </c>
      <c r="N616" s="56">
        <f t="shared" si="49"/>
        <v>1.8643493266771441E-3</v>
      </c>
      <c r="O616" s="53" t="s">
        <v>452</v>
      </c>
    </row>
    <row r="617" spans="1:15" x14ac:dyDescent="0.25">
      <c r="A617" s="52" t="s">
        <v>684</v>
      </c>
      <c r="B617" s="53" t="s">
        <v>439</v>
      </c>
      <c r="C617" s="53" t="s">
        <v>452</v>
      </c>
      <c r="D617" s="54">
        <v>45062</v>
      </c>
      <c r="E617" s="55">
        <v>757753</v>
      </c>
      <c r="F617" s="56">
        <f t="shared" si="45"/>
        <v>0.99529794009393557</v>
      </c>
      <c r="G617" s="55">
        <v>3563</v>
      </c>
      <c r="H617" s="55">
        <v>342575</v>
      </c>
      <c r="I617" s="56">
        <f t="shared" si="46"/>
        <v>0.45209322826831433</v>
      </c>
      <c r="J617" s="55">
        <v>5908</v>
      </c>
      <c r="K617" s="56">
        <f t="shared" si="47"/>
        <v>7.7967358756745268E-3</v>
      </c>
      <c r="L617" s="56">
        <f t="shared" si="48"/>
        <v>1.7245858571115814E-2</v>
      </c>
      <c r="M617" s="55">
        <v>643</v>
      </c>
      <c r="N617" s="56">
        <f t="shared" si="49"/>
        <v>8.4856147055834821E-4</v>
      </c>
      <c r="O617" s="53" t="s">
        <v>452</v>
      </c>
    </row>
    <row r="618" spans="1:15" x14ac:dyDescent="0.25">
      <c r="A618" s="52" t="s">
        <v>684</v>
      </c>
      <c r="B618" s="53" t="s">
        <v>444</v>
      </c>
      <c r="C618" s="53" t="s">
        <v>452</v>
      </c>
      <c r="D618" s="54">
        <v>45062</v>
      </c>
      <c r="E618" s="55">
        <v>666595</v>
      </c>
      <c r="F618" s="56">
        <f t="shared" si="45"/>
        <v>0.99612958393027251</v>
      </c>
      <c r="G618" s="55">
        <v>2580</v>
      </c>
      <c r="H618" s="55">
        <v>315111</v>
      </c>
      <c r="I618" s="56">
        <f t="shared" si="46"/>
        <v>0.47271731711158949</v>
      </c>
      <c r="J618" s="55">
        <v>5650</v>
      </c>
      <c r="K618" s="56">
        <f t="shared" si="47"/>
        <v>8.4759111604497481E-3</v>
      </c>
      <c r="L618" s="56">
        <f t="shared" si="48"/>
        <v>1.7930189679192413E-2</v>
      </c>
      <c r="M618" s="55">
        <v>1488</v>
      </c>
      <c r="N618" s="56">
        <f t="shared" si="49"/>
        <v>2.2322399657963231E-3</v>
      </c>
      <c r="O618" s="53" t="s">
        <v>452</v>
      </c>
    </row>
    <row r="619" spans="1:15" hidden="1" x14ac:dyDescent="0.25">
      <c r="A619" s="52" t="s">
        <v>685</v>
      </c>
      <c r="B619" s="53" t="s">
        <v>444</v>
      </c>
      <c r="C619" s="53" t="s">
        <v>443</v>
      </c>
      <c r="D619" s="54">
        <v>45063</v>
      </c>
      <c r="E619" s="55">
        <v>35967</v>
      </c>
      <c r="F619" s="56">
        <f t="shared" si="45"/>
        <v>0.9953012483665582</v>
      </c>
      <c r="G619" s="55">
        <v>169</v>
      </c>
      <c r="H619" s="55">
        <v>14234</v>
      </c>
      <c r="I619" s="56">
        <f t="shared" si="46"/>
        <v>0.39575166124503014</v>
      </c>
      <c r="J619" s="55">
        <v>336</v>
      </c>
      <c r="K619" s="56">
        <f t="shared" si="47"/>
        <v>9.34189673867712E-3</v>
      </c>
      <c r="L619" s="56">
        <f t="shared" si="48"/>
        <v>2.360545173528172E-2</v>
      </c>
      <c r="M619" s="55">
        <v>47</v>
      </c>
      <c r="N619" s="56">
        <f t="shared" si="49"/>
        <v>1.3067534128506687E-3</v>
      </c>
      <c r="O619" s="53" t="s">
        <v>443</v>
      </c>
    </row>
    <row r="620" spans="1:15" hidden="1" x14ac:dyDescent="0.25">
      <c r="A620" s="52" t="s">
        <v>685</v>
      </c>
      <c r="B620" s="53" t="s">
        <v>439</v>
      </c>
      <c r="C620" s="53" t="s">
        <v>443</v>
      </c>
      <c r="D620" s="54">
        <v>45063</v>
      </c>
      <c r="E620" s="55">
        <v>118710</v>
      </c>
      <c r="F620" s="56">
        <f t="shared" si="45"/>
        <v>0.99595653272681328</v>
      </c>
      <c r="G620" s="55">
        <v>480</v>
      </c>
      <c r="H620" s="55">
        <v>46689</v>
      </c>
      <c r="I620" s="56">
        <f t="shared" si="46"/>
        <v>0.39330300732878443</v>
      </c>
      <c r="J620" s="55">
        <v>923</v>
      </c>
      <c r="K620" s="56">
        <f t="shared" si="47"/>
        <v>7.7752506107320362E-3</v>
      </c>
      <c r="L620" s="56">
        <f t="shared" si="48"/>
        <v>1.9769110497119234E-2</v>
      </c>
      <c r="M620" s="55">
        <v>53</v>
      </c>
      <c r="N620" s="56">
        <f t="shared" si="49"/>
        <v>4.4646617808103784E-4</v>
      </c>
      <c r="O620" s="53" t="s">
        <v>443</v>
      </c>
    </row>
    <row r="621" spans="1:15" hidden="1" x14ac:dyDescent="0.25">
      <c r="A621" s="52" t="s">
        <v>686</v>
      </c>
      <c r="B621" s="53" t="s">
        <v>439</v>
      </c>
      <c r="C621" s="53" t="s">
        <v>443</v>
      </c>
      <c r="D621" s="54">
        <v>45064</v>
      </c>
      <c r="E621" s="55">
        <v>717</v>
      </c>
      <c r="F621" s="56">
        <f t="shared" si="45"/>
        <v>0.99581589958159</v>
      </c>
      <c r="G621" s="55">
        <v>3</v>
      </c>
      <c r="H621" s="55">
        <v>246</v>
      </c>
      <c r="I621" s="56">
        <f t="shared" si="46"/>
        <v>0.34309623430962344</v>
      </c>
      <c r="J621" s="55">
        <v>4</v>
      </c>
      <c r="K621" s="56">
        <f t="shared" si="47"/>
        <v>5.5788005578800556E-3</v>
      </c>
      <c r="L621" s="56">
        <f t="shared" si="48"/>
        <v>1.6260162601626018E-2</v>
      </c>
      <c r="M621" s="55">
        <v>0</v>
      </c>
      <c r="N621" s="56">
        <f t="shared" si="49"/>
        <v>0</v>
      </c>
      <c r="O621" s="53" t="s">
        <v>443</v>
      </c>
    </row>
    <row r="622" spans="1:15" hidden="1" x14ac:dyDescent="0.25">
      <c r="A622" s="52" t="s">
        <v>687</v>
      </c>
      <c r="B622" s="53" t="s">
        <v>439</v>
      </c>
      <c r="C622" s="53" t="s">
        <v>443</v>
      </c>
      <c r="D622" s="54">
        <v>45064</v>
      </c>
      <c r="E622" s="55">
        <v>13286</v>
      </c>
      <c r="F622" s="56">
        <f t="shared" si="45"/>
        <v>0.99480656329971395</v>
      </c>
      <c r="G622" s="55">
        <v>69</v>
      </c>
      <c r="H622" s="55">
        <v>4642</v>
      </c>
      <c r="I622" s="56">
        <f t="shared" si="46"/>
        <v>0.34939033569170558</v>
      </c>
      <c r="J622" s="55">
        <v>116</v>
      </c>
      <c r="K622" s="56">
        <f t="shared" si="47"/>
        <v>8.7309950323648956E-3</v>
      </c>
      <c r="L622" s="56">
        <f t="shared" si="48"/>
        <v>2.4989228780697974E-2</v>
      </c>
      <c r="M622" s="55">
        <v>8</v>
      </c>
      <c r="N622" s="56">
        <f t="shared" si="49"/>
        <v>6.0213758843895835E-4</v>
      </c>
      <c r="O622" s="53" t="s">
        <v>443</v>
      </c>
    </row>
    <row r="623" spans="1:15" hidden="1" x14ac:dyDescent="0.25">
      <c r="A623" s="52" t="s">
        <v>688</v>
      </c>
      <c r="B623" s="53" t="s">
        <v>439</v>
      </c>
      <c r="C623" s="53" t="s">
        <v>443</v>
      </c>
      <c r="D623" s="54">
        <v>45064</v>
      </c>
      <c r="E623" s="55">
        <v>13364</v>
      </c>
      <c r="F623" s="56">
        <f t="shared" si="45"/>
        <v>0.99648308889554027</v>
      </c>
      <c r="G623" s="55">
        <v>47</v>
      </c>
      <c r="H623" s="55">
        <v>4940</v>
      </c>
      <c r="I623" s="56">
        <f t="shared" si="46"/>
        <v>0.36964980544747084</v>
      </c>
      <c r="J623" s="55">
        <v>79</v>
      </c>
      <c r="K623" s="56">
        <f t="shared" si="47"/>
        <v>5.9114037713259501E-3</v>
      </c>
      <c r="L623" s="56">
        <f t="shared" si="48"/>
        <v>1.5991902834008098E-2</v>
      </c>
      <c r="M623" s="55">
        <v>7</v>
      </c>
      <c r="N623" s="56">
        <f t="shared" si="49"/>
        <v>5.2379527087698292E-4</v>
      </c>
      <c r="O623" s="53" t="s">
        <v>443</v>
      </c>
    </row>
    <row r="624" spans="1:15" hidden="1" x14ac:dyDescent="0.25">
      <c r="A624" s="52" t="s">
        <v>689</v>
      </c>
      <c r="B624" s="53" t="s">
        <v>439</v>
      </c>
      <c r="C624" s="53" t="s">
        <v>443</v>
      </c>
      <c r="D624" s="54">
        <v>45064</v>
      </c>
      <c r="E624" s="55">
        <v>253984</v>
      </c>
      <c r="F624" s="56">
        <f t="shared" si="45"/>
        <v>0.99608243038931588</v>
      </c>
      <c r="G624" s="55">
        <v>995</v>
      </c>
      <c r="H624" s="55">
        <v>94016</v>
      </c>
      <c r="I624" s="56">
        <f t="shared" si="46"/>
        <v>0.37016504976691444</v>
      </c>
      <c r="J624" s="55">
        <v>1518</v>
      </c>
      <c r="K624" s="56">
        <f t="shared" si="47"/>
        <v>5.9767544412246444E-3</v>
      </c>
      <c r="L624" s="56">
        <f t="shared" si="48"/>
        <v>1.6146187882913547E-2</v>
      </c>
      <c r="M624" s="55">
        <v>125</v>
      </c>
      <c r="N624" s="56">
        <f t="shared" si="49"/>
        <v>4.921569862668515E-4</v>
      </c>
      <c r="O624" s="53" t="s">
        <v>443</v>
      </c>
    </row>
    <row r="625" spans="1:15" hidden="1" x14ac:dyDescent="0.25">
      <c r="A625" s="58" t="s">
        <v>449</v>
      </c>
      <c r="B625" s="53"/>
      <c r="C625" s="53" t="s">
        <v>446</v>
      </c>
      <c r="D625" s="54">
        <v>45064</v>
      </c>
      <c r="E625" s="55">
        <v>1648</v>
      </c>
      <c r="F625" s="56">
        <f t="shared" si="45"/>
        <v>0.99817961165048541</v>
      </c>
      <c r="G625" s="55">
        <v>3</v>
      </c>
      <c r="H625" s="55">
        <v>542</v>
      </c>
      <c r="I625" s="56">
        <f t="shared" si="46"/>
        <v>0.32888349514563109</v>
      </c>
      <c r="J625" s="55">
        <v>20</v>
      </c>
      <c r="K625" s="56">
        <f t="shared" si="47"/>
        <v>1.2135922330097087E-2</v>
      </c>
      <c r="L625" s="56">
        <f t="shared" si="48"/>
        <v>3.6900369003690037E-2</v>
      </c>
      <c r="M625" s="55">
        <v>0</v>
      </c>
      <c r="N625" s="56">
        <f t="shared" si="49"/>
        <v>0</v>
      </c>
      <c r="O625" s="53" t="s">
        <v>446</v>
      </c>
    </row>
    <row r="626" spans="1:15" hidden="1" x14ac:dyDescent="0.25">
      <c r="A626" s="52" t="s">
        <v>690</v>
      </c>
      <c r="B626" s="53" t="s">
        <v>444</v>
      </c>
      <c r="C626" s="53" t="s">
        <v>592</v>
      </c>
      <c r="D626" s="54">
        <v>45064</v>
      </c>
      <c r="E626" s="55">
        <v>6050</v>
      </c>
      <c r="F626" s="56">
        <f t="shared" si="45"/>
        <v>0.99752066115702476</v>
      </c>
      <c r="G626" s="55">
        <v>15</v>
      </c>
      <c r="H626" s="55">
        <v>3398</v>
      </c>
      <c r="I626" s="56">
        <f t="shared" si="46"/>
        <v>0.56165289256198347</v>
      </c>
      <c r="J626" s="55">
        <v>575</v>
      </c>
      <c r="K626" s="56">
        <f t="shared" si="47"/>
        <v>9.5041322314049589E-2</v>
      </c>
      <c r="L626" s="56">
        <f t="shared" si="48"/>
        <v>0.16921718658034138</v>
      </c>
      <c r="M626" s="55">
        <v>7</v>
      </c>
      <c r="N626" s="56">
        <f t="shared" si="49"/>
        <v>1.1570247933884298E-3</v>
      </c>
      <c r="O626" s="53" t="s">
        <v>592</v>
      </c>
    </row>
    <row r="627" spans="1:15" hidden="1" x14ac:dyDescent="0.25">
      <c r="A627" s="52" t="s">
        <v>690</v>
      </c>
      <c r="B627" s="53" t="s">
        <v>439</v>
      </c>
      <c r="C627" s="53" t="s">
        <v>592</v>
      </c>
      <c r="D627" s="54">
        <v>45064</v>
      </c>
      <c r="E627" s="55">
        <v>24753</v>
      </c>
      <c r="F627" s="56">
        <f t="shared" si="45"/>
        <v>0.99680846766048559</v>
      </c>
      <c r="G627" s="55">
        <v>79</v>
      </c>
      <c r="H627" s="55">
        <v>11565</v>
      </c>
      <c r="I627" s="56">
        <f t="shared" si="46"/>
        <v>0.46721609501878558</v>
      </c>
      <c r="J627" s="55">
        <v>1862</v>
      </c>
      <c r="K627" s="56">
        <f t="shared" si="47"/>
        <v>7.5223205268048321E-2</v>
      </c>
      <c r="L627" s="56">
        <f t="shared" si="48"/>
        <v>0.16100302637267619</v>
      </c>
      <c r="M627" s="55">
        <v>7</v>
      </c>
      <c r="N627" s="56">
        <f t="shared" si="49"/>
        <v>2.8279400476709894E-4</v>
      </c>
      <c r="O627" s="53" t="s">
        <v>592</v>
      </c>
    </row>
    <row r="628" spans="1:15" hidden="1" x14ac:dyDescent="0.25">
      <c r="A628" s="52" t="s">
        <v>691</v>
      </c>
      <c r="B628" s="53" t="s">
        <v>444</v>
      </c>
      <c r="C628" s="53" t="s">
        <v>443</v>
      </c>
      <c r="D628" s="54">
        <v>45065</v>
      </c>
      <c r="E628" s="55">
        <v>23087</v>
      </c>
      <c r="F628" s="56">
        <f t="shared" si="45"/>
        <v>0.99631827435353226</v>
      </c>
      <c r="G628" s="55">
        <v>85</v>
      </c>
      <c r="H628" s="55">
        <v>9486</v>
      </c>
      <c r="I628" s="56">
        <f t="shared" si="46"/>
        <v>0.41088058214579631</v>
      </c>
      <c r="J628" s="55">
        <v>86</v>
      </c>
      <c r="K628" s="56">
        <f t="shared" si="47"/>
        <v>3.7250400658379174E-3</v>
      </c>
      <c r="L628" s="56">
        <f t="shared" si="48"/>
        <v>9.065991988193127E-3</v>
      </c>
      <c r="M628" s="55">
        <v>31</v>
      </c>
      <c r="N628" s="56">
        <f t="shared" si="49"/>
        <v>1.3427470004764585E-3</v>
      </c>
      <c r="O628" s="53" t="s">
        <v>443</v>
      </c>
    </row>
    <row r="629" spans="1:15" hidden="1" x14ac:dyDescent="0.25">
      <c r="A629" s="52" t="s">
        <v>691</v>
      </c>
      <c r="B629" s="53" t="s">
        <v>439</v>
      </c>
      <c r="C629" s="53" t="s">
        <v>443</v>
      </c>
      <c r="D629" s="54">
        <v>45065</v>
      </c>
      <c r="E629" s="55">
        <v>56205</v>
      </c>
      <c r="F629" s="56">
        <f t="shared" si="45"/>
        <v>0.99564095721021262</v>
      </c>
      <c r="G629" s="55">
        <v>245</v>
      </c>
      <c r="H629" s="55">
        <v>20987</v>
      </c>
      <c r="I629" s="56">
        <f t="shared" si="46"/>
        <v>0.37340094297660348</v>
      </c>
      <c r="J629" s="55">
        <v>202</v>
      </c>
      <c r="K629" s="56">
        <f t="shared" si="47"/>
        <v>3.593986300151232E-3</v>
      </c>
      <c r="L629" s="56">
        <f t="shared" si="48"/>
        <v>9.6250059560680414E-3</v>
      </c>
      <c r="M629" s="55">
        <v>32</v>
      </c>
      <c r="N629" s="56">
        <f t="shared" si="49"/>
        <v>5.6934436438039321E-4</v>
      </c>
      <c r="O629" s="53" t="s">
        <v>443</v>
      </c>
    </row>
    <row r="630" spans="1:15" hidden="1" x14ac:dyDescent="0.25">
      <c r="A630" s="52" t="s">
        <v>692</v>
      </c>
      <c r="B630" s="53" t="s">
        <v>444</v>
      </c>
      <c r="C630" s="53" t="s">
        <v>443</v>
      </c>
      <c r="D630" s="54">
        <v>45065</v>
      </c>
      <c r="E630" s="55">
        <v>574</v>
      </c>
      <c r="F630" s="56">
        <f t="shared" si="45"/>
        <v>0.99303135888501737</v>
      </c>
      <c r="G630" s="55">
        <v>4</v>
      </c>
      <c r="H630" s="55">
        <v>204</v>
      </c>
      <c r="I630" s="56">
        <f t="shared" si="46"/>
        <v>0.35540069686411152</v>
      </c>
      <c r="J630" s="55">
        <v>4</v>
      </c>
      <c r="K630" s="56">
        <f t="shared" si="47"/>
        <v>6.9686411149825784E-3</v>
      </c>
      <c r="L630" s="56">
        <f t="shared" si="48"/>
        <v>1.9607843137254902E-2</v>
      </c>
      <c r="M630" s="55">
        <v>1</v>
      </c>
      <c r="N630" s="56">
        <f t="shared" si="49"/>
        <v>1.7421602787456446E-3</v>
      </c>
      <c r="O630" s="53" t="s">
        <v>443</v>
      </c>
    </row>
    <row r="631" spans="1:15" hidden="1" x14ac:dyDescent="0.25">
      <c r="A631" s="52" t="s">
        <v>692</v>
      </c>
      <c r="B631" s="53" t="s">
        <v>439</v>
      </c>
      <c r="C631" s="53" t="s">
        <v>443</v>
      </c>
      <c r="D631" s="54">
        <v>45065</v>
      </c>
      <c r="E631" s="55">
        <v>1935</v>
      </c>
      <c r="F631" s="56">
        <f t="shared" si="45"/>
        <v>0.99379844961240305</v>
      </c>
      <c r="G631" s="55">
        <v>12</v>
      </c>
      <c r="H631" s="55">
        <v>658</v>
      </c>
      <c r="I631" s="56">
        <f t="shared" si="46"/>
        <v>0.34005167958656329</v>
      </c>
      <c r="J631" s="55">
        <v>7</v>
      </c>
      <c r="K631" s="56">
        <f t="shared" si="47"/>
        <v>3.6175710594315244E-3</v>
      </c>
      <c r="L631" s="56">
        <f t="shared" si="48"/>
        <v>1.0638297872340425E-2</v>
      </c>
      <c r="M631" s="55">
        <v>0</v>
      </c>
      <c r="N631" s="56">
        <f t="shared" si="49"/>
        <v>0</v>
      </c>
      <c r="O631" s="53" t="s">
        <v>443</v>
      </c>
    </row>
    <row r="632" spans="1:15" hidden="1" x14ac:dyDescent="0.25">
      <c r="A632" s="58" t="s">
        <v>22</v>
      </c>
      <c r="B632" s="53" t="s">
        <v>444</v>
      </c>
      <c r="C632" s="53" t="s">
        <v>443</v>
      </c>
      <c r="D632" s="54">
        <v>45065</v>
      </c>
      <c r="E632" s="55">
        <v>207227</v>
      </c>
      <c r="F632" s="56">
        <f t="shared" si="45"/>
        <v>0.99592717165234257</v>
      </c>
      <c r="G632" s="55">
        <v>844</v>
      </c>
      <c r="H632" s="55">
        <v>58476</v>
      </c>
      <c r="I632" s="56">
        <f t="shared" si="46"/>
        <v>0.28218330622940063</v>
      </c>
      <c r="J632" s="55">
        <v>1096</v>
      </c>
      <c r="K632" s="56">
        <f t="shared" si="47"/>
        <v>5.2888861007494197E-3</v>
      </c>
      <c r="L632" s="56">
        <f t="shared" si="48"/>
        <v>1.8742732061016485E-2</v>
      </c>
      <c r="M632" s="55">
        <v>314</v>
      </c>
      <c r="N632" s="56">
        <f t="shared" si="49"/>
        <v>1.5152465653606915E-3</v>
      </c>
      <c r="O632" s="53" t="s">
        <v>443</v>
      </c>
    </row>
    <row r="633" spans="1:15" hidden="1" x14ac:dyDescent="0.25">
      <c r="A633" s="58" t="s">
        <v>693</v>
      </c>
      <c r="B633" s="53" t="s">
        <v>439</v>
      </c>
      <c r="C633" s="53" t="s">
        <v>443</v>
      </c>
      <c r="D633" s="54">
        <v>45065</v>
      </c>
      <c r="E633" s="55">
        <v>105851</v>
      </c>
      <c r="F633" s="56">
        <f t="shared" si="45"/>
        <v>0.99482291145100188</v>
      </c>
      <c r="G633" s="55">
        <v>548</v>
      </c>
      <c r="H633" s="55">
        <v>31394</v>
      </c>
      <c r="I633" s="56">
        <f t="shared" si="46"/>
        <v>0.29658671150957477</v>
      </c>
      <c r="J633" s="55">
        <v>679</v>
      </c>
      <c r="K633" s="56">
        <f t="shared" si="47"/>
        <v>6.4146772349812468E-3</v>
      </c>
      <c r="L633" s="56">
        <f t="shared" si="48"/>
        <v>2.162833662483277E-2</v>
      </c>
      <c r="M633" s="55">
        <v>41</v>
      </c>
      <c r="N633" s="56">
        <f t="shared" si="49"/>
        <v>3.8733691698708561E-4</v>
      </c>
      <c r="O633" s="53" t="s">
        <v>443</v>
      </c>
    </row>
    <row r="634" spans="1:15" hidden="1" x14ac:dyDescent="0.25">
      <c r="A634" s="58" t="s">
        <v>23</v>
      </c>
      <c r="B634" s="53" t="s">
        <v>444</v>
      </c>
      <c r="C634" s="53" t="s">
        <v>443</v>
      </c>
      <c r="D634" s="54">
        <v>45065</v>
      </c>
      <c r="E634" s="55">
        <v>2307120</v>
      </c>
      <c r="F634" s="56">
        <f t="shared" si="45"/>
        <v>0.99607952772287522</v>
      </c>
      <c r="G634" s="55">
        <v>9045</v>
      </c>
      <c r="H634" s="55">
        <v>731790</v>
      </c>
      <c r="I634" s="56">
        <f t="shared" si="46"/>
        <v>0.31718766254031</v>
      </c>
      <c r="J634" s="55">
        <v>10032</v>
      </c>
      <c r="K634" s="56">
        <f t="shared" si="47"/>
        <v>4.3482783730365128E-3</v>
      </c>
      <c r="L634" s="56">
        <f t="shared" si="48"/>
        <v>1.3708850899848317E-2</v>
      </c>
      <c r="M634" s="55">
        <v>3033</v>
      </c>
      <c r="N634" s="56">
        <f t="shared" si="49"/>
        <v>1.3146260272547592E-3</v>
      </c>
      <c r="O634" s="53" t="s">
        <v>443</v>
      </c>
    </row>
    <row r="635" spans="1:15" hidden="1" x14ac:dyDescent="0.25">
      <c r="A635" s="58" t="s">
        <v>23</v>
      </c>
      <c r="B635" s="53" t="s">
        <v>439</v>
      </c>
      <c r="C635" s="53" t="s">
        <v>443</v>
      </c>
      <c r="D635" s="54">
        <v>45065</v>
      </c>
      <c r="E635" s="55">
        <v>1973420</v>
      </c>
      <c r="F635" s="56">
        <f t="shared" si="45"/>
        <v>0.99528787587031653</v>
      </c>
      <c r="G635" s="55">
        <v>9299</v>
      </c>
      <c r="H635" s="55">
        <v>658700</v>
      </c>
      <c r="I635" s="56">
        <f t="shared" si="46"/>
        <v>0.33378601615469589</v>
      </c>
      <c r="J635" s="55">
        <v>10141</v>
      </c>
      <c r="K635" s="56">
        <f t="shared" si="47"/>
        <v>5.1387945799677721E-3</v>
      </c>
      <c r="L635" s="56">
        <f t="shared" si="48"/>
        <v>1.5395475937452559E-2</v>
      </c>
      <c r="M635" s="55">
        <v>1539</v>
      </c>
      <c r="N635" s="56">
        <f t="shared" si="49"/>
        <v>7.7986439784739187E-4</v>
      </c>
      <c r="O635" s="53" t="s">
        <v>443</v>
      </c>
    </row>
    <row r="636" spans="1:15" x14ac:dyDescent="0.25">
      <c r="A636" s="58" t="s">
        <v>451</v>
      </c>
      <c r="B636" s="53" t="s">
        <v>444</v>
      </c>
      <c r="C636" s="53" t="s">
        <v>452</v>
      </c>
      <c r="D636" s="54">
        <v>45065</v>
      </c>
      <c r="E636" s="55">
        <v>233791</v>
      </c>
      <c r="F636" s="56">
        <f t="shared" si="45"/>
        <v>0.99679200653575206</v>
      </c>
      <c r="G636" s="55">
        <v>750</v>
      </c>
      <c r="H636" s="55">
        <v>102602</v>
      </c>
      <c r="I636" s="56">
        <f t="shared" si="46"/>
        <v>0.43886206055836197</v>
      </c>
      <c r="J636" s="55">
        <v>2824</v>
      </c>
      <c r="K636" s="56">
        <f t="shared" si="47"/>
        <v>1.2079164724048403E-2</v>
      </c>
      <c r="L636" s="56">
        <f t="shared" si="48"/>
        <v>2.7523829944835383E-2</v>
      </c>
      <c r="M636" s="55">
        <v>187</v>
      </c>
      <c r="N636" s="56">
        <f t="shared" si="49"/>
        <v>7.9985970375249691E-4</v>
      </c>
      <c r="O636" s="53" t="s">
        <v>452</v>
      </c>
    </row>
    <row r="637" spans="1:15" x14ac:dyDescent="0.25">
      <c r="A637" s="58" t="s">
        <v>453</v>
      </c>
      <c r="B637" s="53" t="s">
        <v>444</v>
      </c>
      <c r="C637" s="53" t="s">
        <v>452</v>
      </c>
      <c r="D637" s="54">
        <v>45065</v>
      </c>
      <c r="E637" s="55">
        <v>332248</v>
      </c>
      <c r="F637" s="56">
        <f t="shared" si="45"/>
        <v>0.99467867376176833</v>
      </c>
      <c r="G637" s="55">
        <v>1768</v>
      </c>
      <c r="H637" s="55">
        <v>117822</v>
      </c>
      <c r="I637" s="56">
        <f t="shared" si="46"/>
        <v>0.35462064481953237</v>
      </c>
      <c r="J637" s="55">
        <v>2942</v>
      </c>
      <c r="K637" s="56">
        <f t="shared" si="47"/>
        <v>8.8548313308131274E-3</v>
      </c>
      <c r="L637" s="56">
        <f t="shared" si="48"/>
        <v>2.4969869803602045E-2</v>
      </c>
      <c r="M637" s="55">
        <v>257</v>
      </c>
      <c r="N637" s="56">
        <f t="shared" si="49"/>
        <v>7.7351857648503522E-4</v>
      </c>
      <c r="O637" s="53" t="s">
        <v>452</v>
      </c>
    </row>
    <row r="638" spans="1:15" hidden="1" x14ac:dyDescent="0.25">
      <c r="A638" s="52" t="s">
        <v>694</v>
      </c>
      <c r="B638" s="53" t="s">
        <v>439</v>
      </c>
      <c r="C638" s="53" t="s">
        <v>447</v>
      </c>
      <c r="D638" s="54">
        <v>45066</v>
      </c>
      <c r="E638" s="55">
        <v>19839</v>
      </c>
      <c r="F638" s="56">
        <f t="shared" si="45"/>
        <v>0.99616916175210446</v>
      </c>
      <c r="G638" s="55">
        <v>76</v>
      </c>
      <c r="H638" s="55">
        <v>8789</v>
      </c>
      <c r="I638" s="56">
        <f t="shared" si="46"/>
        <v>0.44301628106255353</v>
      </c>
      <c r="J638" s="55">
        <v>1247</v>
      </c>
      <c r="K638" s="56">
        <f t="shared" si="47"/>
        <v>6.2855990725338984E-2</v>
      </c>
      <c r="L638" s="56">
        <f t="shared" si="48"/>
        <v>0.141881897826829</v>
      </c>
      <c r="M638" s="55">
        <v>21</v>
      </c>
      <c r="N638" s="56">
        <f t="shared" si="49"/>
        <v>1.0585210948132466E-3</v>
      </c>
      <c r="O638" s="53" t="s">
        <v>448</v>
      </c>
    </row>
    <row r="639" spans="1:15" hidden="1" x14ac:dyDescent="0.25">
      <c r="A639" s="52" t="s">
        <v>695</v>
      </c>
      <c r="B639" s="53" t="s">
        <v>439</v>
      </c>
      <c r="C639" s="53" t="s">
        <v>447</v>
      </c>
      <c r="D639" s="54">
        <v>45066</v>
      </c>
      <c r="E639" s="55">
        <v>6687</v>
      </c>
      <c r="F639" s="56">
        <f t="shared" si="45"/>
        <v>0.99581277104830268</v>
      </c>
      <c r="G639" s="55">
        <v>28</v>
      </c>
      <c r="H639" s="55">
        <v>2412</v>
      </c>
      <c r="I639" s="56">
        <f t="shared" si="46"/>
        <v>0.36069986541049798</v>
      </c>
      <c r="J639" s="55">
        <v>502</v>
      </c>
      <c r="K639" s="56">
        <f t="shared" si="47"/>
        <v>7.5071033348287727E-2</v>
      </c>
      <c r="L639" s="56">
        <f t="shared" si="48"/>
        <v>0.20812603648424544</v>
      </c>
      <c r="M639" s="55">
        <v>4</v>
      </c>
      <c r="N639" s="56">
        <f t="shared" si="49"/>
        <v>5.98175564528189E-4</v>
      </c>
      <c r="O639" s="53" t="s">
        <v>448</v>
      </c>
    </row>
    <row r="640" spans="1:15" hidden="1" x14ac:dyDescent="0.25">
      <c r="A640" s="52" t="s">
        <v>29</v>
      </c>
      <c r="B640" s="53" t="s">
        <v>439</v>
      </c>
      <c r="C640" s="53" t="s">
        <v>443</v>
      </c>
      <c r="D640" s="54">
        <v>45066</v>
      </c>
      <c r="E640" s="55">
        <v>28779</v>
      </c>
      <c r="F640" s="56">
        <f t="shared" si="45"/>
        <v>0.99530907953716252</v>
      </c>
      <c r="G640" s="55">
        <v>135</v>
      </c>
      <c r="H640" s="55">
        <v>8554</v>
      </c>
      <c r="I640" s="56">
        <f t="shared" si="46"/>
        <v>0.29723061954897667</v>
      </c>
      <c r="J640" s="55">
        <v>273</v>
      </c>
      <c r="K640" s="56">
        <f t="shared" si="47"/>
        <v>9.4860836026269147E-3</v>
      </c>
      <c r="L640" s="56">
        <f t="shared" si="48"/>
        <v>3.1914893617021274E-2</v>
      </c>
      <c r="M640" s="55">
        <v>11</v>
      </c>
      <c r="N640" s="56">
        <f t="shared" si="49"/>
        <v>3.8222314882379514E-4</v>
      </c>
      <c r="O640" s="53" t="s">
        <v>443</v>
      </c>
    </row>
    <row r="641" spans="1:15" hidden="1" x14ac:dyDescent="0.25">
      <c r="A641" s="52" t="s">
        <v>30</v>
      </c>
      <c r="B641" s="53" t="s">
        <v>439</v>
      </c>
      <c r="C641" s="53" t="s">
        <v>443</v>
      </c>
      <c r="D641" s="54">
        <v>45066</v>
      </c>
      <c r="E641" s="55">
        <v>449224</v>
      </c>
      <c r="F641" s="56">
        <f t="shared" si="45"/>
        <v>0.99554119993588941</v>
      </c>
      <c r="G641" s="55">
        <v>2003</v>
      </c>
      <c r="H641" s="55">
        <v>156660</v>
      </c>
      <c r="I641" s="56">
        <f t="shared" si="46"/>
        <v>0.34873470696133779</v>
      </c>
      <c r="J641" s="55">
        <v>4322</v>
      </c>
      <c r="K641" s="56">
        <f t="shared" si="47"/>
        <v>9.6210353854647122E-3</v>
      </c>
      <c r="L641" s="56">
        <f t="shared" si="48"/>
        <v>2.758840801736244E-2</v>
      </c>
      <c r="M641" s="55">
        <v>261</v>
      </c>
      <c r="N641" s="56">
        <f t="shared" si="49"/>
        <v>5.8100190550816524E-4</v>
      </c>
      <c r="O641" s="53" t="s">
        <v>443</v>
      </c>
    </row>
    <row r="642" spans="1:15" x14ac:dyDescent="0.25">
      <c r="A642" s="52" t="s">
        <v>618</v>
      </c>
      <c r="B642" s="53" t="s">
        <v>444</v>
      </c>
      <c r="C642" s="53" t="s">
        <v>452</v>
      </c>
      <c r="D642" s="54">
        <v>45069</v>
      </c>
      <c r="E642" s="55">
        <v>502625</v>
      </c>
      <c r="F642" s="56">
        <f t="shared" ref="F642:F705" si="50">(E642-G642)/E642</f>
        <v>0.99686048246704795</v>
      </c>
      <c r="G642" s="55">
        <v>1578</v>
      </c>
      <c r="H642" s="55">
        <v>259787</v>
      </c>
      <c r="I642" s="56">
        <f t="shared" ref="I642:I705" si="51">H642/E642</f>
        <v>0.51686048246704797</v>
      </c>
      <c r="J642" s="55">
        <v>4026</v>
      </c>
      <c r="K642" s="56">
        <f t="shared" ref="K642:K705" si="52">J642/E642</f>
        <v>8.0099477741855264E-3</v>
      </c>
      <c r="L642" s="56">
        <f t="shared" ref="L642:L705" si="53">J642/H642</f>
        <v>1.5497311258838973E-2</v>
      </c>
      <c r="M642" s="55">
        <v>1157</v>
      </c>
      <c r="N642" s="56">
        <f t="shared" ref="N642:N705" si="54">M642/E642</f>
        <v>2.3019149465307136E-3</v>
      </c>
      <c r="O642" s="53" t="s">
        <v>452</v>
      </c>
    </row>
    <row r="643" spans="1:15" x14ac:dyDescent="0.25">
      <c r="A643" s="52" t="s">
        <v>618</v>
      </c>
      <c r="B643" s="53" t="s">
        <v>439</v>
      </c>
      <c r="C643" s="53" t="s">
        <v>452</v>
      </c>
      <c r="D643" s="54">
        <v>45069</v>
      </c>
      <c r="E643" s="55">
        <v>732891</v>
      </c>
      <c r="F643" s="56">
        <f t="shared" si="50"/>
        <v>0.99644421885382684</v>
      </c>
      <c r="G643" s="55">
        <v>2606</v>
      </c>
      <c r="H643" s="55">
        <v>364040</v>
      </c>
      <c r="I643" s="56">
        <f t="shared" si="51"/>
        <v>0.49671779295966251</v>
      </c>
      <c r="J643" s="55">
        <v>5131</v>
      </c>
      <c r="K643" s="56">
        <f t="shared" si="52"/>
        <v>7.0010410825074943E-3</v>
      </c>
      <c r="L643" s="56">
        <f t="shared" si="53"/>
        <v>1.4094604988462807E-2</v>
      </c>
      <c r="M643" s="55">
        <v>539</v>
      </c>
      <c r="N643" s="56">
        <f t="shared" si="54"/>
        <v>7.354436062115649E-4</v>
      </c>
      <c r="O643" s="53" t="s">
        <v>452</v>
      </c>
    </row>
    <row r="644" spans="1:15" hidden="1" x14ac:dyDescent="0.25">
      <c r="A644" s="58" t="s">
        <v>19</v>
      </c>
      <c r="B644" s="53" t="s">
        <v>444</v>
      </c>
      <c r="C644" s="53" t="s">
        <v>443</v>
      </c>
      <c r="D644" s="54">
        <v>45069</v>
      </c>
      <c r="E644" s="55">
        <v>464080</v>
      </c>
      <c r="F644" s="56">
        <f t="shared" si="50"/>
        <v>0.99620755042234099</v>
      </c>
      <c r="G644" s="55">
        <v>1760</v>
      </c>
      <c r="H644" s="55">
        <v>174393</v>
      </c>
      <c r="I644" s="56">
        <f t="shared" si="51"/>
        <v>0.37578219272539215</v>
      </c>
      <c r="J644" s="55">
        <v>2518</v>
      </c>
      <c r="K644" s="56">
        <f t="shared" si="52"/>
        <v>5.4257886571280811E-3</v>
      </c>
      <c r="L644" s="56">
        <f t="shared" si="53"/>
        <v>1.4438652927583102E-2</v>
      </c>
      <c r="M644" s="55">
        <v>361</v>
      </c>
      <c r="N644" s="56">
        <f t="shared" si="54"/>
        <v>7.7788312359937937E-4</v>
      </c>
      <c r="O644" s="53" t="s">
        <v>443</v>
      </c>
    </row>
    <row r="645" spans="1:15" hidden="1" x14ac:dyDescent="0.25">
      <c r="A645" s="58" t="s">
        <v>19</v>
      </c>
      <c r="B645" s="53" t="s">
        <v>439</v>
      </c>
      <c r="C645" s="53" t="s">
        <v>443</v>
      </c>
      <c r="D645" s="54">
        <v>45069</v>
      </c>
      <c r="E645" s="55">
        <v>238668</v>
      </c>
      <c r="F645" s="56">
        <f t="shared" si="50"/>
        <v>0.995114552432668</v>
      </c>
      <c r="G645" s="55">
        <v>1166</v>
      </c>
      <c r="H645" s="55">
        <v>83877</v>
      </c>
      <c r="I645" s="56">
        <f t="shared" si="51"/>
        <v>0.35143798079340338</v>
      </c>
      <c r="J645" s="55">
        <v>1825</v>
      </c>
      <c r="K645" s="56">
        <f t="shared" si="52"/>
        <v>7.6466053262272274E-3</v>
      </c>
      <c r="L645" s="56">
        <f t="shared" si="53"/>
        <v>2.1758050478677109E-2</v>
      </c>
      <c r="M645" s="55">
        <v>98</v>
      </c>
      <c r="N645" s="56">
        <f t="shared" si="54"/>
        <v>4.1061223121658541E-4</v>
      </c>
      <c r="O645" s="53" t="s">
        <v>443</v>
      </c>
    </row>
    <row r="646" spans="1:15" hidden="1" x14ac:dyDescent="0.25">
      <c r="A646" s="58" t="s">
        <v>18</v>
      </c>
      <c r="B646" s="53" t="s">
        <v>444</v>
      </c>
      <c r="C646" s="53" t="s">
        <v>443</v>
      </c>
      <c r="D646" s="54">
        <v>45069</v>
      </c>
      <c r="E646" s="55">
        <v>27442</v>
      </c>
      <c r="F646" s="56">
        <f t="shared" si="50"/>
        <v>0.99606442679105023</v>
      </c>
      <c r="G646" s="55">
        <v>108</v>
      </c>
      <c r="H646" s="55">
        <v>9456</v>
      </c>
      <c r="I646" s="56">
        <f t="shared" si="51"/>
        <v>0.34458129873915894</v>
      </c>
      <c r="J646" s="55">
        <v>169</v>
      </c>
      <c r="K646" s="56">
        <f t="shared" si="52"/>
        <v>6.158443262152904E-3</v>
      </c>
      <c r="L646" s="56">
        <f t="shared" si="53"/>
        <v>1.7872250423011844E-2</v>
      </c>
      <c r="M646" s="55">
        <v>23</v>
      </c>
      <c r="N646" s="56">
        <f t="shared" si="54"/>
        <v>8.3813133153560235E-4</v>
      </c>
      <c r="O646" s="53" t="s">
        <v>443</v>
      </c>
    </row>
    <row r="647" spans="1:15" hidden="1" x14ac:dyDescent="0.25">
      <c r="A647" s="58" t="s">
        <v>18</v>
      </c>
      <c r="B647" s="53" t="s">
        <v>439</v>
      </c>
      <c r="C647" s="53" t="s">
        <v>443</v>
      </c>
      <c r="D647" s="54">
        <v>45069</v>
      </c>
      <c r="E647" s="55">
        <v>26439</v>
      </c>
      <c r="F647" s="56">
        <f t="shared" si="50"/>
        <v>0.99406180264003929</v>
      </c>
      <c r="G647" s="55">
        <v>157</v>
      </c>
      <c r="H647" s="55">
        <v>8868</v>
      </c>
      <c r="I647" s="56">
        <f t="shared" si="51"/>
        <v>0.33541359355497563</v>
      </c>
      <c r="J647" s="55">
        <v>237</v>
      </c>
      <c r="K647" s="56">
        <f t="shared" si="52"/>
        <v>8.9640304096221483E-3</v>
      </c>
      <c r="L647" s="56">
        <f t="shared" si="53"/>
        <v>2.6725304465493909E-2</v>
      </c>
      <c r="M647" s="55">
        <v>11</v>
      </c>
      <c r="N647" s="56">
        <f t="shared" si="54"/>
        <v>4.1605204432845419E-4</v>
      </c>
      <c r="O647" s="53" t="s">
        <v>443</v>
      </c>
    </row>
    <row r="648" spans="1:15" hidden="1" x14ac:dyDescent="0.25">
      <c r="A648" s="52" t="s">
        <v>445</v>
      </c>
      <c r="B648" s="53"/>
      <c r="C648" s="53" t="s">
        <v>446</v>
      </c>
      <c r="D648" s="54">
        <v>45070</v>
      </c>
      <c r="E648" s="55">
        <v>261</v>
      </c>
      <c r="F648" s="56">
        <f t="shared" si="50"/>
        <v>1</v>
      </c>
      <c r="G648" s="55">
        <v>0</v>
      </c>
      <c r="H648" s="55">
        <v>78</v>
      </c>
      <c r="I648" s="56">
        <f t="shared" si="51"/>
        <v>0.2988505747126437</v>
      </c>
      <c r="J648" s="55">
        <v>6</v>
      </c>
      <c r="K648" s="56">
        <f t="shared" si="52"/>
        <v>2.2988505747126436E-2</v>
      </c>
      <c r="L648" s="56">
        <f t="shared" si="53"/>
        <v>7.6923076923076927E-2</v>
      </c>
      <c r="M648" s="55">
        <v>0</v>
      </c>
      <c r="N648" s="56">
        <f t="shared" si="54"/>
        <v>0</v>
      </c>
      <c r="O648" s="53" t="s">
        <v>446</v>
      </c>
    </row>
    <row r="649" spans="1:15" hidden="1" x14ac:dyDescent="0.25">
      <c r="A649" s="58" t="s">
        <v>449</v>
      </c>
      <c r="B649" s="53"/>
      <c r="C649" s="53" t="s">
        <v>446</v>
      </c>
      <c r="D649" s="54">
        <v>45071</v>
      </c>
      <c r="E649" s="55">
        <v>1647</v>
      </c>
      <c r="F649" s="56">
        <f t="shared" si="50"/>
        <v>0.99817850637522765</v>
      </c>
      <c r="G649" s="55">
        <v>3</v>
      </c>
      <c r="H649" s="55">
        <v>580</v>
      </c>
      <c r="I649" s="56">
        <f t="shared" si="51"/>
        <v>0.35215543412264722</v>
      </c>
      <c r="J649" s="55">
        <v>18</v>
      </c>
      <c r="K649" s="56">
        <f t="shared" si="52"/>
        <v>1.092896174863388E-2</v>
      </c>
      <c r="L649" s="56">
        <f t="shared" si="53"/>
        <v>3.1034482758620689E-2</v>
      </c>
      <c r="M649" s="55">
        <v>0</v>
      </c>
      <c r="N649" s="56">
        <f t="shared" si="54"/>
        <v>0</v>
      </c>
      <c r="O649" s="53" t="s">
        <v>446</v>
      </c>
    </row>
    <row r="650" spans="1:15" hidden="1" x14ac:dyDescent="0.25">
      <c r="A650" s="52" t="s">
        <v>696</v>
      </c>
      <c r="B650" s="53" t="s">
        <v>444</v>
      </c>
      <c r="C650" s="53" t="s">
        <v>443</v>
      </c>
      <c r="D650" s="54">
        <v>45071</v>
      </c>
      <c r="E650" s="55">
        <v>2481476</v>
      </c>
      <c r="F650" s="56">
        <f t="shared" si="50"/>
        <v>0.99655608194477807</v>
      </c>
      <c r="G650" s="55">
        <v>8546</v>
      </c>
      <c r="H650" s="55">
        <v>815710</v>
      </c>
      <c r="I650" s="56">
        <f t="shared" si="51"/>
        <v>0.32871968135093793</v>
      </c>
      <c r="J650" s="55">
        <v>8133</v>
      </c>
      <c r="K650" s="56">
        <f t="shared" si="52"/>
        <v>3.2774848517575831E-3</v>
      </c>
      <c r="L650" s="56">
        <f t="shared" si="53"/>
        <v>9.9704551862794377E-3</v>
      </c>
      <c r="M650" s="55">
        <v>4095</v>
      </c>
      <c r="N650" s="56">
        <f t="shared" si="54"/>
        <v>1.6502275258757288E-3</v>
      </c>
      <c r="O650" s="53" t="s">
        <v>443</v>
      </c>
    </row>
    <row r="651" spans="1:15" hidden="1" x14ac:dyDescent="0.25">
      <c r="A651" s="52" t="s">
        <v>696</v>
      </c>
      <c r="B651" s="53" t="s">
        <v>439</v>
      </c>
      <c r="C651" s="53" t="s">
        <v>443</v>
      </c>
      <c r="D651" s="54">
        <v>45071</v>
      </c>
      <c r="E651" s="55">
        <v>2419383</v>
      </c>
      <c r="F651" s="56">
        <f t="shared" si="50"/>
        <v>0.99569229014174276</v>
      </c>
      <c r="G651" s="55">
        <v>10422</v>
      </c>
      <c r="H651" s="55">
        <v>849741</v>
      </c>
      <c r="I651" s="56">
        <f t="shared" si="51"/>
        <v>0.35122219177368774</v>
      </c>
      <c r="J651" s="55">
        <v>8029</v>
      </c>
      <c r="K651" s="56">
        <f t="shared" si="52"/>
        <v>3.3186147046581709E-3</v>
      </c>
      <c r="L651" s="56">
        <f t="shared" si="53"/>
        <v>9.4487614461347628E-3</v>
      </c>
      <c r="M651" s="55">
        <v>1964</v>
      </c>
      <c r="N651" s="56">
        <f t="shared" si="54"/>
        <v>8.1177721757985405E-4</v>
      </c>
      <c r="O651" s="53" t="s">
        <v>443</v>
      </c>
    </row>
    <row r="652" spans="1:15" hidden="1" x14ac:dyDescent="0.25">
      <c r="A652" s="52" t="s">
        <v>697</v>
      </c>
      <c r="B652" s="53" t="s">
        <v>444</v>
      </c>
      <c r="C652" s="53" t="s">
        <v>443</v>
      </c>
      <c r="D652" s="54">
        <v>45071</v>
      </c>
      <c r="E652" s="55">
        <v>221290</v>
      </c>
      <c r="F652" s="56">
        <f t="shared" si="50"/>
        <v>0.99633964480997783</v>
      </c>
      <c r="G652" s="55">
        <v>810</v>
      </c>
      <c r="H652" s="55">
        <v>64694</v>
      </c>
      <c r="I652" s="56">
        <f t="shared" si="51"/>
        <v>0.29234940575715124</v>
      </c>
      <c r="J652" s="55">
        <v>746</v>
      </c>
      <c r="K652" s="56">
        <f t="shared" si="52"/>
        <v>3.3711419404401466E-3</v>
      </c>
      <c r="L652" s="56">
        <f t="shared" si="53"/>
        <v>1.1531208458280521E-2</v>
      </c>
      <c r="M652" s="55">
        <v>524</v>
      </c>
      <c r="N652" s="56">
        <f t="shared" si="54"/>
        <v>2.3679334809525963E-3</v>
      </c>
      <c r="O652" s="53" t="s">
        <v>443</v>
      </c>
    </row>
    <row r="653" spans="1:15" hidden="1" x14ac:dyDescent="0.25">
      <c r="A653" s="52" t="s">
        <v>697</v>
      </c>
      <c r="B653" s="53" t="s">
        <v>439</v>
      </c>
      <c r="C653" s="53" t="s">
        <v>443</v>
      </c>
      <c r="D653" s="54">
        <v>45071</v>
      </c>
      <c r="E653" s="55">
        <v>130988</v>
      </c>
      <c r="F653" s="56">
        <f t="shared" si="50"/>
        <v>0.99519803340764035</v>
      </c>
      <c r="G653" s="55">
        <v>629</v>
      </c>
      <c r="H653" s="55">
        <v>41583</v>
      </c>
      <c r="I653" s="56">
        <f t="shared" si="51"/>
        <v>0.31745656090634256</v>
      </c>
      <c r="J653" s="55">
        <v>413</v>
      </c>
      <c r="K653" s="56">
        <f t="shared" si="52"/>
        <v>3.1529605765413626E-3</v>
      </c>
      <c r="L653" s="56">
        <f t="shared" si="53"/>
        <v>9.9319433422312003E-3</v>
      </c>
      <c r="M653" s="55">
        <v>68</v>
      </c>
      <c r="N653" s="56">
        <f t="shared" si="54"/>
        <v>5.1913152349833576E-4</v>
      </c>
      <c r="O653" s="53" t="s">
        <v>443</v>
      </c>
    </row>
    <row r="654" spans="1:15" hidden="1" x14ac:dyDescent="0.25">
      <c r="A654" s="52" t="s">
        <v>698</v>
      </c>
      <c r="B654" s="53" t="s">
        <v>444</v>
      </c>
      <c r="C654" s="53" t="s">
        <v>443</v>
      </c>
      <c r="D654" s="54">
        <v>45071</v>
      </c>
      <c r="E654" s="55">
        <v>329288</v>
      </c>
      <c r="F654" s="56">
        <f t="shared" si="50"/>
        <v>0.99648332159082631</v>
      </c>
      <c r="G654" s="55">
        <v>1158</v>
      </c>
      <c r="H654" s="55">
        <v>118987</v>
      </c>
      <c r="I654" s="56">
        <f t="shared" si="51"/>
        <v>0.36134629868079005</v>
      </c>
      <c r="J654" s="55">
        <v>1173</v>
      </c>
      <c r="K654" s="56">
        <f t="shared" si="52"/>
        <v>3.5622312383081071E-3</v>
      </c>
      <c r="L654" s="56">
        <f t="shared" si="53"/>
        <v>9.8582198055249728E-3</v>
      </c>
      <c r="M654" s="55">
        <v>582</v>
      </c>
      <c r="N654" s="56">
        <f t="shared" si="54"/>
        <v>1.7674497704137412E-3</v>
      </c>
      <c r="O654" s="53" t="s">
        <v>443</v>
      </c>
    </row>
    <row r="655" spans="1:15" hidden="1" x14ac:dyDescent="0.25">
      <c r="A655" s="52" t="s">
        <v>698</v>
      </c>
      <c r="B655" s="53" t="s">
        <v>439</v>
      </c>
      <c r="C655" s="53" t="s">
        <v>443</v>
      </c>
      <c r="D655" s="54">
        <v>45071</v>
      </c>
      <c r="E655" s="55">
        <v>438841</v>
      </c>
      <c r="F655" s="56">
        <f t="shared" si="50"/>
        <v>0.99581853108529061</v>
      </c>
      <c r="G655" s="55">
        <v>1835</v>
      </c>
      <c r="H655" s="55">
        <v>156849</v>
      </c>
      <c r="I655" s="56">
        <f t="shared" si="51"/>
        <v>0.3574164674677161</v>
      </c>
      <c r="J655" s="55">
        <v>1225</v>
      </c>
      <c r="K655" s="56">
        <f t="shared" si="52"/>
        <v>2.7914438258959395E-3</v>
      </c>
      <c r="L655" s="56">
        <f t="shared" si="53"/>
        <v>7.8100593564511094E-3</v>
      </c>
      <c r="M655" s="55">
        <v>272</v>
      </c>
      <c r="N655" s="56">
        <f t="shared" si="54"/>
        <v>6.1981446583158825E-4</v>
      </c>
      <c r="O655" s="53" t="s">
        <v>443</v>
      </c>
    </row>
    <row r="656" spans="1:15" hidden="1" x14ac:dyDescent="0.25">
      <c r="A656" s="58" t="s">
        <v>23</v>
      </c>
      <c r="B656" s="53" t="s">
        <v>444</v>
      </c>
      <c r="C656" s="53" t="s">
        <v>443</v>
      </c>
      <c r="D656" s="54">
        <v>45072</v>
      </c>
      <c r="E656" s="55">
        <v>2318694</v>
      </c>
      <c r="F656" s="56">
        <f t="shared" si="50"/>
        <v>0.99658083386596075</v>
      </c>
      <c r="G656" s="55">
        <v>7928</v>
      </c>
      <c r="H656" s="55">
        <v>753668</v>
      </c>
      <c r="I656" s="56">
        <f t="shared" si="51"/>
        <v>0.32503987158288244</v>
      </c>
      <c r="J656" s="55">
        <v>9182</v>
      </c>
      <c r="K656" s="56">
        <f t="shared" si="52"/>
        <v>3.9599878207301183E-3</v>
      </c>
      <c r="L656" s="56">
        <f t="shared" si="53"/>
        <v>1.2183083267433406E-2</v>
      </c>
      <c r="M656" s="55">
        <v>3868</v>
      </c>
      <c r="N656" s="56">
        <f t="shared" si="54"/>
        <v>1.6681804498566866E-3</v>
      </c>
      <c r="O656" s="53" t="s">
        <v>443</v>
      </c>
    </row>
    <row r="657" spans="1:15" hidden="1" x14ac:dyDescent="0.25">
      <c r="A657" s="58" t="s">
        <v>23</v>
      </c>
      <c r="B657" s="53" t="s">
        <v>439</v>
      </c>
      <c r="C657" s="53" t="s">
        <v>443</v>
      </c>
      <c r="D657" s="54">
        <v>45072</v>
      </c>
      <c r="E657" s="55">
        <v>1967463</v>
      </c>
      <c r="F657" s="56">
        <f t="shared" si="50"/>
        <v>0.99604668550310727</v>
      </c>
      <c r="G657" s="55">
        <v>7778</v>
      </c>
      <c r="H657" s="55">
        <v>670046</v>
      </c>
      <c r="I657" s="56">
        <f t="shared" si="51"/>
        <v>0.34056345659359288</v>
      </c>
      <c r="J657" s="55">
        <v>7770</v>
      </c>
      <c r="K657" s="56">
        <f t="shared" si="52"/>
        <v>3.9492483467287566E-3</v>
      </c>
      <c r="L657" s="56">
        <f t="shared" si="53"/>
        <v>1.1596218767069724E-2</v>
      </c>
      <c r="M657" s="55">
        <v>1522</v>
      </c>
      <c r="N657" s="56">
        <f t="shared" si="54"/>
        <v>7.7358506868998298E-4</v>
      </c>
      <c r="O657" s="53" t="s">
        <v>443</v>
      </c>
    </row>
    <row r="658" spans="1:15" hidden="1" x14ac:dyDescent="0.25">
      <c r="A658" s="58" t="s">
        <v>22</v>
      </c>
      <c r="B658" s="53" t="s">
        <v>444</v>
      </c>
      <c r="C658" s="53" t="s">
        <v>443</v>
      </c>
      <c r="D658" s="54">
        <v>45072</v>
      </c>
      <c r="E658" s="55">
        <v>207896</v>
      </c>
      <c r="F658" s="56">
        <f t="shared" si="50"/>
        <v>0.99636356639858392</v>
      </c>
      <c r="G658" s="55">
        <v>756</v>
      </c>
      <c r="H658" s="55">
        <v>62785</v>
      </c>
      <c r="I658" s="56">
        <f t="shared" si="51"/>
        <v>0.30200196251972139</v>
      </c>
      <c r="J658" s="55">
        <v>1151</v>
      </c>
      <c r="K658" s="56">
        <f t="shared" si="52"/>
        <v>5.5364220571824376E-3</v>
      </c>
      <c r="L658" s="56">
        <f t="shared" si="53"/>
        <v>1.8332404236680738E-2</v>
      </c>
      <c r="M658" s="55">
        <v>437</v>
      </c>
      <c r="N658" s="56">
        <f t="shared" si="54"/>
        <v>2.1020125447339054E-3</v>
      </c>
      <c r="O658" s="53" t="s">
        <v>443</v>
      </c>
    </row>
    <row r="659" spans="1:15" hidden="1" x14ac:dyDescent="0.25">
      <c r="A659" s="58" t="s">
        <v>22</v>
      </c>
      <c r="B659" s="53" t="s">
        <v>439</v>
      </c>
      <c r="C659" s="53" t="s">
        <v>443</v>
      </c>
      <c r="D659" s="54">
        <v>45072</v>
      </c>
      <c r="E659" s="55">
        <v>105649</v>
      </c>
      <c r="F659" s="56">
        <f t="shared" si="50"/>
        <v>0.9956459597345928</v>
      </c>
      <c r="G659" s="55">
        <v>460</v>
      </c>
      <c r="H659" s="55">
        <v>33115</v>
      </c>
      <c r="I659" s="56">
        <f t="shared" si="51"/>
        <v>0.3134435725846908</v>
      </c>
      <c r="J659" s="55">
        <v>601</v>
      </c>
      <c r="K659" s="56">
        <f t="shared" si="52"/>
        <v>5.68864825980369E-3</v>
      </c>
      <c r="L659" s="56">
        <f t="shared" si="53"/>
        <v>1.8148875132115355E-2</v>
      </c>
      <c r="M659" s="55">
        <v>46</v>
      </c>
      <c r="N659" s="56">
        <f t="shared" si="54"/>
        <v>4.3540402654071501E-4</v>
      </c>
      <c r="O659" s="53" t="s">
        <v>443</v>
      </c>
    </row>
    <row r="660" spans="1:15" x14ac:dyDescent="0.25">
      <c r="A660" s="58" t="s">
        <v>451</v>
      </c>
      <c r="B660" s="53" t="s">
        <v>444</v>
      </c>
      <c r="C660" s="53" t="s">
        <v>452</v>
      </c>
      <c r="D660" s="54">
        <v>45072</v>
      </c>
      <c r="E660" s="55">
        <v>234084</v>
      </c>
      <c r="F660" s="56">
        <f t="shared" si="50"/>
        <v>0.99713350762973973</v>
      </c>
      <c r="G660" s="55">
        <v>671</v>
      </c>
      <c r="H660" s="55">
        <v>104116</v>
      </c>
      <c r="I660" s="56">
        <f t="shared" si="51"/>
        <v>0.44478050614309395</v>
      </c>
      <c r="J660" s="55">
        <v>1860</v>
      </c>
      <c r="K660" s="56">
        <f t="shared" si="52"/>
        <v>7.9458655867124615E-3</v>
      </c>
      <c r="L660" s="56">
        <f t="shared" si="53"/>
        <v>1.7864689384916824E-2</v>
      </c>
      <c r="M660" s="55">
        <v>209</v>
      </c>
      <c r="N660" s="56">
        <f t="shared" si="54"/>
        <v>8.928418858187659E-4</v>
      </c>
      <c r="O660" s="53" t="s">
        <v>452</v>
      </c>
    </row>
    <row r="661" spans="1:15" x14ac:dyDescent="0.25">
      <c r="A661" s="58" t="s">
        <v>453</v>
      </c>
      <c r="B661" s="53" t="s">
        <v>444</v>
      </c>
      <c r="C661" s="53" t="s">
        <v>452</v>
      </c>
      <c r="D661" s="54">
        <v>45072</v>
      </c>
      <c r="E661" s="55">
        <v>332318</v>
      </c>
      <c r="F661" s="56">
        <f t="shared" si="50"/>
        <v>0.99514621537202319</v>
      </c>
      <c r="G661" s="55">
        <v>1613</v>
      </c>
      <c r="H661" s="55">
        <v>119992</v>
      </c>
      <c r="I661" s="56">
        <f t="shared" si="51"/>
        <v>0.36107583699950047</v>
      </c>
      <c r="J661" s="55">
        <v>2391</v>
      </c>
      <c r="K661" s="56">
        <f t="shared" si="52"/>
        <v>7.1949157132625979E-3</v>
      </c>
      <c r="L661" s="56">
        <f t="shared" si="53"/>
        <v>1.9926328421894794E-2</v>
      </c>
      <c r="M661" s="55">
        <v>279</v>
      </c>
      <c r="N661" s="56">
        <f t="shared" si="54"/>
        <v>8.3955729150993923E-4</v>
      </c>
      <c r="O661" s="53" t="s">
        <v>452</v>
      </c>
    </row>
    <row r="662" spans="1:15" x14ac:dyDescent="0.25">
      <c r="A662" s="58" t="s">
        <v>454</v>
      </c>
      <c r="B662" s="53" t="s">
        <v>444</v>
      </c>
      <c r="C662" s="53" t="s">
        <v>452</v>
      </c>
      <c r="D662" s="54">
        <v>45073</v>
      </c>
      <c r="E662" s="55">
        <v>14918</v>
      </c>
      <c r="F662" s="56">
        <f t="shared" si="50"/>
        <v>0.99597801313849044</v>
      </c>
      <c r="G662" s="55">
        <v>60</v>
      </c>
      <c r="H662" s="55">
        <v>4659</v>
      </c>
      <c r="I662" s="56">
        <f t="shared" si="51"/>
        <v>0.31230727979621931</v>
      </c>
      <c r="J662" s="55">
        <v>206</v>
      </c>
      <c r="K662" s="56">
        <f t="shared" si="52"/>
        <v>1.3808821557849578E-2</v>
      </c>
      <c r="L662" s="56">
        <f t="shared" si="53"/>
        <v>4.4215496887744149E-2</v>
      </c>
      <c r="M662" s="55">
        <v>11</v>
      </c>
      <c r="N662" s="56">
        <f t="shared" si="54"/>
        <v>7.3736425794342401E-4</v>
      </c>
      <c r="O662" s="53" t="s">
        <v>452</v>
      </c>
    </row>
    <row r="663" spans="1:15" x14ac:dyDescent="0.25">
      <c r="A663" s="52" t="s">
        <v>699</v>
      </c>
      <c r="B663" s="53" t="s">
        <v>444</v>
      </c>
      <c r="C663" s="53" t="s">
        <v>452</v>
      </c>
      <c r="D663" s="54">
        <v>45075</v>
      </c>
      <c r="E663" s="66">
        <v>2481752</v>
      </c>
      <c r="F663" s="56">
        <f t="shared" si="50"/>
        <v>0.99678050022725884</v>
      </c>
      <c r="G663" s="66">
        <v>7990</v>
      </c>
      <c r="H663" s="66">
        <v>1153095</v>
      </c>
      <c r="I663" s="56">
        <f t="shared" si="51"/>
        <v>0.4646294230849819</v>
      </c>
      <c r="J663" s="55">
        <v>11575</v>
      </c>
      <c r="K663" s="56">
        <f t="shared" si="52"/>
        <v>4.6640437884204388E-3</v>
      </c>
      <c r="L663" s="56">
        <f t="shared" si="53"/>
        <v>1.0038201535866516E-2</v>
      </c>
      <c r="M663" s="55">
        <v>8098</v>
      </c>
      <c r="N663" s="56">
        <f t="shared" si="54"/>
        <v>3.2630174167281823E-3</v>
      </c>
      <c r="O663" s="53" t="s">
        <v>452</v>
      </c>
    </row>
    <row r="664" spans="1:15" x14ac:dyDescent="0.25">
      <c r="A664" s="52" t="s">
        <v>699</v>
      </c>
      <c r="B664" s="53" t="s">
        <v>439</v>
      </c>
      <c r="C664" s="53" t="s">
        <v>452</v>
      </c>
      <c r="D664" s="54">
        <v>45075</v>
      </c>
      <c r="E664" s="66">
        <v>2425899</v>
      </c>
      <c r="F664" s="56">
        <f t="shared" si="50"/>
        <v>0.99596108494211832</v>
      </c>
      <c r="G664" s="66">
        <v>9798</v>
      </c>
      <c r="H664" s="66">
        <v>1122112</v>
      </c>
      <c r="I664" s="56">
        <f t="shared" si="51"/>
        <v>0.46255511874154692</v>
      </c>
      <c r="J664" s="55">
        <v>9114</v>
      </c>
      <c r="K664" s="56">
        <f t="shared" si="52"/>
        <v>3.7569577298972464E-3</v>
      </c>
      <c r="L664" s="56">
        <f t="shared" si="53"/>
        <v>8.1221838818228489E-3</v>
      </c>
      <c r="M664" s="55">
        <v>3095</v>
      </c>
      <c r="N664" s="56">
        <f t="shared" si="54"/>
        <v>1.2758156872977812E-3</v>
      </c>
      <c r="O664" s="53" t="s">
        <v>452</v>
      </c>
    </row>
    <row r="665" spans="1:15" hidden="1" x14ac:dyDescent="0.25">
      <c r="A665" s="52" t="s">
        <v>700</v>
      </c>
      <c r="B665" s="53" t="s">
        <v>439</v>
      </c>
      <c r="C665" s="53" t="s">
        <v>469</v>
      </c>
      <c r="D665" s="54">
        <v>45076</v>
      </c>
      <c r="E665" s="66">
        <v>1310769</v>
      </c>
      <c r="F665" s="56">
        <f t="shared" si="50"/>
        <v>0.99621672468604305</v>
      </c>
      <c r="G665" s="66">
        <v>4959</v>
      </c>
      <c r="H665" s="66">
        <v>456523</v>
      </c>
      <c r="I665" s="56">
        <f t="shared" si="51"/>
        <v>0.3482863876091058</v>
      </c>
      <c r="J665" s="55">
        <v>5249</v>
      </c>
      <c r="K665" s="56">
        <f t="shared" si="52"/>
        <v>4.004519484363759E-3</v>
      </c>
      <c r="L665" s="56">
        <f t="shared" si="53"/>
        <v>1.1497777768042354E-2</v>
      </c>
      <c r="M665" s="55">
        <v>658</v>
      </c>
      <c r="N665" s="56">
        <f t="shared" si="54"/>
        <v>5.0199539354378998E-4</v>
      </c>
      <c r="O665" s="53" t="s">
        <v>469</v>
      </c>
    </row>
    <row r="666" spans="1:15" hidden="1" x14ac:dyDescent="0.25">
      <c r="A666" s="52" t="s">
        <v>701</v>
      </c>
      <c r="B666" s="53" t="s">
        <v>439</v>
      </c>
      <c r="C666" s="53" t="s">
        <v>469</v>
      </c>
      <c r="D666" s="54">
        <v>45076</v>
      </c>
      <c r="E666" s="66">
        <v>287647</v>
      </c>
      <c r="F666" s="56">
        <f t="shared" si="50"/>
        <v>0.99646789293821947</v>
      </c>
      <c r="G666" s="66">
        <v>1016</v>
      </c>
      <c r="H666" s="66">
        <v>100465</v>
      </c>
      <c r="I666" s="56">
        <f t="shared" si="51"/>
        <v>0.34926489760018353</v>
      </c>
      <c r="J666" s="55">
        <v>424</v>
      </c>
      <c r="K666" s="56">
        <f t="shared" si="52"/>
        <v>1.4740289312942601E-3</v>
      </c>
      <c r="L666" s="56">
        <f t="shared" si="53"/>
        <v>4.2203752550639528E-3</v>
      </c>
      <c r="M666" s="55">
        <v>194</v>
      </c>
      <c r="N666" s="56">
        <f t="shared" si="54"/>
        <v>6.744377657336944E-4</v>
      </c>
      <c r="O666" s="53" t="s">
        <v>469</v>
      </c>
    </row>
    <row r="667" spans="1:15" hidden="1" x14ac:dyDescent="0.25">
      <c r="A667" s="52" t="s">
        <v>702</v>
      </c>
      <c r="B667" s="53" t="s">
        <v>439</v>
      </c>
      <c r="C667" s="53" t="s">
        <v>469</v>
      </c>
      <c r="D667" s="54">
        <v>45076</v>
      </c>
      <c r="E667" s="66">
        <v>450862</v>
      </c>
      <c r="F667" s="56">
        <f t="shared" si="50"/>
        <v>0.99622279100922229</v>
      </c>
      <c r="G667" s="66">
        <v>1703</v>
      </c>
      <c r="H667" s="66">
        <v>156226</v>
      </c>
      <c r="I667" s="56">
        <f t="shared" si="51"/>
        <v>0.34650513904476316</v>
      </c>
      <c r="J667" s="55">
        <v>569</v>
      </c>
      <c r="K667" s="56">
        <f t="shared" si="52"/>
        <v>1.2620269616867245E-3</v>
      </c>
      <c r="L667" s="56">
        <f t="shared" si="53"/>
        <v>3.6421594356893217E-3</v>
      </c>
      <c r="M667" s="55">
        <v>267</v>
      </c>
      <c r="N667" s="56">
        <f t="shared" si="54"/>
        <v>5.9219894335739095E-4</v>
      </c>
      <c r="O667" s="53" t="s">
        <v>469</v>
      </c>
    </row>
    <row r="668" spans="1:15" hidden="1" x14ac:dyDescent="0.25">
      <c r="A668" s="52" t="s">
        <v>19</v>
      </c>
      <c r="B668" s="53" t="s">
        <v>444</v>
      </c>
      <c r="C668" s="53" t="s">
        <v>443</v>
      </c>
      <c r="D668" s="54">
        <v>45076</v>
      </c>
      <c r="E668" s="66">
        <v>466072</v>
      </c>
      <c r="F668" s="56">
        <f t="shared" si="50"/>
        <v>0.9965970922947528</v>
      </c>
      <c r="G668" s="66">
        <v>1586</v>
      </c>
      <c r="H668" s="66">
        <v>179341</v>
      </c>
      <c r="I668" s="56">
        <f t="shared" si="51"/>
        <v>0.38479247841535213</v>
      </c>
      <c r="J668" s="55">
        <v>2007</v>
      </c>
      <c r="K668" s="56">
        <f t="shared" si="52"/>
        <v>4.3062016169175578E-3</v>
      </c>
      <c r="L668" s="56">
        <f t="shared" si="53"/>
        <v>1.1190971389698953E-2</v>
      </c>
      <c r="M668" s="55">
        <v>464</v>
      </c>
      <c r="N668" s="56">
        <f t="shared" si="54"/>
        <v>9.955543349525395E-4</v>
      </c>
      <c r="O668" s="53" t="s">
        <v>443</v>
      </c>
    </row>
    <row r="669" spans="1:15" hidden="1" x14ac:dyDescent="0.25">
      <c r="A669" s="52" t="s">
        <v>19</v>
      </c>
      <c r="B669" s="53" t="s">
        <v>439</v>
      </c>
      <c r="C669" s="53" t="s">
        <v>443</v>
      </c>
      <c r="D669" s="54">
        <v>45076</v>
      </c>
      <c r="E669" s="66">
        <v>240159</v>
      </c>
      <c r="F669" s="56">
        <f t="shared" si="50"/>
        <v>0.99586107537090007</v>
      </c>
      <c r="G669" s="66">
        <v>994</v>
      </c>
      <c r="H669" s="66">
        <v>83019</v>
      </c>
      <c r="I669" s="56">
        <f t="shared" si="51"/>
        <v>0.34568348469139193</v>
      </c>
      <c r="J669" s="55">
        <v>1214</v>
      </c>
      <c r="K669" s="56">
        <f t="shared" si="52"/>
        <v>5.0549844061642491E-3</v>
      </c>
      <c r="L669" s="56">
        <f t="shared" si="53"/>
        <v>1.4623158554065936E-2</v>
      </c>
      <c r="M669" s="55">
        <v>114</v>
      </c>
      <c r="N669" s="56">
        <f t="shared" si="54"/>
        <v>4.746855208424419E-4</v>
      </c>
      <c r="O669" s="53" t="s">
        <v>443</v>
      </c>
    </row>
    <row r="670" spans="1:15" hidden="1" x14ac:dyDescent="0.25">
      <c r="A670" s="52" t="s">
        <v>18</v>
      </c>
      <c r="B670" s="53" t="s">
        <v>444</v>
      </c>
      <c r="C670" s="53" t="s">
        <v>443</v>
      </c>
      <c r="D670" s="54">
        <v>45076</v>
      </c>
      <c r="E670" s="66">
        <v>27485</v>
      </c>
      <c r="F670" s="56">
        <f t="shared" si="50"/>
        <v>0.99687102055666732</v>
      </c>
      <c r="G670" s="66">
        <v>86</v>
      </c>
      <c r="H670" s="66">
        <v>9660</v>
      </c>
      <c r="I670" s="56">
        <f t="shared" si="51"/>
        <v>0.35146443514644349</v>
      </c>
      <c r="J670" s="55">
        <v>131</v>
      </c>
      <c r="K670" s="56">
        <f t="shared" si="52"/>
        <v>4.7662361287975257E-3</v>
      </c>
      <c r="L670" s="56">
        <f t="shared" si="53"/>
        <v>1.3561076604554866E-2</v>
      </c>
      <c r="M670" s="55">
        <v>21</v>
      </c>
      <c r="N670" s="56">
        <f t="shared" si="54"/>
        <v>7.640531198835729E-4</v>
      </c>
      <c r="O670" s="53" t="s">
        <v>443</v>
      </c>
    </row>
    <row r="671" spans="1:15" hidden="1" x14ac:dyDescent="0.25">
      <c r="A671" s="52" t="s">
        <v>18</v>
      </c>
      <c r="B671" s="53" t="s">
        <v>439</v>
      </c>
      <c r="C671" s="53" t="s">
        <v>443</v>
      </c>
      <c r="D671" s="54">
        <v>45076</v>
      </c>
      <c r="E671" s="66">
        <v>26485</v>
      </c>
      <c r="F671" s="56">
        <f t="shared" si="50"/>
        <v>0.99463847460826882</v>
      </c>
      <c r="G671" s="66">
        <v>142</v>
      </c>
      <c r="H671" s="66">
        <v>8841</v>
      </c>
      <c r="I671" s="56">
        <f t="shared" si="51"/>
        <v>0.33381159146686806</v>
      </c>
      <c r="J671" s="55">
        <v>187</v>
      </c>
      <c r="K671" s="56">
        <f t="shared" si="52"/>
        <v>7.0606003398149897E-3</v>
      </c>
      <c r="L671" s="56">
        <f t="shared" si="53"/>
        <v>2.1151453455491461E-2</v>
      </c>
      <c r="M671" s="55">
        <v>9</v>
      </c>
      <c r="N671" s="56">
        <f t="shared" si="54"/>
        <v>3.3981498961676421E-4</v>
      </c>
      <c r="O671" s="53" t="s">
        <v>443</v>
      </c>
    </row>
    <row r="672" spans="1:15" hidden="1" x14ac:dyDescent="0.25">
      <c r="A672" s="52" t="s">
        <v>703</v>
      </c>
      <c r="B672" s="53" t="s">
        <v>439</v>
      </c>
      <c r="C672" s="53" t="s">
        <v>443</v>
      </c>
      <c r="D672" s="54">
        <v>45077</v>
      </c>
      <c r="E672" s="66">
        <v>258019</v>
      </c>
      <c r="F672" s="56">
        <f t="shared" si="50"/>
        <v>0.9964343711122049</v>
      </c>
      <c r="G672" s="66">
        <v>920</v>
      </c>
      <c r="H672" s="66">
        <v>100166</v>
      </c>
      <c r="I672" s="56">
        <f t="shared" si="51"/>
        <v>0.38821172084226357</v>
      </c>
      <c r="J672" s="55">
        <v>1345</v>
      </c>
      <c r="K672" s="56">
        <f t="shared" si="52"/>
        <v>5.2127944066134666E-3</v>
      </c>
      <c r="L672" s="56">
        <f t="shared" si="53"/>
        <v>1.342771000139768E-2</v>
      </c>
      <c r="M672" s="55">
        <v>294</v>
      </c>
      <c r="N672" s="56">
        <f t="shared" si="54"/>
        <v>1.1394509706649509E-3</v>
      </c>
      <c r="O672" s="53" t="s">
        <v>443</v>
      </c>
    </row>
    <row r="673" spans="1:15" hidden="1" x14ac:dyDescent="0.25">
      <c r="A673" s="52" t="s">
        <v>704</v>
      </c>
      <c r="B673" s="53" t="s">
        <v>439</v>
      </c>
      <c r="C673" s="53" t="s">
        <v>443</v>
      </c>
      <c r="D673" s="54">
        <v>45077</v>
      </c>
      <c r="E673" s="66">
        <v>8297</v>
      </c>
      <c r="F673" s="56">
        <f t="shared" si="50"/>
        <v>0.99529950584548632</v>
      </c>
      <c r="G673" s="66">
        <v>39</v>
      </c>
      <c r="H673" s="66">
        <v>3122</v>
      </c>
      <c r="I673" s="56">
        <f t="shared" si="51"/>
        <v>0.37628058334337711</v>
      </c>
      <c r="J673" s="55">
        <v>56</v>
      </c>
      <c r="K673" s="56">
        <f t="shared" si="52"/>
        <v>6.7494275039170788E-3</v>
      </c>
      <c r="L673" s="56">
        <f t="shared" si="53"/>
        <v>1.7937219730941704E-2</v>
      </c>
      <c r="M673" s="55">
        <v>1</v>
      </c>
      <c r="N673" s="56">
        <f t="shared" si="54"/>
        <v>1.205254911413764E-4</v>
      </c>
      <c r="O673" s="53" t="s">
        <v>443</v>
      </c>
    </row>
    <row r="674" spans="1:15" hidden="1" x14ac:dyDescent="0.25">
      <c r="A674" s="52" t="s">
        <v>705</v>
      </c>
      <c r="B674" s="53" t="s">
        <v>439</v>
      </c>
      <c r="C674" s="53" t="s">
        <v>443</v>
      </c>
      <c r="D674" s="54">
        <v>45077</v>
      </c>
      <c r="E674" s="66">
        <v>257961</v>
      </c>
      <c r="F674" s="56">
        <f t="shared" si="50"/>
        <v>0.99632502587600447</v>
      </c>
      <c r="G674" s="66">
        <v>948</v>
      </c>
      <c r="H674" s="66">
        <v>97125</v>
      </c>
      <c r="I674" s="56">
        <f t="shared" si="51"/>
        <v>0.37651040273529718</v>
      </c>
      <c r="J674" s="55">
        <v>1066</v>
      </c>
      <c r="K674" s="56">
        <f t="shared" si="52"/>
        <v>4.1324076120033649E-3</v>
      </c>
      <c r="L674" s="56">
        <f t="shared" si="53"/>
        <v>1.0975546975546976E-2</v>
      </c>
      <c r="M674" s="55">
        <v>274</v>
      </c>
      <c r="N674" s="56">
        <f t="shared" si="54"/>
        <v>1.0621760653742231E-3</v>
      </c>
      <c r="O674" s="53" t="s">
        <v>443</v>
      </c>
    </row>
    <row r="675" spans="1:15" hidden="1" x14ac:dyDescent="0.25">
      <c r="A675" s="52" t="s">
        <v>706</v>
      </c>
      <c r="B675" s="53" t="s">
        <v>439</v>
      </c>
      <c r="C675" s="53" t="s">
        <v>443</v>
      </c>
      <c r="D675" s="54">
        <v>45077</v>
      </c>
      <c r="E675" s="66">
        <v>8311</v>
      </c>
      <c r="F675" s="56">
        <f t="shared" si="50"/>
        <v>0.99614968114546987</v>
      </c>
      <c r="G675" s="66">
        <v>32</v>
      </c>
      <c r="H675" s="66">
        <v>3266</v>
      </c>
      <c r="I675" s="56">
        <f t="shared" si="51"/>
        <v>0.39297316809048249</v>
      </c>
      <c r="J675" s="55">
        <v>45</v>
      </c>
      <c r="K675" s="56">
        <f t="shared" si="52"/>
        <v>5.4145108891830102E-3</v>
      </c>
      <c r="L675" s="56">
        <f t="shared" si="53"/>
        <v>1.3778322106552358E-2</v>
      </c>
      <c r="M675" s="55">
        <v>1</v>
      </c>
      <c r="N675" s="56">
        <f t="shared" si="54"/>
        <v>1.203224642040669E-4</v>
      </c>
      <c r="O675" s="53" t="s">
        <v>443</v>
      </c>
    </row>
    <row r="676" spans="1:15" hidden="1" x14ac:dyDescent="0.25">
      <c r="A676" s="52" t="s">
        <v>707</v>
      </c>
      <c r="B676" s="53" t="s">
        <v>439</v>
      </c>
      <c r="C676" s="53" t="s">
        <v>443</v>
      </c>
      <c r="D676" s="54">
        <v>45077</v>
      </c>
      <c r="E676" s="66">
        <v>195664</v>
      </c>
      <c r="F676" s="56">
        <f t="shared" si="50"/>
        <v>0.99633555482868597</v>
      </c>
      <c r="G676" s="66">
        <v>717</v>
      </c>
      <c r="H676" s="66">
        <v>86760</v>
      </c>
      <c r="I676" s="56">
        <f t="shared" si="51"/>
        <v>0.44341319813557933</v>
      </c>
      <c r="J676" s="55">
        <v>1136</v>
      </c>
      <c r="K676" s="56">
        <f t="shared" si="52"/>
        <v>5.8058712895576086E-3</v>
      </c>
      <c r="L676" s="56">
        <f t="shared" si="53"/>
        <v>1.3093591516828032E-2</v>
      </c>
      <c r="M676" s="55">
        <v>151</v>
      </c>
      <c r="N676" s="56">
        <f t="shared" si="54"/>
        <v>7.7173113091830896E-4</v>
      </c>
      <c r="O676" s="53" t="s">
        <v>443</v>
      </c>
    </row>
    <row r="677" spans="1:15" hidden="1" x14ac:dyDescent="0.25">
      <c r="A677" s="52" t="s">
        <v>708</v>
      </c>
      <c r="B677" s="53" t="s">
        <v>439</v>
      </c>
      <c r="C677" s="53" t="s">
        <v>443</v>
      </c>
      <c r="D677" s="54">
        <v>45077</v>
      </c>
      <c r="E677" s="66">
        <v>8820</v>
      </c>
      <c r="F677" s="56">
        <f t="shared" si="50"/>
        <v>0.99591836734693873</v>
      </c>
      <c r="G677" s="66">
        <v>36</v>
      </c>
      <c r="H677" s="66">
        <v>2854</v>
      </c>
      <c r="I677" s="56">
        <f t="shared" si="51"/>
        <v>0.3235827664399093</v>
      </c>
      <c r="J677" s="55">
        <v>48</v>
      </c>
      <c r="K677" s="56">
        <f t="shared" si="52"/>
        <v>5.4421768707482989E-3</v>
      </c>
      <c r="L677" s="56">
        <f t="shared" si="53"/>
        <v>1.6818500350385426E-2</v>
      </c>
      <c r="M677" s="55">
        <v>1</v>
      </c>
      <c r="N677" s="56">
        <f t="shared" si="54"/>
        <v>1.1337868480725624E-4</v>
      </c>
      <c r="O677" s="53" t="s">
        <v>443</v>
      </c>
    </row>
    <row r="678" spans="1:15" hidden="1" x14ac:dyDescent="0.25">
      <c r="A678" s="52" t="s">
        <v>709</v>
      </c>
      <c r="B678" s="53" t="s">
        <v>439</v>
      </c>
      <c r="C678" s="53" t="s">
        <v>443</v>
      </c>
      <c r="D678" s="54">
        <v>45077</v>
      </c>
      <c r="E678" s="66">
        <v>195645</v>
      </c>
      <c r="F678" s="56">
        <f t="shared" si="50"/>
        <v>0.99621763909121108</v>
      </c>
      <c r="G678" s="66">
        <v>740</v>
      </c>
      <c r="H678" s="66">
        <v>72047</v>
      </c>
      <c r="I678" s="56">
        <f t="shared" si="51"/>
        <v>0.36825372485880037</v>
      </c>
      <c r="J678" s="55">
        <v>642</v>
      </c>
      <c r="K678" s="56">
        <f t="shared" si="52"/>
        <v>3.2814536533006212E-3</v>
      </c>
      <c r="L678" s="56">
        <f t="shared" si="53"/>
        <v>8.9108498618957078E-3</v>
      </c>
      <c r="M678" s="55">
        <v>129</v>
      </c>
      <c r="N678" s="56">
        <f t="shared" si="54"/>
        <v>6.5935750977535838E-4</v>
      </c>
      <c r="O678" s="53" t="s">
        <v>443</v>
      </c>
    </row>
    <row r="679" spans="1:15" hidden="1" x14ac:dyDescent="0.25">
      <c r="A679" s="52" t="s">
        <v>710</v>
      </c>
      <c r="B679" s="53" t="s">
        <v>439</v>
      </c>
      <c r="C679" s="53" t="s">
        <v>443</v>
      </c>
      <c r="D679" s="54">
        <v>45077</v>
      </c>
      <c r="E679" s="66">
        <v>8822</v>
      </c>
      <c r="F679" s="56">
        <f t="shared" si="50"/>
        <v>0.99625935162094759</v>
      </c>
      <c r="G679" s="66">
        <v>33</v>
      </c>
      <c r="H679" s="66">
        <v>2924</v>
      </c>
      <c r="I679" s="56">
        <f t="shared" si="51"/>
        <v>0.33144411698027659</v>
      </c>
      <c r="J679" s="55">
        <v>40</v>
      </c>
      <c r="K679" s="56">
        <f t="shared" si="52"/>
        <v>4.534119247336205E-3</v>
      </c>
      <c r="L679" s="56">
        <f t="shared" si="53"/>
        <v>1.3679890560875513E-2</v>
      </c>
      <c r="M679" s="55">
        <v>2</v>
      </c>
      <c r="N679" s="56">
        <f t="shared" si="54"/>
        <v>2.2670596236681024E-4</v>
      </c>
      <c r="O679" s="53" t="s">
        <v>443</v>
      </c>
    </row>
    <row r="680" spans="1:15" hidden="1" x14ac:dyDescent="0.25">
      <c r="A680" s="52" t="s">
        <v>449</v>
      </c>
      <c r="B680" s="53"/>
      <c r="C680" s="53" t="s">
        <v>446</v>
      </c>
      <c r="D680" s="54">
        <v>45078</v>
      </c>
      <c r="E680" s="66">
        <v>1642</v>
      </c>
      <c r="F680" s="56">
        <f t="shared" si="50"/>
        <v>0.99878197320341044</v>
      </c>
      <c r="G680" s="66">
        <v>2</v>
      </c>
      <c r="H680" s="66">
        <v>592</v>
      </c>
      <c r="I680" s="56">
        <f t="shared" si="51"/>
        <v>0.36053593179049936</v>
      </c>
      <c r="J680" s="55">
        <v>16</v>
      </c>
      <c r="K680" s="56">
        <f t="shared" si="52"/>
        <v>9.7442143727161992E-3</v>
      </c>
      <c r="L680" s="56">
        <f t="shared" si="53"/>
        <v>2.7027027027027029E-2</v>
      </c>
      <c r="M680" s="55">
        <v>0</v>
      </c>
      <c r="N680" s="56">
        <f t="shared" si="54"/>
        <v>0</v>
      </c>
      <c r="O680" s="53" t="s">
        <v>446</v>
      </c>
    </row>
    <row r="681" spans="1:15" hidden="1" x14ac:dyDescent="0.25">
      <c r="A681" s="52" t="s">
        <v>17</v>
      </c>
      <c r="B681" s="53" t="s">
        <v>439</v>
      </c>
      <c r="C681" s="53" t="s">
        <v>447</v>
      </c>
      <c r="D681" s="54">
        <v>45078</v>
      </c>
      <c r="E681" s="66">
        <v>85165</v>
      </c>
      <c r="F681" s="56">
        <f t="shared" si="50"/>
        <v>0.97362766394645683</v>
      </c>
      <c r="G681" s="66">
        <v>2246</v>
      </c>
      <c r="H681" s="66">
        <v>36569</v>
      </c>
      <c r="I681" s="56">
        <f t="shared" si="51"/>
        <v>0.42939000763224328</v>
      </c>
      <c r="J681" s="55">
        <v>3507</v>
      </c>
      <c r="K681" s="56">
        <f t="shared" si="52"/>
        <v>4.1178888040861859E-2</v>
      </c>
      <c r="L681" s="56">
        <f t="shared" si="53"/>
        <v>9.5900899669118647E-2</v>
      </c>
      <c r="M681" s="55">
        <v>300</v>
      </c>
      <c r="N681" s="56">
        <f t="shared" si="54"/>
        <v>3.5225738272764632E-3</v>
      </c>
      <c r="O681" s="53" t="s">
        <v>448</v>
      </c>
    </row>
    <row r="682" spans="1:15" hidden="1" x14ac:dyDescent="0.25">
      <c r="A682" s="52" t="s">
        <v>15</v>
      </c>
      <c r="B682" s="53" t="s">
        <v>439</v>
      </c>
      <c r="C682" s="53" t="s">
        <v>447</v>
      </c>
      <c r="D682" s="54">
        <v>45078</v>
      </c>
      <c r="E682" s="66">
        <v>9428</v>
      </c>
      <c r="F682" s="56">
        <f t="shared" si="50"/>
        <v>0.98016546457361053</v>
      </c>
      <c r="G682" s="66">
        <v>187</v>
      </c>
      <c r="H682" s="66">
        <v>3260</v>
      </c>
      <c r="I682" s="56">
        <f t="shared" si="51"/>
        <v>0.3457785320322444</v>
      </c>
      <c r="J682" s="55">
        <v>431</v>
      </c>
      <c r="K682" s="56">
        <f t="shared" si="52"/>
        <v>4.5714891811624948E-2</v>
      </c>
      <c r="L682" s="56">
        <f t="shared" si="53"/>
        <v>0.1322085889570552</v>
      </c>
      <c r="M682" s="55">
        <v>23</v>
      </c>
      <c r="N682" s="56">
        <f t="shared" si="54"/>
        <v>2.43954179041154E-3</v>
      </c>
      <c r="O682" s="53" t="s">
        <v>448</v>
      </c>
    </row>
    <row r="683" spans="1:15" hidden="1" x14ac:dyDescent="0.25">
      <c r="A683" s="52" t="s">
        <v>711</v>
      </c>
      <c r="B683" s="53" t="s">
        <v>444</v>
      </c>
      <c r="C683" s="53" t="s">
        <v>443</v>
      </c>
      <c r="D683" s="54">
        <v>45078</v>
      </c>
      <c r="E683" s="66">
        <v>777819</v>
      </c>
      <c r="F683" s="56">
        <f t="shared" si="50"/>
        <v>0.99682445401822273</v>
      </c>
      <c r="G683" s="66">
        <v>2470</v>
      </c>
      <c r="H683" s="66">
        <v>278042</v>
      </c>
      <c r="I683" s="56">
        <f t="shared" si="51"/>
        <v>0.35746362585640101</v>
      </c>
      <c r="J683" s="55">
        <v>3021</v>
      </c>
      <c r="K683" s="56">
        <f t="shared" si="52"/>
        <v>3.8839370084814075E-3</v>
      </c>
      <c r="L683" s="56">
        <f t="shared" si="53"/>
        <v>1.0865264959970077E-2</v>
      </c>
      <c r="M683" s="55">
        <v>1201</v>
      </c>
      <c r="N683" s="56">
        <f t="shared" si="54"/>
        <v>1.544061021908696E-3</v>
      </c>
      <c r="O683" s="53" t="s">
        <v>443</v>
      </c>
    </row>
    <row r="684" spans="1:15" hidden="1" x14ac:dyDescent="0.25">
      <c r="A684" s="52" t="s">
        <v>711</v>
      </c>
      <c r="B684" s="53" t="s">
        <v>439</v>
      </c>
      <c r="C684" s="53" t="s">
        <v>443</v>
      </c>
      <c r="D684" s="54">
        <v>45078</v>
      </c>
      <c r="E684" s="66">
        <v>952046</v>
      </c>
      <c r="F684" s="56">
        <f t="shared" si="50"/>
        <v>0.99643504620575052</v>
      </c>
      <c r="G684" s="66">
        <v>3394</v>
      </c>
      <c r="H684" s="66">
        <v>390491</v>
      </c>
      <c r="I684" s="56">
        <f t="shared" si="51"/>
        <v>0.41015980320278644</v>
      </c>
      <c r="J684" s="55">
        <v>3987</v>
      </c>
      <c r="K684" s="56">
        <f t="shared" si="52"/>
        <v>4.1878228572989123E-3</v>
      </c>
      <c r="L684" s="56">
        <f t="shared" si="53"/>
        <v>1.0210222514731453E-2</v>
      </c>
      <c r="M684" s="55">
        <v>748</v>
      </c>
      <c r="N684" s="56">
        <f t="shared" si="54"/>
        <v>7.8567632236257491E-4</v>
      </c>
      <c r="O684" s="53" t="s">
        <v>443</v>
      </c>
    </row>
    <row r="685" spans="1:15" hidden="1" x14ac:dyDescent="0.25">
      <c r="A685" s="52" t="s">
        <v>712</v>
      </c>
      <c r="B685" s="53" t="s">
        <v>444</v>
      </c>
      <c r="C685" s="53" t="s">
        <v>443</v>
      </c>
      <c r="D685" s="54">
        <v>45078</v>
      </c>
      <c r="E685" s="66">
        <v>56372</v>
      </c>
      <c r="F685" s="56">
        <f t="shared" si="50"/>
        <v>0.99652309657276661</v>
      </c>
      <c r="G685" s="66">
        <v>196</v>
      </c>
      <c r="H685" s="66">
        <v>15882</v>
      </c>
      <c r="I685" s="56">
        <f t="shared" si="51"/>
        <v>0.28173561342510467</v>
      </c>
      <c r="J685" s="55">
        <v>179</v>
      </c>
      <c r="K685" s="56">
        <f t="shared" si="52"/>
        <v>3.1753352728304831E-3</v>
      </c>
      <c r="L685" s="56">
        <f t="shared" si="53"/>
        <v>1.1270620828611006E-2</v>
      </c>
      <c r="M685" s="55">
        <v>77</v>
      </c>
      <c r="N685" s="56">
        <f t="shared" si="54"/>
        <v>1.365926346413113E-3</v>
      </c>
      <c r="O685" s="53" t="s">
        <v>443</v>
      </c>
    </row>
    <row r="686" spans="1:15" hidden="1" x14ac:dyDescent="0.25">
      <c r="A686" s="52" t="s">
        <v>712</v>
      </c>
      <c r="B686" s="53" t="s">
        <v>439</v>
      </c>
      <c r="C686" s="53" t="s">
        <v>443</v>
      </c>
      <c r="D686" s="54">
        <v>45078</v>
      </c>
      <c r="E686" s="66">
        <v>49791</v>
      </c>
      <c r="F686" s="56">
        <f t="shared" si="50"/>
        <v>0.99568195055331288</v>
      </c>
      <c r="G686" s="66">
        <v>215</v>
      </c>
      <c r="H686" s="66">
        <v>15141</v>
      </c>
      <c r="I686" s="56">
        <f t="shared" si="51"/>
        <v>0.30409110080134966</v>
      </c>
      <c r="J686" s="55">
        <v>115</v>
      </c>
      <c r="K686" s="56">
        <f t="shared" si="52"/>
        <v>2.3096543552047558E-3</v>
      </c>
      <c r="L686" s="56">
        <f t="shared" si="53"/>
        <v>7.5952711181560004E-3</v>
      </c>
      <c r="M686" s="55">
        <v>18</v>
      </c>
      <c r="N686" s="56">
        <f t="shared" si="54"/>
        <v>3.6151111646683137E-4</v>
      </c>
      <c r="O686" s="53" t="s">
        <v>443</v>
      </c>
    </row>
    <row r="687" spans="1:15" hidden="1" x14ac:dyDescent="0.25">
      <c r="A687" s="52" t="s">
        <v>713</v>
      </c>
      <c r="B687" s="53" t="s">
        <v>444</v>
      </c>
      <c r="C687" s="53" t="s">
        <v>443</v>
      </c>
      <c r="D687" s="54">
        <v>45078</v>
      </c>
      <c r="E687" s="66">
        <v>270741</v>
      </c>
      <c r="F687" s="56">
        <f t="shared" si="50"/>
        <v>0.99653174066727979</v>
      </c>
      <c r="G687" s="66">
        <v>939</v>
      </c>
      <c r="H687" s="66">
        <v>105814</v>
      </c>
      <c r="I687" s="56">
        <f t="shared" si="51"/>
        <v>0.39083108949143275</v>
      </c>
      <c r="J687" s="55">
        <v>2135</v>
      </c>
      <c r="K687" s="56">
        <f t="shared" si="52"/>
        <v>7.8857653624681886E-3</v>
      </c>
      <c r="L687" s="56">
        <f t="shared" si="53"/>
        <v>2.01769142079498E-2</v>
      </c>
      <c r="M687" s="55">
        <v>544</v>
      </c>
      <c r="N687" s="56">
        <f t="shared" si="54"/>
        <v>2.0093004014907238E-3</v>
      </c>
      <c r="O687" s="53" t="s">
        <v>443</v>
      </c>
    </row>
    <row r="688" spans="1:15" hidden="1" x14ac:dyDescent="0.25">
      <c r="A688" s="52" t="s">
        <v>713</v>
      </c>
      <c r="B688" s="53" t="s">
        <v>439</v>
      </c>
      <c r="C688" s="53" t="s">
        <v>443</v>
      </c>
      <c r="D688" s="54">
        <v>45078</v>
      </c>
      <c r="E688" s="66">
        <v>340747</v>
      </c>
      <c r="F688" s="56">
        <f t="shared" si="50"/>
        <v>0.99639028370022331</v>
      </c>
      <c r="G688" s="66">
        <v>1230</v>
      </c>
      <c r="H688" s="66">
        <v>130245</v>
      </c>
      <c r="I688" s="56">
        <f t="shared" si="51"/>
        <v>0.38223373940196098</v>
      </c>
      <c r="J688" s="55">
        <v>2677</v>
      </c>
      <c r="K688" s="56">
        <f t="shared" si="52"/>
        <v>7.8562687272375111E-3</v>
      </c>
      <c r="L688" s="56">
        <f t="shared" si="53"/>
        <v>2.0553572114092672E-2</v>
      </c>
      <c r="M688" s="55">
        <v>204</v>
      </c>
      <c r="N688" s="56">
        <f t="shared" si="54"/>
        <v>5.9868465459710573E-4</v>
      </c>
      <c r="O688" s="53" t="s">
        <v>443</v>
      </c>
    </row>
    <row r="689" spans="1:15" hidden="1" x14ac:dyDescent="0.25">
      <c r="A689" s="52" t="s">
        <v>714</v>
      </c>
      <c r="B689" s="53" t="s">
        <v>444</v>
      </c>
      <c r="C689" s="53" t="s">
        <v>443</v>
      </c>
      <c r="D689" s="54">
        <v>45078</v>
      </c>
      <c r="E689" s="66">
        <v>15144</v>
      </c>
      <c r="F689" s="56">
        <f t="shared" si="50"/>
        <v>0.9972266244057052</v>
      </c>
      <c r="G689" s="66">
        <v>42</v>
      </c>
      <c r="H689" s="66">
        <v>4968</v>
      </c>
      <c r="I689" s="56">
        <f t="shared" si="51"/>
        <v>0.32805071315372425</v>
      </c>
      <c r="J689" s="55">
        <v>105</v>
      </c>
      <c r="K689" s="56">
        <f t="shared" si="52"/>
        <v>6.9334389857369253E-3</v>
      </c>
      <c r="L689" s="56">
        <f t="shared" si="53"/>
        <v>2.1135265700483092E-2</v>
      </c>
      <c r="M689" s="55">
        <v>27</v>
      </c>
      <c r="N689" s="56">
        <f t="shared" si="54"/>
        <v>1.7828843106180666E-3</v>
      </c>
      <c r="O689" s="53" t="s">
        <v>443</v>
      </c>
    </row>
    <row r="690" spans="1:15" hidden="1" x14ac:dyDescent="0.25">
      <c r="A690" s="52" t="s">
        <v>714</v>
      </c>
      <c r="B690" s="53" t="s">
        <v>439</v>
      </c>
      <c r="C690" s="53" t="s">
        <v>443</v>
      </c>
      <c r="D690" s="54">
        <v>45078</v>
      </c>
      <c r="E690" s="66">
        <v>9957</v>
      </c>
      <c r="F690" s="56">
        <f t="shared" si="50"/>
        <v>0.99608315757758359</v>
      </c>
      <c r="G690" s="66">
        <v>39</v>
      </c>
      <c r="H690" s="66">
        <v>3378</v>
      </c>
      <c r="I690" s="56">
        <f t="shared" si="51"/>
        <v>0.33925881289545046</v>
      </c>
      <c r="J690" s="55">
        <v>58</v>
      </c>
      <c r="K690" s="56">
        <f t="shared" si="52"/>
        <v>5.8250477051320681E-3</v>
      </c>
      <c r="L690" s="56">
        <f t="shared" si="53"/>
        <v>1.7169923031379514E-2</v>
      </c>
      <c r="M690" s="55">
        <v>7</v>
      </c>
      <c r="N690" s="56">
        <f t="shared" si="54"/>
        <v>7.0302299889524959E-4</v>
      </c>
      <c r="O690" s="53" t="s">
        <v>443</v>
      </c>
    </row>
    <row r="691" spans="1:15" x14ac:dyDescent="0.25">
      <c r="A691" s="52" t="s">
        <v>451</v>
      </c>
      <c r="B691" s="53" t="s">
        <v>444</v>
      </c>
      <c r="C691" s="53" t="s">
        <v>452</v>
      </c>
      <c r="D691" s="54">
        <v>45079</v>
      </c>
      <c r="E691" s="66">
        <v>233832</v>
      </c>
      <c r="F691" s="56">
        <f t="shared" si="50"/>
        <v>0.99743833179376651</v>
      </c>
      <c r="G691" s="66">
        <v>599</v>
      </c>
      <c r="H691" s="66">
        <v>111353</v>
      </c>
      <c r="I691" s="56">
        <f t="shared" si="51"/>
        <v>0.47620941530671596</v>
      </c>
      <c r="J691" s="55">
        <v>1661</v>
      </c>
      <c r="K691" s="56">
        <f t="shared" si="52"/>
        <v>7.1033904683704538E-3</v>
      </c>
      <c r="L691" s="56">
        <f t="shared" si="53"/>
        <v>1.4916526721327669E-2</v>
      </c>
      <c r="M691" s="55">
        <v>194</v>
      </c>
      <c r="N691" s="56">
        <f t="shared" si="54"/>
        <v>8.2965547914742204E-4</v>
      </c>
      <c r="O691" s="53" t="s">
        <v>452</v>
      </c>
    </row>
    <row r="692" spans="1:15" x14ac:dyDescent="0.25">
      <c r="A692" s="52" t="s">
        <v>453</v>
      </c>
      <c r="B692" s="53" t="s">
        <v>444</v>
      </c>
      <c r="C692" s="53" t="s">
        <v>452</v>
      </c>
      <c r="D692" s="54">
        <v>45079</v>
      </c>
      <c r="E692" s="66">
        <v>332161</v>
      </c>
      <c r="F692" s="56">
        <f t="shared" si="50"/>
        <v>0.99540584234753626</v>
      </c>
      <c r="G692" s="66">
        <v>1526</v>
      </c>
      <c r="H692" s="66">
        <v>127397</v>
      </c>
      <c r="I692" s="56">
        <f t="shared" si="51"/>
        <v>0.38353990986298814</v>
      </c>
      <c r="J692" s="55">
        <v>2215</v>
      </c>
      <c r="K692" s="56">
        <f t="shared" si="52"/>
        <v>6.6684529490217094E-3</v>
      </c>
      <c r="L692" s="56">
        <f t="shared" si="53"/>
        <v>1.738659466078479E-2</v>
      </c>
      <c r="M692" s="55">
        <v>262</v>
      </c>
      <c r="N692" s="56">
        <f t="shared" si="54"/>
        <v>7.8877411857502838E-4</v>
      </c>
      <c r="O692" s="53" t="s">
        <v>452</v>
      </c>
    </row>
    <row r="693" spans="1:15" hidden="1" x14ac:dyDescent="0.25">
      <c r="A693" s="52" t="s">
        <v>23</v>
      </c>
      <c r="B693" s="53" t="s">
        <v>444</v>
      </c>
      <c r="C693" s="53" t="s">
        <v>443</v>
      </c>
      <c r="D693" s="54">
        <v>45079</v>
      </c>
      <c r="E693" s="66">
        <v>2320888</v>
      </c>
      <c r="F693" s="56">
        <f t="shared" si="50"/>
        <v>0.99674995088086971</v>
      </c>
      <c r="G693" s="66">
        <v>7543</v>
      </c>
      <c r="H693" s="66">
        <v>797702</v>
      </c>
      <c r="I693" s="56">
        <f t="shared" si="51"/>
        <v>0.34370551271754607</v>
      </c>
      <c r="J693" s="55">
        <v>9359</v>
      </c>
      <c r="K693" s="56">
        <f t="shared" si="52"/>
        <v>4.0325082468434499E-3</v>
      </c>
      <c r="L693" s="56">
        <f t="shared" si="53"/>
        <v>1.1732451466838493E-2</v>
      </c>
      <c r="M693" s="55">
        <v>3181</v>
      </c>
      <c r="N693" s="56">
        <f t="shared" si="54"/>
        <v>1.3705960821892311E-3</v>
      </c>
      <c r="O693" s="53" t="s">
        <v>443</v>
      </c>
    </row>
    <row r="694" spans="1:15" hidden="1" x14ac:dyDescent="0.25">
      <c r="A694" s="52" t="s">
        <v>23</v>
      </c>
      <c r="B694" s="53" t="s">
        <v>439</v>
      </c>
      <c r="C694" s="53" t="s">
        <v>443</v>
      </c>
      <c r="D694" s="54">
        <v>45079</v>
      </c>
      <c r="E694" s="66">
        <v>2004464</v>
      </c>
      <c r="F694" s="56">
        <f t="shared" si="50"/>
        <v>0.9961815228410188</v>
      </c>
      <c r="G694" s="66">
        <v>7654</v>
      </c>
      <c r="H694" s="66">
        <v>697790</v>
      </c>
      <c r="I694" s="56">
        <f t="shared" si="51"/>
        <v>0.34811800062261034</v>
      </c>
      <c r="J694" s="55">
        <v>7713</v>
      </c>
      <c r="K694" s="56">
        <f t="shared" si="52"/>
        <v>3.8479114616176693E-3</v>
      </c>
      <c r="L694" s="56">
        <f t="shared" si="53"/>
        <v>1.1053468808667364E-2</v>
      </c>
      <c r="M694" s="55">
        <v>1556</v>
      </c>
      <c r="N694" s="56">
        <f t="shared" si="54"/>
        <v>7.7626737122742041E-4</v>
      </c>
      <c r="O694" s="53" t="s">
        <v>443</v>
      </c>
    </row>
    <row r="695" spans="1:15" hidden="1" x14ac:dyDescent="0.25">
      <c r="A695" s="52" t="s">
        <v>22</v>
      </c>
      <c r="B695" s="53" t="s">
        <v>444</v>
      </c>
      <c r="C695" s="53" t="s">
        <v>443</v>
      </c>
      <c r="D695" s="54">
        <v>45079</v>
      </c>
      <c r="E695" s="66">
        <v>207349</v>
      </c>
      <c r="F695" s="56">
        <f t="shared" si="50"/>
        <v>0.99667709996190001</v>
      </c>
      <c r="G695" s="66">
        <v>689</v>
      </c>
      <c r="H695" s="66">
        <v>61389</v>
      </c>
      <c r="I695" s="56">
        <f t="shared" si="51"/>
        <v>0.29606605288667898</v>
      </c>
      <c r="J695" s="55">
        <v>887</v>
      </c>
      <c r="K695" s="56">
        <f t="shared" si="52"/>
        <v>4.2778118052172907E-3</v>
      </c>
      <c r="L695" s="56">
        <f t="shared" si="53"/>
        <v>1.4448842626529183E-2</v>
      </c>
      <c r="M695" s="55">
        <v>300</v>
      </c>
      <c r="N695" s="56">
        <f t="shared" si="54"/>
        <v>1.446836010783751E-3</v>
      </c>
      <c r="O695" s="53" t="s">
        <v>443</v>
      </c>
    </row>
    <row r="696" spans="1:15" hidden="1" x14ac:dyDescent="0.25">
      <c r="A696" s="52" t="s">
        <v>22</v>
      </c>
      <c r="B696" s="53" t="s">
        <v>439</v>
      </c>
      <c r="C696" s="53" t="s">
        <v>443</v>
      </c>
      <c r="D696" s="54">
        <v>45079</v>
      </c>
      <c r="E696" s="66">
        <v>106058</v>
      </c>
      <c r="F696" s="56">
        <f t="shared" si="50"/>
        <v>0.99576646740462771</v>
      </c>
      <c r="G696" s="66">
        <v>449</v>
      </c>
      <c r="H696" s="66">
        <v>31956</v>
      </c>
      <c r="I696" s="56">
        <f t="shared" si="51"/>
        <v>0.30130683211073184</v>
      </c>
      <c r="J696" s="55">
        <v>427</v>
      </c>
      <c r="K696" s="56">
        <f t="shared" si="52"/>
        <v>4.0260989270022064E-3</v>
      </c>
      <c r="L696" s="56">
        <f t="shared" si="53"/>
        <v>1.3362122919013644E-2</v>
      </c>
      <c r="M696" s="55">
        <v>45</v>
      </c>
      <c r="N696" s="56">
        <f t="shared" si="54"/>
        <v>4.2429613984800769E-4</v>
      </c>
      <c r="O696" s="53" t="s">
        <v>443</v>
      </c>
    </row>
    <row r="697" spans="1:15" hidden="1" x14ac:dyDescent="0.25">
      <c r="A697" s="52" t="s">
        <v>9</v>
      </c>
      <c r="B697" s="53" t="s">
        <v>444</v>
      </c>
      <c r="C697" s="53" t="s">
        <v>443</v>
      </c>
      <c r="D697" s="54">
        <v>45080</v>
      </c>
      <c r="E697" s="66">
        <v>21555</v>
      </c>
      <c r="F697" s="56">
        <f t="shared" si="50"/>
        <v>0.99642774298306658</v>
      </c>
      <c r="G697" s="66">
        <v>77</v>
      </c>
      <c r="H697" s="66">
        <v>8360</v>
      </c>
      <c r="I697" s="56">
        <f t="shared" si="51"/>
        <v>0.38784504755277199</v>
      </c>
      <c r="J697" s="55">
        <v>475</v>
      </c>
      <c r="K697" s="56">
        <f t="shared" si="52"/>
        <v>2.2036650429134771E-2</v>
      </c>
      <c r="L697" s="56">
        <f t="shared" si="53"/>
        <v>5.6818181818181816E-2</v>
      </c>
      <c r="M697" s="55">
        <v>28</v>
      </c>
      <c r="N697" s="56">
        <f t="shared" si="54"/>
        <v>1.2990025516121549E-3</v>
      </c>
      <c r="O697" s="53" t="s">
        <v>443</v>
      </c>
    </row>
    <row r="698" spans="1:15" hidden="1" x14ac:dyDescent="0.25">
      <c r="A698" s="52" t="s">
        <v>9</v>
      </c>
      <c r="B698" s="53" t="s">
        <v>439</v>
      </c>
      <c r="C698" s="53" t="s">
        <v>443</v>
      </c>
      <c r="D698" s="54">
        <v>45080</v>
      </c>
      <c r="E698" s="66">
        <v>19657</v>
      </c>
      <c r="F698" s="56">
        <f t="shared" si="50"/>
        <v>0.99679503484763698</v>
      </c>
      <c r="G698" s="66">
        <v>63</v>
      </c>
      <c r="H698" s="66">
        <v>8518</v>
      </c>
      <c r="I698" s="56">
        <f t="shared" si="51"/>
        <v>0.43333163758457549</v>
      </c>
      <c r="J698" s="55">
        <v>756</v>
      </c>
      <c r="K698" s="56">
        <f t="shared" si="52"/>
        <v>3.8459581828356314E-2</v>
      </c>
      <c r="L698" s="56">
        <f t="shared" si="53"/>
        <v>8.8753228457384356E-2</v>
      </c>
      <c r="M698" s="55">
        <v>15</v>
      </c>
      <c r="N698" s="56">
        <f t="shared" si="54"/>
        <v>7.6308694103881572E-4</v>
      </c>
      <c r="O698" s="53" t="s">
        <v>443</v>
      </c>
    </row>
    <row r="699" spans="1:15" hidden="1" x14ac:dyDescent="0.25">
      <c r="A699" s="52" t="s">
        <v>12</v>
      </c>
      <c r="B699" s="53" t="s">
        <v>444</v>
      </c>
      <c r="C699" s="53" t="s">
        <v>443</v>
      </c>
      <c r="D699" s="54">
        <v>45080</v>
      </c>
      <c r="E699" s="66">
        <v>2019</v>
      </c>
      <c r="F699" s="56">
        <f t="shared" si="50"/>
        <v>0.99455175829618625</v>
      </c>
      <c r="G699" s="66">
        <v>11</v>
      </c>
      <c r="H699" s="66">
        <v>838</v>
      </c>
      <c r="I699" s="56">
        <f t="shared" si="51"/>
        <v>0.4150569588905399</v>
      </c>
      <c r="J699" s="55">
        <v>56</v>
      </c>
      <c r="K699" s="56">
        <f t="shared" si="52"/>
        <v>2.7736503219415551E-2</v>
      </c>
      <c r="L699" s="56">
        <f t="shared" si="53"/>
        <v>6.6825775656324582E-2</v>
      </c>
      <c r="M699" s="55">
        <v>7</v>
      </c>
      <c r="N699" s="56">
        <f t="shared" si="54"/>
        <v>3.4670629024269439E-3</v>
      </c>
      <c r="O699" s="53" t="s">
        <v>443</v>
      </c>
    </row>
    <row r="700" spans="1:15" hidden="1" x14ac:dyDescent="0.25">
      <c r="A700" s="52" t="s">
        <v>12</v>
      </c>
      <c r="B700" s="53" t="s">
        <v>439</v>
      </c>
      <c r="C700" s="53" t="s">
        <v>443</v>
      </c>
      <c r="D700" s="54">
        <v>45080</v>
      </c>
      <c r="E700" s="66">
        <v>1906</v>
      </c>
      <c r="F700" s="56">
        <f t="shared" si="50"/>
        <v>0.99632738719832115</v>
      </c>
      <c r="G700" s="66">
        <v>7</v>
      </c>
      <c r="H700" s="66">
        <v>958</v>
      </c>
      <c r="I700" s="56">
        <f t="shared" si="51"/>
        <v>0.50262329485834212</v>
      </c>
      <c r="J700" s="55">
        <v>102</v>
      </c>
      <c r="K700" s="56">
        <f t="shared" si="52"/>
        <v>5.3515215110178385E-2</v>
      </c>
      <c r="L700" s="56">
        <f t="shared" si="53"/>
        <v>0.10647181628392484</v>
      </c>
      <c r="M700" s="55">
        <v>0</v>
      </c>
      <c r="N700" s="56">
        <f t="shared" si="54"/>
        <v>0</v>
      </c>
      <c r="O700" s="53" t="s">
        <v>443</v>
      </c>
    </row>
    <row r="701" spans="1:15" hidden="1" x14ac:dyDescent="0.25">
      <c r="A701" s="52" t="s">
        <v>18</v>
      </c>
      <c r="B701" s="53" t="s">
        <v>444</v>
      </c>
      <c r="C701" s="53" t="s">
        <v>443</v>
      </c>
      <c r="D701" s="54">
        <v>45083</v>
      </c>
      <c r="E701" s="55">
        <v>27567</v>
      </c>
      <c r="F701" s="56">
        <f t="shared" si="50"/>
        <v>0.99684405267167264</v>
      </c>
      <c r="G701" s="55">
        <v>87</v>
      </c>
      <c r="H701" s="55">
        <v>9529</v>
      </c>
      <c r="I701" s="56">
        <f t="shared" si="51"/>
        <v>0.34566692059346321</v>
      </c>
      <c r="J701" s="55">
        <v>190</v>
      </c>
      <c r="K701" s="56">
        <f t="shared" si="52"/>
        <v>6.8922987630137484E-3</v>
      </c>
      <c r="L701" s="56">
        <f t="shared" si="53"/>
        <v>1.993913317242103E-2</v>
      </c>
      <c r="M701" s="55">
        <v>25</v>
      </c>
      <c r="N701" s="56">
        <f t="shared" si="54"/>
        <v>9.0688141618601946E-4</v>
      </c>
      <c r="O701" s="53" t="s">
        <v>443</v>
      </c>
    </row>
    <row r="702" spans="1:15" hidden="1" x14ac:dyDescent="0.25">
      <c r="A702" s="52" t="s">
        <v>18</v>
      </c>
      <c r="B702" s="53" t="s">
        <v>439</v>
      </c>
      <c r="C702" s="53" t="s">
        <v>443</v>
      </c>
      <c r="D702" s="54">
        <v>45083</v>
      </c>
      <c r="E702" s="55">
        <v>26511</v>
      </c>
      <c r="F702" s="56">
        <f t="shared" si="50"/>
        <v>0.99505865489796685</v>
      </c>
      <c r="G702" s="55">
        <v>131</v>
      </c>
      <c r="H702" s="55">
        <v>8974</v>
      </c>
      <c r="I702" s="56">
        <f t="shared" si="51"/>
        <v>0.3385009995850779</v>
      </c>
      <c r="J702" s="55">
        <v>231</v>
      </c>
      <c r="K702" s="56">
        <f t="shared" si="52"/>
        <v>8.7133642638904611E-3</v>
      </c>
      <c r="L702" s="56">
        <f t="shared" si="53"/>
        <v>2.5741029641185648E-2</v>
      </c>
      <c r="M702" s="55">
        <v>11</v>
      </c>
      <c r="N702" s="56">
        <f t="shared" si="54"/>
        <v>4.1492210780430766E-4</v>
      </c>
      <c r="O702" s="53" t="s">
        <v>443</v>
      </c>
    </row>
    <row r="703" spans="1:15" hidden="1" x14ac:dyDescent="0.25">
      <c r="A703" s="52" t="s">
        <v>19</v>
      </c>
      <c r="B703" s="53" t="s">
        <v>439</v>
      </c>
      <c r="C703" s="53" t="s">
        <v>443</v>
      </c>
      <c r="D703" s="54">
        <v>45083</v>
      </c>
      <c r="E703" s="55">
        <v>241761</v>
      </c>
      <c r="F703" s="56">
        <f t="shared" si="50"/>
        <v>0.99558655035344823</v>
      </c>
      <c r="G703" s="55">
        <v>1067</v>
      </c>
      <c r="H703" s="55">
        <v>84542</v>
      </c>
      <c r="I703" s="56">
        <f t="shared" si="51"/>
        <v>0.34969246487233258</v>
      </c>
      <c r="J703" s="55">
        <v>1607</v>
      </c>
      <c r="K703" s="56">
        <f t="shared" si="52"/>
        <v>6.6470605267185357E-3</v>
      </c>
      <c r="L703" s="56">
        <f t="shared" si="53"/>
        <v>1.9008303565091908E-2</v>
      </c>
      <c r="M703" s="55">
        <v>100</v>
      </c>
      <c r="N703" s="56">
        <f t="shared" si="54"/>
        <v>4.1363164447532892E-4</v>
      </c>
      <c r="O703" s="53" t="s">
        <v>443</v>
      </c>
    </row>
    <row r="704" spans="1:15" hidden="1" x14ac:dyDescent="0.25">
      <c r="A704" s="52" t="s">
        <v>19</v>
      </c>
      <c r="B704" s="53" t="s">
        <v>444</v>
      </c>
      <c r="C704" s="53" t="s">
        <v>443</v>
      </c>
      <c r="D704" s="54">
        <v>45083</v>
      </c>
      <c r="E704" s="55">
        <v>469199</v>
      </c>
      <c r="F704" s="56">
        <f t="shared" si="50"/>
        <v>0.99670502281547912</v>
      </c>
      <c r="G704" s="55">
        <v>1546</v>
      </c>
      <c r="H704" s="55">
        <v>176408</v>
      </c>
      <c r="I704" s="56">
        <f t="shared" si="51"/>
        <v>0.37597693089712469</v>
      </c>
      <c r="J704" s="55">
        <v>2434</v>
      </c>
      <c r="K704" s="56">
        <f t="shared" si="52"/>
        <v>5.1875643383724173E-3</v>
      </c>
      <c r="L704" s="56">
        <f t="shared" si="53"/>
        <v>1.3797560201351413E-2</v>
      </c>
      <c r="M704" s="55">
        <v>368</v>
      </c>
      <c r="N704" s="56">
        <f t="shared" si="54"/>
        <v>7.8431539709163914E-4</v>
      </c>
      <c r="O704" s="53" t="s">
        <v>443</v>
      </c>
    </row>
    <row r="705" spans="1:15" x14ac:dyDescent="0.25">
      <c r="A705" s="52" t="s">
        <v>654</v>
      </c>
      <c r="B705" s="53" t="s">
        <v>439</v>
      </c>
      <c r="C705" s="53" t="s">
        <v>452</v>
      </c>
      <c r="D705" s="54">
        <v>45083</v>
      </c>
      <c r="E705" s="55">
        <v>19952</v>
      </c>
      <c r="F705" s="56">
        <f t="shared" si="50"/>
        <v>0.99624097834803527</v>
      </c>
      <c r="G705" s="55">
        <v>75</v>
      </c>
      <c r="H705" s="55">
        <v>7063</v>
      </c>
      <c r="I705" s="56">
        <f t="shared" si="51"/>
        <v>0.35399959903769046</v>
      </c>
      <c r="J705" s="55">
        <v>80</v>
      </c>
      <c r="K705" s="56">
        <f t="shared" si="52"/>
        <v>4.0096230954290296E-3</v>
      </c>
      <c r="L705" s="56">
        <f t="shared" si="53"/>
        <v>1.132663174288546E-2</v>
      </c>
      <c r="M705" s="55">
        <v>18</v>
      </c>
      <c r="N705" s="56">
        <f t="shared" si="54"/>
        <v>9.0216519647153166E-4</v>
      </c>
      <c r="O705" s="53" t="s">
        <v>452</v>
      </c>
    </row>
    <row r="706" spans="1:15" x14ac:dyDescent="0.25">
      <c r="A706" s="52" t="s">
        <v>654</v>
      </c>
      <c r="B706" s="53" t="s">
        <v>444</v>
      </c>
      <c r="C706" s="53" t="s">
        <v>452</v>
      </c>
      <c r="D706" s="54">
        <v>45083</v>
      </c>
      <c r="E706" s="55">
        <v>19377</v>
      </c>
      <c r="F706" s="56">
        <f t="shared" ref="F706:F769" si="55">(E706-G706)/E706</f>
        <v>0.99710997574443927</v>
      </c>
      <c r="G706" s="55">
        <v>56</v>
      </c>
      <c r="H706" s="55">
        <v>6271</v>
      </c>
      <c r="I706" s="56">
        <f t="shared" ref="I706:I769" si="56">H706/E706</f>
        <v>0.32363110904680809</v>
      </c>
      <c r="J706" s="55">
        <v>74</v>
      </c>
      <c r="K706" s="56">
        <f t="shared" ref="K706:K769" si="57">J706/E706</f>
        <v>3.818960623419518E-3</v>
      </c>
      <c r="L706" s="56">
        <f t="shared" ref="L706:L769" si="58">J706/H706</f>
        <v>1.1800350821240632E-2</v>
      </c>
      <c r="M706" s="55">
        <v>27</v>
      </c>
      <c r="N706" s="56">
        <f t="shared" ref="N706:N769" si="59">M706/E706</f>
        <v>1.3934045517882026E-3</v>
      </c>
      <c r="O706" s="53" t="s">
        <v>452</v>
      </c>
    </row>
    <row r="707" spans="1:15" x14ac:dyDescent="0.25">
      <c r="A707" s="52" t="s">
        <v>653</v>
      </c>
      <c r="B707" s="53" t="s">
        <v>439</v>
      </c>
      <c r="C707" s="53" t="s">
        <v>452</v>
      </c>
      <c r="D707" s="54">
        <v>45083</v>
      </c>
      <c r="E707" s="55">
        <v>328632</v>
      </c>
      <c r="F707" s="56">
        <f t="shared" si="55"/>
        <v>0.99668626305411523</v>
      </c>
      <c r="G707" s="55">
        <v>1089</v>
      </c>
      <c r="H707" s="55">
        <v>142276</v>
      </c>
      <c r="I707" s="56">
        <f t="shared" si="56"/>
        <v>0.43293410258282822</v>
      </c>
      <c r="J707" s="55">
        <v>1477</v>
      </c>
      <c r="K707" s="56">
        <f t="shared" si="57"/>
        <v>4.4943888604883275E-3</v>
      </c>
      <c r="L707" s="56">
        <f t="shared" si="58"/>
        <v>1.0381230847085945E-2</v>
      </c>
      <c r="M707" s="55">
        <v>236</v>
      </c>
      <c r="N707" s="56">
        <f t="shared" si="59"/>
        <v>7.1812848414031503E-4</v>
      </c>
      <c r="O707" s="53" t="s">
        <v>452</v>
      </c>
    </row>
    <row r="708" spans="1:15" x14ac:dyDescent="0.25">
      <c r="A708" s="52" t="s">
        <v>653</v>
      </c>
      <c r="B708" s="53" t="s">
        <v>444</v>
      </c>
      <c r="C708" s="53" t="s">
        <v>452</v>
      </c>
      <c r="D708" s="54">
        <v>45083</v>
      </c>
      <c r="E708" s="55">
        <v>230568</v>
      </c>
      <c r="F708" s="56">
        <f t="shared" si="55"/>
        <v>0.99710714409631862</v>
      </c>
      <c r="G708" s="55">
        <v>667</v>
      </c>
      <c r="H708" s="55">
        <v>87841</v>
      </c>
      <c r="I708" s="56">
        <f t="shared" si="56"/>
        <v>0.38097654488046911</v>
      </c>
      <c r="J708" s="55">
        <v>989</v>
      </c>
      <c r="K708" s="56">
        <f t="shared" si="57"/>
        <v>4.2894070295964749E-3</v>
      </c>
      <c r="L708" s="56">
        <f t="shared" si="58"/>
        <v>1.1258979292130098E-2</v>
      </c>
      <c r="M708" s="55">
        <v>361</v>
      </c>
      <c r="N708" s="56">
        <f t="shared" si="59"/>
        <v>1.5656986225321813E-3</v>
      </c>
      <c r="O708" s="53" t="s">
        <v>452</v>
      </c>
    </row>
    <row r="709" spans="1:15" hidden="1" x14ac:dyDescent="0.25">
      <c r="A709" s="52" t="s">
        <v>715</v>
      </c>
      <c r="B709" s="53" t="s">
        <v>439</v>
      </c>
      <c r="C709" s="53" t="s">
        <v>447</v>
      </c>
      <c r="D709" s="54">
        <v>45084</v>
      </c>
      <c r="E709" s="55">
        <v>5243</v>
      </c>
      <c r="F709" s="56">
        <f t="shared" si="55"/>
        <v>0.99713904253290098</v>
      </c>
      <c r="G709" s="55">
        <v>15</v>
      </c>
      <c r="H709" s="55">
        <v>3042</v>
      </c>
      <c r="I709" s="56">
        <f t="shared" si="56"/>
        <v>0.58020217432767496</v>
      </c>
      <c r="J709" s="55">
        <v>732</v>
      </c>
      <c r="K709" s="56">
        <f t="shared" si="57"/>
        <v>0.13961472439443068</v>
      </c>
      <c r="L709" s="56">
        <f t="shared" si="58"/>
        <v>0.24063116370808679</v>
      </c>
      <c r="M709" s="55">
        <v>2</v>
      </c>
      <c r="N709" s="56">
        <f t="shared" si="59"/>
        <v>3.8146099561319857E-4</v>
      </c>
      <c r="O709" s="53" t="s">
        <v>448</v>
      </c>
    </row>
    <row r="710" spans="1:15" hidden="1" x14ac:dyDescent="0.25">
      <c r="A710" s="52" t="s">
        <v>445</v>
      </c>
      <c r="B710" s="53"/>
      <c r="C710" s="53" t="s">
        <v>446</v>
      </c>
      <c r="D710" s="54">
        <v>45084</v>
      </c>
      <c r="E710" s="55">
        <v>259</v>
      </c>
      <c r="F710" s="56">
        <f t="shared" si="55"/>
        <v>1</v>
      </c>
      <c r="G710" s="55">
        <v>0</v>
      </c>
      <c r="H710" s="55">
        <v>94</v>
      </c>
      <c r="I710" s="56">
        <f t="shared" si="56"/>
        <v>0.36293436293436293</v>
      </c>
      <c r="J710" s="55">
        <v>6</v>
      </c>
      <c r="K710" s="56">
        <f t="shared" si="57"/>
        <v>2.3166023166023165E-2</v>
      </c>
      <c r="L710" s="56">
        <f t="shared" si="58"/>
        <v>6.3829787234042548E-2</v>
      </c>
      <c r="M710" s="55">
        <v>0</v>
      </c>
      <c r="N710" s="56">
        <f t="shared" si="59"/>
        <v>0</v>
      </c>
      <c r="O710" s="53" t="s">
        <v>446</v>
      </c>
    </row>
    <row r="711" spans="1:15" hidden="1" x14ac:dyDescent="0.25">
      <c r="A711" s="58" t="s">
        <v>449</v>
      </c>
      <c r="B711" s="53"/>
      <c r="C711" s="53" t="s">
        <v>446</v>
      </c>
      <c r="D711" s="54">
        <v>45085</v>
      </c>
      <c r="E711" s="55">
        <v>1642</v>
      </c>
      <c r="F711" s="56">
        <f t="shared" si="55"/>
        <v>0.99817295980511567</v>
      </c>
      <c r="G711" s="55">
        <v>3</v>
      </c>
      <c r="H711" s="55">
        <v>560</v>
      </c>
      <c r="I711" s="56">
        <f t="shared" si="56"/>
        <v>0.34104750304506698</v>
      </c>
      <c r="J711" s="55">
        <v>20</v>
      </c>
      <c r="K711" s="56">
        <f t="shared" si="57"/>
        <v>1.2180267965895249E-2</v>
      </c>
      <c r="L711" s="56">
        <f t="shared" si="58"/>
        <v>3.5714285714285712E-2</v>
      </c>
      <c r="M711" s="55">
        <v>0</v>
      </c>
      <c r="N711" s="56">
        <f t="shared" si="59"/>
        <v>0</v>
      </c>
      <c r="O711" s="53" t="s">
        <v>446</v>
      </c>
    </row>
    <row r="712" spans="1:15" hidden="1" x14ac:dyDescent="0.25">
      <c r="A712" s="52" t="s">
        <v>716</v>
      </c>
      <c r="B712" s="53" t="s">
        <v>444</v>
      </c>
      <c r="C712" s="53" t="s">
        <v>443</v>
      </c>
      <c r="D712" s="54">
        <v>45086</v>
      </c>
      <c r="E712" s="55">
        <v>199685</v>
      </c>
      <c r="F712" s="56">
        <f t="shared" si="55"/>
        <v>0.99670981796329217</v>
      </c>
      <c r="G712" s="55">
        <v>657</v>
      </c>
      <c r="H712" s="55">
        <v>71319</v>
      </c>
      <c r="I712" s="56">
        <f t="shared" si="56"/>
        <v>0.35715752309888071</v>
      </c>
      <c r="J712" s="55">
        <v>767</v>
      </c>
      <c r="K712" s="56">
        <f t="shared" si="57"/>
        <v>3.8410496532037958E-3</v>
      </c>
      <c r="L712" s="56">
        <f t="shared" si="58"/>
        <v>1.0754497399010082E-2</v>
      </c>
      <c r="M712" s="55">
        <v>133</v>
      </c>
      <c r="N712" s="56">
        <f t="shared" si="59"/>
        <v>6.6604902721786809E-4</v>
      </c>
      <c r="O712" s="53" t="s">
        <v>443</v>
      </c>
    </row>
    <row r="713" spans="1:15" hidden="1" x14ac:dyDescent="0.25">
      <c r="A713" s="52" t="s">
        <v>716</v>
      </c>
      <c r="B713" s="53" t="s">
        <v>439</v>
      </c>
      <c r="C713" s="53" t="s">
        <v>443</v>
      </c>
      <c r="D713" s="54">
        <v>45086</v>
      </c>
      <c r="E713" s="55">
        <v>344891</v>
      </c>
      <c r="F713" s="56">
        <f t="shared" si="55"/>
        <v>0.99699325294078422</v>
      </c>
      <c r="G713" s="55">
        <v>1037</v>
      </c>
      <c r="H713" s="55">
        <v>129030</v>
      </c>
      <c r="I713" s="56">
        <f t="shared" si="56"/>
        <v>0.37411819966308196</v>
      </c>
      <c r="J713" s="55">
        <v>1359</v>
      </c>
      <c r="K713" s="56">
        <f t="shared" si="57"/>
        <v>3.9403753649703823E-3</v>
      </c>
      <c r="L713" s="56">
        <f t="shared" si="58"/>
        <v>1.0532434317600557E-2</v>
      </c>
      <c r="M713" s="55">
        <v>97</v>
      </c>
      <c r="N713" s="56">
        <f t="shared" si="59"/>
        <v>2.812482784415946E-4</v>
      </c>
      <c r="O713" s="53" t="s">
        <v>443</v>
      </c>
    </row>
    <row r="714" spans="1:15" hidden="1" x14ac:dyDescent="0.25">
      <c r="A714" s="52" t="s">
        <v>717</v>
      </c>
      <c r="B714" s="53" t="s">
        <v>439</v>
      </c>
      <c r="C714" s="53" t="s">
        <v>443</v>
      </c>
      <c r="D714" s="54">
        <v>45086</v>
      </c>
      <c r="E714" s="55">
        <v>90282</v>
      </c>
      <c r="F714" s="56">
        <f t="shared" si="55"/>
        <v>0.99627832790589488</v>
      </c>
      <c r="G714" s="55">
        <v>336</v>
      </c>
      <c r="H714" s="55">
        <v>26772</v>
      </c>
      <c r="I714" s="56">
        <f t="shared" si="56"/>
        <v>0.29653751578387716</v>
      </c>
      <c r="J714" s="55">
        <v>410</v>
      </c>
      <c r="K714" s="56">
        <f t="shared" si="57"/>
        <v>4.5413260672116261E-3</v>
      </c>
      <c r="L714" s="56">
        <f t="shared" si="58"/>
        <v>1.5314507694606305E-2</v>
      </c>
      <c r="M714" s="55">
        <v>39</v>
      </c>
      <c r="N714" s="56">
        <f t="shared" si="59"/>
        <v>4.3197979663720345E-4</v>
      </c>
      <c r="O714" s="53" t="s">
        <v>443</v>
      </c>
    </row>
    <row r="715" spans="1:15" hidden="1" x14ac:dyDescent="0.25">
      <c r="A715" s="52" t="s">
        <v>717</v>
      </c>
      <c r="B715" s="53" t="s">
        <v>444</v>
      </c>
      <c r="C715" s="53" t="s">
        <v>443</v>
      </c>
      <c r="D715" s="54">
        <v>45086</v>
      </c>
      <c r="E715" s="55">
        <v>185304</v>
      </c>
      <c r="F715" s="56">
        <f t="shared" si="55"/>
        <v>0.99699952510469281</v>
      </c>
      <c r="G715" s="55">
        <v>556</v>
      </c>
      <c r="H715" s="55">
        <v>53144</v>
      </c>
      <c r="I715" s="56">
        <f t="shared" si="56"/>
        <v>0.28679359323058323</v>
      </c>
      <c r="J715" s="55">
        <v>712</v>
      </c>
      <c r="K715" s="56">
        <f t="shared" si="57"/>
        <v>3.8423347580192548E-3</v>
      </c>
      <c r="L715" s="56">
        <f t="shared" si="58"/>
        <v>1.3397561342766822E-2</v>
      </c>
      <c r="M715" s="55">
        <v>425</v>
      </c>
      <c r="N715" s="56">
        <f t="shared" si="59"/>
        <v>2.2935284721322799E-3</v>
      </c>
      <c r="O715" s="53" t="s">
        <v>443</v>
      </c>
    </row>
    <row r="716" spans="1:15" hidden="1" x14ac:dyDescent="0.25">
      <c r="A716" s="52" t="s">
        <v>718</v>
      </c>
      <c r="B716" s="53" t="s">
        <v>439</v>
      </c>
      <c r="C716" s="53" t="s">
        <v>443</v>
      </c>
      <c r="D716" s="54">
        <v>45086</v>
      </c>
      <c r="E716" s="55">
        <v>1519807</v>
      </c>
      <c r="F716" s="56">
        <f t="shared" si="55"/>
        <v>0.99625873548417665</v>
      </c>
      <c r="G716" s="55">
        <v>5686</v>
      </c>
      <c r="H716" s="55">
        <v>534128</v>
      </c>
      <c r="I716" s="56">
        <f t="shared" si="56"/>
        <v>0.35144462421873301</v>
      </c>
      <c r="J716" s="55">
        <v>6437</v>
      </c>
      <c r="K716" s="56">
        <f t="shared" si="57"/>
        <v>4.235406206182759E-3</v>
      </c>
      <c r="L716" s="56">
        <f t="shared" si="58"/>
        <v>1.205141838660396E-2</v>
      </c>
      <c r="M716" s="55">
        <v>1306</v>
      </c>
      <c r="N716" s="56">
        <f t="shared" si="59"/>
        <v>8.5931963729605142E-4</v>
      </c>
      <c r="O716" s="53" t="s">
        <v>443</v>
      </c>
    </row>
    <row r="717" spans="1:15" hidden="1" x14ac:dyDescent="0.25">
      <c r="A717" s="52" t="s">
        <v>718</v>
      </c>
      <c r="B717" s="53" t="s">
        <v>444</v>
      </c>
      <c r="C717" s="53" t="s">
        <v>443</v>
      </c>
      <c r="D717" s="54">
        <v>45086</v>
      </c>
      <c r="E717" s="55">
        <v>2000203</v>
      </c>
      <c r="F717" s="56">
        <f t="shared" si="55"/>
        <v>0.99692481213156869</v>
      </c>
      <c r="G717" s="55">
        <v>6151</v>
      </c>
      <c r="H717" s="55">
        <v>657234</v>
      </c>
      <c r="I717" s="56">
        <f t="shared" si="56"/>
        <v>0.3285836487596509</v>
      </c>
      <c r="J717" s="55">
        <v>7867</v>
      </c>
      <c r="K717" s="56">
        <f t="shared" si="57"/>
        <v>3.9331007902697872E-3</v>
      </c>
      <c r="L717" s="56">
        <f t="shared" si="58"/>
        <v>1.1969861571373362E-2</v>
      </c>
      <c r="M717" s="55">
        <v>3565</v>
      </c>
      <c r="N717" s="56">
        <f t="shared" si="59"/>
        <v>1.782319094611897E-3</v>
      </c>
      <c r="O717" s="53" t="s">
        <v>443</v>
      </c>
    </row>
    <row r="718" spans="1:15" hidden="1" x14ac:dyDescent="0.25">
      <c r="A718" s="52" t="s">
        <v>22</v>
      </c>
      <c r="B718" s="53" t="s">
        <v>439</v>
      </c>
      <c r="C718" s="53" t="s">
        <v>443</v>
      </c>
      <c r="D718" s="54">
        <v>45086</v>
      </c>
      <c r="E718" s="55">
        <v>106034</v>
      </c>
      <c r="F718" s="56">
        <f t="shared" si="55"/>
        <v>0.99648226040703924</v>
      </c>
      <c r="G718" s="55">
        <v>373</v>
      </c>
      <c r="H718" s="55">
        <v>31170</v>
      </c>
      <c r="I718" s="56">
        <f t="shared" si="56"/>
        <v>0.2939623139747628</v>
      </c>
      <c r="J718" s="55">
        <v>509</v>
      </c>
      <c r="K718" s="56">
        <f t="shared" si="57"/>
        <v>4.8003470584906732E-3</v>
      </c>
      <c r="L718" s="56">
        <f t="shared" si="58"/>
        <v>1.6329804299005456E-2</v>
      </c>
      <c r="M718" s="55">
        <v>44</v>
      </c>
      <c r="N718" s="56">
        <f t="shared" si="59"/>
        <v>4.1496123884791669E-4</v>
      </c>
      <c r="O718" s="53" t="s">
        <v>443</v>
      </c>
    </row>
    <row r="719" spans="1:15" hidden="1" x14ac:dyDescent="0.25">
      <c r="A719" s="52" t="s">
        <v>22</v>
      </c>
      <c r="B719" s="53" t="s">
        <v>444</v>
      </c>
      <c r="C719" s="53" t="s">
        <v>443</v>
      </c>
      <c r="D719" s="54">
        <v>45086</v>
      </c>
      <c r="E719" s="55">
        <v>207094</v>
      </c>
      <c r="F719" s="56">
        <f t="shared" si="55"/>
        <v>0.99731040010816341</v>
      </c>
      <c r="G719" s="55">
        <v>557</v>
      </c>
      <c r="H719" s="55">
        <v>59750</v>
      </c>
      <c r="I719" s="56">
        <f t="shared" si="56"/>
        <v>0.28851632591963072</v>
      </c>
      <c r="J719" s="55">
        <v>965</v>
      </c>
      <c r="K719" s="56">
        <f t="shared" si="57"/>
        <v>4.6597197407940352E-3</v>
      </c>
      <c r="L719" s="56">
        <f t="shared" si="58"/>
        <v>1.6150627615062762E-2</v>
      </c>
      <c r="M719" s="55">
        <v>369</v>
      </c>
      <c r="N719" s="56">
        <f t="shared" si="59"/>
        <v>1.7817995692777193E-3</v>
      </c>
      <c r="O719" s="53" t="s">
        <v>443</v>
      </c>
    </row>
    <row r="720" spans="1:15" hidden="1" x14ac:dyDescent="0.25">
      <c r="A720" s="52" t="s">
        <v>23</v>
      </c>
      <c r="B720" s="53" t="s">
        <v>439</v>
      </c>
      <c r="C720" s="53" t="s">
        <v>443</v>
      </c>
      <c r="D720" s="54">
        <v>45086</v>
      </c>
      <c r="E720" s="55">
        <v>2145816</v>
      </c>
      <c r="F720" s="56">
        <f t="shared" si="55"/>
        <v>0.99601969600375806</v>
      </c>
      <c r="G720" s="55">
        <v>8541</v>
      </c>
      <c r="H720" s="55">
        <v>746541</v>
      </c>
      <c r="I720" s="56">
        <f t="shared" si="56"/>
        <v>0.3479054122068248</v>
      </c>
      <c r="J720" s="55">
        <v>10386</v>
      </c>
      <c r="K720" s="56">
        <f t="shared" si="57"/>
        <v>4.8401167667684458E-3</v>
      </c>
      <c r="L720" s="56">
        <f t="shared" si="58"/>
        <v>1.3912162895272999E-2</v>
      </c>
      <c r="M720" s="55">
        <v>2620</v>
      </c>
      <c r="N720" s="56">
        <f t="shared" si="59"/>
        <v>1.2209807364657547E-3</v>
      </c>
      <c r="O720" s="53" t="s">
        <v>443</v>
      </c>
    </row>
    <row r="721" spans="1:15" hidden="1" x14ac:dyDescent="0.25">
      <c r="A721" s="52" t="s">
        <v>23</v>
      </c>
      <c r="B721" s="53" t="s">
        <v>444</v>
      </c>
      <c r="C721" s="53" t="s">
        <v>443</v>
      </c>
      <c r="D721" s="54">
        <v>45086</v>
      </c>
      <c r="E721" s="55">
        <v>2339774</v>
      </c>
      <c r="F721" s="56">
        <f t="shared" si="55"/>
        <v>0.99648983192393792</v>
      </c>
      <c r="G721" s="55">
        <v>8213</v>
      </c>
      <c r="H721" s="55">
        <v>729358</v>
      </c>
      <c r="I721" s="56">
        <f t="shared" si="56"/>
        <v>0.31172155943266316</v>
      </c>
      <c r="J721" s="55">
        <v>8938</v>
      </c>
      <c r="K721" s="56">
        <f t="shared" si="57"/>
        <v>3.8200270624427829E-3</v>
      </c>
      <c r="L721" s="56">
        <f t="shared" si="58"/>
        <v>1.2254612960987609E-2</v>
      </c>
      <c r="M721" s="55">
        <v>3283</v>
      </c>
      <c r="N721" s="56">
        <f t="shared" si="59"/>
        <v>1.4031269686730428E-3</v>
      </c>
      <c r="O721" s="53" t="s">
        <v>443</v>
      </c>
    </row>
    <row r="722" spans="1:15" x14ac:dyDescent="0.25">
      <c r="A722" s="52" t="s">
        <v>451</v>
      </c>
      <c r="B722" s="53" t="s">
        <v>444</v>
      </c>
      <c r="C722" s="53" t="s">
        <v>452</v>
      </c>
      <c r="D722" s="54">
        <v>45086</v>
      </c>
      <c r="E722" s="55">
        <v>233139</v>
      </c>
      <c r="F722" s="56">
        <f t="shared" si="55"/>
        <v>0.99747789945054233</v>
      </c>
      <c r="G722" s="55">
        <v>588</v>
      </c>
      <c r="H722" s="55">
        <v>101650</v>
      </c>
      <c r="I722" s="56">
        <f t="shared" si="56"/>
        <v>0.43600598784416161</v>
      </c>
      <c r="J722" s="55">
        <v>2115</v>
      </c>
      <c r="K722" s="56">
        <f t="shared" si="57"/>
        <v>9.0718412620797041E-3</v>
      </c>
      <c r="L722" s="56">
        <f t="shared" si="58"/>
        <v>2.0806689621249385E-2</v>
      </c>
      <c r="M722" s="55">
        <v>198</v>
      </c>
      <c r="N722" s="56">
        <f t="shared" si="59"/>
        <v>8.4927875645001479E-4</v>
      </c>
      <c r="O722" s="53" t="s">
        <v>452</v>
      </c>
    </row>
    <row r="723" spans="1:15" x14ac:dyDescent="0.25">
      <c r="A723" s="52" t="s">
        <v>453</v>
      </c>
      <c r="B723" s="53" t="s">
        <v>444</v>
      </c>
      <c r="C723" s="53" t="s">
        <v>452</v>
      </c>
      <c r="D723" s="54">
        <v>45086</v>
      </c>
      <c r="E723" s="55">
        <v>332040</v>
      </c>
      <c r="F723" s="56">
        <f t="shared" si="55"/>
        <v>0.99566317311167329</v>
      </c>
      <c r="G723" s="55">
        <v>1440</v>
      </c>
      <c r="H723" s="55">
        <v>117637</v>
      </c>
      <c r="I723" s="56">
        <f t="shared" si="56"/>
        <v>0.35428562823756177</v>
      </c>
      <c r="J723" s="55">
        <v>2574</v>
      </c>
      <c r="K723" s="56">
        <f t="shared" si="57"/>
        <v>7.7520780628839896E-3</v>
      </c>
      <c r="L723" s="56">
        <f t="shared" si="58"/>
        <v>2.1880870814454636E-2</v>
      </c>
      <c r="M723" s="55">
        <v>276</v>
      </c>
      <c r="N723" s="56">
        <f t="shared" si="59"/>
        <v>8.3122515359595225E-4</v>
      </c>
      <c r="O723" s="53" t="s">
        <v>452</v>
      </c>
    </row>
    <row r="724" spans="1:15" x14ac:dyDescent="0.25">
      <c r="A724" s="52" t="s">
        <v>454</v>
      </c>
      <c r="B724" s="53" t="s">
        <v>444</v>
      </c>
      <c r="C724" s="53" t="s">
        <v>452</v>
      </c>
      <c r="D724" s="54">
        <v>45087</v>
      </c>
      <c r="E724" s="55">
        <v>14891</v>
      </c>
      <c r="F724" s="56">
        <f t="shared" si="55"/>
        <v>0.99697804042710358</v>
      </c>
      <c r="G724" s="55">
        <v>45</v>
      </c>
      <c r="H724" s="55">
        <v>4585</v>
      </c>
      <c r="I724" s="56">
        <f t="shared" si="56"/>
        <v>0.30790410314955341</v>
      </c>
      <c r="J724" s="55">
        <v>194</v>
      </c>
      <c r="K724" s="56">
        <f t="shared" si="57"/>
        <v>1.3028003492042172E-2</v>
      </c>
      <c r="L724" s="56">
        <f t="shared" si="58"/>
        <v>4.2311886586695747E-2</v>
      </c>
      <c r="M724" s="55">
        <v>14</v>
      </c>
      <c r="N724" s="56">
        <f t="shared" si="59"/>
        <v>9.4016520045665168E-4</v>
      </c>
      <c r="O724" s="53" t="s">
        <v>452</v>
      </c>
    </row>
    <row r="725" spans="1:15" hidden="1" x14ac:dyDescent="0.25">
      <c r="A725" s="52" t="s">
        <v>719</v>
      </c>
      <c r="B725" s="53" t="s">
        <v>439</v>
      </c>
      <c r="C725" s="53" t="s">
        <v>447</v>
      </c>
      <c r="D725" s="54">
        <v>45087</v>
      </c>
      <c r="E725" s="55">
        <v>64687</v>
      </c>
      <c r="F725" s="56">
        <f t="shared" si="55"/>
        <v>0.99693910677570452</v>
      </c>
      <c r="G725" s="55">
        <v>198</v>
      </c>
      <c r="H725" s="55">
        <v>31224</v>
      </c>
      <c r="I725" s="56">
        <f t="shared" si="56"/>
        <v>0.48269358603738</v>
      </c>
      <c r="J725" s="55">
        <v>4097</v>
      </c>
      <c r="K725" s="56">
        <f t="shared" si="57"/>
        <v>6.3335755252214507E-2</v>
      </c>
      <c r="L725" s="56">
        <f t="shared" si="58"/>
        <v>0.13121316935690494</v>
      </c>
      <c r="M725" s="55">
        <v>41</v>
      </c>
      <c r="N725" s="56">
        <f t="shared" si="59"/>
        <v>6.3382132422279598E-4</v>
      </c>
      <c r="O725" s="53" t="s">
        <v>448</v>
      </c>
    </row>
    <row r="726" spans="1:15" hidden="1" x14ac:dyDescent="0.25">
      <c r="A726" s="52" t="s">
        <v>18</v>
      </c>
      <c r="B726" s="53" t="s">
        <v>439</v>
      </c>
      <c r="C726" s="53" t="s">
        <v>443</v>
      </c>
      <c r="D726" s="54">
        <v>45090</v>
      </c>
      <c r="E726" s="55">
        <v>26538</v>
      </c>
      <c r="F726" s="56">
        <f t="shared" si="55"/>
        <v>0.99649559122767351</v>
      </c>
      <c r="G726" s="55">
        <v>93</v>
      </c>
      <c r="H726" s="55">
        <v>9069</v>
      </c>
      <c r="I726" s="56">
        <f t="shared" si="56"/>
        <v>0.34173637802396561</v>
      </c>
      <c r="J726" s="55">
        <v>200</v>
      </c>
      <c r="K726" s="56">
        <f t="shared" si="57"/>
        <v>7.5363629512397315E-3</v>
      </c>
      <c r="L726" s="56">
        <f t="shared" si="58"/>
        <v>2.2053148086889404E-2</v>
      </c>
      <c r="M726" s="55">
        <v>9</v>
      </c>
      <c r="N726" s="56">
        <f t="shared" si="59"/>
        <v>3.3913633280578795E-4</v>
      </c>
      <c r="O726" s="53" t="s">
        <v>443</v>
      </c>
    </row>
    <row r="727" spans="1:15" hidden="1" x14ac:dyDescent="0.25">
      <c r="A727" s="52" t="s">
        <v>18</v>
      </c>
      <c r="B727" s="53" t="s">
        <v>444</v>
      </c>
      <c r="C727" s="53" t="s">
        <v>443</v>
      </c>
      <c r="D727" s="54">
        <v>45090</v>
      </c>
      <c r="E727" s="55">
        <v>27681</v>
      </c>
      <c r="F727" s="56">
        <f t="shared" si="55"/>
        <v>0.99765181893717714</v>
      </c>
      <c r="G727" s="55">
        <v>65</v>
      </c>
      <c r="H727" s="55">
        <v>9708</v>
      </c>
      <c r="I727" s="56">
        <f t="shared" si="56"/>
        <v>0.35070987319822261</v>
      </c>
      <c r="J727" s="55">
        <v>154</v>
      </c>
      <c r="K727" s="56">
        <f t="shared" si="57"/>
        <v>5.5633828257649655E-3</v>
      </c>
      <c r="L727" s="56">
        <f t="shared" si="58"/>
        <v>1.5863205603625877E-2</v>
      </c>
      <c r="M727" s="55">
        <v>26</v>
      </c>
      <c r="N727" s="56">
        <f t="shared" si="59"/>
        <v>9.3927242512914998E-4</v>
      </c>
      <c r="O727" s="53" t="s">
        <v>443</v>
      </c>
    </row>
    <row r="728" spans="1:15" hidden="1" x14ac:dyDescent="0.25">
      <c r="A728" s="52" t="s">
        <v>19</v>
      </c>
      <c r="B728" s="53" t="s">
        <v>439</v>
      </c>
      <c r="C728" s="53" t="s">
        <v>443</v>
      </c>
      <c r="D728" s="54">
        <v>45090</v>
      </c>
      <c r="E728" s="55">
        <v>243577</v>
      </c>
      <c r="F728" s="56">
        <f t="shared" si="55"/>
        <v>0.99639949584730902</v>
      </c>
      <c r="G728" s="55">
        <v>877</v>
      </c>
      <c r="H728" s="55">
        <v>86167</v>
      </c>
      <c r="I728" s="56">
        <f t="shared" si="56"/>
        <v>0.35375671758827804</v>
      </c>
      <c r="J728" s="55">
        <v>1483</v>
      </c>
      <c r="K728" s="56">
        <f t="shared" si="57"/>
        <v>6.0884237838547978E-3</v>
      </c>
      <c r="L728" s="56">
        <f t="shared" si="58"/>
        <v>1.7210765142107766E-2</v>
      </c>
      <c r="M728" s="55">
        <v>105</v>
      </c>
      <c r="N728" s="56">
        <f t="shared" si="59"/>
        <v>4.3107518361750082E-4</v>
      </c>
      <c r="O728" s="53" t="s">
        <v>443</v>
      </c>
    </row>
    <row r="729" spans="1:15" hidden="1" x14ac:dyDescent="0.25">
      <c r="A729" s="52" t="s">
        <v>19</v>
      </c>
      <c r="B729" s="53" t="s">
        <v>444</v>
      </c>
      <c r="C729" s="53" t="s">
        <v>443</v>
      </c>
      <c r="D729" s="54">
        <v>45090</v>
      </c>
      <c r="E729" s="55">
        <v>473963</v>
      </c>
      <c r="F729" s="56">
        <f t="shared" si="55"/>
        <v>0.99730991659686519</v>
      </c>
      <c r="G729" s="55">
        <v>1275</v>
      </c>
      <c r="H729" s="55">
        <v>180894</v>
      </c>
      <c r="I729" s="56">
        <f t="shared" si="56"/>
        <v>0.38166270362876425</v>
      </c>
      <c r="J729" s="55">
        <v>2183</v>
      </c>
      <c r="K729" s="56">
        <f t="shared" si="57"/>
        <v>4.605844760034011E-3</v>
      </c>
      <c r="L729" s="56">
        <f t="shared" si="58"/>
        <v>1.2067840834964122E-2</v>
      </c>
      <c r="M729" s="55">
        <v>348</v>
      </c>
      <c r="N729" s="56">
        <f t="shared" si="59"/>
        <v>7.3423452885562797E-4</v>
      </c>
      <c r="O729" s="53" t="s">
        <v>443</v>
      </c>
    </row>
    <row r="730" spans="1:15" x14ac:dyDescent="0.25">
      <c r="A730" s="52" t="s">
        <v>720</v>
      </c>
      <c r="B730" s="53" t="s">
        <v>444</v>
      </c>
      <c r="C730" s="53" t="s">
        <v>452</v>
      </c>
      <c r="D730" s="54">
        <v>45090</v>
      </c>
      <c r="E730" s="55">
        <v>51342</v>
      </c>
      <c r="F730" s="56">
        <f t="shared" si="55"/>
        <v>0.99785750457714928</v>
      </c>
      <c r="G730" s="55">
        <v>110</v>
      </c>
      <c r="H730" s="55">
        <v>16467</v>
      </c>
      <c r="I730" s="56">
        <f t="shared" si="56"/>
        <v>0.32073156480074794</v>
      </c>
      <c r="J730" s="55">
        <v>209</v>
      </c>
      <c r="K730" s="56">
        <f t="shared" si="57"/>
        <v>4.0707413034163061E-3</v>
      </c>
      <c r="L730" s="56">
        <f t="shared" si="58"/>
        <v>1.2692050768203072E-2</v>
      </c>
      <c r="M730" s="55">
        <v>76</v>
      </c>
      <c r="N730" s="56">
        <f t="shared" si="59"/>
        <v>1.4802695648786569E-3</v>
      </c>
      <c r="O730" s="53" t="s">
        <v>452</v>
      </c>
    </row>
    <row r="731" spans="1:15" x14ac:dyDescent="0.25">
      <c r="A731" s="52" t="s">
        <v>720</v>
      </c>
      <c r="B731" s="53" t="s">
        <v>439</v>
      </c>
      <c r="C731" s="53" t="s">
        <v>452</v>
      </c>
      <c r="D731" s="54">
        <v>45090</v>
      </c>
      <c r="E731" s="55">
        <v>46205</v>
      </c>
      <c r="F731" s="56">
        <f t="shared" si="55"/>
        <v>0.99722973704144569</v>
      </c>
      <c r="G731" s="55">
        <v>128</v>
      </c>
      <c r="H731" s="55">
        <v>15250</v>
      </c>
      <c r="I731" s="56">
        <f t="shared" si="56"/>
        <v>0.33005086029650471</v>
      </c>
      <c r="J731" s="55">
        <v>175</v>
      </c>
      <c r="K731" s="56">
        <f t="shared" si="57"/>
        <v>3.7874688886484148E-3</v>
      </c>
      <c r="L731" s="56">
        <f t="shared" si="58"/>
        <v>1.1475409836065573E-2</v>
      </c>
      <c r="M731" s="55">
        <v>20</v>
      </c>
      <c r="N731" s="56">
        <f t="shared" si="59"/>
        <v>4.3285358727410453E-4</v>
      </c>
      <c r="O731" s="53" t="s">
        <v>452</v>
      </c>
    </row>
    <row r="732" spans="1:15" x14ac:dyDescent="0.25">
      <c r="A732" s="52" t="s">
        <v>721</v>
      </c>
      <c r="B732" s="53" t="s">
        <v>439</v>
      </c>
      <c r="C732" s="53" t="s">
        <v>452</v>
      </c>
      <c r="D732" s="54">
        <v>45090</v>
      </c>
      <c r="E732" s="55">
        <v>791462</v>
      </c>
      <c r="F732" s="56">
        <f t="shared" si="55"/>
        <v>0.99723928628285374</v>
      </c>
      <c r="G732" s="55">
        <v>2185</v>
      </c>
      <c r="H732" s="55">
        <v>365535</v>
      </c>
      <c r="I732" s="56">
        <f t="shared" si="56"/>
        <v>0.46184782086821602</v>
      </c>
      <c r="J732" s="55">
        <v>3029</v>
      </c>
      <c r="K732" s="56">
        <f t="shared" si="57"/>
        <v>3.8270946678425496E-3</v>
      </c>
      <c r="L732" s="56">
        <f t="shared" si="58"/>
        <v>8.2864841943999894E-3</v>
      </c>
      <c r="M732" s="55">
        <v>679</v>
      </c>
      <c r="N732" s="56">
        <f t="shared" si="59"/>
        <v>8.5790600180425593E-4</v>
      </c>
      <c r="O732" s="53" t="s">
        <v>452</v>
      </c>
    </row>
    <row r="733" spans="1:15" x14ac:dyDescent="0.25">
      <c r="A733" s="52" t="s">
        <v>721</v>
      </c>
      <c r="B733" s="53" t="s">
        <v>444</v>
      </c>
      <c r="C733" s="53" t="s">
        <v>452</v>
      </c>
      <c r="D733" s="54">
        <v>45090</v>
      </c>
      <c r="E733" s="55">
        <v>575537</v>
      </c>
      <c r="F733" s="56">
        <f t="shared" si="55"/>
        <v>0.99763525194731184</v>
      </c>
      <c r="G733" s="55">
        <v>1361</v>
      </c>
      <c r="H733" s="55">
        <v>259170</v>
      </c>
      <c r="I733" s="56">
        <f t="shared" si="56"/>
        <v>0.45030988450785964</v>
      </c>
      <c r="J733" s="55">
        <v>2376</v>
      </c>
      <c r="K733" s="56">
        <f t="shared" si="57"/>
        <v>4.1283184226209605E-3</v>
      </c>
      <c r="L733" s="56">
        <f t="shared" si="58"/>
        <v>9.167727746266929E-3</v>
      </c>
      <c r="M733" s="55">
        <v>1093</v>
      </c>
      <c r="N733" s="56">
        <f t="shared" si="59"/>
        <v>1.8990959747157872E-3</v>
      </c>
      <c r="O733" s="53" t="s">
        <v>452</v>
      </c>
    </row>
    <row r="734" spans="1:15" hidden="1" x14ac:dyDescent="0.25">
      <c r="A734" s="52" t="s">
        <v>722</v>
      </c>
      <c r="B734" s="53" t="s">
        <v>439</v>
      </c>
      <c r="C734" s="53" t="s">
        <v>443</v>
      </c>
      <c r="D734" s="54">
        <v>45091</v>
      </c>
      <c r="E734" s="55">
        <v>8778</v>
      </c>
      <c r="F734" s="56">
        <f t="shared" si="55"/>
        <v>0.99851902483481436</v>
      </c>
      <c r="G734" s="55">
        <v>13</v>
      </c>
      <c r="H734" s="55">
        <v>2802</v>
      </c>
      <c r="I734" s="56">
        <f t="shared" si="56"/>
        <v>0.31920710868079288</v>
      </c>
      <c r="J734" s="55">
        <v>37</v>
      </c>
      <c r="K734" s="56">
        <f t="shared" si="57"/>
        <v>4.2150831624515831E-3</v>
      </c>
      <c r="L734" s="56">
        <f t="shared" si="58"/>
        <v>1.3204853675945753E-2</v>
      </c>
      <c r="M734" s="55">
        <v>3</v>
      </c>
      <c r="N734" s="56">
        <f t="shared" si="59"/>
        <v>3.4176349965823653E-4</v>
      </c>
      <c r="O734" s="53" t="s">
        <v>443</v>
      </c>
    </row>
    <row r="735" spans="1:15" hidden="1" x14ac:dyDescent="0.25">
      <c r="A735" s="52" t="s">
        <v>723</v>
      </c>
      <c r="B735" s="53" t="s">
        <v>439</v>
      </c>
      <c r="C735" s="53" t="s">
        <v>443</v>
      </c>
      <c r="D735" s="54">
        <v>45091</v>
      </c>
      <c r="E735" s="55">
        <v>8784</v>
      </c>
      <c r="F735" s="56">
        <f t="shared" si="55"/>
        <v>0.99749544626593811</v>
      </c>
      <c r="G735" s="55">
        <v>22</v>
      </c>
      <c r="H735" s="55">
        <v>2864</v>
      </c>
      <c r="I735" s="56">
        <f t="shared" si="56"/>
        <v>0.32604735883424407</v>
      </c>
      <c r="J735" s="55">
        <v>57</v>
      </c>
      <c r="K735" s="56">
        <f t="shared" si="57"/>
        <v>6.4890710382513664E-3</v>
      </c>
      <c r="L735" s="56">
        <f t="shared" si="58"/>
        <v>1.9902234636871508E-2</v>
      </c>
      <c r="M735" s="55">
        <v>4</v>
      </c>
      <c r="N735" s="56">
        <f t="shared" si="59"/>
        <v>4.5537340619307832E-4</v>
      </c>
      <c r="O735" s="53" t="s">
        <v>443</v>
      </c>
    </row>
    <row r="736" spans="1:15" hidden="1" x14ac:dyDescent="0.25">
      <c r="A736" s="52" t="s">
        <v>724</v>
      </c>
      <c r="B736" s="53" t="s">
        <v>439</v>
      </c>
      <c r="C736" s="53" t="s">
        <v>443</v>
      </c>
      <c r="D736" s="54">
        <v>45091</v>
      </c>
      <c r="E736" s="55">
        <v>8285</v>
      </c>
      <c r="F736" s="56">
        <f t="shared" si="55"/>
        <v>0.99710319855159923</v>
      </c>
      <c r="G736" s="55">
        <v>24</v>
      </c>
      <c r="H736" s="55">
        <v>3208</v>
      </c>
      <c r="I736" s="56">
        <f t="shared" si="56"/>
        <v>0.38720579360289681</v>
      </c>
      <c r="J736" s="55">
        <v>46</v>
      </c>
      <c r="K736" s="56">
        <f t="shared" si="57"/>
        <v>5.552202776101388E-3</v>
      </c>
      <c r="L736" s="56">
        <f t="shared" si="58"/>
        <v>1.4339152119700748E-2</v>
      </c>
      <c r="M736" s="55">
        <v>5</v>
      </c>
      <c r="N736" s="56">
        <f t="shared" si="59"/>
        <v>6.0350030175015089E-4</v>
      </c>
      <c r="O736" s="53" t="s">
        <v>443</v>
      </c>
    </row>
    <row r="737" spans="1:15" hidden="1" x14ac:dyDescent="0.25">
      <c r="A737" s="52" t="s">
        <v>725</v>
      </c>
      <c r="B737" s="53" t="s">
        <v>439</v>
      </c>
      <c r="C737" s="53" t="s">
        <v>443</v>
      </c>
      <c r="D737" s="54">
        <v>45091</v>
      </c>
      <c r="E737" s="55">
        <v>8267</v>
      </c>
      <c r="F737" s="56">
        <f t="shared" si="55"/>
        <v>0.9972178541187855</v>
      </c>
      <c r="G737" s="55">
        <v>23</v>
      </c>
      <c r="H737" s="55">
        <v>3188</v>
      </c>
      <c r="I737" s="56">
        <f t="shared" si="56"/>
        <v>0.38562961170920529</v>
      </c>
      <c r="J737" s="55">
        <v>48</v>
      </c>
      <c r="K737" s="56">
        <f t="shared" si="57"/>
        <v>5.8062174912301926E-3</v>
      </c>
      <c r="L737" s="56">
        <f t="shared" si="58"/>
        <v>1.5056461731493099E-2</v>
      </c>
      <c r="M737" s="55">
        <v>2</v>
      </c>
      <c r="N737" s="56">
        <f t="shared" si="59"/>
        <v>2.4192572880125802E-4</v>
      </c>
      <c r="O737" s="53" t="s">
        <v>443</v>
      </c>
    </row>
    <row r="738" spans="1:15" hidden="1" x14ac:dyDescent="0.25">
      <c r="A738" s="52" t="s">
        <v>726</v>
      </c>
      <c r="B738" s="53" t="s">
        <v>439</v>
      </c>
      <c r="C738" s="53" t="s">
        <v>443</v>
      </c>
      <c r="D738" s="54">
        <v>45091</v>
      </c>
      <c r="E738" s="55">
        <v>194624</v>
      </c>
      <c r="F738" s="56">
        <f t="shared" si="55"/>
        <v>0.99729221473199603</v>
      </c>
      <c r="G738" s="55">
        <v>527</v>
      </c>
      <c r="H738" s="55">
        <v>71968</v>
      </c>
      <c r="I738" s="56">
        <f t="shared" si="56"/>
        <v>0.3697796777375863</v>
      </c>
      <c r="J738" s="55">
        <v>577</v>
      </c>
      <c r="K738" s="56">
        <f t="shared" si="57"/>
        <v>2.9646908911542258E-3</v>
      </c>
      <c r="L738" s="56">
        <f t="shared" si="58"/>
        <v>8.0174522009782128E-3</v>
      </c>
      <c r="M738" s="55">
        <v>131</v>
      </c>
      <c r="N738" s="56">
        <f t="shared" si="59"/>
        <v>6.7309273265373231E-4</v>
      </c>
      <c r="O738" s="53" t="s">
        <v>443</v>
      </c>
    </row>
    <row r="739" spans="1:15" hidden="1" x14ac:dyDescent="0.25">
      <c r="A739" s="52" t="s">
        <v>727</v>
      </c>
      <c r="B739" s="53" t="s">
        <v>439</v>
      </c>
      <c r="C739" s="53" t="s">
        <v>443</v>
      </c>
      <c r="D739" s="54">
        <v>45091</v>
      </c>
      <c r="E739" s="55">
        <v>194610</v>
      </c>
      <c r="F739" s="56">
        <f t="shared" si="55"/>
        <v>0.99717897333127792</v>
      </c>
      <c r="G739" s="55">
        <v>549</v>
      </c>
      <c r="H739" s="55">
        <v>84181</v>
      </c>
      <c r="I739" s="56">
        <f t="shared" si="56"/>
        <v>0.43256256101947482</v>
      </c>
      <c r="J739" s="55">
        <v>915</v>
      </c>
      <c r="K739" s="56">
        <f t="shared" si="57"/>
        <v>4.7017111145367663E-3</v>
      </c>
      <c r="L739" s="56">
        <f t="shared" si="58"/>
        <v>1.0869436096031171E-2</v>
      </c>
      <c r="M739" s="55">
        <v>165</v>
      </c>
      <c r="N739" s="56">
        <f t="shared" si="59"/>
        <v>8.4784954524433484E-4</v>
      </c>
      <c r="O739" s="53" t="s">
        <v>443</v>
      </c>
    </row>
    <row r="740" spans="1:15" hidden="1" x14ac:dyDescent="0.25">
      <c r="A740" s="52" t="s">
        <v>728</v>
      </c>
      <c r="B740" s="53" t="s">
        <v>439</v>
      </c>
      <c r="C740" s="53" t="s">
        <v>443</v>
      </c>
      <c r="D740" s="54">
        <v>45091</v>
      </c>
      <c r="E740" s="55">
        <v>256121</v>
      </c>
      <c r="F740" s="56">
        <f t="shared" si="55"/>
        <v>0.99704046134444269</v>
      </c>
      <c r="G740" s="55">
        <v>758</v>
      </c>
      <c r="H740" s="55">
        <v>96521</v>
      </c>
      <c r="I740" s="56">
        <f t="shared" si="56"/>
        <v>0.37685703241827107</v>
      </c>
      <c r="J740" s="55">
        <v>857</v>
      </c>
      <c r="K740" s="56">
        <f t="shared" si="57"/>
        <v>3.3460747068768276E-3</v>
      </c>
      <c r="L740" s="56">
        <f t="shared" si="58"/>
        <v>8.8788968203810572E-3</v>
      </c>
      <c r="M740" s="55">
        <v>252</v>
      </c>
      <c r="N740" s="56">
        <f t="shared" si="59"/>
        <v>9.839099488132563E-4</v>
      </c>
      <c r="O740" s="53" t="s">
        <v>443</v>
      </c>
    </row>
    <row r="741" spans="1:15" hidden="1" x14ac:dyDescent="0.25">
      <c r="A741" s="52" t="s">
        <v>729</v>
      </c>
      <c r="B741" s="53" t="s">
        <v>439</v>
      </c>
      <c r="C741" s="53" t="s">
        <v>443</v>
      </c>
      <c r="D741" s="54">
        <v>45091</v>
      </c>
      <c r="E741" s="55">
        <v>256196</v>
      </c>
      <c r="F741" s="56">
        <f t="shared" si="55"/>
        <v>0.99724039407328768</v>
      </c>
      <c r="G741" s="55">
        <v>707</v>
      </c>
      <c r="H741" s="55">
        <v>98914</v>
      </c>
      <c r="I741" s="56">
        <f t="shared" si="56"/>
        <v>0.38608721447641647</v>
      </c>
      <c r="J741" s="55">
        <v>1005</v>
      </c>
      <c r="K741" s="56">
        <f t="shared" si="57"/>
        <v>3.9227778731908379E-3</v>
      </c>
      <c r="L741" s="56">
        <f t="shared" si="58"/>
        <v>1.0160341306589563E-2</v>
      </c>
      <c r="M741" s="55">
        <v>286</v>
      </c>
      <c r="N741" s="56">
        <f t="shared" si="59"/>
        <v>1.1163328076941091E-3</v>
      </c>
      <c r="O741" s="53" t="s">
        <v>443</v>
      </c>
    </row>
    <row r="742" spans="1:15" hidden="1" x14ac:dyDescent="0.25">
      <c r="A742" s="52" t="s">
        <v>730</v>
      </c>
      <c r="B742" s="53" t="s">
        <v>439</v>
      </c>
      <c r="C742" s="53" t="s">
        <v>443</v>
      </c>
      <c r="D742" s="54">
        <v>45091</v>
      </c>
      <c r="E742" s="55">
        <v>130942</v>
      </c>
      <c r="F742" s="56">
        <f t="shared" si="55"/>
        <v>0.99699103419834734</v>
      </c>
      <c r="G742" s="55">
        <v>394</v>
      </c>
      <c r="H742" s="55">
        <v>40065</v>
      </c>
      <c r="I742" s="56">
        <f t="shared" si="56"/>
        <v>0.30597516457668278</v>
      </c>
      <c r="J742" s="55">
        <v>621</v>
      </c>
      <c r="K742" s="56">
        <f t="shared" si="57"/>
        <v>4.742557773670786E-3</v>
      </c>
      <c r="L742" s="56">
        <f t="shared" si="58"/>
        <v>1.5499812804193186E-2</v>
      </c>
      <c r="M742" s="55">
        <v>86</v>
      </c>
      <c r="N742" s="56">
        <f t="shared" si="59"/>
        <v>6.5677933741656606E-4</v>
      </c>
      <c r="O742" s="53" t="s">
        <v>443</v>
      </c>
    </row>
    <row r="743" spans="1:15" hidden="1" x14ac:dyDescent="0.25">
      <c r="A743" s="52" t="s">
        <v>730</v>
      </c>
      <c r="B743" s="53" t="s">
        <v>444</v>
      </c>
      <c r="C743" s="53" t="s">
        <v>443</v>
      </c>
      <c r="D743" s="54">
        <v>45091</v>
      </c>
      <c r="E743" s="55">
        <v>220276</v>
      </c>
      <c r="F743" s="56">
        <f t="shared" si="55"/>
        <v>0.99768472280230258</v>
      </c>
      <c r="G743" s="55">
        <v>510</v>
      </c>
      <c r="H743" s="55">
        <v>64731</v>
      </c>
      <c r="I743" s="56">
        <f t="shared" si="56"/>
        <v>0.29386315349833847</v>
      </c>
      <c r="J743" s="55">
        <v>931</v>
      </c>
      <c r="K743" s="56">
        <f t="shared" si="57"/>
        <v>4.2265158256006097E-3</v>
      </c>
      <c r="L743" s="56">
        <f t="shared" si="58"/>
        <v>1.4382598754846982E-2</v>
      </c>
      <c r="M743" s="55">
        <v>491</v>
      </c>
      <c r="N743" s="56">
        <f t="shared" si="59"/>
        <v>2.229021772685177E-3</v>
      </c>
      <c r="O743" s="53" t="s">
        <v>443</v>
      </c>
    </row>
    <row r="744" spans="1:15" hidden="1" x14ac:dyDescent="0.25">
      <c r="A744" s="52" t="s">
        <v>731</v>
      </c>
      <c r="B744" s="53" t="s">
        <v>444</v>
      </c>
      <c r="C744" s="53" t="s">
        <v>443</v>
      </c>
      <c r="D744" s="54">
        <v>45091</v>
      </c>
      <c r="E744" s="55">
        <v>2507932</v>
      </c>
      <c r="F744" s="56">
        <f t="shared" si="55"/>
        <v>0.99748079294015946</v>
      </c>
      <c r="G744" s="55">
        <v>6318</v>
      </c>
      <c r="H744" s="55">
        <v>838369</v>
      </c>
      <c r="I744" s="56">
        <f t="shared" si="56"/>
        <v>0.3342869742879791</v>
      </c>
      <c r="J744" s="55">
        <v>9671</v>
      </c>
      <c r="K744" s="56">
        <f t="shared" si="57"/>
        <v>3.8561651591829445E-3</v>
      </c>
      <c r="L744" s="56">
        <f t="shared" si="58"/>
        <v>1.1535493320960103E-2</v>
      </c>
      <c r="M744" s="55">
        <v>4761</v>
      </c>
      <c r="N744" s="56">
        <f t="shared" si="59"/>
        <v>1.8983768299937957E-3</v>
      </c>
      <c r="O744" s="53" t="s">
        <v>443</v>
      </c>
    </row>
    <row r="745" spans="1:15" hidden="1" x14ac:dyDescent="0.25">
      <c r="A745" s="52" t="s">
        <v>731</v>
      </c>
      <c r="B745" s="53" t="s">
        <v>439</v>
      </c>
      <c r="C745" s="53" t="s">
        <v>443</v>
      </c>
      <c r="D745" s="54">
        <v>45091</v>
      </c>
      <c r="E745" s="55">
        <v>2462411</v>
      </c>
      <c r="F745" s="56">
        <f t="shared" si="55"/>
        <v>0.99682790565831614</v>
      </c>
      <c r="G745" s="55">
        <v>7811</v>
      </c>
      <c r="H745" s="55">
        <v>924108</v>
      </c>
      <c r="I745" s="56">
        <f t="shared" si="56"/>
        <v>0.37528584789460412</v>
      </c>
      <c r="J745" s="55">
        <v>10712</v>
      </c>
      <c r="K745" s="56">
        <f t="shared" si="57"/>
        <v>4.3502079872125331E-3</v>
      </c>
      <c r="L745" s="56">
        <f t="shared" si="58"/>
        <v>1.1591718716859933E-2</v>
      </c>
      <c r="M745" s="55">
        <v>2463</v>
      </c>
      <c r="N745" s="56">
        <f t="shared" si="59"/>
        <v>1.000239196462329E-3</v>
      </c>
      <c r="O745" s="53" t="s">
        <v>443</v>
      </c>
    </row>
    <row r="746" spans="1:15" hidden="1" x14ac:dyDescent="0.25">
      <c r="A746" s="52" t="s">
        <v>732</v>
      </c>
      <c r="B746" s="53" t="s">
        <v>439</v>
      </c>
      <c r="C746" s="53" t="s">
        <v>443</v>
      </c>
      <c r="D746" s="54">
        <v>45092</v>
      </c>
      <c r="E746" s="55">
        <v>21427</v>
      </c>
      <c r="F746" s="56">
        <f t="shared" si="55"/>
        <v>0.99710645447332802</v>
      </c>
      <c r="G746" s="55">
        <v>62</v>
      </c>
      <c r="H746" s="55">
        <v>6281</v>
      </c>
      <c r="I746" s="56">
        <f t="shared" si="56"/>
        <v>0.29313482988752509</v>
      </c>
      <c r="J746" s="55">
        <v>54</v>
      </c>
      <c r="K746" s="56">
        <f t="shared" si="57"/>
        <v>2.520184813552994E-3</v>
      </c>
      <c r="L746" s="56">
        <f t="shared" si="58"/>
        <v>8.5973571087406466E-3</v>
      </c>
      <c r="M746" s="55">
        <v>7</v>
      </c>
      <c r="N746" s="56">
        <f t="shared" si="59"/>
        <v>3.2669062397909179E-4</v>
      </c>
      <c r="O746" s="53" t="s">
        <v>443</v>
      </c>
    </row>
    <row r="747" spans="1:15" hidden="1" x14ac:dyDescent="0.25">
      <c r="A747" s="52" t="s">
        <v>733</v>
      </c>
      <c r="B747" s="53" t="s">
        <v>439</v>
      </c>
      <c r="C747" s="53" t="s">
        <v>443</v>
      </c>
      <c r="D747" s="54">
        <v>45092</v>
      </c>
      <c r="E747" s="55">
        <v>370302</v>
      </c>
      <c r="F747" s="56">
        <f t="shared" si="55"/>
        <v>0.99729680098946261</v>
      </c>
      <c r="G747" s="55">
        <v>1001</v>
      </c>
      <c r="H747" s="55">
        <v>125205</v>
      </c>
      <c r="I747" s="56">
        <f t="shared" si="56"/>
        <v>0.3381159161981302</v>
      </c>
      <c r="J747" s="55">
        <v>830</v>
      </c>
      <c r="K747" s="56">
        <f t="shared" si="57"/>
        <v>2.2414137649810154E-3</v>
      </c>
      <c r="L747" s="56">
        <f t="shared" si="58"/>
        <v>6.6291282297032865E-3</v>
      </c>
      <c r="M747" s="55">
        <v>210</v>
      </c>
      <c r="N747" s="56">
        <f t="shared" si="59"/>
        <v>5.6710468752531719E-4</v>
      </c>
      <c r="O747" s="53" t="s">
        <v>443</v>
      </c>
    </row>
    <row r="748" spans="1:15" hidden="1" x14ac:dyDescent="0.25">
      <c r="A748" s="52" t="s">
        <v>734</v>
      </c>
      <c r="B748" s="53" t="s">
        <v>439</v>
      </c>
      <c r="C748" s="53" t="s">
        <v>443</v>
      </c>
      <c r="D748" s="54">
        <v>45092</v>
      </c>
      <c r="E748" s="55">
        <v>1143</v>
      </c>
      <c r="F748" s="56">
        <f t="shared" si="55"/>
        <v>0.99475065616797897</v>
      </c>
      <c r="G748" s="55">
        <v>6</v>
      </c>
      <c r="H748" s="55">
        <v>339</v>
      </c>
      <c r="I748" s="56">
        <f t="shared" si="56"/>
        <v>0.29658792650918636</v>
      </c>
      <c r="J748" s="55">
        <v>4</v>
      </c>
      <c r="K748" s="56">
        <f t="shared" si="57"/>
        <v>3.499562554680665E-3</v>
      </c>
      <c r="L748" s="56">
        <f t="shared" si="58"/>
        <v>1.1799410029498525E-2</v>
      </c>
      <c r="M748" s="55">
        <v>0</v>
      </c>
      <c r="N748" s="56">
        <f t="shared" si="59"/>
        <v>0</v>
      </c>
      <c r="O748" s="53" t="s">
        <v>443</v>
      </c>
    </row>
    <row r="749" spans="1:15" hidden="1" x14ac:dyDescent="0.25">
      <c r="A749" s="52" t="s">
        <v>735</v>
      </c>
      <c r="B749" s="53" t="s">
        <v>439</v>
      </c>
      <c r="C749" s="53" t="s">
        <v>443</v>
      </c>
      <c r="D749" s="54">
        <v>45092</v>
      </c>
      <c r="E749" s="55">
        <v>19550</v>
      </c>
      <c r="F749" s="56">
        <f t="shared" si="55"/>
        <v>0.99713554987212272</v>
      </c>
      <c r="G749" s="55">
        <v>56</v>
      </c>
      <c r="H749" s="55">
        <v>6574</v>
      </c>
      <c r="I749" s="56">
        <f t="shared" si="56"/>
        <v>0.33626598465473145</v>
      </c>
      <c r="J749" s="55">
        <v>37</v>
      </c>
      <c r="K749" s="56">
        <f t="shared" si="57"/>
        <v>1.8925831202046036E-3</v>
      </c>
      <c r="L749" s="56">
        <f t="shared" si="58"/>
        <v>5.6282324307879526E-3</v>
      </c>
      <c r="M749" s="55">
        <v>9</v>
      </c>
      <c r="N749" s="56">
        <f t="shared" si="59"/>
        <v>4.6035805626598467E-4</v>
      </c>
      <c r="O749" s="53" t="s">
        <v>443</v>
      </c>
    </row>
    <row r="750" spans="1:15" hidden="1" x14ac:dyDescent="0.25">
      <c r="A750" s="52" t="s">
        <v>736</v>
      </c>
      <c r="B750" s="53" t="s">
        <v>444</v>
      </c>
      <c r="C750" s="53" t="s">
        <v>592</v>
      </c>
      <c r="D750" s="54">
        <v>45092</v>
      </c>
      <c r="E750" s="55">
        <v>2073</v>
      </c>
      <c r="F750" s="56">
        <f t="shared" si="55"/>
        <v>0.99807042932947421</v>
      </c>
      <c r="G750" s="55">
        <v>4</v>
      </c>
      <c r="H750" s="55">
        <v>764</v>
      </c>
      <c r="I750" s="56">
        <f t="shared" si="56"/>
        <v>0.36854799807042932</v>
      </c>
      <c r="J750" s="55">
        <v>12</v>
      </c>
      <c r="K750" s="56">
        <f t="shared" si="57"/>
        <v>5.7887120115774236E-3</v>
      </c>
      <c r="L750" s="56">
        <f t="shared" si="58"/>
        <v>1.5706806282722512E-2</v>
      </c>
      <c r="M750" s="55">
        <v>2</v>
      </c>
      <c r="N750" s="56">
        <f t="shared" si="59"/>
        <v>9.6478533526290404E-4</v>
      </c>
      <c r="O750" s="53" t="s">
        <v>592</v>
      </c>
    </row>
    <row r="751" spans="1:15" hidden="1" x14ac:dyDescent="0.25">
      <c r="A751" s="52" t="s">
        <v>736</v>
      </c>
      <c r="B751" s="53" t="s">
        <v>439</v>
      </c>
      <c r="C751" s="53" t="s">
        <v>592</v>
      </c>
      <c r="D751" s="54">
        <v>45092</v>
      </c>
      <c r="E751" s="55">
        <v>2899</v>
      </c>
      <c r="F751" s="56">
        <f t="shared" si="55"/>
        <v>0.99689548120041394</v>
      </c>
      <c r="G751" s="55">
        <v>9</v>
      </c>
      <c r="H751" s="55">
        <v>1177</v>
      </c>
      <c r="I751" s="56">
        <f t="shared" si="56"/>
        <v>0.40600206967919972</v>
      </c>
      <c r="J751" s="55">
        <v>29</v>
      </c>
      <c r="K751" s="56">
        <f t="shared" si="57"/>
        <v>1.0003449465332874E-2</v>
      </c>
      <c r="L751" s="56">
        <f t="shared" si="58"/>
        <v>2.4638912489379779E-2</v>
      </c>
      <c r="M751" s="55">
        <v>0</v>
      </c>
      <c r="N751" s="56">
        <f t="shared" si="59"/>
        <v>0</v>
      </c>
      <c r="O751" s="53" t="s">
        <v>592</v>
      </c>
    </row>
    <row r="752" spans="1:15" hidden="1" x14ac:dyDescent="0.25">
      <c r="A752" s="52" t="s">
        <v>737</v>
      </c>
      <c r="B752" s="53" t="s">
        <v>444</v>
      </c>
      <c r="C752" s="53" t="s">
        <v>592</v>
      </c>
      <c r="D752" s="54">
        <v>45092</v>
      </c>
      <c r="E752" s="55">
        <v>16260</v>
      </c>
      <c r="F752" s="56">
        <f t="shared" si="55"/>
        <v>0.99772447724477242</v>
      </c>
      <c r="G752" s="55">
        <v>37</v>
      </c>
      <c r="H752" s="55">
        <v>7339</v>
      </c>
      <c r="I752" s="56">
        <f t="shared" si="56"/>
        <v>0.45135301353013529</v>
      </c>
      <c r="J752" s="55">
        <v>146</v>
      </c>
      <c r="K752" s="56">
        <f t="shared" si="57"/>
        <v>8.9790897908979088E-3</v>
      </c>
      <c r="L752" s="56">
        <f t="shared" si="58"/>
        <v>1.9893718490257527E-2</v>
      </c>
      <c r="M752" s="55">
        <v>25</v>
      </c>
      <c r="N752" s="56">
        <f t="shared" si="59"/>
        <v>1.5375153751537515E-3</v>
      </c>
      <c r="O752" s="53" t="s">
        <v>592</v>
      </c>
    </row>
    <row r="753" spans="1:15" hidden="1" x14ac:dyDescent="0.25">
      <c r="A753" s="52" t="s">
        <v>737</v>
      </c>
      <c r="B753" s="53" t="s">
        <v>439</v>
      </c>
      <c r="C753" s="53" t="s">
        <v>592</v>
      </c>
      <c r="D753" s="54">
        <v>45092</v>
      </c>
      <c r="E753" s="55">
        <v>84433</v>
      </c>
      <c r="F753" s="56">
        <f t="shared" si="55"/>
        <v>0.99816422488837298</v>
      </c>
      <c r="G753" s="55">
        <v>155</v>
      </c>
      <c r="H753" s="55">
        <v>34218</v>
      </c>
      <c r="I753" s="56">
        <f t="shared" si="56"/>
        <v>0.40526808238484952</v>
      </c>
      <c r="J753" s="55">
        <v>561</v>
      </c>
      <c r="K753" s="56">
        <f t="shared" si="57"/>
        <v>6.6443215330498741E-3</v>
      </c>
      <c r="L753" s="56">
        <f t="shared" si="58"/>
        <v>1.6394879887778362E-2</v>
      </c>
      <c r="M753" s="55">
        <v>29</v>
      </c>
      <c r="N753" s="56">
        <f t="shared" si="59"/>
        <v>3.434676015302074E-4</v>
      </c>
      <c r="O753" s="53" t="s">
        <v>592</v>
      </c>
    </row>
    <row r="754" spans="1:15" hidden="1" x14ac:dyDescent="0.25">
      <c r="A754" s="58" t="s">
        <v>449</v>
      </c>
      <c r="B754" s="53"/>
      <c r="C754" s="53" t="s">
        <v>446</v>
      </c>
      <c r="D754" s="54">
        <v>45092</v>
      </c>
      <c r="E754" s="55">
        <v>1641</v>
      </c>
      <c r="F754" s="56">
        <f t="shared" si="55"/>
        <v>0.99878123095673366</v>
      </c>
      <c r="G754" s="55">
        <v>2</v>
      </c>
      <c r="H754" s="55">
        <v>580</v>
      </c>
      <c r="I754" s="56">
        <f t="shared" si="56"/>
        <v>0.35344302254722731</v>
      </c>
      <c r="J754" s="55">
        <v>15</v>
      </c>
      <c r="K754" s="56">
        <f t="shared" si="57"/>
        <v>9.140767824497258E-3</v>
      </c>
      <c r="L754" s="56">
        <f t="shared" si="58"/>
        <v>2.5862068965517241E-2</v>
      </c>
      <c r="M754" s="55">
        <v>0</v>
      </c>
      <c r="N754" s="56">
        <f t="shared" si="59"/>
        <v>0</v>
      </c>
      <c r="O754" s="53" t="s">
        <v>446</v>
      </c>
    </row>
    <row r="755" spans="1:15" x14ac:dyDescent="0.25">
      <c r="A755" s="52" t="s">
        <v>738</v>
      </c>
      <c r="B755" s="53" t="s">
        <v>444</v>
      </c>
      <c r="C755" s="53" t="s">
        <v>452</v>
      </c>
      <c r="D755" s="54">
        <v>45093</v>
      </c>
      <c r="E755" s="55">
        <v>352</v>
      </c>
      <c r="F755" s="56">
        <f t="shared" si="55"/>
        <v>1</v>
      </c>
      <c r="G755" s="55">
        <v>0</v>
      </c>
      <c r="H755" s="55">
        <v>132</v>
      </c>
      <c r="I755" s="56">
        <f t="shared" si="56"/>
        <v>0.375</v>
      </c>
      <c r="J755" s="55">
        <v>1</v>
      </c>
      <c r="K755" s="56">
        <f t="shared" si="57"/>
        <v>2.840909090909091E-3</v>
      </c>
      <c r="L755" s="56">
        <f t="shared" si="58"/>
        <v>7.575757575757576E-3</v>
      </c>
      <c r="M755" s="55">
        <v>0</v>
      </c>
      <c r="N755" s="56">
        <f t="shared" si="59"/>
        <v>0</v>
      </c>
      <c r="O755" s="53" t="s">
        <v>452</v>
      </c>
    </row>
    <row r="756" spans="1:15" x14ac:dyDescent="0.25">
      <c r="A756" s="52" t="s">
        <v>738</v>
      </c>
      <c r="B756" s="53" t="s">
        <v>439</v>
      </c>
      <c r="C756" s="53" t="s">
        <v>452</v>
      </c>
      <c r="D756" s="54">
        <v>45093</v>
      </c>
      <c r="E756" s="55">
        <v>282</v>
      </c>
      <c r="F756" s="56">
        <f t="shared" si="55"/>
        <v>1</v>
      </c>
      <c r="G756" s="55">
        <v>0</v>
      </c>
      <c r="H756" s="55">
        <v>127</v>
      </c>
      <c r="I756" s="56">
        <f t="shared" si="56"/>
        <v>0.450354609929078</v>
      </c>
      <c r="J756" s="55">
        <v>6</v>
      </c>
      <c r="K756" s="56">
        <f t="shared" si="57"/>
        <v>2.1276595744680851E-2</v>
      </c>
      <c r="L756" s="56">
        <f t="shared" si="58"/>
        <v>4.7244094488188976E-2</v>
      </c>
      <c r="M756" s="55">
        <v>0</v>
      </c>
      <c r="N756" s="56">
        <f t="shared" si="59"/>
        <v>0</v>
      </c>
      <c r="O756" s="53" t="s">
        <v>452</v>
      </c>
    </row>
    <row r="757" spans="1:15" x14ac:dyDescent="0.25">
      <c r="A757" s="52" t="s">
        <v>739</v>
      </c>
      <c r="B757" s="53" t="s">
        <v>444</v>
      </c>
      <c r="C757" s="53" t="s">
        <v>452</v>
      </c>
      <c r="D757" s="54">
        <v>45093</v>
      </c>
      <c r="E757" s="55">
        <v>5999</v>
      </c>
      <c r="F757" s="56">
        <f t="shared" si="55"/>
        <v>0.99799966661110184</v>
      </c>
      <c r="G757" s="55">
        <v>12</v>
      </c>
      <c r="H757" s="55">
        <v>3120</v>
      </c>
      <c r="I757" s="56">
        <f t="shared" si="56"/>
        <v>0.52008668111351897</v>
      </c>
      <c r="J757" s="55">
        <v>57</v>
      </c>
      <c r="K757" s="56">
        <f t="shared" si="57"/>
        <v>9.5015835972662114E-3</v>
      </c>
      <c r="L757" s="56">
        <f t="shared" si="58"/>
        <v>1.826923076923077E-2</v>
      </c>
      <c r="M757" s="55">
        <v>3</v>
      </c>
      <c r="N757" s="56">
        <f t="shared" si="59"/>
        <v>5.0008334722453744E-4</v>
      </c>
      <c r="O757" s="53" t="s">
        <v>452</v>
      </c>
    </row>
    <row r="758" spans="1:15" x14ac:dyDescent="0.25">
      <c r="A758" s="52" t="s">
        <v>739</v>
      </c>
      <c r="B758" s="53" t="s">
        <v>439</v>
      </c>
      <c r="C758" s="53" t="s">
        <v>452</v>
      </c>
      <c r="D758" s="54">
        <v>45093</v>
      </c>
      <c r="E758" s="55">
        <v>10322</v>
      </c>
      <c r="F758" s="56">
        <f t="shared" si="55"/>
        <v>0.99786863011044369</v>
      </c>
      <c r="G758" s="55">
        <v>22</v>
      </c>
      <c r="H758" s="55">
        <v>5500</v>
      </c>
      <c r="I758" s="56">
        <f t="shared" si="56"/>
        <v>0.5328424723890719</v>
      </c>
      <c r="J758" s="55">
        <v>118</v>
      </c>
      <c r="K758" s="56">
        <f t="shared" si="57"/>
        <v>1.1431893043983725E-2</v>
      </c>
      <c r="L758" s="56">
        <f t="shared" si="58"/>
        <v>2.1454545454545455E-2</v>
      </c>
      <c r="M758" s="55">
        <v>1</v>
      </c>
      <c r="N758" s="56">
        <f t="shared" si="59"/>
        <v>9.6880449525285791E-5</v>
      </c>
      <c r="O758" s="53" t="s">
        <v>452</v>
      </c>
    </row>
    <row r="759" spans="1:15" hidden="1" x14ac:dyDescent="0.25">
      <c r="A759" s="52" t="s">
        <v>740</v>
      </c>
      <c r="B759" s="53" t="s">
        <v>444</v>
      </c>
      <c r="C759" s="53" t="s">
        <v>443</v>
      </c>
      <c r="D759" s="54">
        <v>45093</v>
      </c>
      <c r="E759" s="55">
        <v>105614</v>
      </c>
      <c r="F759" s="56">
        <f t="shared" si="55"/>
        <v>0.99721627814494296</v>
      </c>
      <c r="G759" s="55">
        <v>294</v>
      </c>
      <c r="H759" s="55">
        <v>35336</v>
      </c>
      <c r="I759" s="56">
        <f t="shared" si="56"/>
        <v>0.33457685534114795</v>
      </c>
      <c r="J759" s="55">
        <v>282</v>
      </c>
      <c r="K759" s="56">
        <f t="shared" si="57"/>
        <v>2.6701005548506827E-3</v>
      </c>
      <c r="L759" s="56">
        <f t="shared" si="58"/>
        <v>7.9805297713380127E-3</v>
      </c>
      <c r="M759" s="55">
        <v>30</v>
      </c>
      <c r="N759" s="56">
        <f t="shared" si="59"/>
        <v>2.8405325051603005E-4</v>
      </c>
      <c r="O759" s="53" t="s">
        <v>443</v>
      </c>
    </row>
    <row r="760" spans="1:15" hidden="1" x14ac:dyDescent="0.25">
      <c r="A760" s="52" t="s">
        <v>740</v>
      </c>
      <c r="B760" s="53" t="s">
        <v>439</v>
      </c>
      <c r="C760" s="53" t="s">
        <v>443</v>
      </c>
      <c r="D760" s="54">
        <v>45093</v>
      </c>
      <c r="E760" s="55">
        <v>187116</v>
      </c>
      <c r="F760" s="56">
        <f t="shared" si="55"/>
        <v>0.99722097522392528</v>
      </c>
      <c r="G760" s="55">
        <v>520</v>
      </c>
      <c r="H760" s="55">
        <v>72724</v>
      </c>
      <c r="I760" s="56">
        <f t="shared" si="56"/>
        <v>0.38865730349088268</v>
      </c>
      <c r="J760" s="55">
        <v>553</v>
      </c>
      <c r="K760" s="56">
        <f t="shared" si="57"/>
        <v>2.9553859637871695E-3</v>
      </c>
      <c r="L760" s="56">
        <f t="shared" si="58"/>
        <v>7.6040921841482867E-3</v>
      </c>
      <c r="M760" s="55">
        <v>21</v>
      </c>
      <c r="N760" s="56">
        <f t="shared" si="59"/>
        <v>1.1222984672609504E-4</v>
      </c>
      <c r="O760" s="53" t="s">
        <v>443</v>
      </c>
    </row>
    <row r="761" spans="1:15" hidden="1" x14ac:dyDescent="0.25">
      <c r="A761" s="52" t="s">
        <v>22</v>
      </c>
      <c r="B761" s="53" t="s">
        <v>444</v>
      </c>
      <c r="C761" s="53" t="s">
        <v>443</v>
      </c>
      <c r="D761" s="54">
        <v>45093</v>
      </c>
      <c r="E761" s="55">
        <v>206333</v>
      </c>
      <c r="F761" s="56">
        <f t="shared" si="55"/>
        <v>0.99789175749880044</v>
      </c>
      <c r="G761" s="55">
        <v>435</v>
      </c>
      <c r="H761" s="55">
        <v>59044</v>
      </c>
      <c r="I761" s="56">
        <f t="shared" si="56"/>
        <v>0.28615878216281448</v>
      </c>
      <c r="J761" s="55">
        <v>1033</v>
      </c>
      <c r="K761" s="56">
        <f t="shared" si="57"/>
        <v>5.0064701235381639E-3</v>
      </c>
      <c r="L761" s="56">
        <f t="shared" si="58"/>
        <v>1.7495427139082718E-2</v>
      </c>
      <c r="M761" s="55">
        <v>54</v>
      </c>
      <c r="N761" s="56">
        <f t="shared" si="59"/>
        <v>2.6171286221787109E-4</v>
      </c>
      <c r="O761" s="53" t="s">
        <v>443</v>
      </c>
    </row>
    <row r="762" spans="1:15" hidden="1" x14ac:dyDescent="0.25">
      <c r="A762" s="52" t="s">
        <v>22</v>
      </c>
      <c r="B762" s="53" t="s">
        <v>439</v>
      </c>
      <c r="C762" s="53" t="s">
        <v>443</v>
      </c>
      <c r="D762" s="54">
        <v>45093</v>
      </c>
      <c r="E762" s="55">
        <v>105902</v>
      </c>
      <c r="F762" s="56">
        <f t="shared" si="55"/>
        <v>0.99721440577137355</v>
      </c>
      <c r="G762" s="55">
        <v>295</v>
      </c>
      <c r="H762" s="55">
        <v>32236</v>
      </c>
      <c r="I762" s="56">
        <f t="shared" si="56"/>
        <v>0.30439462899661951</v>
      </c>
      <c r="J762" s="55">
        <v>622</v>
      </c>
      <c r="K762" s="56">
        <f t="shared" si="57"/>
        <v>5.8733546108666506E-3</v>
      </c>
      <c r="L762" s="56">
        <f t="shared" si="58"/>
        <v>1.9295197915374117E-2</v>
      </c>
      <c r="M762" s="55">
        <v>13</v>
      </c>
      <c r="N762" s="56">
        <f t="shared" si="59"/>
        <v>1.2275499990557306E-4</v>
      </c>
      <c r="O762" s="53" t="s">
        <v>443</v>
      </c>
    </row>
    <row r="763" spans="1:15" hidden="1" x14ac:dyDescent="0.25">
      <c r="A763" s="52" t="s">
        <v>23</v>
      </c>
      <c r="B763" s="53" t="s">
        <v>444</v>
      </c>
      <c r="C763" s="53" t="s">
        <v>443</v>
      </c>
      <c r="D763" s="54">
        <v>45093</v>
      </c>
      <c r="E763" s="55">
        <v>2346541</v>
      </c>
      <c r="F763" s="56">
        <f t="shared" si="55"/>
        <v>0.99746435284957735</v>
      </c>
      <c r="G763" s="55">
        <v>5950</v>
      </c>
      <c r="H763" s="55">
        <v>759705</v>
      </c>
      <c r="I763" s="56">
        <f t="shared" si="56"/>
        <v>0.32375526359863305</v>
      </c>
      <c r="J763" s="55">
        <v>9756</v>
      </c>
      <c r="K763" s="56">
        <f t="shared" si="57"/>
        <v>4.1576090083233147E-3</v>
      </c>
      <c r="L763" s="56">
        <f t="shared" si="58"/>
        <v>1.2841826761703557E-2</v>
      </c>
      <c r="M763" s="55">
        <v>819</v>
      </c>
      <c r="N763" s="56">
        <f t="shared" si="59"/>
        <v>3.4902437246994619E-4</v>
      </c>
      <c r="O763" s="53" t="s">
        <v>443</v>
      </c>
    </row>
    <row r="764" spans="1:15" hidden="1" x14ac:dyDescent="0.25">
      <c r="A764" s="52" t="s">
        <v>23</v>
      </c>
      <c r="B764" s="53" t="s">
        <v>439</v>
      </c>
      <c r="C764" s="53" t="s">
        <v>443</v>
      </c>
      <c r="D764" s="54">
        <v>45093</v>
      </c>
      <c r="E764" s="55">
        <v>2037103</v>
      </c>
      <c r="F764" s="56">
        <f t="shared" si="55"/>
        <v>0.99706200422855396</v>
      </c>
      <c r="G764" s="55">
        <v>5985</v>
      </c>
      <c r="H764" s="55">
        <v>696383</v>
      </c>
      <c r="I764" s="56">
        <f t="shared" si="56"/>
        <v>0.34184967574050013</v>
      </c>
      <c r="J764" s="55">
        <v>9043</v>
      </c>
      <c r="K764" s="56">
        <f t="shared" si="57"/>
        <v>4.4391471614346452E-3</v>
      </c>
      <c r="L764" s="56">
        <f t="shared" si="58"/>
        <v>1.2985670241806592E-2</v>
      </c>
      <c r="M764" s="55">
        <v>400</v>
      </c>
      <c r="N764" s="56">
        <f t="shared" si="59"/>
        <v>1.9635727795796286E-4</v>
      </c>
      <c r="O764" s="53" t="s">
        <v>443</v>
      </c>
    </row>
    <row r="765" spans="1:15" x14ac:dyDescent="0.25">
      <c r="A765" s="52" t="s">
        <v>451</v>
      </c>
      <c r="B765" s="53" t="s">
        <v>444</v>
      </c>
      <c r="C765" s="53" t="s">
        <v>452</v>
      </c>
      <c r="D765" s="54">
        <v>45093</v>
      </c>
      <c r="E765" s="55">
        <v>232748</v>
      </c>
      <c r="F765" s="56">
        <f t="shared" si="55"/>
        <v>0.99796775912145319</v>
      </c>
      <c r="G765" s="55">
        <v>473</v>
      </c>
      <c r="H765" s="55">
        <v>102640</v>
      </c>
      <c r="I765" s="56">
        <f t="shared" si="56"/>
        <v>0.44099197415230207</v>
      </c>
      <c r="J765" s="55">
        <v>1887</v>
      </c>
      <c r="K765" s="56">
        <f t="shared" si="57"/>
        <v>8.1074810524687652E-3</v>
      </c>
      <c r="L765" s="56">
        <f t="shared" si="58"/>
        <v>1.8384645362431801E-2</v>
      </c>
      <c r="M765" s="55">
        <v>41</v>
      </c>
      <c r="N765" s="56">
        <f t="shared" si="59"/>
        <v>1.761561860896764E-4</v>
      </c>
      <c r="O765" s="53" t="s">
        <v>452</v>
      </c>
    </row>
    <row r="766" spans="1:15" x14ac:dyDescent="0.25">
      <c r="A766" s="52" t="s">
        <v>453</v>
      </c>
      <c r="B766" s="53" t="s">
        <v>444</v>
      </c>
      <c r="C766" s="53" t="s">
        <v>452</v>
      </c>
      <c r="D766" s="54">
        <v>45093</v>
      </c>
      <c r="E766" s="55">
        <v>331907</v>
      </c>
      <c r="F766" s="56">
        <f t="shared" si="55"/>
        <v>0.99636645204831475</v>
      </c>
      <c r="G766" s="55">
        <v>1206</v>
      </c>
      <c r="H766" s="55">
        <v>119489</v>
      </c>
      <c r="I766" s="56">
        <f t="shared" si="56"/>
        <v>0.3600074719725706</v>
      </c>
      <c r="J766" s="55">
        <v>2322</v>
      </c>
      <c r="K766" s="56">
        <f t="shared" si="57"/>
        <v>6.9959356084686375E-3</v>
      </c>
      <c r="L766" s="56">
        <f t="shared" si="58"/>
        <v>1.9432751131903354E-2</v>
      </c>
      <c r="M766" s="55">
        <v>69</v>
      </c>
      <c r="N766" s="56">
        <f t="shared" si="59"/>
        <v>2.0788955942477864E-4</v>
      </c>
      <c r="O766" s="53" t="s">
        <v>452</v>
      </c>
    </row>
    <row r="767" spans="1:15" hidden="1" x14ac:dyDescent="0.25">
      <c r="A767" s="52" t="s">
        <v>29</v>
      </c>
      <c r="B767" s="53" t="s">
        <v>439</v>
      </c>
      <c r="C767" s="53" t="s">
        <v>443</v>
      </c>
      <c r="D767" s="54">
        <v>45094</v>
      </c>
      <c r="E767" s="55">
        <v>29593</v>
      </c>
      <c r="F767" s="56">
        <f t="shared" si="55"/>
        <v>0.99797249349508332</v>
      </c>
      <c r="G767" s="55">
        <v>60</v>
      </c>
      <c r="H767" s="55">
        <v>8584</v>
      </c>
      <c r="I767" s="56">
        <f t="shared" si="56"/>
        <v>0.29006859730341633</v>
      </c>
      <c r="J767" s="55">
        <v>261</v>
      </c>
      <c r="K767" s="56">
        <f t="shared" si="57"/>
        <v>8.8196532963876594E-3</v>
      </c>
      <c r="L767" s="56">
        <f t="shared" si="58"/>
        <v>3.0405405405405407E-2</v>
      </c>
      <c r="M767" s="55">
        <v>2</v>
      </c>
      <c r="N767" s="56">
        <f t="shared" si="59"/>
        <v>6.7583550163890106E-5</v>
      </c>
      <c r="O767" s="53" t="s">
        <v>443</v>
      </c>
    </row>
    <row r="768" spans="1:15" hidden="1" x14ac:dyDescent="0.25">
      <c r="A768" s="52" t="s">
        <v>30</v>
      </c>
      <c r="B768" s="53" t="s">
        <v>439</v>
      </c>
      <c r="C768" s="53" t="s">
        <v>443</v>
      </c>
      <c r="D768" s="54">
        <v>45094</v>
      </c>
      <c r="E768" s="55">
        <v>476813</v>
      </c>
      <c r="F768" s="56">
        <f t="shared" si="55"/>
        <v>0.99746231751231618</v>
      </c>
      <c r="G768" s="55">
        <v>1210</v>
      </c>
      <c r="H768" s="55">
        <v>153105</v>
      </c>
      <c r="I768" s="56">
        <f t="shared" si="56"/>
        <v>0.32110072502217851</v>
      </c>
      <c r="J768" s="55">
        <v>2584</v>
      </c>
      <c r="K768" s="56">
        <f t="shared" si="57"/>
        <v>5.4193153290703067E-3</v>
      </c>
      <c r="L768" s="56">
        <f t="shared" si="58"/>
        <v>1.6877306423696156E-2</v>
      </c>
      <c r="M768" s="55">
        <v>52</v>
      </c>
      <c r="N768" s="56">
        <f t="shared" si="59"/>
        <v>1.0905742922277707E-4</v>
      </c>
      <c r="O768" s="53" t="s">
        <v>443</v>
      </c>
    </row>
    <row r="769" spans="1:15" hidden="1" x14ac:dyDescent="0.25">
      <c r="A769" s="52" t="s">
        <v>741</v>
      </c>
      <c r="B769" s="53" t="s">
        <v>439</v>
      </c>
      <c r="C769" s="53" t="s">
        <v>443</v>
      </c>
      <c r="D769" s="54">
        <v>45096</v>
      </c>
      <c r="E769" s="55">
        <v>32908</v>
      </c>
      <c r="F769" s="56">
        <f t="shared" si="55"/>
        <v>0.99796402090677039</v>
      </c>
      <c r="G769" s="55">
        <v>67</v>
      </c>
      <c r="H769" s="55">
        <v>10420</v>
      </c>
      <c r="I769" s="56">
        <f t="shared" si="56"/>
        <v>0.31664033061869457</v>
      </c>
      <c r="J769" s="55">
        <v>162</v>
      </c>
      <c r="K769" s="56">
        <f t="shared" si="57"/>
        <v>4.922815120943236E-3</v>
      </c>
      <c r="L769" s="56">
        <f t="shared" si="58"/>
        <v>1.5547024952015355E-2</v>
      </c>
      <c r="M769" s="55">
        <v>10</v>
      </c>
      <c r="N769" s="56">
        <f t="shared" si="59"/>
        <v>3.0387747660143429E-4</v>
      </c>
      <c r="O769" s="53" t="s">
        <v>443</v>
      </c>
    </row>
    <row r="770" spans="1:15" hidden="1" x14ac:dyDescent="0.25">
      <c r="A770" s="52" t="s">
        <v>741</v>
      </c>
      <c r="B770" s="53" t="s">
        <v>444</v>
      </c>
      <c r="C770" s="53" t="s">
        <v>443</v>
      </c>
      <c r="D770" s="54">
        <v>45096</v>
      </c>
      <c r="E770" s="55">
        <v>72284</v>
      </c>
      <c r="F770" s="56">
        <f t="shared" ref="F770:F833" si="60">(E770-G770)/E770</f>
        <v>0.99807702949477062</v>
      </c>
      <c r="G770" s="55">
        <v>139</v>
      </c>
      <c r="H770" s="55">
        <v>20984</v>
      </c>
      <c r="I770" s="56">
        <f t="shared" ref="I770:I833" si="61">H770/E770</f>
        <v>0.2902993746887278</v>
      </c>
      <c r="J770" s="55">
        <v>260</v>
      </c>
      <c r="K770" s="56">
        <f t="shared" ref="K770:K833" si="62">J770/E770</f>
        <v>3.5969232471916332E-3</v>
      </c>
      <c r="L770" s="56">
        <f t="shared" ref="L770:L833" si="63">J770/H770</f>
        <v>1.2390392680137247E-2</v>
      </c>
      <c r="M770" s="55">
        <v>103</v>
      </c>
      <c r="N770" s="56">
        <f t="shared" ref="N770:N833" si="64">M770/E770</f>
        <v>1.4249349786951469E-3</v>
      </c>
      <c r="O770" s="53" t="s">
        <v>443</v>
      </c>
    </row>
    <row r="771" spans="1:15" hidden="1" x14ac:dyDescent="0.25">
      <c r="A771" s="52" t="s">
        <v>742</v>
      </c>
      <c r="B771" s="53" t="s">
        <v>439</v>
      </c>
      <c r="C771" s="53" t="s">
        <v>443</v>
      </c>
      <c r="D771" s="54">
        <v>45096</v>
      </c>
      <c r="E771" s="55">
        <v>533727</v>
      </c>
      <c r="F771" s="56">
        <f t="shared" si="60"/>
        <v>0.99751371019266399</v>
      </c>
      <c r="G771" s="55">
        <v>1327</v>
      </c>
      <c r="H771" s="55">
        <v>216067</v>
      </c>
      <c r="I771" s="56">
        <f t="shared" si="61"/>
        <v>0.40482681220923805</v>
      </c>
      <c r="J771" s="55">
        <v>2517</v>
      </c>
      <c r="K771" s="56">
        <f t="shared" si="62"/>
        <v>4.7158940806816966E-3</v>
      </c>
      <c r="L771" s="56">
        <f t="shared" si="63"/>
        <v>1.1649164379567449E-2</v>
      </c>
      <c r="M771" s="55">
        <v>374</v>
      </c>
      <c r="N771" s="56">
        <f t="shared" si="64"/>
        <v>7.0073277162294579E-4</v>
      </c>
      <c r="O771" s="53" t="s">
        <v>443</v>
      </c>
    </row>
    <row r="772" spans="1:15" hidden="1" x14ac:dyDescent="0.25">
      <c r="A772" s="52" t="s">
        <v>742</v>
      </c>
      <c r="B772" s="53" t="s">
        <v>444</v>
      </c>
      <c r="C772" s="53" t="s">
        <v>443</v>
      </c>
      <c r="D772" s="54">
        <v>45096</v>
      </c>
      <c r="E772" s="55">
        <v>660849</v>
      </c>
      <c r="F772" s="56">
        <f t="shared" si="60"/>
        <v>0.99770446804035418</v>
      </c>
      <c r="G772" s="55">
        <v>1517</v>
      </c>
      <c r="H772" s="55">
        <v>234778</v>
      </c>
      <c r="I772" s="56">
        <f t="shared" si="61"/>
        <v>0.35526723956607331</v>
      </c>
      <c r="J772" s="55">
        <v>2263</v>
      </c>
      <c r="K772" s="56">
        <f t="shared" si="62"/>
        <v>3.4243828771776913E-3</v>
      </c>
      <c r="L772" s="56">
        <f t="shared" si="63"/>
        <v>9.6388929116015976E-3</v>
      </c>
      <c r="M772" s="55">
        <v>989</v>
      </c>
      <c r="N772" s="56">
        <f t="shared" si="64"/>
        <v>1.4965597284704979E-3</v>
      </c>
      <c r="O772" s="53" t="s">
        <v>443</v>
      </c>
    </row>
    <row r="773" spans="1:15" hidden="1" x14ac:dyDescent="0.25">
      <c r="A773" s="52" t="s">
        <v>18</v>
      </c>
      <c r="B773" s="53" t="s">
        <v>439</v>
      </c>
      <c r="C773" s="53" t="s">
        <v>443</v>
      </c>
      <c r="D773" s="54">
        <v>45097</v>
      </c>
      <c r="E773" s="55">
        <v>26581</v>
      </c>
      <c r="F773" s="56">
        <f t="shared" si="60"/>
        <v>0.99702795229675334</v>
      </c>
      <c r="G773" s="55">
        <v>79</v>
      </c>
      <c r="H773" s="55">
        <v>8881</v>
      </c>
      <c r="I773" s="56">
        <f t="shared" si="61"/>
        <v>0.33411083104473122</v>
      </c>
      <c r="J773" s="55">
        <v>191</v>
      </c>
      <c r="K773" s="56">
        <f t="shared" si="62"/>
        <v>7.1855836875964032E-3</v>
      </c>
      <c r="L773" s="56">
        <f t="shared" si="63"/>
        <v>2.1506587096047743E-2</v>
      </c>
      <c r="M773" s="55">
        <v>8</v>
      </c>
      <c r="N773" s="56">
        <f t="shared" si="64"/>
        <v>3.0096685602498023E-4</v>
      </c>
      <c r="O773" s="53" t="s">
        <v>443</v>
      </c>
    </row>
    <row r="774" spans="1:15" hidden="1" x14ac:dyDescent="0.25">
      <c r="A774" s="52" t="s">
        <v>18</v>
      </c>
      <c r="B774" s="53" t="s">
        <v>444</v>
      </c>
      <c r="C774" s="53" t="s">
        <v>443</v>
      </c>
      <c r="D774" s="54">
        <v>45097</v>
      </c>
      <c r="E774" s="55">
        <v>27747</v>
      </c>
      <c r="F774" s="56">
        <f t="shared" si="60"/>
        <v>0.99834216311673329</v>
      </c>
      <c r="G774" s="55">
        <v>46</v>
      </c>
      <c r="H774" s="55">
        <v>9448</v>
      </c>
      <c r="I774" s="56">
        <f t="shared" si="61"/>
        <v>0.34050527985007389</v>
      </c>
      <c r="J774" s="55">
        <v>165</v>
      </c>
      <c r="K774" s="56">
        <f t="shared" si="62"/>
        <v>5.946588820413018E-3</v>
      </c>
      <c r="L774" s="56">
        <f t="shared" si="63"/>
        <v>1.7464013547840811E-2</v>
      </c>
      <c r="M774" s="55">
        <v>20</v>
      </c>
      <c r="N774" s="56">
        <f t="shared" si="64"/>
        <v>7.2079864489854757E-4</v>
      </c>
      <c r="O774" s="53" t="s">
        <v>443</v>
      </c>
    </row>
    <row r="775" spans="1:15" hidden="1" x14ac:dyDescent="0.25">
      <c r="A775" s="52" t="s">
        <v>19</v>
      </c>
      <c r="B775" s="53" t="s">
        <v>439</v>
      </c>
      <c r="C775" s="53" t="s">
        <v>443</v>
      </c>
      <c r="D775" s="54">
        <v>45097</v>
      </c>
      <c r="E775" s="55">
        <v>245145</v>
      </c>
      <c r="F775" s="56">
        <f t="shared" si="60"/>
        <v>0.99704256664423097</v>
      </c>
      <c r="G775" s="55">
        <v>725</v>
      </c>
      <c r="H775" s="55">
        <v>85179</v>
      </c>
      <c r="I775" s="56">
        <f t="shared" si="61"/>
        <v>0.34746374594627671</v>
      </c>
      <c r="J775" s="55">
        <v>1355</v>
      </c>
      <c r="K775" s="56">
        <f t="shared" si="62"/>
        <v>5.5273409614717819E-3</v>
      </c>
      <c r="L775" s="56">
        <f t="shared" si="63"/>
        <v>1.590767677479191E-2</v>
      </c>
      <c r="M775" s="55">
        <v>117</v>
      </c>
      <c r="N775" s="56">
        <f t="shared" si="64"/>
        <v>4.7726855534479596E-4</v>
      </c>
      <c r="O775" s="53" t="s">
        <v>443</v>
      </c>
    </row>
    <row r="776" spans="1:15" hidden="1" x14ac:dyDescent="0.25">
      <c r="A776" s="52" t="s">
        <v>19</v>
      </c>
      <c r="B776" s="53" t="s">
        <v>444</v>
      </c>
      <c r="C776" s="53" t="s">
        <v>443</v>
      </c>
      <c r="D776" s="54">
        <v>45097</v>
      </c>
      <c r="E776" s="55">
        <v>477617</v>
      </c>
      <c r="F776" s="56">
        <f t="shared" si="60"/>
        <v>0.99774296141050256</v>
      </c>
      <c r="G776" s="55">
        <v>1078</v>
      </c>
      <c r="H776" s="55">
        <v>177179</v>
      </c>
      <c r="I776" s="56">
        <f t="shared" si="61"/>
        <v>0.37096460134375453</v>
      </c>
      <c r="J776" s="55">
        <v>2060</v>
      </c>
      <c r="K776" s="56">
        <f t="shared" si="62"/>
        <v>4.3130793083160776E-3</v>
      </c>
      <c r="L776" s="56">
        <f t="shared" si="63"/>
        <v>1.1626660044361916E-2</v>
      </c>
      <c r="M776" s="55">
        <v>406</v>
      </c>
      <c r="N776" s="56">
        <f t="shared" si="64"/>
        <v>8.5005349474579005E-4</v>
      </c>
      <c r="O776" s="53" t="s">
        <v>443</v>
      </c>
    </row>
    <row r="777" spans="1:15" hidden="1" x14ac:dyDescent="0.25">
      <c r="A777" s="52" t="s">
        <v>743</v>
      </c>
      <c r="B777" s="53"/>
      <c r="C777" s="53" t="s">
        <v>474</v>
      </c>
      <c r="D777" s="54">
        <v>45097</v>
      </c>
      <c r="E777" s="55">
        <v>7347</v>
      </c>
      <c r="F777" s="56">
        <f t="shared" si="60"/>
        <v>0.978494623655914</v>
      </c>
      <c r="G777" s="55">
        <v>158</v>
      </c>
      <c r="H777" s="55">
        <v>2291</v>
      </c>
      <c r="I777" s="56">
        <f t="shared" si="61"/>
        <v>0.31182795698924731</v>
      </c>
      <c r="J777" s="55">
        <v>185</v>
      </c>
      <c r="K777" s="56">
        <f t="shared" si="62"/>
        <v>2.5180345719341229E-2</v>
      </c>
      <c r="L777" s="56">
        <f t="shared" si="63"/>
        <v>8.0750763858577046E-2</v>
      </c>
      <c r="M777" s="55">
        <v>65</v>
      </c>
      <c r="N777" s="56">
        <f t="shared" si="64"/>
        <v>8.8471484959847559E-3</v>
      </c>
      <c r="O777" s="53" t="s">
        <v>474</v>
      </c>
    </row>
    <row r="778" spans="1:15" hidden="1" x14ac:dyDescent="0.25">
      <c r="A778" s="52" t="s">
        <v>744</v>
      </c>
      <c r="B778" s="53"/>
      <c r="C778" s="53" t="s">
        <v>474</v>
      </c>
      <c r="D778" s="54">
        <v>45097</v>
      </c>
      <c r="E778" s="55">
        <v>830</v>
      </c>
      <c r="F778" s="56">
        <f t="shared" si="60"/>
        <v>0.99036144578313257</v>
      </c>
      <c r="G778" s="55">
        <v>8</v>
      </c>
      <c r="H778" s="55">
        <v>196</v>
      </c>
      <c r="I778" s="56">
        <f t="shared" si="61"/>
        <v>0.236144578313253</v>
      </c>
      <c r="J778" s="55">
        <v>9</v>
      </c>
      <c r="K778" s="56">
        <f t="shared" si="62"/>
        <v>1.0843373493975903E-2</v>
      </c>
      <c r="L778" s="56">
        <f t="shared" si="63"/>
        <v>4.5918367346938778E-2</v>
      </c>
      <c r="M778" s="55">
        <v>4</v>
      </c>
      <c r="N778" s="56">
        <f t="shared" si="64"/>
        <v>4.8192771084337354E-3</v>
      </c>
      <c r="O778" s="53" t="s">
        <v>474</v>
      </c>
    </row>
    <row r="779" spans="1:15" hidden="1" x14ac:dyDescent="0.25">
      <c r="A779" s="52" t="s">
        <v>745</v>
      </c>
      <c r="B779" s="53" t="s">
        <v>439</v>
      </c>
      <c r="C779" s="53" t="s">
        <v>443</v>
      </c>
      <c r="D779" s="54">
        <v>45098</v>
      </c>
      <c r="E779" s="55">
        <v>130899</v>
      </c>
      <c r="F779" s="56">
        <f t="shared" si="60"/>
        <v>0.99750189077074691</v>
      </c>
      <c r="G779" s="55">
        <v>327</v>
      </c>
      <c r="H779" s="55">
        <v>40398</v>
      </c>
      <c r="I779" s="56">
        <f t="shared" si="61"/>
        <v>0.30861962276258798</v>
      </c>
      <c r="J779" s="55">
        <v>480</v>
      </c>
      <c r="K779" s="56">
        <f t="shared" si="62"/>
        <v>3.6669493273439827E-3</v>
      </c>
      <c r="L779" s="56">
        <f t="shared" si="63"/>
        <v>1.1881776325560671E-2</v>
      </c>
      <c r="M779" s="55">
        <v>77</v>
      </c>
      <c r="N779" s="56">
        <f t="shared" si="64"/>
        <v>5.8823978792809728E-4</v>
      </c>
      <c r="O779" s="53" t="s">
        <v>443</v>
      </c>
    </row>
    <row r="780" spans="1:15" hidden="1" x14ac:dyDescent="0.25">
      <c r="A780" s="52" t="s">
        <v>745</v>
      </c>
      <c r="B780" s="53" t="s">
        <v>444</v>
      </c>
      <c r="C780" s="53" t="s">
        <v>443</v>
      </c>
      <c r="D780" s="54">
        <v>45098</v>
      </c>
      <c r="E780" s="55">
        <v>219906</v>
      </c>
      <c r="F780" s="56">
        <f t="shared" si="60"/>
        <v>0.99808099824470453</v>
      </c>
      <c r="G780" s="55">
        <v>422</v>
      </c>
      <c r="H780" s="55">
        <v>63059</v>
      </c>
      <c r="I780" s="56">
        <f t="shared" si="61"/>
        <v>0.28675434049093701</v>
      </c>
      <c r="J780" s="55">
        <v>753</v>
      </c>
      <c r="K780" s="56">
        <f t="shared" si="62"/>
        <v>3.424190335870781E-3</v>
      </c>
      <c r="L780" s="56">
        <f t="shared" si="63"/>
        <v>1.1941197925752073E-2</v>
      </c>
      <c r="M780" s="55">
        <v>367</v>
      </c>
      <c r="N780" s="56">
        <f t="shared" si="64"/>
        <v>1.6688948914536212E-3</v>
      </c>
      <c r="O780" s="53" t="s">
        <v>443</v>
      </c>
    </row>
    <row r="781" spans="1:15" hidden="1" x14ac:dyDescent="0.25">
      <c r="A781" s="52" t="s">
        <v>746</v>
      </c>
      <c r="B781" s="53" t="s">
        <v>439</v>
      </c>
      <c r="C781" s="53" t="s">
        <v>443</v>
      </c>
      <c r="D781" s="54">
        <v>45098</v>
      </c>
      <c r="E781" s="55">
        <v>2476464</v>
      </c>
      <c r="F781" s="56">
        <f t="shared" si="60"/>
        <v>0.99721215410359287</v>
      </c>
      <c r="G781" s="55">
        <v>6904</v>
      </c>
      <c r="H781" s="55">
        <v>879794</v>
      </c>
      <c r="I781" s="56">
        <f t="shared" si="61"/>
        <v>0.35526218026993328</v>
      </c>
      <c r="J781" s="55">
        <v>9961</v>
      </c>
      <c r="K781" s="56">
        <f t="shared" si="62"/>
        <v>4.0222672326349178E-3</v>
      </c>
      <c r="L781" s="56">
        <f t="shared" si="63"/>
        <v>1.1321968551729155E-2</v>
      </c>
      <c r="M781" s="55">
        <v>2058</v>
      </c>
      <c r="N781" s="56">
        <f t="shared" si="64"/>
        <v>8.310235884713042E-4</v>
      </c>
      <c r="O781" s="53" t="s">
        <v>443</v>
      </c>
    </row>
    <row r="782" spans="1:15" hidden="1" x14ac:dyDescent="0.25">
      <c r="A782" s="52" t="s">
        <v>746</v>
      </c>
      <c r="B782" s="53" t="s">
        <v>444</v>
      </c>
      <c r="C782" s="53" t="s">
        <v>443</v>
      </c>
      <c r="D782" s="54">
        <v>45098</v>
      </c>
      <c r="E782" s="55">
        <v>2511962</v>
      </c>
      <c r="F782" s="56">
        <f t="shared" si="60"/>
        <v>0.99773961548781387</v>
      </c>
      <c r="G782" s="55">
        <v>5678</v>
      </c>
      <c r="H782" s="55">
        <v>847258</v>
      </c>
      <c r="I782" s="56">
        <f t="shared" si="61"/>
        <v>0.33728933797565408</v>
      </c>
      <c r="J782" s="55">
        <v>10431</v>
      </c>
      <c r="K782" s="56">
        <f t="shared" si="62"/>
        <v>4.152530969815626E-3</v>
      </c>
      <c r="L782" s="56">
        <f t="shared" si="63"/>
        <v>1.231148009225053E-2</v>
      </c>
      <c r="M782" s="55">
        <v>4497</v>
      </c>
      <c r="N782" s="56">
        <f t="shared" si="64"/>
        <v>1.7902340879360436E-3</v>
      </c>
      <c r="O782" s="53" t="s">
        <v>443</v>
      </c>
    </row>
    <row r="783" spans="1:15" hidden="1" x14ac:dyDescent="0.25">
      <c r="A783" s="52" t="s">
        <v>445</v>
      </c>
      <c r="B783" s="53"/>
      <c r="C783" s="53" t="s">
        <v>446</v>
      </c>
      <c r="D783" s="54">
        <v>45098</v>
      </c>
      <c r="E783" s="55">
        <v>261</v>
      </c>
      <c r="F783" s="56">
        <f t="shared" si="60"/>
        <v>1</v>
      </c>
      <c r="G783" s="55">
        <v>0</v>
      </c>
      <c r="H783" s="55">
        <v>88</v>
      </c>
      <c r="I783" s="56">
        <f t="shared" si="61"/>
        <v>0.33716475095785442</v>
      </c>
      <c r="J783" s="55">
        <v>4</v>
      </c>
      <c r="K783" s="56">
        <f t="shared" si="62"/>
        <v>1.532567049808429E-2</v>
      </c>
      <c r="L783" s="56">
        <f t="shared" si="63"/>
        <v>4.5454545454545456E-2</v>
      </c>
      <c r="M783" s="55">
        <v>0</v>
      </c>
      <c r="N783" s="56">
        <f t="shared" si="64"/>
        <v>0</v>
      </c>
      <c r="O783" s="53" t="s">
        <v>446</v>
      </c>
    </row>
    <row r="784" spans="1:15" hidden="1" x14ac:dyDescent="0.25">
      <c r="A784" s="52" t="s">
        <v>747</v>
      </c>
      <c r="B784" s="53" t="s">
        <v>439</v>
      </c>
      <c r="C784" s="53" t="s">
        <v>447</v>
      </c>
      <c r="D784" s="54">
        <v>45098</v>
      </c>
      <c r="E784" s="55">
        <v>22194</v>
      </c>
      <c r="F784" s="56">
        <f t="shared" si="60"/>
        <v>0.99729656663963229</v>
      </c>
      <c r="G784" s="55">
        <v>60</v>
      </c>
      <c r="H784" s="55">
        <v>10093</v>
      </c>
      <c r="I784" s="56">
        <f t="shared" si="61"/>
        <v>0.45476254843651437</v>
      </c>
      <c r="J784" s="55">
        <v>1326</v>
      </c>
      <c r="K784" s="56">
        <f t="shared" si="62"/>
        <v>5.974587726412544E-2</v>
      </c>
      <c r="L784" s="56">
        <f t="shared" si="63"/>
        <v>0.13137818289903894</v>
      </c>
      <c r="M784" s="55">
        <v>20</v>
      </c>
      <c r="N784" s="56">
        <f t="shared" si="64"/>
        <v>9.0114445345588893E-4</v>
      </c>
      <c r="O784" s="53" t="s">
        <v>448</v>
      </c>
    </row>
    <row r="785" spans="1:15" hidden="1" x14ac:dyDescent="0.25">
      <c r="A785" s="52" t="s">
        <v>748</v>
      </c>
      <c r="B785" s="53" t="s">
        <v>439</v>
      </c>
      <c r="C785" s="53" t="s">
        <v>447</v>
      </c>
      <c r="D785" s="54">
        <v>45098</v>
      </c>
      <c r="E785" s="55">
        <v>6472</v>
      </c>
      <c r="F785" s="56">
        <f t="shared" si="60"/>
        <v>0.9984548825710754</v>
      </c>
      <c r="G785" s="55">
        <v>10</v>
      </c>
      <c r="H785" s="55">
        <v>2389</v>
      </c>
      <c r="I785" s="56">
        <f t="shared" si="61"/>
        <v>0.36912855377008652</v>
      </c>
      <c r="J785" s="55">
        <v>432</v>
      </c>
      <c r="K785" s="56">
        <f t="shared" si="62"/>
        <v>6.6749072929542644E-2</v>
      </c>
      <c r="L785" s="56">
        <f t="shared" si="63"/>
        <v>0.18082879866052742</v>
      </c>
      <c r="M785" s="55">
        <v>5</v>
      </c>
      <c r="N785" s="56">
        <f t="shared" si="64"/>
        <v>7.7255871446229912E-4</v>
      </c>
      <c r="O785" s="53" t="s">
        <v>448</v>
      </c>
    </row>
    <row r="786" spans="1:15" hidden="1" x14ac:dyDescent="0.25">
      <c r="A786" s="52" t="s">
        <v>749</v>
      </c>
      <c r="B786" s="53" t="s">
        <v>439</v>
      </c>
      <c r="C786" s="53" t="s">
        <v>592</v>
      </c>
      <c r="D786" s="54">
        <v>45099</v>
      </c>
      <c r="E786" s="55">
        <v>858</v>
      </c>
      <c r="F786" s="56">
        <f t="shared" si="60"/>
        <v>0.99650349650349646</v>
      </c>
      <c r="G786" s="55">
        <v>3</v>
      </c>
      <c r="H786" s="55">
        <v>359</v>
      </c>
      <c r="I786" s="56">
        <f t="shared" si="61"/>
        <v>0.4184149184149184</v>
      </c>
      <c r="J786" s="55">
        <v>34</v>
      </c>
      <c r="K786" s="56">
        <f t="shared" si="62"/>
        <v>3.9627039627039624E-2</v>
      </c>
      <c r="L786" s="56">
        <f t="shared" si="63"/>
        <v>9.4707520891364902E-2</v>
      </c>
      <c r="M786" s="55">
        <v>0</v>
      </c>
      <c r="N786" s="56">
        <f t="shared" si="64"/>
        <v>0</v>
      </c>
      <c r="O786" s="53" t="s">
        <v>592</v>
      </c>
    </row>
    <row r="787" spans="1:15" hidden="1" x14ac:dyDescent="0.25">
      <c r="A787" s="52" t="s">
        <v>750</v>
      </c>
      <c r="B787" s="53" t="s">
        <v>439</v>
      </c>
      <c r="C787" s="53" t="s">
        <v>592</v>
      </c>
      <c r="D787" s="54">
        <v>45099</v>
      </c>
      <c r="E787" s="55">
        <v>23693</v>
      </c>
      <c r="F787" s="56">
        <f t="shared" si="60"/>
        <v>0.99860718355632461</v>
      </c>
      <c r="G787" s="55">
        <v>33</v>
      </c>
      <c r="H787" s="55">
        <v>10787</v>
      </c>
      <c r="I787" s="56">
        <f t="shared" si="61"/>
        <v>0.45528215084624152</v>
      </c>
      <c r="J787" s="55">
        <v>1034</v>
      </c>
      <c r="K787" s="56">
        <f t="shared" si="62"/>
        <v>4.3641581901827542E-2</v>
      </c>
      <c r="L787" s="56">
        <f t="shared" si="63"/>
        <v>9.5856123111152311E-2</v>
      </c>
      <c r="M787" s="55">
        <v>4</v>
      </c>
      <c r="N787" s="56">
        <f t="shared" si="64"/>
        <v>1.6882623559701177E-4</v>
      </c>
      <c r="O787" s="53" t="s">
        <v>592</v>
      </c>
    </row>
    <row r="788" spans="1:15" hidden="1" x14ac:dyDescent="0.25">
      <c r="A788" s="52" t="s">
        <v>751</v>
      </c>
      <c r="B788" s="53" t="s">
        <v>439</v>
      </c>
      <c r="C788" s="53" t="s">
        <v>592</v>
      </c>
      <c r="D788" s="54">
        <v>45099</v>
      </c>
      <c r="E788" s="55">
        <v>23646</v>
      </c>
      <c r="F788" s="56">
        <f t="shared" si="60"/>
        <v>0.99906961008204342</v>
      </c>
      <c r="G788" s="55">
        <v>22</v>
      </c>
      <c r="H788" s="55">
        <v>10977</v>
      </c>
      <c r="I788" s="56">
        <f t="shared" si="61"/>
        <v>0.46422227860949</v>
      </c>
      <c r="J788" s="55">
        <v>1392</v>
      </c>
      <c r="K788" s="56">
        <f t="shared" si="62"/>
        <v>5.8868307536158335E-2</v>
      </c>
      <c r="L788" s="56">
        <f t="shared" si="63"/>
        <v>0.12681060399016125</v>
      </c>
      <c r="M788" s="55">
        <v>2</v>
      </c>
      <c r="N788" s="56">
        <f t="shared" si="64"/>
        <v>8.4580901632411398E-5</v>
      </c>
      <c r="O788" s="53" t="s">
        <v>592</v>
      </c>
    </row>
    <row r="789" spans="1:15" hidden="1" x14ac:dyDescent="0.25">
      <c r="A789" s="52" t="s">
        <v>752</v>
      </c>
      <c r="B789" s="53" t="s">
        <v>439</v>
      </c>
      <c r="C789" s="53" t="s">
        <v>592</v>
      </c>
      <c r="D789" s="54">
        <v>45099</v>
      </c>
      <c r="E789" s="55">
        <v>856</v>
      </c>
      <c r="F789" s="56">
        <f t="shared" si="60"/>
        <v>0.99883177570093462</v>
      </c>
      <c r="G789" s="55">
        <v>1</v>
      </c>
      <c r="H789" s="55">
        <v>380</v>
      </c>
      <c r="I789" s="56">
        <f t="shared" si="61"/>
        <v>0.44392523364485981</v>
      </c>
      <c r="J789" s="55">
        <v>47</v>
      </c>
      <c r="K789" s="56">
        <f t="shared" si="62"/>
        <v>5.4906542056074766E-2</v>
      </c>
      <c r="L789" s="56">
        <f t="shared" si="63"/>
        <v>0.12368421052631579</v>
      </c>
      <c r="M789" s="55">
        <v>0</v>
      </c>
      <c r="N789" s="56">
        <f t="shared" si="64"/>
        <v>0</v>
      </c>
      <c r="O789" s="53" t="s">
        <v>592</v>
      </c>
    </row>
    <row r="790" spans="1:15" hidden="1" x14ac:dyDescent="0.25">
      <c r="A790" s="52" t="s">
        <v>449</v>
      </c>
      <c r="B790" s="53"/>
      <c r="C790" s="53" t="s">
        <v>446</v>
      </c>
      <c r="D790" s="54">
        <v>45099</v>
      </c>
      <c r="E790" s="55">
        <v>1641</v>
      </c>
      <c r="F790" s="56">
        <f t="shared" si="60"/>
        <v>1</v>
      </c>
      <c r="G790" s="55">
        <v>0</v>
      </c>
      <c r="H790" s="55">
        <v>595</v>
      </c>
      <c r="I790" s="56">
        <f t="shared" si="61"/>
        <v>0.36258379037172456</v>
      </c>
      <c r="J790" s="55">
        <v>22</v>
      </c>
      <c r="K790" s="56">
        <f t="shared" si="62"/>
        <v>1.3406459475929311E-2</v>
      </c>
      <c r="L790" s="56">
        <f t="shared" si="63"/>
        <v>3.6974789915966387E-2</v>
      </c>
      <c r="M790" s="55">
        <v>0</v>
      </c>
      <c r="N790" s="56">
        <f t="shared" si="64"/>
        <v>0</v>
      </c>
      <c r="O790" s="53" t="s">
        <v>446</v>
      </c>
    </row>
    <row r="791" spans="1:15" hidden="1" x14ac:dyDescent="0.25">
      <c r="A791" s="52" t="s">
        <v>22</v>
      </c>
      <c r="B791" s="53" t="s">
        <v>439</v>
      </c>
      <c r="C791" s="53" t="s">
        <v>443</v>
      </c>
      <c r="D791" s="54">
        <v>45100</v>
      </c>
      <c r="E791" s="55">
        <v>105766</v>
      </c>
      <c r="F791" s="56">
        <f t="shared" si="60"/>
        <v>0.99779702361817602</v>
      </c>
      <c r="G791" s="55">
        <v>233</v>
      </c>
      <c r="H791" s="55">
        <v>30486</v>
      </c>
      <c r="I791" s="56">
        <f t="shared" si="61"/>
        <v>0.28824007715144756</v>
      </c>
      <c r="J791" s="55">
        <v>562</v>
      </c>
      <c r="K791" s="56">
        <f t="shared" si="62"/>
        <v>5.313616852296579E-3</v>
      </c>
      <c r="L791" s="56">
        <f t="shared" si="63"/>
        <v>1.8434691333726955E-2</v>
      </c>
      <c r="M791" s="55">
        <v>41</v>
      </c>
      <c r="N791" s="56">
        <f t="shared" si="64"/>
        <v>3.8764820452697466E-4</v>
      </c>
      <c r="O791" s="53" t="s">
        <v>443</v>
      </c>
    </row>
    <row r="792" spans="1:15" hidden="1" x14ac:dyDescent="0.25">
      <c r="A792" s="52" t="s">
        <v>22</v>
      </c>
      <c r="B792" s="53" t="s">
        <v>444</v>
      </c>
      <c r="C792" s="53" t="s">
        <v>443</v>
      </c>
      <c r="D792" s="54">
        <v>45100</v>
      </c>
      <c r="E792" s="55">
        <v>205889</v>
      </c>
      <c r="F792" s="56">
        <f t="shared" si="60"/>
        <v>0.99813491735838245</v>
      </c>
      <c r="G792" s="55">
        <v>384</v>
      </c>
      <c r="H792" s="55">
        <v>55466</v>
      </c>
      <c r="I792" s="56">
        <f t="shared" si="61"/>
        <v>0.26939758802072961</v>
      </c>
      <c r="J792" s="55">
        <v>915</v>
      </c>
      <c r="K792" s="56">
        <f t="shared" si="62"/>
        <v>4.4441422319793679E-3</v>
      </c>
      <c r="L792" s="56">
        <f t="shared" si="63"/>
        <v>1.6496592507121481E-2</v>
      </c>
      <c r="M792" s="55">
        <v>288</v>
      </c>
      <c r="N792" s="56">
        <f t="shared" si="64"/>
        <v>1.398811981213178E-3</v>
      </c>
      <c r="O792" s="53" t="s">
        <v>443</v>
      </c>
    </row>
    <row r="793" spans="1:15" hidden="1" x14ac:dyDescent="0.25">
      <c r="A793" s="52" t="s">
        <v>23</v>
      </c>
      <c r="B793" s="53" t="s">
        <v>439</v>
      </c>
      <c r="C793" s="53" t="s">
        <v>443</v>
      </c>
      <c r="D793" s="54">
        <v>45100</v>
      </c>
      <c r="E793" s="55">
        <v>2049144</v>
      </c>
      <c r="F793" s="56">
        <f t="shared" si="60"/>
        <v>0.99746577107318957</v>
      </c>
      <c r="G793" s="55">
        <v>5193</v>
      </c>
      <c r="H793" s="55">
        <v>693803</v>
      </c>
      <c r="I793" s="56">
        <f t="shared" si="61"/>
        <v>0.33858186637932719</v>
      </c>
      <c r="J793" s="55">
        <v>8856</v>
      </c>
      <c r="K793" s="56">
        <f t="shared" si="62"/>
        <v>4.3218046169522491E-3</v>
      </c>
      <c r="L793" s="56">
        <f t="shared" si="63"/>
        <v>1.2764430248932333E-2</v>
      </c>
      <c r="M793" s="55">
        <v>1566</v>
      </c>
      <c r="N793" s="56">
        <f t="shared" si="64"/>
        <v>7.6422154811960508E-4</v>
      </c>
      <c r="O793" s="53" t="s">
        <v>443</v>
      </c>
    </row>
    <row r="794" spans="1:15" hidden="1" x14ac:dyDescent="0.25">
      <c r="A794" s="52" t="s">
        <v>23</v>
      </c>
      <c r="B794" s="53" t="s">
        <v>444</v>
      </c>
      <c r="C794" s="53" t="s">
        <v>443</v>
      </c>
      <c r="D794" s="54">
        <v>45100</v>
      </c>
      <c r="E794" s="55">
        <v>2348491</v>
      </c>
      <c r="F794" s="56">
        <f t="shared" si="60"/>
        <v>0.9977300317523039</v>
      </c>
      <c r="G794" s="55">
        <v>5331</v>
      </c>
      <c r="H794" s="55">
        <v>752290</v>
      </c>
      <c r="I794" s="56">
        <f t="shared" si="61"/>
        <v>0.32032909642830226</v>
      </c>
      <c r="J794" s="55">
        <v>9193</v>
      </c>
      <c r="K794" s="56">
        <f t="shared" si="62"/>
        <v>3.9144284564003014E-3</v>
      </c>
      <c r="L794" s="56">
        <f t="shared" si="63"/>
        <v>1.2220021534248761E-2</v>
      </c>
      <c r="M794" s="55">
        <v>3179</v>
      </c>
      <c r="N794" s="56">
        <f t="shared" si="64"/>
        <v>1.3536351640266026E-3</v>
      </c>
      <c r="O794" s="53" t="s">
        <v>443</v>
      </c>
    </row>
    <row r="795" spans="1:15" x14ac:dyDescent="0.25">
      <c r="A795" s="52" t="s">
        <v>451</v>
      </c>
      <c r="B795" s="53" t="s">
        <v>444</v>
      </c>
      <c r="C795" s="53" t="s">
        <v>452</v>
      </c>
      <c r="D795" s="54">
        <v>45100</v>
      </c>
      <c r="E795" s="55">
        <v>232835</v>
      </c>
      <c r="F795" s="56">
        <f t="shared" si="60"/>
        <v>0.99823909635578845</v>
      </c>
      <c r="G795" s="55">
        <v>410</v>
      </c>
      <c r="H795" s="55">
        <v>105363</v>
      </c>
      <c r="I795" s="56">
        <f t="shared" si="61"/>
        <v>0.45252217235381281</v>
      </c>
      <c r="J795" s="55">
        <v>2008</v>
      </c>
      <c r="K795" s="56">
        <f t="shared" si="62"/>
        <v>8.624132969699572E-3</v>
      </c>
      <c r="L795" s="56">
        <f t="shared" si="63"/>
        <v>1.9057923559503812E-2</v>
      </c>
      <c r="M795" s="55">
        <v>231</v>
      </c>
      <c r="N795" s="56">
        <f t="shared" si="64"/>
        <v>9.9211888247041895E-4</v>
      </c>
      <c r="O795" s="53" t="s">
        <v>452</v>
      </c>
    </row>
    <row r="796" spans="1:15" x14ac:dyDescent="0.25">
      <c r="A796" s="52" t="s">
        <v>453</v>
      </c>
      <c r="B796" s="53" t="s">
        <v>444</v>
      </c>
      <c r="C796" s="53" t="s">
        <v>452</v>
      </c>
      <c r="D796" s="54">
        <v>45100</v>
      </c>
      <c r="E796" s="55">
        <v>331811</v>
      </c>
      <c r="F796" s="56">
        <f t="shared" si="60"/>
        <v>0.99681445160045934</v>
      </c>
      <c r="G796" s="55">
        <v>1057</v>
      </c>
      <c r="H796" s="55">
        <v>121188</v>
      </c>
      <c r="I796" s="56">
        <f t="shared" si="61"/>
        <v>0.36523201461072718</v>
      </c>
      <c r="J796" s="55">
        <v>2461</v>
      </c>
      <c r="K796" s="56">
        <f t="shared" si="62"/>
        <v>7.416872858344057E-3</v>
      </c>
      <c r="L796" s="56">
        <f t="shared" si="63"/>
        <v>2.0307291150939037E-2</v>
      </c>
      <c r="M796" s="55">
        <v>278</v>
      </c>
      <c r="N796" s="56">
        <f t="shared" si="64"/>
        <v>8.3782635295394066E-4</v>
      </c>
      <c r="O796" s="53" t="s">
        <v>452</v>
      </c>
    </row>
    <row r="797" spans="1:15" x14ac:dyDescent="0.25">
      <c r="A797" s="52" t="s">
        <v>454</v>
      </c>
      <c r="B797" s="53" t="s">
        <v>444</v>
      </c>
      <c r="C797" s="53" t="s">
        <v>452</v>
      </c>
      <c r="D797" s="54">
        <v>45101</v>
      </c>
      <c r="E797" s="55">
        <v>14954</v>
      </c>
      <c r="F797" s="56">
        <f t="shared" si="60"/>
        <v>0.99819446301992776</v>
      </c>
      <c r="G797" s="55">
        <v>27</v>
      </c>
      <c r="H797" s="55">
        <v>4698</v>
      </c>
      <c r="I797" s="56">
        <f t="shared" si="61"/>
        <v>0.31416343453256651</v>
      </c>
      <c r="J797" s="55">
        <v>191</v>
      </c>
      <c r="K797" s="56">
        <f t="shared" si="62"/>
        <v>1.2772502340510901E-2</v>
      </c>
      <c r="L797" s="56">
        <f t="shared" si="63"/>
        <v>4.0655598126862494E-2</v>
      </c>
      <c r="M797" s="55">
        <v>16</v>
      </c>
      <c r="N797" s="56">
        <f t="shared" si="64"/>
        <v>1.0699478400427978E-3</v>
      </c>
      <c r="O797" s="53" t="s">
        <v>452</v>
      </c>
    </row>
    <row r="798" spans="1:15" hidden="1" x14ac:dyDescent="0.25">
      <c r="A798" s="52" t="s">
        <v>753</v>
      </c>
      <c r="B798" s="53" t="s">
        <v>439</v>
      </c>
      <c r="C798" s="53" t="s">
        <v>447</v>
      </c>
      <c r="D798" s="54">
        <v>45101</v>
      </c>
      <c r="E798" s="55">
        <v>20681</v>
      </c>
      <c r="F798" s="56">
        <f t="shared" si="60"/>
        <v>0.99734055413181177</v>
      </c>
      <c r="G798" s="55">
        <v>55</v>
      </c>
      <c r="H798" s="55">
        <v>9552</v>
      </c>
      <c r="I798" s="56">
        <f t="shared" si="61"/>
        <v>0.46187321696242928</v>
      </c>
      <c r="J798" s="55">
        <v>1704</v>
      </c>
      <c r="K798" s="56">
        <f t="shared" si="62"/>
        <v>8.2394468352594175E-2</v>
      </c>
      <c r="L798" s="56">
        <f t="shared" si="63"/>
        <v>0.17839195979899497</v>
      </c>
      <c r="M798" s="55">
        <v>17</v>
      </c>
      <c r="N798" s="56">
        <f t="shared" si="64"/>
        <v>8.2201054107635025E-4</v>
      </c>
      <c r="O798" s="53" t="s">
        <v>448</v>
      </c>
    </row>
    <row r="799" spans="1:15" hidden="1" x14ac:dyDescent="0.25">
      <c r="A799" s="52" t="s">
        <v>754</v>
      </c>
      <c r="B799" s="53" t="s">
        <v>439</v>
      </c>
      <c r="C799" s="53" t="s">
        <v>443</v>
      </c>
      <c r="D799" s="54">
        <v>45103</v>
      </c>
      <c r="E799" s="55">
        <v>67999</v>
      </c>
      <c r="F799" s="56">
        <f t="shared" si="60"/>
        <v>0.99744113884027708</v>
      </c>
      <c r="G799" s="55">
        <v>174</v>
      </c>
      <c r="H799" s="55">
        <v>30428</v>
      </c>
      <c r="I799" s="56">
        <f t="shared" si="61"/>
        <v>0.44747716878189386</v>
      </c>
      <c r="J799" s="55">
        <v>375</v>
      </c>
      <c r="K799" s="56">
        <f t="shared" si="62"/>
        <v>5.5147869821615021E-3</v>
      </c>
      <c r="L799" s="56">
        <f t="shared" si="63"/>
        <v>1.2324175101879848E-2</v>
      </c>
      <c r="M799" s="55">
        <v>48</v>
      </c>
      <c r="N799" s="56">
        <f t="shared" si="64"/>
        <v>7.0589273371667234E-4</v>
      </c>
      <c r="O799" s="53" t="s">
        <v>443</v>
      </c>
    </row>
    <row r="800" spans="1:15" hidden="1" x14ac:dyDescent="0.25">
      <c r="A800" s="52" t="s">
        <v>754</v>
      </c>
      <c r="B800" s="53" t="s">
        <v>444</v>
      </c>
      <c r="C800" s="53" t="s">
        <v>443</v>
      </c>
      <c r="D800" s="54">
        <v>45103</v>
      </c>
      <c r="E800" s="55">
        <v>77089</v>
      </c>
      <c r="F800" s="56">
        <f t="shared" si="60"/>
        <v>0.99687374333562506</v>
      </c>
      <c r="G800" s="55">
        <v>241</v>
      </c>
      <c r="H800" s="55">
        <v>25430</v>
      </c>
      <c r="I800" s="56">
        <f t="shared" si="61"/>
        <v>0.32987845217865064</v>
      </c>
      <c r="J800" s="55">
        <v>232</v>
      </c>
      <c r="K800" s="56">
        <f t="shared" si="62"/>
        <v>3.0095084901866674E-3</v>
      </c>
      <c r="L800" s="56">
        <f t="shared" si="63"/>
        <v>9.1230829728666928E-3</v>
      </c>
      <c r="M800" s="55">
        <v>103</v>
      </c>
      <c r="N800" s="56">
        <f t="shared" si="64"/>
        <v>1.3361179934880463E-3</v>
      </c>
      <c r="O800" s="53" t="s">
        <v>443</v>
      </c>
    </row>
    <row r="801" spans="1:15" hidden="1" x14ac:dyDescent="0.25">
      <c r="A801" s="52" t="s">
        <v>18</v>
      </c>
      <c r="B801" s="53" t="s">
        <v>439</v>
      </c>
      <c r="C801" s="53" t="s">
        <v>443</v>
      </c>
      <c r="D801" s="54">
        <v>45104</v>
      </c>
      <c r="E801" s="55">
        <v>26632</v>
      </c>
      <c r="F801" s="56">
        <f t="shared" si="60"/>
        <v>0.99740913187143287</v>
      </c>
      <c r="G801" s="55">
        <v>69</v>
      </c>
      <c r="H801" s="55">
        <v>9085</v>
      </c>
      <c r="I801" s="56">
        <f t="shared" si="61"/>
        <v>0.34113097026133976</v>
      </c>
      <c r="J801" s="55">
        <v>243</v>
      </c>
      <c r="K801" s="56">
        <f t="shared" si="62"/>
        <v>9.1243616701712233E-3</v>
      </c>
      <c r="L801" s="56">
        <f t="shared" si="63"/>
        <v>2.6747385800770501E-2</v>
      </c>
      <c r="M801" s="55">
        <v>15</v>
      </c>
      <c r="N801" s="56">
        <f t="shared" si="64"/>
        <v>5.6323220186242119E-4</v>
      </c>
      <c r="O801" s="53" t="s">
        <v>443</v>
      </c>
    </row>
    <row r="802" spans="1:15" hidden="1" x14ac:dyDescent="0.25">
      <c r="A802" s="52" t="s">
        <v>18</v>
      </c>
      <c r="B802" s="53" t="s">
        <v>444</v>
      </c>
      <c r="C802" s="53" t="s">
        <v>443</v>
      </c>
      <c r="D802" s="54">
        <v>45104</v>
      </c>
      <c r="E802" s="55">
        <v>27878</v>
      </c>
      <c r="F802" s="56">
        <f t="shared" si="60"/>
        <v>0.99834995336824739</v>
      </c>
      <c r="G802" s="55">
        <v>46</v>
      </c>
      <c r="H802" s="55">
        <v>9601</v>
      </c>
      <c r="I802" s="56">
        <f t="shared" si="61"/>
        <v>0.34439342850993615</v>
      </c>
      <c r="J802" s="55">
        <v>234</v>
      </c>
      <c r="K802" s="56">
        <f t="shared" si="62"/>
        <v>8.3937154745677596E-3</v>
      </c>
      <c r="L802" s="56">
        <f t="shared" si="63"/>
        <v>2.4372461201958129E-2</v>
      </c>
      <c r="M802" s="55">
        <v>33</v>
      </c>
      <c r="N802" s="56">
        <f t="shared" si="64"/>
        <v>1.1837291053877609E-3</v>
      </c>
      <c r="O802" s="53" t="s">
        <v>443</v>
      </c>
    </row>
    <row r="803" spans="1:15" hidden="1" x14ac:dyDescent="0.25">
      <c r="A803" s="52" t="s">
        <v>19</v>
      </c>
      <c r="B803" s="53" t="s">
        <v>439</v>
      </c>
      <c r="C803" s="53" t="s">
        <v>443</v>
      </c>
      <c r="D803" s="54">
        <v>45104</v>
      </c>
      <c r="E803" s="55">
        <v>246864</v>
      </c>
      <c r="F803" s="56">
        <f t="shared" si="60"/>
        <v>0.9973183615269946</v>
      </c>
      <c r="G803" s="55">
        <v>662</v>
      </c>
      <c r="H803" s="55">
        <v>84858</v>
      </c>
      <c r="I803" s="56">
        <f t="shared" si="61"/>
        <v>0.34374392377989499</v>
      </c>
      <c r="J803" s="55">
        <v>1438</v>
      </c>
      <c r="K803" s="56">
        <f t="shared" si="62"/>
        <v>5.8250696739905374E-3</v>
      </c>
      <c r="L803" s="56">
        <f t="shared" si="63"/>
        <v>1.6945956774847393E-2</v>
      </c>
      <c r="M803" s="55">
        <v>123</v>
      </c>
      <c r="N803" s="56">
        <f t="shared" si="64"/>
        <v>4.9825004860976085E-4</v>
      </c>
      <c r="O803" s="53" t="s">
        <v>443</v>
      </c>
    </row>
    <row r="804" spans="1:15" hidden="1" x14ac:dyDescent="0.25">
      <c r="A804" s="52" t="s">
        <v>19</v>
      </c>
      <c r="B804" s="53" t="s">
        <v>444</v>
      </c>
      <c r="C804" s="53" t="s">
        <v>443</v>
      </c>
      <c r="D804" s="54">
        <v>45104</v>
      </c>
      <c r="E804" s="55">
        <v>480614</v>
      </c>
      <c r="F804" s="56">
        <f t="shared" si="60"/>
        <v>0.99804832984474023</v>
      </c>
      <c r="G804" s="55">
        <v>938</v>
      </c>
      <c r="H804" s="55">
        <v>176496</v>
      </c>
      <c r="I804" s="56">
        <f t="shared" si="61"/>
        <v>0.36723025130354087</v>
      </c>
      <c r="J804" s="55">
        <v>2092</v>
      </c>
      <c r="K804" s="56">
        <f t="shared" si="62"/>
        <v>4.3527654208991001E-3</v>
      </c>
      <c r="L804" s="56">
        <f t="shared" si="63"/>
        <v>1.1852959840449642E-2</v>
      </c>
      <c r="M804" s="55">
        <v>397</v>
      </c>
      <c r="N804" s="56">
        <f t="shared" si="64"/>
        <v>8.2602670750331862E-4</v>
      </c>
      <c r="O804" s="53" t="s">
        <v>443</v>
      </c>
    </row>
    <row r="805" spans="1:15" hidden="1" x14ac:dyDescent="0.25">
      <c r="A805" s="52" t="s">
        <v>755</v>
      </c>
      <c r="B805" s="53" t="s">
        <v>439</v>
      </c>
      <c r="C805" s="53" t="s">
        <v>443</v>
      </c>
      <c r="D805" s="54">
        <v>45105</v>
      </c>
      <c r="E805" s="55">
        <v>25015</v>
      </c>
      <c r="F805" s="56">
        <f t="shared" si="60"/>
        <v>0.99816110333799724</v>
      </c>
      <c r="G805" s="55">
        <v>46</v>
      </c>
      <c r="H805" s="55">
        <v>7887</v>
      </c>
      <c r="I805" s="56">
        <f t="shared" si="61"/>
        <v>0.31529082550469717</v>
      </c>
      <c r="J805" s="55">
        <v>59</v>
      </c>
      <c r="K805" s="56">
        <f t="shared" si="62"/>
        <v>2.3585848490905456E-3</v>
      </c>
      <c r="L805" s="56">
        <f t="shared" si="63"/>
        <v>7.4806643844300752E-3</v>
      </c>
      <c r="M805" s="55">
        <v>13</v>
      </c>
      <c r="N805" s="56">
        <f t="shared" si="64"/>
        <v>5.1968818708774734E-4</v>
      </c>
      <c r="O805" s="53" t="s">
        <v>443</v>
      </c>
    </row>
    <row r="806" spans="1:15" hidden="1" x14ac:dyDescent="0.25">
      <c r="A806" s="52" t="s">
        <v>755</v>
      </c>
      <c r="B806" s="53" t="s">
        <v>444</v>
      </c>
      <c r="C806" s="53" t="s">
        <v>443</v>
      </c>
      <c r="D806" s="54">
        <v>45105</v>
      </c>
      <c r="E806" s="55">
        <v>23919</v>
      </c>
      <c r="F806" s="56">
        <f t="shared" si="60"/>
        <v>0.99841130482043561</v>
      </c>
      <c r="G806" s="55">
        <v>38</v>
      </c>
      <c r="H806" s="55">
        <v>6896</v>
      </c>
      <c r="I806" s="56">
        <f t="shared" si="61"/>
        <v>0.2883063673230486</v>
      </c>
      <c r="J806" s="55">
        <v>73</v>
      </c>
      <c r="K806" s="56">
        <f t="shared" si="62"/>
        <v>3.051967055478908E-3</v>
      </c>
      <c r="L806" s="56">
        <f t="shared" si="63"/>
        <v>1.058584686774942E-2</v>
      </c>
      <c r="M806" s="55">
        <v>23</v>
      </c>
      <c r="N806" s="56">
        <f t="shared" si="64"/>
        <v>9.6157866131527233E-4</v>
      </c>
      <c r="O806" s="53" t="s">
        <v>443</v>
      </c>
    </row>
    <row r="807" spans="1:15" hidden="1" x14ac:dyDescent="0.25">
      <c r="A807" s="52" t="s">
        <v>756</v>
      </c>
      <c r="B807" s="53" t="s">
        <v>439</v>
      </c>
      <c r="C807" s="53" t="s">
        <v>443</v>
      </c>
      <c r="D807" s="54">
        <v>45105</v>
      </c>
      <c r="E807" s="55">
        <v>435126</v>
      </c>
      <c r="F807" s="56">
        <f t="shared" si="60"/>
        <v>0.99777305883812961</v>
      </c>
      <c r="G807" s="55">
        <v>969</v>
      </c>
      <c r="H807" s="55">
        <v>154010</v>
      </c>
      <c r="I807" s="56">
        <f t="shared" si="61"/>
        <v>0.35394345545887856</v>
      </c>
      <c r="J807" s="55">
        <v>1085</v>
      </c>
      <c r="K807" s="56">
        <f t="shared" si="62"/>
        <v>2.4935306095245973E-3</v>
      </c>
      <c r="L807" s="56">
        <f t="shared" si="63"/>
        <v>7.0449970781118112E-3</v>
      </c>
      <c r="M807" s="55">
        <v>214</v>
      </c>
      <c r="N807" s="56">
        <f t="shared" si="64"/>
        <v>4.9181156722420628E-4</v>
      </c>
      <c r="O807" s="53" t="s">
        <v>443</v>
      </c>
    </row>
    <row r="808" spans="1:15" hidden="1" x14ac:dyDescent="0.25">
      <c r="A808" s="52" t="s">
        <v>756</v>
      </c>
      <c r="B808" s="53" t="s">
        <v>444</v>
      </c>
      <c r="C808" s="53" t="s">
        <v>443</v>
      </c>
      <c r="D808" s="54">
        <v>45105</v>
      </c>
      <c r="E808" s="55">
        <v>274940</v>
      </c>
      <c r="F808" s="56">
        <f t="shared" si="60"/>
        <v>0.99786862588201064</v>
      </c>
      <c r="G808" s="55">
        <v>586</v>
      </c>
      <c r="H808" s="55">
        <v>95575</v>
      </c>
      <c r="I808" s="56">
        <f t="shared" si="61"/>
        <v>0.34762129919255108</v>
      </c>
      <c r="J808" s="55">
        <v>765</v>
      </c>
      <c r="K808" s="56">
        <f t="shared" si="62"/>
        <v>2.7824252564195824E-3</v>
      </c>
      <c r="L808" s="56">
        <f t="shared" si="63"/>
        <v>8.0041851948731355E-3</v>
      </c>
      <c r="M808" s="55">
        <v>300</v>
      </c>
      <c r="N808" s="56">
        <f t="shared" si="64"/>
        <v>1.0911471593802284E-3</v>
      </c>
      <c r="O808" s="53" t="s">
        <v>443</v>
      </c>
    </row>
    <row r="809" spans="1:15" hidden="1" x14ac:dyDescent="0.25">
      <c r="A809" s="52" t="s">
        <v>449</v>
      </c>
      <c r="B809" s="53"/>
      <c r="C809" s="53" t="s">
        <v>446</v>
      </c>
      <c r="D809" s="54">
        <v>45106</v>
      </c>
      <c r="E809" s="55">
        <v>1641</v>
      </c>
      <c r="F809" s="56">
        <f t="shared" si="60"/>
        <v>1</v>
      </c>
      <c r="G809" s="55">
        <v>0</v>
      </c>
      <c r="H809" s="55">
        <v>557</v>
      </c>
      <c r="I809" s="56">
        <f t="shared" si="61"/>
        <v>0.33942717854966487</v>
      </c>
      <c r="J809" s="55">
        <v>16</v>
      </c>
      <c r="K809" s="56">
        <f t="shared" si="62"/>
        <v>9.7501523461304088E-3</v>
      </c>
      <c r="L809" s="56">
        <f t="shared" si="63"/>
        <v>2.8725314183123879E-2</v>
      </c>
      <c r="M809" s="55">
        <v>0</v>
      </c>
      <c r="N809" s="56">
        <f t="shared" si="64"/>
        <v>0</v>
      </c>
      <c r="O809" s="53" t="s">
        <v>446</v>
      </c>
    </row>
    <row r="810" spans="1:15" hidden="1" x14ac:dyDescent="0.25">
      <c r="A810" s="52" t="s">
        <v>22</v>
      </c>
      <c r="B810" s="53" t="s">
        <v>444</v>
      </c>
      <c r="C810" s="53" t="s">
        <v>443</v>
      </c>
      <c r="D810" s="54">
        <v>45107</v>
      </c>
      <c r="E810" s="55">
        <v>204590</v>
      </c>
      <c r="F810" s="56">
        <f t="shared" si="60"/>
        <v>0.9979520015641038</v>
      </c>
      <c r="G810" s="55">
        <v>419</v>
      </c>
      <c r="H810" s="55">
        <v>55226</v>
      </c>
      <c r="I810" s="56">
        <f t="shared" si="61"/>
        <v>0.26993499193508969</v>
      </c>
      <c r="J810" s="55">
        <v>1102</v>
      </c>
      <c r="K810" s="56">
        <f t="shared" si="62"/>
        <v>5.3863825211398408E-3</v>
      </c>
      <c r="L810" s="56">
        <f t="shared" si="63"/>
        <v>1.9954369318799115E-2</v>
      </c>
      <c r="M810" s="55">
        <v>314</v>
      </c>
      <c r="N810" s="56">
        <f t="shared" si="64"/>
        <v>1.5347768708148003E-3</v>
      </c>
      <c r="O810" s="53" t="s">
        <v>443</v>
      </c>
    </row>
    <row r="811" spans="1:15" hidden="1" x14ac:dyDescent="0.25">
      <c r="A811" s="52" t="s">
        <v>22</v>
      </c>
      <c r="B811" s="53" t="s">
        <v>439</v>
      </c>
      <c r="C811" s="53" t="s">
        <v>443</v>
      </c>
      <c r="D811" s="54">
        <v>45107</v>
      </c>
      <c r="E811" s="55">
        <v>105547</v>
      </c>
      <c r="F811" s="56">
        <f t="shared" si="60"/>
        <v>0.99783035045998469</v>
      </c>
      <c r="G811" s="55">
        <v>229</v>
      </c>
      <c r="H811" s="55">
        <v>30517</v>
      </c>
      <c r="I811" s="56">
        <f t="shared" si="61"/>
        <v>0.28913185595042967</v>
      </c>
      <c r="J811" s="55">
        <v>721</v>
      </c>
      <c r="K811" s="56">
        <f t="shared" si="62"/>
        <v>6.8310799927994168E-3</v>
      </c>
      <c r="L811" s="56">
        <f t="shared" si="63"/>
        <v>2.3626175574270079E-2</v>
      </c>
      <c r="M811" s="55">
        <v>53</v>
      </c>
      <c r="N811" s="56">
        <f t="shared" si="64"/>
        <v>5.021459634096658E-4</v>
      </c>
      <c r="O811" s="53" t="s">
        <v>443</v>
      </c>
    </row>
    <row r="812" spans="1:15" hidden="1" x14ac:dyDescent="0.25">
      <c r="A812" s="52" t="s">
        <v>23</v>
      </c>
      <c r="B812" s="53" t="s">
        <v>439</v>
      </c>
      <c r="C812" s="53" t="s">
        <v>443</v>
      </c>
      <c r="D812" s="54">
        <v>45107</v>
      </c>
      <c r="E812" s="55">
        <v>2060449</v>
      </c>
      <c r="F812" s="56">
        <f t="shared" si="60"/>
        <v>0.99735494545120995</v>
      </c>
      <c r="G812" s="55">
        <v>5450</v>
      </c>
      <c r="H812" s="55">
        <v>658260</v>
      </c>
      <c r="I812" s="56">
        <f t="shared" si="61"/>
        <v>0.31947405638285636</v>
      </c>
      <c r="J812" s="55">
        <v>10211</v>
      </c>
      <c r="K812" s="56">
        <f t="shared" si="62"/>
        <v>4.9557159628799358E-3</v>
      </c>
      <c r="L812" s="56">
        <f t="shared" si="63"/>
        <v>1.5512107677817275E-2</v>
      </c>
      <c r="M812" s="55">
        <v>1561</v>
      </c>
      <c r="N812" s="56">
        <f t="shared" si="64"/>
        <v>7.5760186250666722E-4</v>
      </c>
      <c r="O812" s="53" t="s">
        <v>443</v>
      </c>
    </row>
    <row r="813" spans="1:15" hidden="1" x14ac:dyDescent="0.25">
      <c r="A813" s="52" t="s">
        <v>23</v>
      </c>
      <c r="B813" s="53" t="s">
        <v>444</v>
      </c>
      <c r="C813" s="53" t="s">
        <v>443</v>
      </c>
      <c r="D813" s="54">
        <v>45107</v>
      </c>
      <c r="E813" s="55">
        <v>2349088</v>
      </c>
      <c r="F813" s="56">
        <f t="shared" si="60"/>
        <v>0.99761183914778839</v>
      </c>
      <c r="G813" s="55">
        <v>5610</v>
      </c>
      <c r="H813" s="55">
        <v>693952</v>
      </c>
      <c r="I813" s="56">
        <f t="shared" si="61"/>
        <v>0.2954133689329646</v>
      </c>
      <c r="J813" s="55">
        <v>9884</v>
      </c>
      <c r="K813" s="56">
        <f t="shared" si="62"/>
        <v>4.20759034995709E-3</v>
      </c>
      <c r="L813" s="56">
        <f t="shared" si="63"/>
        <v>1.4243060038734668E-2</v>
      </c>
      <c r="M813" s="55">
        <v>2986</v>
      </c>
      <c r="N813" s="56">
        <f t="shared" si="64"/>
        <v>1.2711316051165389E-3</v>
      </c>
      <c r="O813" s="53" t="s">
        <v>443</v>
      </c>
    </row>
    <row r="814" spans="1:15" x14ac:dyDescent="0.25">
      <c r="A814" s="52" t="s">
        <v>451</v>
      </c>
      <c r="B814" s="53" t="s">
        <v>444</v>
      </c>
      <c r="C814" s="53" t="s">
        <v>452</v>
      </c>
      <c r="D814" s="54">
        <v>45107</v>
      </c>
      <c r="E814" s="55">
        <v>232434</v>
      </c>
      <c r="F814" s="56">
        <f t="shared" si="60"/>
        <v>0.99826617448393951</v>
      </c>
      <c r="G814" s="55">
        <v>403</v>
      </c>
      <c r="H814" s="55">
        <v>101303</v>
      </c>
      <c r="I814" s="56">
        <f t="shared" si="61"/>
        <v>0.43583554901606475</v>
      </c>
      <c r="J814" s="55">
        <v>1494</v>
      </c>
      <c r="K814" s="56">
        <f t="shared" si="62"/>
        <v>6.4276310694648805E-3</v>
      </c>
      <c r="L814" s="56">
        <f t="shared" si="63"/>
        <v>1.4747835700818336E-2</v>
      </c>
      <c r="M814" s="55">
        <v>282</v>
      </c>
      <c r="N814" s="56">
        <f t="shared" si="64"/>
        <v>1.2132476315857405E-3</v>
      </c>
      <c r="O814" s="53" t="s">
        <v>452</v>
      </c>
    </row>
    <row r="815" spans="1:15" x14ac:dyDescent="0.25">
      <c r="A815" s="52" t="s">
        <v>453</v>
      </c>
      <c r="B815" s="53" t="s">
        <v>444</v>
      </c>
      <c r="C815" s="53" t="s">
        <v>452</v>
      </c>
      <c r="D815" s="54">
        <v>45107</v>
      </c>
      <c r="E815" s="55">
        <v>331681</v>
      </c>
      <c r="F815" s="56">
        <f t="shared" si="60"/>
        <v>0.99709359294020461</v>
      </c>
      <c r="G815" s="55">
        <v>964</v>
      </c>
      <c r="H815" s="55">
        <v>118504</v>
      </c>
      <c r="I815" s="56">
        <f t="shared" si="61"/>
        <v>0.35728305208920619</v>
      </c>
      <c r="J815" s="55">
        <v>1769</v>
      </c>
      <c r="K815" s="56">
        <f t="shared" si="62"/>
        <v>5.3334378514295362E-3</v>
      </c>
      <c r="L815" s="56">
        <f t="shared" si="63"/>
        <v>1.4927766151353541E-2</v>
      </c>
      <c r="M815" s="55">
        <v>382</v>
      </c>
      <c r="N815" s="56">
        <f t="shared" si="64"/>
        <v>1.1517090216201713E-3</v>
      </c>
      <c r="O815" s="53" t="s">
        <v>452</v>
      </c>
    </row>
    <row r="816" spans="1:15" hidden="1" x14ac:dyDescent="0.25">
      <c r="A816" s="52" t="s">
        <v>9</v>
      </c>
      <c r="B816" s="53" t="s">
        <v>444</v>
      </c>
      <c r="C816" s="53" t="s">
        <v>443</v>
      </c>
      <c r="D816" s="54">
        <v>45108</v>
      </c>
      <c r="E816" s="55">
        <v>18017</v>
      </c>
      <c r="F816" s="56">
        <f t="shared" si="60"/>
        <v>0.99794638397069435</v>
      </c>
      <c r="G816" s="55">
        <v>37</v>
      </c>
      <c r="H816" s="55">
        <v>6261</v>
      </c>
      <c r="I816" s="56">
        <f t="shared" si="61"/>
        <v>0.34750513404007327</v>
      </c>
      <c r="J816" s="55">
        <v>324</v>
      </c>
      <c r="K816" s="56">
        <f t="shared" si="62"/>
        <v>1.7983016040406283E-2</v>
      </c>
      <c r="L816" s="56">
        <f t="shared" si="63"/>
        <v>5.174892189746047E-2</v>
      </c>
      <c r="M816" s="55">
        <v>17</v>
      </c>
      <c r="N816" s="56">
        <f t="shared" si="64"/>
        <v>9.4355331076205809E-4</v>
      </c>
      <c r="O816" s="53" t="s">
        <v>443</v>
      </c>
    </row>
    <row r="817" spans="1:15" hidden="1" x14ac:dyDescent="0.25">
      <c r="A817" s="52" t="s">
        <v>9</v>
      </c>
      <c r="B817" s="53" t="s">
        <v>439</v>
      </c>
      <c r="C817" s="53" t="s">
        <v>443</v>
      </c>
      <c r="D817" s="54">
        <v>45108</v>
      </c>
      <c r="E817" s="55">
        <v>21376</v>
      </c>
      <c r="F817" s="56">
        <f t="shared" si="60"/>
        <v>0.99822230538922152</v>
      </c>
      <c r="G817" s="55">
        <v>38</v>
      </c>
      <c r="H817" s="55">
        <v>8693</v>
      </c>
      <c r="I817" s="56">
        <f t="shared" si="61"/>
        <v>0.40667103293413176</v>
      </c>
      <c r="J817" s="55">
        <v>891</v>
      </c>
      <c r="K817" s="56">
        <f t="shared" si="62"/>
        <v>4.1682260479041916E-2</v>
      </c>
      <c r="L817" s="56">
        <f t="shared" si="63"/>
        <v>0.10249626135971471</v>
      </c>
      <c r="M817" s="55">
        <v>15</v>
      </c>
      <c r="N817" s="56">
        <f t="shared" si="64"/>
        <v>7.0172155688622755E-4</v>
      </c>
      <c r="O817" s="53" t="s">
        <v>443</v>
      </c>
    </row>
    <row r="818" spans="1:15" hidden="1" x14ac:dyDescent="0.25">
      <c r="A818" s="52" t="s">
        <v>12</v>
      </c>
      <c r="B818" s="53" t="s">
        <v>439</v>
      </c>
      <c r="C818" s="53" t="s">
        <v>443</v>
      </c>
      <c r="D818" s="54">
        <v>45108</v>
      </c>
      <c r="E818" s="55">
        <v>2146</v>
      </c>
      <c r="F818" s="56">
        <f t="shared" si="60"/>
        <v>0.99906803355079221</v>
      </c>
      <c r="G818" s="55">
        <v>2</v>
      </c>
      <c r="H818" s="55">
        <v>969</v>
      </c>
      <c r="I818" s="56">
        <f t="shared" si="61"/>
        <v>0.4515377446411929</v>
      </c>
      <c r="J818" s="55">
        <v>110</v>
      </c>
      <c r="K818" s="56">
        <f t="shared" si="62"/>
        <v>5.1258154706430567E-2</v>
      </c>
      <c r="L818" s="56">
        <f t="shared" si="63"/>
        <v>0.11351909184726522</v>
      </c>
      <c r="M818" s="55">
        <v>0</v>
      </c>
      <c r="N818" s="56">
        <f t="shared" si="64"/>
        <v>0</v>
      </c>
      <c r="O818" s="53" t="s">
        <v>443</v>
      </c>
    </row>
    <row r="819" spans="1:15" hidden="1" x14ac:dyDescent="0.25">
      <c r="A819" s="52" t="s">
        <v>12</v>
      </c>
      <c r="B819" s="53" t="s">
        <v>444</v>
      </c>
      <c r="C819" s="53" t="s">
        <v>443</v>
      </c>
      <c r="D819" s="54">
        <v>45108</v>
      </c>
      <c r="E819" s="55">
        <v>1583</v>
      </c>
      <c r="F819" s="56">
        <f t="shared" si="60"/>
        <v>0.998104864181933</v>
      </c>
      <c r="G819" s="55">
        <v>3</v>
      </c>
      <c r="H819" s="55">
        <v>594</v>
      </c>
      <c r="I819" s="56">
        <f t="shared" si="61"/>
        <v>0.37523689197725835</v>
      </c>
      <c r="J819" s="55">
        <v>32</v>
      </c>
      <c r="K819" s="56">
        <f t="shared" si="62"/>
        <v>2.0214782059380921E-2</v>
      </c>
      <c r="L819" s="56">
        <f t="shared" si="63"/>
        <v>5.387205387205387E-2</v>
      </c>
      <c r="M819" s="55">
        <v>3</v>
      </c>
      <c r="N819" s="56">
        <f t="shared" si="64"/>
        <v>1.8951358180669614E-3</v>
      </c>
      <c r="O819" s="53" t="s">
        <v>443</v>
      </c>
    </row>
    <row r="820" spans="1:15" hidden="1" x14ac:dyDescent="0.25">
      <c r="A820" s="52" t="s">
        <v>15</v>
      </c>
      <c r="B820" s="53" t="s">
        <v>439</v>
      </c>
      <c r="C820" s="53" t="s">
        <v>447</v>
      </c>
      <c r="D820" s="54">
        <v>45108</v>
      </c>
      <c r="E820" s="55">
        <v>9376</v>
      </c>
      <c r="F820" s="56">
        <f t="shared" si="60"/>
        <v>0.9837883959044369</v>
      </c>
      <c r="G820" s="55">
        <v>152</v>
      </c>
      <c r="H820" s="55">
        <v>2849</v>
      </c>
      <c r="I820" s="56">
        <f t="shared" si="61"/>
        <v>0.30386092150170646</v>
      </c>
      <c r="J820" s="55">
        <v>397</v>
      </c>
      <c r="K820" s="56">
        <f t="shared" si="62"/>
        <v>4.2342150170648463E-2</v>
      </c>
      <c r="L820" s="56">
        <f t="shared" si="63"/>
        <v>0.13934713934713935</v>
      </c>
      <c r="M820" s="55">
        <v>25</v>
      </c>
      <c r="N820" s="56">
        <f t="shared" si="64"/>
        <v>2.6663822525597272E-3</v>
      </c>
      <c r="O820" s="53" t="s">
        <v>448</v>
      </c>
    </row>
    <row r="821" spans="1:15" hidden="1" x14ac:dyDescent="0.25">
      <c r="A821" s="52" t="s">
        <v>17</v>
      </c>
      <c r="B821" s="53" t="s">
        <v>439</v>
      </c>
      <c r="C821" s="53" t="s">
        <v>447</v>
      </c>
      <c r="D821" s="54">
        <v>45108</v>
      </c>
      <c r="E821" s="55">
        <v>85055</v>
      </c>
      <c r="F821" s="56">
        <f t="shared" si="60"/>
        <v>0.97559226382928688</v>
      </c>
      <c r="G821" s="55">
        <v>2076</v>
      </c>
      <c r="H821" s="55">
        <v>31141</v>
      </c>
      <c r="I821" s="56">
        <f t="shared" si="61"/>
        <v>0.36612779965904413</v>
      </c>
      <c r="J821" s="55">
        <v>2916</v>
      </c>
      <c r="K821" s="56">
        <f t="shared" si="62"/>
        <v>3.4283698783140318E-2</v>
      </c>
      <c r="L821" s="56">
        <f t="shared" si="63"/>
        <v>9.3638611476831182E-2</v>
      </c>
      <c r="M821" s="55">
        <v>301</v>
      </c>
      <c r="N821" s="56">
        <f t="shared" si="64"/>
        <v>3.5388866027864325E-3</v>
      </c>
      <c r="O821" s="53" t="s">
        <v>448</v>
      </c>
    </row>
    <row r="822" spans="1:15" hidden="1" x14ac:dyDescent="0.25">
      <c r="A822" s="52" t="s">
        <v>18</v>
      </c>
      <c r="B822" s="53" t="s">
        <v>439</v>
      </c>
      <c r="C822" s="53" t="s">
        <v>443</v>
      </c>
      <c r="D822" s="54">
        <v>45111</v>
      </c>
      <c r="E822" s="55">
        <v>26740</v>
      </c>
      <c r="F822" s="56">
        <f t="shared" si="60"/>
        <v>0.99805534779356764</v>
      </c>
      <c r="G822" s="55">
        <v>52</v>
      </c>
      <c r="H822" s="55">
        <v>9187</v>
      </c>
      <c r="I822" s="56">
        <f t="shared" si="61"/>
        <v>0.34356768885564698</v>
      </c>
      <c r="J822" s="55">
        <v>293</v>
      </c>
      <c r="K822" s="56">
        <f t="shared" si="62"/>
        <v>1.0957367240089753E-2</v>
      </c>
      <c r="L822" s="56">
        <f t="shared" si="63"/>
        <v>3.1892892130183953E-2</v>
      </c>
      <c r="M822" s="55">
        <v>12</v>
      </c>
      <c r="N822" s="56">
        <f t="shared" si="64"/>
        <v>4.4876589379207183E-4</v>
      </c>
      <c r="O822" s="53" t="s">
        <v>443</v>
      </c>
    </row>
    <row r="823" spans="1:15" hidden="1" x14ac:dyDescent="0.25">
      <c r="A823" s="52" t="s">
        <v>18</v>
      </c>
      <c r="B823" s="53" t="s">
        <v>444</v>
      </c>
      <c r="C823" s="53" t="s">
        <v>443</v>
      </c>
      <c r="D823" s="54">
        <v>45111</v>
      </c>
      <c r="E823" s="55">
        <v>28063</v>
      </c>
      <c r="F823" s="56">
        <f t="shared" si="60"/>
        <v>0.99821829455154476</v>
      </c>
      <c r="G823" s="55">
        <v>50</v>
      </c>
      <c r="H823" s="55">
        <v>9836</v>
      </c>
      <c r="I823" s="56">
        <f t="shared" si="61"/>
        <v>0.35049709582011901</v>
      </c>
      <c r="J823" s="55">
        <v>227</v>
      </c>
      <c r="K823" s="56">
        <f t="shared" si="62"/>
        <v>8.088942735986886E-3</v>
      </c>
      <c r="L823" s="56">
        <f t="shared" si="63"/>
        <v>2.30784871899146E-2</v>
      </c>
      <c r="M823" s="55">
        <v>18</v>
      </c>
      <c r="N823" s="56">
        <f t="shared" si="64"/>
        <v>6.4141396144389408E-4</v>
      </c>
      <c r="O823" s="53" t="s">
        <v>443</v>
      </c>
    </row>
    <row r="824" spans="1:15" hidden="1" x14ac:dyDescent="0.25">
      <c r="A824" s="52" t="s">
        <v>19</v>
      </c>
      <c r="B824" s="53" t="s">
        <v>439</v>
      </c>
      <c r="C824" s="53" t="s">
        <v>443</v>
      </c>
      <c r="D824" s="54">
        <v>45111</v>
      </c>
      <c r="E824" s="55">
        <v>248593</v>
      </c>
      <c r="F824" s="56">
        <f t="shared" si="60"/>
        <v>0.99757434843298076</v>
      </c>
      <c r="G824" s="55">
        <v>603</v>
      </c>
      <c r="H824" s="55">
        <v>104452</v>
      </c>
      <c r="I824" s="56">
        <f t="shared" si="61"/>
        <v>0.420172732136464</v>
      </c>
      <c r="J824" s="55">
        <v>2595</v>
      </c>
      <c r="K824" s="56">
        <f t="shared" si="62"/>
        <v>1.0438749280953204E-2</v>
      </c>
      <c r="L824" s="56">
        <f t="shared" si="63"/>
        <v>2.484394745911998E-2</v>
      </c>
      <c r="M824" s="55">
        <v>184</v>
      </c>
      <c r="N824" s="56">
        <f t="shared" si="64"/>
        <v>7.4016565229109428E-4</v>
      </c>
      <c r="O824" s="53" t="s">
        <v>443</v>
      </c>
    </row>
    <row r="825" spans="1:15" hidden="1" x14ac:dyDescent="0.25">
      <c r="A825" s="52" t="s">
        <v>19</v>
      </c>
      <c r="B825" s="53" t="s">
        <v>444</v>
      </c>
      <c r="C825" s="53" t="s">
        <v>443</v>
      </c>
      <c r="D825" s="54">
        <v>45111</v>
      </c>
      <c r="E825" s="55">
        <v>483408</v>
      </c>
      <c r="F825" s="56">
        <f t="shared" si="60"/>
        <v>0.99821682719359217</v>
      </c>
      <c r="G825" s="55">
        <v>862</v>
      </c>
      <c r="H825" s="55">
        <v>215639</v>
      </c>
      <c r="I825" s="56">
        <f t="shared" si="61"/>
        <v>0.44608074338860754</v>
      </c>
      <c r="J825" s="55">
        <v>3550</v>
      </c>
      <c r="K825" s="56">
        <f t="shared" si="62"/>
        <v>7.3436931122364546E-3</v>
      </c>
      <c r="L825" s="56">
        <f t="shared" si="63"/>
        <v>1.6462699233441076E-2</v>
      </c>
      <c r="M825" s="55">
        <v>606</v>
      </c>
      <c r="N825" s="56">
        <f t="shared" si="64"/>
        <v>1.2535994439479695E-3</v>
      </c>
      <c r="O825" s="53" t="s">
        <v>443</v>
      </c>
    </row>
    <row r="826" spans="1:15" hidden="1" x14ac:dyDescent="0.25">
      <c r="A826" s="52" t="s">
        <v>20</v>
      </c>
      <c r="B826" s="53" t="s">
        <v>444</v>
      </c>
      <c r="C826" s="53" t="s">
        <v>443</v>
      </c>
      <c r="D826" s="54">
        <v>45113</v>
      </c>
      <c r="E826" s="55">
        <v>67</v>
      </c>
      <c r="F826" s="56">
        <f t="shared" si="60"/>
        <v>0.9850746268656716</v>
      </c>
      <c r="G826" s="55">
        <v>1</v>
      </c>
      <c r="H826" s="55">
        <v>45</v>
      </c>
      <c r="I826" s="56">
        <f t="shared" si="61"/>
        <v>0.67164179104477617</v>
      </c>
      <c r="J826" s="55">
        <v>13</v>
      </c>
      <c r="K826" s="56">
        <f t="shared" si="62"/>
        <v>0.19402985074626866</v>
      </c>
      <c r="L826" s="56">
        <f t="shared" si="63"/>
        <v>0.28888888888888886</v>
      </c>
      <c r="M826" s="55">
        <v>0</v>
      </c>
      <c r="N826" s="56">
        <f t="shared" si="64"/>
        <v>0</v>
      </c>
      <c r="O826" s="53" t="s">
        <v>443</v>
      </c>
    </row>
    <row r="827" spans="1:15" hidden="1" x14ac:dyDescent="0.25">
      <c r="A827" s="52" t="s">
        <v>20</v>
      </c>
      <c r="B827" s="53" t="s">
        <v>439</v>
      </c>
      <c r="C827" s="53" t="s">
        <v>443</v>
      </c>
      <c r="D827" s="54">
        <v>45113</v>
      </c>
      <c r="E827" s="55">
        <v>204</v>
      </c>
      <c r="F827" s="56">
        <f t="shared" si="60"/>
        <v>1</v>
      </c>
      <c r="G827" s="55">
        <v>0</v>
      </c>
      <c r="H827" s="55">
        <v>136</v>
      </c>
      <c r="I827" s="56">
        <f t="shared" si="61"/>
        <v>0.66666666666666663</v>
      </c>
      <c r="J827" s="55">
        <v>44</v>
      </c>
      <c r="K827" s="56">
        <f t="shared" si="62"/>
        <v>0.21568627450980393</v>
      </c>
      <c r="L827" s="56">
        <f t="shared" si="63"/>
        <v>0.3235294117647059</v>
      </c>
      <c r="M827" s="55">
        <v>0</v>
      </c>
      <c r="N827" s="56">
        <f t="shared" si="64"/>
        <v>0</v>
      </c>
      <c r="O827" s="53" t="s">
        <v>443</v>
      </c>
    </row>
    <row r="828" spans="1:15" hidden="1" x14ac:dyDescent="0.25">
      <c r="A828" s="52" t="s">
        <v>21</v>
      </c>
      <c r="B828" s="53" t="s">
        <v>444</v>
      </c>
      <c r="C828" s="53" t="s">
        <v>443</v>
      </c>
      <c r="D828" s="54">
        <v>45113</v>
      </c>
      <c r="E828" s="55">
        <v>265</v>
      </c>
      <c r="F828" s="56">
        <f t="shared" si="60"/>
        <v>0.99622641509433962</v>
      </c>
      <c r="G828" s="55">
        <v>1</v>
      </c>
      <c r="H828" s="55">
        <v>172</v>
      </c>
      <c r="I828" s="56">
        <f t="shared" si="61"/>
        <v>0.64905660377358487</v>
      </c>
      <c r="J828" s="55">
        <v>40</v>
      </c>
      <c r="K828" s="56">
        <f t="shared" si="62"/>
        <v>0.15094339622641509</v>
      </c>
      <c r="L828" s="56">
        <f t="shared" si="63"/>
        <v>0.23255813953488372</v>
      </c>
      <c r="M828" s="55">
        <v>0</v>
      </c>
      <c r="N828" s="56">
        <f t="shared" si="64"/>
        <v>0</v>
      </c>
      <c r="O828" s="53" t="s">
        <v>443</v>
      </c>
    </row>
    <row r="829" spans="1:15" hidden="1" x14ac:dyDescent="0.25">
      <c r="A829" s="52" t="s">
        <v>21</v>
      </c>
      <c r="B829" s="53" t="s">
        <v>439</v>
      </c>
      <c r="C829" s="53" t="s">
        <v>443</v>
      </c>
      <c r="D829" s="54">
        <v>45113</v>
      </c>
      <c r="E829" s="55">
        <v>565</v>
      </c>
      <c r="F829" s="56">
        <f t="shared" si="60"/>
        <v>0.99823008849557526</v>
      </c>
      <c r="G829" s="55">
        <v>1</v>
      </c>
      <c r="H829" s="55">
        <v>380</v>
      </c>
      <c r="I829" s="56">
        <f t="shared" si="61"/>
        <v>0.67256637168141598</v>
      </c>
      <c r="J829" s="55">
        <v>116</v>
      </c>
      <c r="K829" s="56">
        <f t="shared" si="62"/>
        <v>0.20530973451327433</v>
      </c>
      <c r="L829" s="56">
        <f t="shared" si="63"/>
        <v>0.30526315789473685</v>
      </c>
      <c r="M829" s="55">
        <v>0</v>
      </c>
      <c r="N829" s="56">
        <f t="shared" si="64"/>
        <v>0</v>
      </c>
      <c r="O829" s="53" t="s">
        <v>443</v>
      </c>
    </row>
    <row r="830" spans="1:15" hidden="1" x14ac:dyDescent="0.25">
      <c r="A830" s="52" t="s">
        <v>22</v>
      </c>
      <c r="B830" s="53" t="s">
        <v>439</v>
      </c>
      <c r="C830" s="53" t="s">
        <v>443</v>
      </c>
      <c r="D830" s="54">
        <v>45114</v>
      </c>
      <c r="E830" s="55">
        <v>105474</v>
      </c>
      <c r="F830" s="56">
        <f t="shared" si="60"/>
        <v>0.99809431708288299</v>
      </c>
      <c r="G830" s="55">
        <v>201</v>
      </c>
      <c r="H830" s="55">
        <v>31001</v>
      </c>
      <c r="I830" s="56">
        <f t="shared" si="61"/>
        <v>0.29392077668430133</v>
      </c>
      <c r="J830" s="55">
        <v>571</v>
      </c>
      <c r="K830" s="56">
        <f t="shared" si="62"/>
        <v>5.4136564461383851E-3</v>
      </c>
      <c r="L830" s="56">
        <f t="shared" si="63"/>
        <v>1.8418760685139188E-2</v>
      </c>
      <c r="M830" s="55">
        <v>61</v>
      </c>
      <c r="N830" s="56">
        <f t="shared" si="64"/>
        <v>5.7834158181163133E-4</v>
      </c>
      <c r="O830" s="53" t="s">
        <v>443</v>
      </c>
    </row>
    <row r="831" spans="1:15" hidden="1" x14ac:dyDescent="0.25">
      <c r="A831" s="52" t="s">
        <v>22</v>
      </c>
      <c r="B831" s="53" t="s">
        <v>444</v>
      </c>
      <c r="C831" s="53" t="s">
        <v>443</v>
      </c>
      <c r="D831" s="54">
        <v>45114</v>
      </c>
      <c r="E831" s="55">
        <v>204294</v>
      </c>
      <c r="F831" s="56">
        <f t="shared" si="60"/>
        <v>0.99806651198762564</v>
      </c>
      <c r="G831" s="55">
        <v>395</v>
      </c>
      <c r="H831" s="55">
        <v>57041</v>
      </c>
      <c r="I831" s="56">
        <f t="shared" si="61"/>
        <v>0.27921035370593361</v>
      </c>
      <c r="J831" s="55">
        <v>984</v>
      </c>
      <c r="K831" s="56">
        <f t="shared" si="62"/>
        <v>4.8165878586742634E-3</v>
      </c>
      <c r="L831" s="56">
        <f t="shared" si="63"/>
        <v>1.725074946091408E-2</v>
      </c>
      <c r="M831" s="55">
        <v>334</v>
      </c>
      <c r="N831" s="56">
        <f t="shared" si="64"/>
        <v>1.6348987243874026E-3</v>
      </c>
      <c r="O831" s="53" t="s">
        <v>443</v>
      </c>
    </row>
    <row r="832" spans="1:15" hidden="1" x14ac:dyDescent="0.25">
      <c r="A832" s="52" t="s">
        <v>23</v>
      </c>
      <c r="B832" s="53" t="s">
        <v>439</v>
      </c>
      <c r="C832" s="53" t="s">
        <v>443</v>
      </c>
      <c r="D832" s="54">
        <v>45114</v>
      </c>
      <c r="E832" s="55">
        <v>2081440</v>
      </c>
      <c r="F832" s="56">
        <f t="shared" si="60"/>
        <v>0.99754592974094858</v>
      </c>
      <c r="G832" s="55">
        <v>5108</v>
      </c>
      <c r="H832" s="55">
        <v>688775</v>
      </c>
      <c r="I832" s="56">
        <f t="shared" si="61"/>
        <v>0.33091273349219769</v>
      </c>
      <c r="J832" s="55">
        <v>7976</v>
      </c>
      <c r="K832" s="56">
        <f t="shared" si="62"/>
        <v>3.831962487508648E-3</v>
      </c>
      <c r="L832" s="56">
        <f t="shared" si="63"/>
        <v>1.1579978948132555E-2</v>
      </c>
      <c r="M832" s="55">
        <v>1663</v>
      </c>
      <c r="N832" s="56">
        <f t="shared" si="64"/>
        <v>7.9896610039203628E-4</v>
      </c>
      <c r="O832" s="53" t="s">
        <v>443</v>
      </c>
    </row>
    <row r="833" spans="1:15" hidden="1" x14ac:dyDescent="0.25">
      <c r="A833" s="52" t="s">
        <v>23</v>
      </c>
      <c r="B833" s="53" t="s">
        <v>444</v>
      </c>
      <c r="C833" s="53" t="s">
        <v>443</v>
      </c>
      <c r="D833" s="54">
        <v>45114</v>
      </c>
      <c r="E833" s="55">
        <v>2354578</v>
      </c>
      <c r="F833" s="56">
        <f t="shared" si="60"/>
        <v>0.99776775286272101</v>
      </c>
      <c r="G833" s="55">
        <v>5256</v>
      </c>
      <c r="H833" s="55">
        <v>735419</v>
      </c>
      <c r="I833" s="56">
        <f t="shared" si="61"/>
        <v>0.31233579860170274</v>
      </c>
      <c r="J833" s="55">
        <v>8020</v>
      </c>
      <c r="K833" s="56">
        <f t="shared" si="62"/>
        <v>3.406130525300075E-3</v>
      </c>
      <c r="L833" s="56">
        <f t="shared" si="63"/>
        <v>1.090534783572358E-2</v>
      </c>
      <c r="M833" s="55">
        <v>3014</v>
      </c>
      <c r="N833" s="56">
        <f t="shared" si="64"/>
        <v>1.2800595265903274E-3</v>
      </c>
      <c r="O833" s="53" t="s">
        <v>443</v>
      </c>
    </row>
    <row r="834" spans="1:15" x14ac:dyDescent="0.25">
      <c r="A834" s="52" t="s">
        <v>451</v>
      </c>
      <c r="B834" s="53" t="s">
        <v>444</v>
      </c>
      <c r="C834" s="53" t="s">
        <v>452</v>
      </c>
      <c r="D834" s="54">
        <v>45114</v>
      </c>
      <c r="E834" s="55">
        <v>232379</v>
      </c>
      <c r="F834" s="56">
        <f t="shared" ref="F834:F846" si="65">(E834-G834)/E834</f>
        <v>0.99840347019308973</v>
      </c>
      <c r="G834" s="55">
        <v>371</v>
      </c>
      <c r="H834" s="55">
        <v>102431</v>
      </c>
      <c r="I834" s="56">
        <f t="shared" ref="I834:I846" si="66">H834/E834</f>
        <v>0.4407928427267524</v>
      </c>
      <c r="J834" s="55">
        <v>2159</v>
      </c>
      <c r="K834" s="56">
        <f t="shared" ref="K834:K846" si="67">J834/E834</f>
        <v>9.2908567469521773E-3</v>
      </c>
      <c r="L834" s="56">
        <f t="shared" ref="L834:L846" si="68">J834/H834</f>
        <v>2.1077603459890071E-2</v>
      </c>
      <c r="M834" s="55">
        <v>222</v>
      </c>
      <c r="N834" s="56">
        <f t="shared" ref="N834:N846" si="69">M834/E834</f>
        <v>9.5533589524010348E-4</v>
      </c>
      <c r="O834" s="53" t="s">
        <v>452</v>
      </c>
    </row>
    <row r="835" spans="1:15" x14ac:dyDescent="0.25">
      <c r="A835" s="52" t="s">
        <v>453</v>
      </c>
      <c r="B835" s="53" t="s">
        <v>444</v>
      </c>
      <c r="C835" s="53" t="s">
        <v>452</v>
      </c>
      <c r="D835" s="54">
        <v>45114</v>
      </c>
      <c r="E835" s="55">
        <v>331375</v>
      </c>
      <c r="F835" s="56">
        <f t="shared" si="65"/>
        <v>0.99729007921539037</v>
      </c>
      <c r="G835" s="55">
        <v>898</v>
      </c>
      <c r="H835" s="55">
        <v>118415</v>
      </c>
      <c r="I835" s="56">
        <f t="shared" si="66"/>
        <v>0.35734439834024895</v>
      </c>
      <c r="J835" s="55">
        <v>2381</v>
      </c>
      <c r="K835" s="56">
        <f t="shared" si="67"/>
        <v>7.185213127121841E-3</v>
      </c>
      <c r="L835" s="56">
        <f t="shared" si="68"/>
        <v>2.0107249926107334E-2</v>
      </c>
      <c r="M835" s="55">
        <v>334</v>
      </c>
      <c r="N835" s="56">
        <f t="shared" si="69"/>
        <v>1.007921539041871E-3</v>
      </c>
      <c r="O835" s="53" t="s">
        <v>452</v>
      </c>
    </row>
    <row r="836" spans="1:15" x14ac:dyDescent="0.25">
      <c r="A836" s="52" t="s">
        <v>454</v>
      </c>
      <c r="B836" s="53" t="s">
        <v>444</v>
      </c>
      <c r="C836" s="53" t="s">
        <v>452</v>
      </c>
      <c r="D836" s="54">
        <v>45115</v>
      </c>
      <c r="E836" s="55">
        <v>15011</v>
      </c>
      <c r="F836" s="56">
        <f t="shared" si="65"/>
        <v>0.99793484777829589</v>
      </c>
      <c r="G836" s="55">
        <v>31</v>
      </c>
      <c r="H836" s="55">
        <v>4732</v>
      </c>
      <c r="I836" s="56">
        <f t="shared" si="66"/>
        <v>0.31523549397108785</v>
      </c>
      <c r="J836" s="55">
        <v>175</v>
      </c>
      <c r="K836" s="56">
        <f t="shared" si="67"/>
        <v>1.1658117380587569E-2</v>
      </c>
      <c r="L836" s="56">
        <f t="shared" si="68"/>
        <v>3.6982248520710061E-2</v>
      </c>
      <c r="M836" s="55">
        <v>9</v>
      </c>
      <c r="N836" s="56">
        <f t="shared" si="69"/>
        <v>5.9956032243021779E-4</v>
      </c>
      <c r="O836" s="53" t="s">
        <v>452</v>
      </c>
    </row>
    <row r="837" spans="1:15" hidden="1" x14ac:dyDescent="0.25">
      <c r="A837" s="67" t="s">
        <v>18</v>
      </c>
      <c r="B837" s="68" t="s">
        <v>439</v>
      </c>
      <c r="C837" s="68" t="s">
        <v>443</v>
      </c>
      <c r="D837" s="69">
        <v>45118</v>
      </c>
      <c r="E837" s="70">
        <v>26839</v>
      </c>
      <c r="F837" s="71">
        <f t="shared" si="65"/>
        <v>0.99832333544468865</v>
      </c>
      <c r="G837" s="70">
        <v>45</v>
      </c>
      <c r="H837" s="70">
        <v>9058</v>
      </c>
      <c r="I837" s="71">
        <f t="shared" si="66"/>
        <v>0.33749394537799471</v>
      </c>
      <c r="J837" s="70">
        <v>327</v>
      </c>
      <c r="K837" s="71">
        <f t="shared" si="67"/>
        <v>1.2183762435262119E-2</v>
      </c>
      <c r="L837" s="71">
        <f t="shared" si="68"/>
        <v>3.6100684477809668E-2</v>
      </c>
      <c r="M837" s="70">
        <v>10</v>
      </c>
      <c r="N837" s="71">
        <f t="shared" si="69"/>
        <v>3.7259212340251129E-4</v>
      </c>
      <c r="O837" s="68" t="s">
        <v>443</v>
      </c>
    </row>
    <row r="838" spans="1:15" hidden="1" x14ac:dyDescent="0.25">
      <c r="A838" s="67" t="s">
        <v>18</v>
      </c>
      <c r="B838" s="68" t="s">
        <v>444</v>
      </c>
      <c r="C838" s="68" t="s">
        <v>443</v>
      </c>
      <c r="D838" s="69">
        <v>45118</v>
      </c>
      <c r="E838" s="70">
        <v>28221</v>
      </c>
      <c r="F838" s="71">
        <f t="shared" si="65"/>
        <v>0.99858261578257324</v>
      </c>
      <c r="G838" s="70">
        <v>40</v>
      </c>
      <c r="H838" s="70">
        <v>9648</v>
      </c>
      <c r="I838" s="71">
        <f t="shared" si="66"/>
        <v>0.34187307324332944</v>
      </c>
      <c r="J838" s="70">
        <v>239</v>
      </c>
      <c r="K838" s="71">
        <f t="shared" si="67"/>
        <v>8.4688706991247649E-3</v>
      </c>
      <c r="L838" s="71">
        <f t="shared" si="68"/>
        <v>2.4771973466003318E-2</v>
      </c>
      <c r="M838" s="70">
        <v>24</v>
      </c>
      <c r="N838" s="71">
        <f t="shared" si="69"/>
        <v>8.5043053045604335E-4</v>
      </c>
      <c r="O838" s="68" t="s">
        <v>443</v>
      </c>
    </row>
    <row r="839" spans="1:15" hidden="1" x14ac:dyDescent="0.25">
      <c r="A839" s="67" t="s">
        <v>19</v>
      </c>
      <c r="B839" s="68" t="s">
        <v>439</v>
      </c>
      <c r="C839" s="68" t="s">
        <v>443</v>
      </c>
      <c r="D839" s="69">
        <v>45118</v>
      </c>
      <c r="E839" s="70">
        <v>250770</v>
      </c>
      <c r="F839" s="71">
        <f t="shared" si="65"/>
        <v>0.99776687801571162</v>
      </c>
      <c r="G839" s="70">
        <v>560</v>
      </c>
      <c r="H839" s="70">
        <v>85697</v>
      </c>
      <c r="I839" s="71">
        <f t="shared" si="66"/>
        <v>0.34173545479921841</v>
      </c>
      <c r="J839" s="70">
        <v>1721</v>
      </c>
      <c r="K839" s="71">
        <f t="shared" si="67"/>
        <v>6.8628623838577181E-3</v>
      </c>
      <c r="L839" s="71">
        <f t="shared" si="68"/>
        <v>2.0082383280628259E-2</v>
      </c>
      <c r="M839" s="70">
        <v>121</v>
      </c>
      <c r="N839" s="71">
        <f t="shared" si="69"/>
        <v>4.825138573194561E-4</v>
      </c>
      <c r="O839" s="68" t="s">
        <v>443</v>
      </c>
    </row>
    <row r="840" spans="1:15" hidden="1" x14ac:dyDescent="0.25">
      <c r="A840" s="67" t="s">
        <v>19</v>
      </c>
      <c r="B840" s="68" t="s">
        <v>444</v>
      </c>
      <c r="C840" s="68" t="s">
        <v>443</v>
      </c>
      <c r="D840" s="69">
        <v>45118</v>
      </c>
      <c r="E840" s="70">
        <v>487779</v>
      </c>
      <c r="F840" s="71">
        <f t="shared" si="65"/>
        <v>0.99831276049194406</v>
      </c>
      <c r="G840" s="70">
        <v>823</v>
      </c>
      <c r="H840" s="70">
        <v>176248</v>
      </c>
      <c r="I840" s="71">
        <f t="shared" si="66"/>
        <v>0.36132756842750507</v>
      </c>
      <c r="J840" s="70">
        <v>2302</v>
      </c>
      <c r="K840" s="71">
        <f t="shared" si="67"/>
        <v>4.7193503615366797E-3</v>
      </c>
      <c r="L840" s="71">
        <f t="shared" si="68"/>
        <v>1.306114111933185E-2</v>
      </c>
      <c r="M840" s="70">
        <v>337</v>
      </c>
      <c r="N840" s="71">
        <f t="shared" si="69"/>
        <v>6.90886651536864E-4</v>
      </c>
      <c r="O840" s="68" t="s">
        <v>443</v>
      </c>
    </row>
    <row r="841" spans="1:15" x14ac:dyDescent="0.25">
      <c r="A841" s="67" t="s">
        <v>27</v>
      </c>
      <c r="B841" s="68" t="s">
        <v>439</v>
      </c>
      <c r="C841" s="68" t="s">
        <v>452</v>
      </c>
      <c r="D841" s="69">
        <v>45118</v>
      </c>
      <c r="E841" s="70">
        <v>14514</v>
      </c>
      <c r="F841" s="71">
        <f t="shared" si="65"/>
        <v>0.99827752514813284</v>
      </c>
      <c r="G841" s="70">
        <v>25</v>
      </c>
      <c r="H841" s="70">
        <v>4713</v>
      </c>
      <c r="I841" s="71">
        <f t="shared" si="66"/>
        <v>0.32472095907399751</v>
      </c>
      <c r="J841" s="70">
        <v>80</v>
      </c>
      <c r="K841" s="71">
        <f t="shared" si="67"/>
        <v>5.5119195259749204E-3</v>
      </c>
      <c r="L841" s="71">
        <f t="shared" si="68"/>
        <v>1.6974326331423723E-2</v>
      </c>
      <c r="M841" s="70">
        <v>6</v>
      </c>
      <c r="N841" s="71">
        <f t="shared" si="69"/>
        <v>4.1339396444811904E-4</v>
      </c>
      <c r="O841" s="68" t="s">
        <v>452</v>
      </c>
    </row>
    <row r="842" spans="1:15" x14ac:dyDescent="0.25">
      <c r="A842" s="67" t="s">
        <v>27</v>
      </c>
      <c r="B842" s="68" t="s">
        <v>444</v>
      </c>
      <c r="C842" s="68" t="s">
        <v>452</v>
      </c>
      <c r="D842" s="69">
        <v>45118</v>
      </c>
      <c r="E842" s="70">
        <v>42466</v>
      </c>
      <c r="F842" s="71">
        <f t="shared" si="65"/>
        <v>0.99809259172043518</v>
      </c>
      <c r="G842" s="70">
        <v>81</v>
      </c>
      <c r="H842" s="70">
        <v>13270</v>
      </c>
      <c r="I842" s="71">
        <f t="shared" si="66"/>
        <v>0.31248528234352185</v>
      </c>
      <c r="J842" s="70">
        <v>236</v>
      </c>
      <c r="K842" s="71">
        <f t="shared" si="67"/>
        <v>5.5573870861394996E-3</v>
      </c>
      <c r="L842" s="71">
        <f t="shared" si="68"/>
        <v>1.7784476262245667E-2</v>
      </c>
      <c r="M842" s="70">
        <v>47</v>
      </c>
      <c r="N842" s="71">
        <f t="shared" si="69"/>
        <v>1.1067677671549004E-3</v>
      </c>
      <c r="O842" s="68" t="s">
        <v>452</v>
      </c>
    </row>
    <row r="843" spans="1:15" x14ac:dyDescent="0.25">
      <c r="A843" s="67" t="s">
        <v>28</v>
      </c>
      <c r="B843" s="68" t="s">
        <v>439</v>
      </c>
      <c r="C843" s="68" t="s">
        <v>452</v>
      </c>
      <c r="D843" s="69">
        <v>45118</v>
      </c>
      <c r="E843" s="70">
        <v>229539</v>
      </c>
      <c r="F843" s="71">
        <f t="shared" si="65"/>
        <v>0.99806133162556254</v>
      </c>
      <c r="G843" s="70">
        <v>445</v>
      </c>
      <c r="H843" s="70">
        <v>101767</v>
      </c>
      <c r="I843" s="71">
        <f t="shared" si="66"/>
        <v>0.44335385272219535</v>
      </c>
      <c r="J843" s="70">
        <v>1225</v>
      </c>
      <c r="K843" s="71">
        <f t="shared" si="67"/>
        <v>5.3367837273840179E-3</v>
      </c>
      <c r="L843" s="71">
        <f t="shared" si="68"/>
        <v>1.2037300893216859E-2</v>
      </c>
      <c r="M843" s="70">
        <v>158</v>
      </c>
      <c r="N843" s="71">
        <f t="shared" si="69"/>
        <v>6.8833618687891816E-4</v>
      </c>
      <c r="O843" s="68" t="s">
        <v>452</v>
      </c>
    </row>
    <row r="844" spans="1:15" x14ac:dyDescent="0.25">
      <c r="A844" s="67" t="s">
        <v>28</v>
      </c>
      <c r="B844" s="68" t="s">
        <v>444</v>
      </c>
      <c r="C844" s="68" t="s">
        <v>452</v>
      </c>
      <c r="D844" s="69">
        <v>45118</v>
      </c>
      <c r="E844" s="70">
        <v>607480</v>
      </c>
      <c r="F844" s="71">
        <f t="shared" si="65"/>
        <v>0.99743366036741954</v>
      </c>
      <c r="G844" s="70">
        <v>1559</v>
      </c>
      <c r="H844" s="70">
        <v>267611</v>
      </c>
      <c r="I844" s="71">
        <f t="shared" si="66"/>
        <v>0.44052643708434847</v>
      </c>
      <c r="J844" s="70">
        <v>3099</v>
      </c>
      <c r="K844" s="71">
        <f t="shared" si="67"/>
        <v>5.1014025153091457E-3</v>
      </c>
      <c r="L844" s="71">
        <f t="shared" si="68"/>
        <v>1.1580241469894736E-2</v>
      </c>
      <c r="M844" s="70">
        <v>732</v>
      </c>
      <c r="N844" s="71">
        <f t="shared" si="69"/>
        <v>1.2049779416606309E-3</v>
      </c>
      <c r="O844" s="68" t="s">
        <v>452</v>
      </c>
    </row>
    <row r="845" spans="1:15" hidden="1" x14ac:dyDescent="0.25">
      <c r="A845" s="67" t="s">
        <v>29</v>
      </c>
      <c r="B845" s="68" t="s">
        <v>439</v>
      </c>
      <c r="C845" s="68" t="s">
        <v>443</v>
      </c>
      <c r="D845" s="69">
        <v>45122</v>
      </c>
      <c r="E845" s="70">
        <v>28110</v>
      </c>
      <c r="F845" s="71">
        <f t="shared" si="65"/>
        <v>0.99868374244041269</v>
      </c>
      <c r="G845" s="70">
        <v>37</v>
      </c>
      <c r="H845" s="70">
        <v>7819</v>
      </c>
      <c r="I845" s="71">
        <f t="shared" si="66"/>
        <v>0.27815723941657772</v>
      </c>
      <c r="J845" s="70">
        <v>237</v>
      </c>
      <c r="K845" s="71">
        <f t="shared" si="67"/>
        <v>8.4311632870864468E-3</v>
      </c>
      <c r="L845" s="71">
        <f t="shared" si="68"/>
        <v>3.0310781429850366E-2</v>
      </c>
      <c r="M845" s="70">
        <v>5</v>
      </c>
      <c r="N845" s="71">
        <f t="shared" si="69"/>
        <v>1.7787264318747776E-4</v>
      </c>
      <c r="O845" s="68" t="s">
        <v>443</v>
      </c>
    </row>
    <row r="846" spans="1:15" hidden="1" x14ac:dyDescent="0.25">
      <c r="A846" s="67" t="s">
        <v>30</v>
      </c>
      <c r="B846" s="68" t="s">
        <v>439</v>
      </c>
      <c r="C846" s="68" t="s">
        <v>443</v>
      </c>
      <c r="D846" s="69">
        <v>45122</v>
      </c>
      <c r="E846" s="70">
        <v>448353</v>
      </c>
      <c r="F846" s="71">
        <f t="shared" si="65"/>
        <v>0.99779191842142245</v>
      </c>
      <c r="G846" s="70">
        <v>990</v>
      </c>
      <c r="H846" s="70">
        <v>142911</v>
      </c>
      <c r="I846" s="71">
        <f t="shared" si="66"/>
        <v>0.31874661260212378</v>
      </c>
      <c r="J846" s="70">
        <v>3205</v>
      </c>
      <c r="K846" s="71">
        <f t="shared" si="67"/>
        <v>7.1483853124658476E-3</v>
      </c>
      <c r="L846" s="71">
        <f t="shared" si="68"/>
        <v>2.2426545192462441E-2</v>
      </c>
      <c r="M846" s="70">
        <v>289</v>
      </c>
      <c r="N846" s="71">
        <f t="shared" si="69"/>
        <v>6.4458139011002488E-4</v>
      </c>
      <c r="O846" s="68" t="s">
        <v>443</v>
      </c>
    </row>
  </sheetData>
  <autoFilter ref="A1:O846" xr:uid="{6D03B03F-7A47-42A2-90EC-4C2914CEB2B1}">
    <filterColumn colId="2">
      <filters>
        <filter val="Stor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4924-80B4-45B1-81A2-F989562ACFCB}">
  <sheetPr>
    <tabColor rgb="FF92D050"/>
  </sheetPr>
  <dimension ref="A1:I38"/>
  <sheetViews>
    <sheetView workbookViewId="0">
      <selection activeCell="Q158" sqref="Q158"/>
    </sheetView>
  </sheetViews>
  <sheetFormatPr defaultRowHeight="15" x14ac:dyDescent="0.25"/>
  <cols>
    <col min="1" max="1" width="10.42578125" bestFit="1" customWidth="1"/>
    <col min="2" max="2" width="59.42578125" bestFit="1" customWidth="1"/>
    <col min="3" max="3" width="35.5703125" customWidth="1"/>
    <col min="4" max="4" width="9.140625" bestFit="1" customWidth="1"/>
    <col min="5" max="5" width="13.42578125" bestFit="1" customWidth="1"/>
    <col min="6" max="6" width="10" bestFit="1" customWidth="1"/>
    <col min="7" max="7" width="12.5703125" customWidth="1"/>
    <col min="8" max="8" width="8.42578125" customWidth="1"/>
    <col min="9" max="9" width="7" bestFit="1" customWidth="1"/>
  </cols>
  <sheetData>
    <row r="1" spans="1:9" s="75" customFormat="1" ht="15.75" thickBot="1" x14ac:dyDescent="0.3">
      <c r="A1" s="89" t="s">
        <v>0</v>
      </c>
      <c r="B1" s="90" t="s">
        <v>428</v>
      </c>
      <c r="C1" s="90" t="s">
        <v>429</v>
      </c>
      <c r="D1" s="91" t="s">
        <v>431</v>
      </c>
      <c r="E1" s="91" t="s">
        <v>4</v>
      </c>
      <c r="F1" s="92" t="s">
        <v>434</v>
      </c>
      <c r="G1" s="91" t="s">
        <v>6</v>
      </c>
      <c r="H1" s="92" t="s">
        <v>8</v>
      </c>
      <c r="I1" s="93" t="s">
        <v>7</v>
      </c>
    </row>
    <row r="2" spans="1:9" s="75" customFormat="1" x14ac:dyDescent="0.25">
      <c r="A2" s="11">
        <v>45009</v>
      </c>
      <c r="B2" s="65" t="s">
        <v>591</v>
      </c>
      <c r="C2" s="79" t="s">
        <v>757</v>
      </c>
      <c r="D2" s="80">
        <v>33786</v>
      </c>
      <c r="E2" s="80">
        <v>18749</v>
      </c>
      <c r="F2" s="81">
        <f t="shared" ref="F2:F24" si="0">E2/D2</f>
        <v>0.55493399632984075</v>
      </c>
      <c r="G2" s="80">
        <v>1036</v>
      </c>
      <c r="H2" s="81">
        <f t="shared" ref="H2:H24" si="1">G2/D2</f>
        <v>3.0663588468596459E-2</v>
      </c>
      <c r="I2" s="86">
        <f>G2/E2</f>
        <v>5.5256280334951197E-2</v>
      </c>
    </row>
    <row r="3" spans="1:9" s="75" customFormat="1" x14ac:dyDescent="0.25">
      <c r="A3" s="11">
        <v>45009</v>
      </c>
      <c r="B3" s="65" t="s">
        <v>591</v>
      </c>
      <c r="C3" s="79" t="s">
        <v>758</v>
      </c>
      <c r="D3" s="80">
        <v>7716</v>
      </c>
      <c r="E3" s="80">
        <v>3986</v>
      </c>
      <c r="F3" s="81">
        <f t="shared" si="0"/>
        <v>0.51658890616899944</v>
      </c>
      <c r="G3" s="80">
        <v>244</v>
      </c>
      <c r="H3" s="81">
        <f t="shared" si="1"/>
        <v>3.1622602384655259E-2</v>
      </c>
      <c r="I3" s="86">
        <f>G3/E3</f>
        <v>6.1214249874560964E-2</v>
      </c>
    </row>
    <row r="4" spans="1:9" s="75" customFormat="1" x14ac:dyDescent="0.25">
      <c r="A4" s="11">
        <v>45012</v>
      </c>
      <c r="B4" s="65" t="s">
        <v>593</v>
      </c>
      <c r="C4" s="79" t="s">
        <v>757</v>
      </c>
      <c r="D4" s="80">
        <v>20759</v>
      </c>
      <c r="E4" s="80">
        <v>11538</v>
      </c>
      <c r="F4" s="81">
        <f t="shared" si="0"/>
        <v>0.55580711980345876</v>
      </c>
      <c r="G4" s="80">
        <v>392</v>
      </c>
      <c r="H4" s="81">
        <f t="shared" si="1"/>
        <v>1.8883375885158246E-2</v>
      </c>
      <c r="I4" s="86">
        <f>G4/E4</f>
        <v>3.3974692321026172E-2</v>
      </c>
    </row>
    <row r="5" spans="1:9" s="75" customFormat="1" x14ac:dyDescent="0.25">
      <c r="A5" s="11">
        <v>45012</v>
      </c>
      <c r="B5" s="65" t="s">
        <v>593</v>
      </c>
      <c r="C5" s="79" t="s">
        <v>758</v>
      </c>
      <c r="D5" s="80">
        <v>4891</v>
      </c>
      <c r="E5" s="80">
        <v>2550</v>
      </c>
      <c r="F5" s="81">
        <f t="shared" si="0"/>
        <v>0.52136577387037419</v>
      </c>
      <c r="G5" s="80">
        <v>105</v>
      </c>
      <c r="H5" s="81">
        <f t="shared" si="1"/>
        <v>2.1468002453485995E-2</v>
      </c>
      <c r="I5" s="86">
        <f>G5/E5</f>
        <v>4.1176470588235294E-2</v>
      </c>
    </row>
    <row r="6" spans="1:9" s="75" customFormat="1" x14ac:dyDescent="0.25">
      <c r="A6" s="11">
        <v>45028</v>
      </c>
      <c r="B6" s="65" t="s">
        <v>621</v>
      </c>
      <c r="C6" s="79" t="s">
        <v>759</v>
      </c>
      <c r="D6" s="80">
        <v>31437</v>
      </c>
      <c r="E6" s="80">
        <v>14920</v>
      </c>
      <c r="F6" s="81">
        <f t="shared" si="0"/>
        <v>0.47459999363806982</v>
      </c>
      <c r="G6" s="80">
        <v>779</v>
      </c>
      <c r="H6" s="81">
        <f t="shared" si="1"/>
        <v>2.4779718166491712E-2</v>
      </c>
      <c r="I6" s="86">
        <f>G6/E6</f>
        <v>5.2211796246648796E-2</v>
      </c>
    </row>
    <row r="7" spans="1:9" s="75" customFormat="1" x14ac:dyDescent="0.25">
      <c r="A7" s="11">
        <v>45034</v>
      </c>
      <c r="B7" s="65" t="s">
        <v>629</v>
      </c>
      <c r="C7" s="79" t="s">
        <v>757</v>
      </c>
      <c r="D7" s="80">
        <v>17656</v>
      </c>
      <c r="E7" s="80">
        <v>9469</v>
      </c>
      <c r="F7" s="81">
        <f t="shared" si="0"/>
        <v>0.53630493883099228</v>
      </c>
      <c r="G7" s="80">
        <v>683</v>
      </c>
      <c r="H7" s="81">
        <f t="shared" si="1"/>
        <v>3.8683733574988673E-2</v>
      </c>
      <c r="I7" s="86">
        <f t="shared" ref="I7:I13" si="2">G7/E7</f>
        <v>7.2130108776005911E-2</v>
      </c>
    </row>
    <row r="8" spans="1:9" s="75" customFormat="1" x14ac:dyDescent="0.25">
      <c r="A8" s="11">
        <v>45034</v>
      </c>
      <c r="B8" s="65" t="s">
        <v>629</v>
      </c>
      <c r="C8" s="79" t="s">
        <v>758</v>
      </c>
      <c r="D8" s="80">
        <v>4667</v>
      </c>
      <c r="E8" s="80">
        <v>2719</v>
      </c>
      <c r="F8" s="81">
        <f t="shared" si="0"/>
        <v>0.58260124276837366</v>
      </c>
      <c r="G8" s="80">
        <v>207</v>
      </c>
      <c r="H8" s="81">
        <f t="shared" si="1"/>
        <v>4.4353974716091711E-2</v>
      </c>
      <c r="I8" s="86">
        <f t="shared" si="2"/>
        <v>7.6130930489150428E-2</v>
      </c>
    </row>
    <row r="9" spans="1:9" s="75" customFormat="1" x14ac:dyDescent="0.25">
      <c r="A9" s="11">
        <v>45057</v>
      </c>
      <c r="B9" s="65" t="s">
        <v>675</v>
      </c>
      <c r="C9" s="79" t="s">
        <v>758</v>
      </c>
      <c r="D9" s="80">
        <v>15504</v>
      </c>
      <c r="E9" s="80">
        <v>7033</v>
      </c>
      <c r="F9" s="81">
        <f t="shared" si="0"/>
        <v>0.45362487100103199</v>
      </c>
      <c r="G9" s="80">
        <v>114</v>
      </c>
      <c r="H9" s="81">
        <f t="shared" si="1"/>
        <v>7.3529411764705881E-3</v>
      </c>
      <c r="I9" s="86">
        <f t="shared" si="2"/>
        <v>1.6209299018910849E-2</v>
      </c>
    </row>
    <row r="10" spans="1:9" s="75" customFormat="1" x14ac:dyDescent="0.25">
      <c r="A10" s="11">
        <v>45057</v>
      </c>
      <c r="B10" s="65" t="s">
        <v>675</v>
      </c>
      <c r="C10" s="79" t="s">
        <v>757</v>
      </c>
      <c r="D10" s="80">
        <v>79468</v>
      </c>
      <c r="E10" s="80">
        <v>31746</v>
      </c>
      <c r="F10" s="81">
        <f t="shared" si="0"/>
        <v>0.39948155232294758</v>
      </c>
      <c r="G10" s="80">
        <v>456</v>
      </c>
      <c r="H10" s="81">
        <f t="shared" si="1"/>
        <v>5.7381587557255751E-3</v>
      </c>
      <c r="I10" s="86">
        <f t="shared" si="2"/>
        <v>1.4364014364014363E-2</v>
      </c>
    </row>
    <row r="11" spans="1:9" s="75" customFormat="1" x14ac:dyDescent="0.25">
      <c r="A11" s="11">
        <v>45057</v>
      </c>
      <c r="B11" s="65" t="s">
        <v>676</v>
      </c>
      <c r="C11" s="79" t="s">
        <v>760</v>
      </c>
      <c r="D11" s="80">
        <v>1985</v>
      </c>
      <c r="E11" s="80">
        <v>716</v>
      </c>
      <c r="F11" s="81">
        <f t="shared" si="0"/>
        <v>0.36070528967254406</v>
      </c>
      <c r="G11" s="80">
        <v>18</v>
      </c>
      <c r="H11" s="81">
        <f t="shared" si="1"/>
        <v>9.0680100755667504E-3</v>
      </c>
      <c r="I11" s="86">
        <f t="shared" si="2"/>
        <v>2.5139664804469275E-2</v>
      </c>
    </row>
    <row r="12" spans="1:9" s="75" customFormat="1" x14ac:dyDescent="0.25">
      <c r="A12" s="11">
        <v>45057</v>
      </c>
      <c r="B12" s="65" t="s">
        <v>676</v>
      </c>
      <c r="C12" s="79" t="s">
        <v>761</v>
      </c>
      <c r="D12" s="80">
        <v>2815</v>
      </c>
      <c r="E12" s="80">
        <v>1106</v>
      </c>
      <c r="F12" s="81">
        <f t="shared" si="0"/>
        <v>0.39289520426287744</v>
      </c>
      <c r="G12" s="80">
        <v>24</v>
      </c>
      <c r="H12" s="81">
        <f t="shared" si="1"/>
        <v>8.5257548845470692E-3</v>
      </c>
      <c r="I12" s="86">
        <f t="shared" si="2"/>
        <v>2.1699819168173599E-2</v>
      </c>
    </row>
    <row r="13" spans="1:9" s="75" customFormat="1" x14ac:dyDescent="0.25">
      <c r="A13" s="11">
        <v>45062</v>
      </c>
      <c r="B13" s="65" t="s">
        <v>681</v>
      </c>
      <c r="C13" s="79" t="s">
        <v>761</v>
      </c>
      <c r="D13" s="80">
        <v>2430</v>
      </c>
      <c r="E13" s="80">
        <v>1480</v>
      </c>
      <c r="F13" s="81">
        <f t="shared" si="0"/>
        <v>0.60905349794238683</v>
      </c>
      <c r="G13" s="80">
        <v>14</v>
      </c>
      <c r="H13" s="81">
        <f t="shared" si="1"/>
        <v>5.7613168724279839E-3</v>
      </c>
      <c r="I13" s="86">
        <f t="shared" si="2"/>
        <v>9.45945945945946E-3</v>
      </c>
    </row>
    <row r="14" spans="1:9" s="75" customFormat="1" x14ac:dyDescent="0.25">
      <c r="A14" s="11">
        <v>45062</v>
      </c>
      <c r="B14" s="65" t="s">
        <v>682</v>
      </c>
      <c r="C14" s="79" t="s">
        <v>757</v>
      </c>
      <c r="D14" s="80">
        <v>73338</v>
      </c>
      <c r="E14" s="80">
        <v>44742</v>
      </c>
      <c r="F14" s="81">
        <f t="shared" si="0"/>
        <v>0.61007935858627182</v>
      </c>
      <c r="G14" s="80">
        <v>243</v>
      </c>
      <c r="H14" s="81">
        <f t="shared" si="1"/>
        <v>3.3134255092857729E-3</v>
      </c>
      <c r="I14" s="86">
        <f t="shared" ref="I14:I24" si="3">G14/E14</f>
        <v>5.4311385275579993E-3</v>
      </c>
    </row>
    <row r="15" spans="1:9" s="75" customFormat="1" x14ac:dyDescent="0.25">
      <c r="A15" s="11">
        <v>45064</v>
      </c>
      <c r="B15" s="65" t="s">
        <v>690</v>
      </c>
      <c r="C15" s="79" t="s">
        <v>758</v>
      </c>
      <c r="D15" s="80">
        <v>6050</v>
      </c>
      <c r="E15" s="80">
        <v>3398</v>
      </c>
      <c r="F15" s="81">
        <f t="shared" si="0"/>
        <v>0.56165289256198347</v>
      </c>
      <c r="G15" s="80">
        <v>575</v>
      </c>
      <c r="H15" s="81">
        <f t="shared" si="1"/>
        <v>9.5041322314049589E-2</v>
      </c>
      <c r="I15" s="86">
        <f t="shared" si="3"/>
        <v>0.16921718658034138</v>
      </c>
    </row>
    <row r="16" spans="1:9" s="75" customFormat="1" x14ac:dyDescent="0.25">
      <c r="A16" s="11">
        <v>45064</v>
      </c>
      <c r="B16" s="65" t="s">
        <v>690</v>
      </c>
      <c r="C16" s="79" t="s">
        <v>757</v>
      </c>
      <c r="D16" s="80">
        <v>24753</v>
      </c>
      <c r="E16" s="80">
        <v>11565</v>
      </c>
      <c r="F16" s="81">
        <f t="shared" si="0"/>
        <v>0.46721609501878558</v>
      </c>
      <c r="G16" s="80">
        <v>1862</v>
      </c>
      <c r="H16" s="81">
        <f t="shared" si="1"/>
        <v>7.5223205268048321E-2</v>
      </c>
      <c r="I16" s="86">
        <f t="shared" si="3"/>
        <v>0.16100302637267619</v>
      </c>
    </row>
    <row r="17" spans="1:9" s="75" customFormat="1" x14ac:dyDescent="0.25">
      <c r="A17" s="11">
        <v>45092</v>
      </c>
      <c r="B17" s="65" t="s">
        <v>736</v>
      </c>
      <c r="C17" s="79" t="s">
        <v>760</v>
      </c>
      <c r="D17" s="80">
        <v>2073</v>
      </c>
      <c r="E17" s="80">
        <v>764</v>
      </c>
      <c r="F17" s="81">
        <f t="shared" si="0"/>
        <v>0.36854799807042932</v>
      </c>
      <c r="G17" s="80">
        <v>12</v>
      </c>
      <c r="H17" s="81">
        <f t="shared" si="1"/>
        <v>5.7887120115774236E-3</v>
      </c>
      <c r="I17" s="86">
        <f t="shared" si="3"/>
        <v>1.5706806282722512E-2</v>
      </c>
    </row>
    <row r="18" spans="1:9" s="75" customFormat="1" x14ac:dyDescent="0.25">
      <c r="A18" s="11">
        <v>45092</v>
      </c>
      <c r="B18" s="65" t="s">
        <v>736</v>
      </c>
      <c r="C18" s="79" t="s">
        <v>761</v>
      </c>
      <c r="D18" s="80">
        <v>2899</v>
      </c>
      <c r="E18" s="80">
        <v>1177</v>
      </c>
      <c r="F18" s="81">
        <f t="shared" si="0"/>
        <v>0.40600206967919972</v>
      </c>
      <c r="G18" s="80">
        <v>29</v>
      </c>
      <c r="H18" s="81">
        <f t="shared" si="1"/>
        <v>1.0003449465332874E-2</v>
      </c>
      <c r="I18" s="86">
        <f t="shared" si="3"/>
        <v>2.4638912489379779E-2</v>
      </c>
    </row>
    <row r="19" spans="1:9" s="75" customFormat="1" x14ac:dyDescent="0.25">
      <c r="A19" s="11">
        <v>45092</v>
      </c>
      <c r="B19" s="65" t="s">
        <v>737</v>
      </c>
      <c r="C19" s="79" t="s">
        <v>758</v>
      </c>
      <c r="D19" s="80">
        <v>16260</v>
      </c>
      <c r="E19" s="80">
        <v>7339</v>
      </c>
      <c r="F19" s="81">
        <f t="shared" si="0"/>
        <v>0.45135301353013529</v>
      </c>
      <c r="G19" s="80">
        <v>146</v>
      </c>
      <c r="H19" s="81">
        <f t="shared" si="1"/>
        <v>8.9790897908979088E-3</v>
      </c>
      <c r="I19" s="86">
        <f t="shared" si="3"/>
        <v>1.9893718490257527E-2</v>
      </c>
    </row>
    <row r="20" spans="1:9" s="75" customFormat="1" x14ac:dyDescent="0.25">
      <c r="A20" s="11">
        <v>45092</v>
      </c>
      <c r="B20" s="65" t="s">
        <v>737</v>
      </c>
      <c r="C20" s="79" t="s">
        <v>757</v>
      </c>
      <c r="D20" s="80">
        <v>84433</v>
      </c>
      <c r="E20" s="80">
        <v>34218</v>
      </c>
      <c r="F20" s="81">
        <f t="shared" si="0"/>
        <v>0.40526808238484952</v>
      </c>
      <c r="G20" s="80">
        <v>561</v>
      </c>
      <c r="H20" s="81">
        <f t="shared" si="1"/>
        <v>6.6443215330498741E-3</v>
      </c>
      <c r="I20" s="86">
        <f t="shared" si="3"/>
        <v>1.6394879887778362E-2</v>
      </c>
    </row>
    <row r="21" spans="1:9" s="75" customFormat="1" x14ac:dyDescent="0.25">
      <c r="A21" s="11">
        <v>45099</v>
      </c>
      <c r="B21" s="65" t="s">
        <v>749</v>
      </c>
      <c r="C21" s="79" t="s">
        <v>761</v>
      </c>
      <c r="D21" s="80">
        <v>858</v>
      </c>
      <c r="E21" s="80">
        <v>359</v>
      </c>
      <c r="F21" s="81">
        <f t="shared" si="0"/>
        <v>0.4184149184149184</v>
      </c>
      <c r="G21" s="80">
        <v>34</v>
      </c>
      <c r="H21" s="81">
        <f t="shared" si="1"/>
        <v>3.9627039627039624E-2</v>
      </c>
      <c r="I21" s="86">
        <f t="shared" si="3"/>
        <v>9.4707520891364902E-2</v>
      </c>
    </row>
    <row r="22" spans="1:9" s="75" customFormat="1" x14ac:dyDescent="0.25">
      <c r="A22" s="11">
        <v>45099</v>
      </c>
      <c r="B22" s="65" t="s">
        <v>750</v>
      </c>
      <c r="C22" s="79" t="s">
        <v>757</v>
      </c>
      <c r="D22" s="80">
        <v>23693</v>
      </c>
      <c r="E22" s="80">
        <v>10787</v>
      </c>
      <c r="F22" s="81">
        <f t="shared" si="0"/>
        <v>0.45528215084624152</v>
      </c>
      <c r="G22" s="80">
        <v>1034</v>
      </c>
      <c r="H22" s="81">
        <f t="shared" si="1"/>
        <v>4.3641581901827542E-2</v>
      </c>
      <c r="I22" s="86">
        <f t="shared" si="3"/>
        <v>9.5856123111152311E-2</v>
      </c>
    </row>
    <row r="23" spans="1:9" s="75" customFormat="1" x14ac:dyDescent="0.25">
      <c r="A23" s="11">
        <v>45099</v>
      </c>
      <c r="B23" s="65" t="s">
        <v>751</v>
      </c>
      <c r="C23" s="79" t="s">
        <v>757</v>
      </c>
      <c r="D23" s="80">
        <v>23646</v>
      </c>
      <c r="E23" s="80">
        <v>10977</v>
      </c>
      <c r="F23" s="81">
        <f t="shared" si="0"/>
        <v>0.46422227860949</v>
      </c>
      <c r="G23" s="80">
        <v>1392</v>
      </c>
      <c r="H23" s="81">
        <f t="shared" si="1"/>
        <v>5.8868307536158335E-2</v>
      </c>
      <c r="I23" s="86">
        <f t="shared" si="3"/>
        <v>0.12681060399016125</v>
      </c>
    </row>
    <row r="24" spans="1:9" s="75" customFormat="1" x14ac:dyDescent="0.25">
      <c r="A24" s="11">
        <v>45099</v>
      </c>
      <c r="B24" s="65" t="s">
        <v>752</v>
      </c>
      <c r="C24" s="79" t="s">
        <v>761</v>
      </c>
      <c r="D24" s="80">
        <v>856</v>
      </c>
      <c r="E24" s="80">
        <v>380</v>
      </c>
      <c r="F24" s="81">
        <f t="shared" si="0"/>
        <v>0.44392523364485981</v>
      </c>
      <c r="G24" s="80">
        <v>47</v>
      </c>
      <c r="H24" s="81">
        <f t="shared" si="1"/>
        <v>5.4906542056074766E-2</v>
      </c>
      <c r="I24" s="86">
        <f t="shared" si="3"/>
        <v>0.12368421052631579</v>
      </c>
    </row>
    <row r="25" spans="1:9" x14ac:dyDescent="0.25">
      <c r="A25" s="11">
        <v>45126</v>
      </c>
      <c r="B25" t="s">
        <v>36</v>
      </c>
      <c r="C25" t="s">
        <v>32</v>
      </c>
      <c r="D25" s="82">
        <v>41795</v>
      </c>
      <c r="E25" s="82">
        <v>22514</v>
      </c>
      <c r="F25" s="83">
        <v>0.53869999999999996</v>
      </c>
      <c r="G25" s="82">
        <v>2231</v>
      </c>
      <c r="H25" s="83">
        <v>9.9099999999999994E-2</v>
      </c>
      <c r="I25" s="87">
        <v>5.3400000000000003E-2</v>
      </c>
    </row>
    <row r="26" spans="1:9" x14ac:dyDescent="0.25">
      <c r="A26" s="11">
        <v>45126</v>
      </c>
      <c r="B26" t="s">
        <v>36</v>
      </c>
      <c r="C26" t="s">
        <v>33</v>
      </c>
      <c r="D26" s="82">
        <v>1672</v>
      </c>
      <c r="E26" s="82">
        <v>618</v>
      </c>
      <c r="F26" s="83">
        <v>0.36959999999999998</v>
      </c>
      <c r="G26" s="84">
        <v>44</v>
      </c>
      <c r="H26" s="83">
        <v>7.1199999999999999E-2</v>
      </c>
      <c r="I26" s="87">
        <v>2.63E-2</v>
      </c>
    </row>
    <row r="27" spans="1:9" x14ac:dyDescent="0.25">
      <c r="A27" s="11">
        <v>45174</v>
      </c>
      <c r="B27" t="s">
        <v>121</v>
      </c>
      <c r="C27" t="s">
        <v>122</v>
      </c>
      <c r="D27" s="82">
        <v>2139</v>
      </c>
      <c r="E27" s="84">
        <v>892</v>
      </c>
      <c r="F27" s="83">
        <v>0.41699999999999998</v>
      </c>
      <c r="G27" s="84">
        <v>40</v>
      </c>
      <c r="H27" s="83">
        <v>4.48E-2</v>
      </c>
      <c r="I27" s="87">
        <v>1.8700000000000001E-2</v>
      </c>
    </row>
    <row r="28" spans="1:9" x14ac:dyDescent="0.25">
      <c r="A28" s="11">
        <v>45174</v>
      </c>
      <c r="B28" t="s">
        <v>121</v>
      </c>
      <c r="C28" t="s">
        <v>123</v>
      </c>
      <c r="D28" s="82">
        <v>2478</v>
      </c>
      <c r="E28" s="82">
        <v>1050</v>
      </c>
      <c r="F28" s="83">
        <v>0.42370000000000002</v>
      </c>
      <c r="G28" s="84">
        <v>30</v>
      </c>
      <c r="H28" s="83">
        <v>2.86E-2</v>
      </c>
      <c r="I28" s="87">
        <v>1.21E-2</v>
      </c>
    </row>
    <row r="29" spans="1:9" x14ac:dyDescent="0.25">
      <c r="A29" s="11">
        <v>45174</v>
      </c>
      <c r="B29" t="s">
        <v>121</v>
      </c>
      <c r="C29" t="s">
        <v>124</v>
      </c>
      <c r="D29" s="82">
        <v>12698</v>
      </c>
      <c r="E29" s="82">
        <v>4422</v>
      </c>
      <c r="F29" s="83">
        <v>0.34820000000000001</v>
      </c>
      <c r="G29" s="84">
        <v>93</v>
      </c>
      <c r="H29" s="83">
        <v>2.1000000000000001E-2</v>
      </c>
      <c r="I29" s="87">
        <v>7.3000000000000001E-3</v>
      </c>
    </row>
    <row r="30" spans="1:9" x14ac:dyDescent="0.25">
      <c r="A30" s="11">
        <v>45182</v>
      </c>
      <c r="B30" t="s">
        <v>134</v>
      </c>
      <c r="C30" t="s">
        <v>32</v>
      </c>
      <c r="D30" s="82">
        <v>22798</v>
      </c>
      <c r="E30" s="82">
        <v>10118</v>
      </c>
      <c r="F30" s="83">
        <v>0.44381086060180702</v>
      </c>
      <c r="G30" s="84">
        <v>846</v>
      </c>
      <c r="H30" s="83">
        <v>8.3613362324570104E-2</v>
      </c>
      <c r="I30" s="87">
        <v>3.7108518291078203E-2</v>
      </c>
    </row>
    <row r="31" spans="1:9" x14ac:dyDescent="0.25">
      <c r="A31" s="11">
        <v>45184</v>
      </c>
      <c r="B31" t="s">
        <v>143</v>
      </c>
      <c r="C31" t="s">
        <v>144</v>
      </c>
      <c r="D31" s="82">
        <v>372083</v>
      </c>
      <c r="E31" s="82">
        <v>142198</v>
      </c>
      <c r="F31" s="83">
        <v>0.382167419634866</v>
      </c>
      <c r="G31" s="84">
        <v>1637</v>
      </c>
      <c r="H31" s="83">
        <v>1.15121169074108E-2</v>
      </c>
      <c r="I31" s="87">
        <v>4.3995560130401E-3</v>
      </c>
    </row>
    <row r="32" spans="1:9" x14ac:dyDescent="0.25">
      <c r="A32" s="11">
        <v>45188</v>
      </c>
      <c r="B32" t="s">
        <v>147</v>
      </c>
      <c r="C32" t="s">
        <v>32</v>
      </c>
      <c r="D32" s="82">
        <v>67396</v>
      </c>
      <c r="E32" s="82">
        <v>29844</v>
      </c>
      <c r="F32" s="83">
        <v>0.44281559736482901</v>
      </c>
      <c r="G32" s="84">
        <v>2059</v>
      </c>
      <c r="H32" s="83">
        <v>6.8992092212840098E-2</v>
      </c>
      <c r="I32" s="87">
        <v>3.05507745266781E-2</v>
      </c>
    </row>
    <row r="33" spans="1:9" x14ac:dyDescent="0.25">
      <c r="A33" s="11">
        <v>45197</v>
      </c>
      <c r="B33" t="s">
        <v>169</v>
      </c>
      <c r="C33" t="s">
        <v>32</v>
      </c>
      <c r="D33" s="82">
        <v>3741</v>
      </c>
      <c r="E33" s="82">
        <v>1918</v>
      </c>
      <c r="F33" s="83">
        <v>0.51270000000000004</v>
      </c>
      <c r="G33" s="84">
        <v>194</v>
      </c>
      <c r="H33" s="83">
        <v>0.1011</v>
      </c>
      <c r="I33" s="87">
        <v>5.1900000000000002E-2</v>
      </c>
    </row>
    <row r="34" spans="1:9" x14ac:dyDescent="0.25">
      <c r="A34" s="11">
        <v>45204</v>
      </c>
      <c r="B34" t="s">
        <v>178</v>
      </c>
      <c r="C34" t="s">
        <v>179</v>
      </c>
      <c r="D34" s="82">
        <v>4843</v>
      </c>
      <c r="E34" s="82">
        <v>1912</v>
      </c>
      <c r="F34" s="85">
        <v>0.39479661366921298</v>
      </c>
      <c r="G34" s="82">
        <v>91</v>
      </c>
      <c r="H34" s="85">
        <v>4.7594142259414197E-2</v>
      </c>
      <c r="I34" s="88">
        <v>1.8790006194507498E-2</v>
      </c>
    </row>
    <row r="35" spans="1:9" x14ac:dyDescent="0.25">
      <c r="A35" s="11">
        <v>45204</v>
      </c>
      <c r="B35" t="s">
        <v>178</v>
      </c>
      <c r="C35" t="s">
        <v>180</v>
      </c>
      <c r="D35" s="82">
        <v>1770</v>
      </c>
      <c r="E35" s="82">
        <v>622</v>
      </c>
      <c r="F35" s="85">
        <v>0.35141242937853101</v>
      </c>
      <c r="G35" s="82">
        <v>18</v>
      </c>
      <c r="H35" s="85">
        <v>2.8938906752411599E-2</v>
      </c>
      <c r="I35" s="88">
        <v>1.01694915254237E-2</v>
      </c>
    </row>
    <row r="36" spans="1:9" x14ac:dyDescent="0.25">
      <c r="A36" s="11">
        <v>45204</v>
      </c>
      <c r="B36" t="s">
        <v>178</v>
      </c>
      <c r="C36" t="s">
        <v>181</v>
      </c>
      <c r="D36" s="82">
        <v>20936</v>
      </c>
      <c r="E36" s="82">
        <v>8372</v>
      </c>
      <c r="F36" s="85">
        <v>0.39988536492166599</v>
      </c>
      <c r="G36" s="82">
        <v>379</v>
      </c>
      <c r="H36" s="85">
        <v>4.5269947443860502E-2</v>
      </c>
      <c r="I36" s="88">
        <v>1.8102789453572798E-2</v>
      </c>
    </row>
    <row r="37" spans="1:9" ht="15.75" thickBot="1" x14ac:dyDescent="0.3">
      <c r="A37" s="11">
        <v>45204</v>
      </c>
      <c r="B37" t="s">
        <v>178</v>
      </c>
      <c r="C37" t="s">
        <v>182</v>
      </c>
      <c r="D37" s="82">
        <v>12145</v>
      </c>
      <c r="E37" s="82">
        <v>5061</v>
      </c>
      <c r="F37" s="85">
        <v>0.41671469740633998</v>
      </c>
      <c r="G37" s="82">
        <v>202</v>
      </c>
      <c r="H37" s="85">
        <v>3.9913060659948603E-2</v>
      </c>
      <c r="I37" s="88">
        <v>1.66323589954714E-2</v>
      </c>
    </row>
    <row r="38" spans="1:9" ht="15.75" thickBot="1" x14ac:dyDescent="0.3">
      <c r="A38" s="94" t="s">
        <v>427</v>
      </c>
      <c r="B38" s="95"/>
      <c r="C38" s="95"/>
      <c r="D38" s="96">
        <f>SUM(D2:D37)</f>
        <v>1048467</v>
      </c>
      <c r="E38" s="96">
        <f>SUM(E2:E37)</f>
        <v>461259</v>
      </c>
      <c r="F38" s="97">
        <f>AVERAGE(F2:F37)</f>
        <v>0.45698415169267537</v>
      </c>
      <c r="G38" s="96">
        <f>SUM(G2:G37)</f>
        <v>17871</v>
      </c>
      <c r="H38" s="97">
        <f>AVERAGE(H2:H37)</f>
        <v>3.723810563855566E-2</v>
      </c>
      <c r="I38" s="98">
        <f>AVERAGE(I2:I37)</f>
        <v>4.5493455766530175E-2</v>
      </c>
    </row>
  </sheetData>
  <pageMargins left="0.7" right="0.7" top="0.75" bottom="0.75" header="0.3" footer="0.3"/>
  <ignoredErrors>
    <ignoredError sqref="F3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F307-52D7-48D6-AB97-D5F2AD442100}">
  <sheetPr>
    <tabColor rgb="FF7030A0"/>
  </sheetPr>
  <dimension ref="A1:Q50"/>
  <sheetViews>
    <sheetView workbookViewId="0">
      <pane ySplit="1" topLeftCell="A2" activePane="bottomLeft" state="frozen"/>
      <selection activeCell="Q158" sqref="Q158"/>
      <selection pane="bottomLeft" activeCell="Q158" sqref="Q158"/>
    </sheetView>
  </sheetViews>
  <sheetFormatPr defaultRowHeight="15" x14ac:dyDescent="0.25"/>
  <cols>
    <col min="1" max="1" width="25.5703125" bestFit="1" customWidth="1"/>
    <col min="2" max="2" width="26.140625" customWidth="1"/>
    <col min="3" max="3" width="12.42578125" bestFit="1" customWidth="1"/>
    <col min="4" max="4" width="15" bestFit="1" customWidth="1"/>
    <col min="5" max="5" width="13.42578125" bestFit="1" customWidth="1"/>
    <col min="6" max="6" width="10" bestFit="1" customWidth="1"/>
    <col min="7" max="7" width="12.5703125" bestFit="1" customWidth="1"/>
    <col min="8" max="8" width="8" bestFit="1" customWidth="1"/>
    <col min="9" max="9" width="7" bestFit="1" customWidth="1"/>
    <col min="10" max="10" width="12.42578125" bestFit="1" customWidth="1"/>
    <col min="11" max="11" width="16.140625" bestFit="1" customWidth="1"/>
  </cols>
  <sheetData>
    <row r="1" spans="1:11" x14ac:dyDescent="0.25">
      <c r="A1" s="29" t="s">
        <v>762</v>
      </c>
      <c r="B1" s="30" t="s">
        <v>431</v>
      </c>
      <c r="C1" s="31" t="s">
        <v>432</v>
      </c>
      <c r="D1" s="30" t="s">
        <v>433</v>
      </c>
      <c r="E1" s="30" t="s">
        <v>4</v>
      </c>
      <c r="F1" s="31" t="s">
        <v>434</v>
      </c>
      <c r="G1" s="30" t="s">
        <v>6</v>
      </c>
      <c r="H1" s="31" t="s">
        <v>7</v>
      </c>
      <c r="I1" s="31" t="s">
        <v>8</v>
      </c>
      <c r="J1" s="30" t="s">
        <v>435</v>
      </c>
      <c r="K1" s="31" t="s">
        <v>436</v>
      </c>
    </row>
    <row r="2" spans="1:11" x14ac:dyDescent="0.25">
      <c r="A2" t="s">
        <v>763</v>
      </c>
      <c r="B2" s="1">
        <v>338513911</v>
      </c>
      <c r="C2" s="32">
        <f>(B2-D2)/B2</f>
        <v>0.99660222826115996</v>
      </c>
      <c r="D2" s="28">
        <v>1150193</v>
      </c>
      <c r="E2" s="1">
        <v>126649252</v>
      </c>
      <c r="F2" s="3">
        <f>(E2/B2)</f>
        <v>0.37413307957084224</v>
      </c>
      <c r="G2" s="1">
        <v>2083475</v>
      </c>
      <c r="H2" s="3">
        <v>3.2199999999999999E-2</v>
      </c>
      <c r="I2" s="3">
        <v>1.3100000000000001E-2</v>
      </c>
      <c r="J2" s="1">
        <v>556176</v>
      </c>
      <c r="K2" s="3">
        <f>(J2/B2)</f>
        <v>1.6429930408384311E-3</v>
      </c>
    </row>
    <row r="3" spans="1:11" x14ac:dyDescent="0.25">
      <c r="A3" t="s">
        <v>764</v>
      </c>
      <c r="B3" s="1">
        <v>2898282</v>
      </c>
      <c r="C3" s="3">
        <v>0.97770000000000001</v>
      </c>
      <c r="D3" s="1">
        <v>77177</v>
      </c>
      <c r="E3" s="1">
        <v>1020661</v>
      </c>
      <c r="F3" s="3">
        <v>0.35520000000000002</v>
      </c>
      <c r="G3" s="1">
        <v>14136</v>
      </c>
      <c r="H3" s="3">
        <v>3.3799999999999997E-2</v>
      </c>
      <c r="I3" s="3">
        <v>1.2200000000000001E-2</v>
      </c>
      <c r="J3">
        <v>159</v>
      </c>
      <c r="K3" s="3"/>
    </row>
    <row r="4" spans="1:11" x14ac:dyDescent="0.25">
      <c r="A4" t="s">
        <v>765</v>
      </c>
      <c r="B4" s="1">
        <v>9627892</v>
      </c>
      <c r="C4" s="32">
        <v>0.96679999999999999</v>
      </c>
      <c r="D4" s="1">
        <v>316110</v>
      </c>
      <c r="E4" s="1">
        <v>3440176</v>
      </c>
      <c r="F4" s="3">
        <v>0.32500000000000001</v>
      </c>
      <c r="G4" s="28">
        <v>61704</v>
      </c>
      <c r="H4" s="3">
        <v>1.95E-2</v>
      </c>
      <c r="I4" s="3">
        <v>6.1999999999999998E-3</v>
      </c>
      <c r="J4">
        <v>182</v>
      </c>
    </row>
    <row r="5" spans="1:11" x14ac:dyDescent="0.25">
      <c r="A5" t="s">
        <v>766</v>
      </c>
      <c r="B5" s="1">
        <v>6898866</v>
      </c>
      <c r="C5" s="32">
        <v>0.97619999999999996</v>
      </c>
      <c r="D5" s="1">
        <v>204493</v>
      </c>
      <c r="E5" s="1">
        <v>2360844</v>
      </c>
      <c r="F5" s="3">
        <v>0.34560000000000002</v>
      </c>
      <c r="G5" s="28">
        <v>44791</v>
      </c>
      <c r="H5" s="32">
        <v>0.04</v>
      </c>
      <c r="I5" s="3">
        <v>1.46E-2</v>
      </c>
      <c r="J5">
        <v>74</v>
      </c>
    </row>
    <row r="6" spans="1:11" x14ac:dyDescent="0.25">
      <c r="A6" t="s">
        <v>767</v>
      </c>
      <c r="B6" s="1">
        <v>5978594</v>
      </c>
      <c r="C6" s="32">
        <v>0.995</v>
      </c>
      <c r="D6" s="1">
        <v>31457</v>
      </c>
      <c r="E6" s="1">
        <v>2026653</v>
      </c>
      <c r="F6" s="3">
        <v>0.33900000000000002</v>
      </c>
      <c r="G6" s="28">
        <v>28586</v>
      </c>
      <c r="H6" s="32">
        <v>2.3099999999999999E-2</v>
      </c>
      <c r="I6" s="3">
        <v>7.4999999999999997E-3</v>
      </c>
      <c r="J6">
        <v>823</v>
      </c>
    </row>
    <row r="7" spans="1:11" x14ac:dyDescent="0.25">
      <c r="A7" t="s">
        <v>768</v>
      </c>
      <c r="B7" s="1">
        <v>8551712</v>
      </c>
      <c r="C7" s="32">
        <v>0.99659999999999993</v>
      </c>
      <c r="D7" s="1">
        <v>31252</v>
      </c>
      <c r="E7" s="1">
        <v>3140318</v>
      </c>
      <c r="F7" s="3">
        <v>0.36719999999999997</v>
      </c>
      <c r="G7" s="25">
        <v>46340</v>
      </c>
      <c r="H7" s="32">
        <v>1.4800000000000001E-2</v>
      </c>
      <c r="I7" s="3">
        <v>1.41E-2</v>
      </c>
      <c r="J7">
        <v>372</v>
      </c>
    </row>
    <row r="8" spans="1:11" x14ac:dyDescent="0.25">
      <c r="A8" t="s">
        <v>769</v>
      </c>
      <c r="B8" s="1">
        <v>13738457</v>
      </c>
      <c r="C8" s="3">
        <v>0.99680000000000002</v>
      </c>
      <c r="D8" s="1">
        <v>43702</v>
      </c>
      <c r="E8" s="1">
        <v>4857777</v>
      </c>
      <c r="F8" s="3">
        <v>0.35909999999999997</v>
      </c>
      <c r="G8" s="1">
        <v>176703</v>
      </c>
      <c r="H8" s="3">
        <v>2.3699999999999999E-2</v>
      </c>
      <c r="I8" s="3">
        <v>7.1999999999999998E-3</v>
      </c>
      <c r="J8">
        <v>64</v>
      </c>
    </row>
    <row r="9" spans="1:11" x14ac:dyDescent="0.25">
      <c r="A9" t="s">
        <v>770</v>
      </c>
      <c r="B9" s="1">
        <v>13387772</v>
      </c>
      <c r="C9" s="3">
        <v>0.99709999999999999</v>
      </c>
      <c r="D9" s="1">
        <v>39439</v>
      </c>
      <c r="E9" s="1">
        <v>4880461</v>
      </c>
      <c r="F9" s="3">
        <v>0.36449999999999999</v>
      </c>
      <c r="G9" s="1">
        <v>129927</v>
      </c>
      <c r="H9" s="3">
        <v>2.6599999999999999E-2</v>
      </c>
      <c r="I9" s="3">
        <v>9.7000000000000003E-3</v>
      </c>
      <c r="J9">
        <v>59</v>
      </c>
    </row>
    <row r="10" spans="1:11" x14ac:dyDescent="0.25">
      <c r="A10" t="s">
        <v>771</v>
      </c>
      <c r="B10" s="1">
        <v>14113026</v>
      </c>
      <c r="C10" s="3">
        <v>0.99709999999999999</v>
      </c>
      <c r="D10" s="1">
        <v>40920</v>
      </c>
      <c r="E10" s="1">
        <v>4585941</v>
      </c>
      <c r="F10" s="3">
        <v>0.32490000000000002</v>
      </c>
      <c r="G10" s="1">
        <v>106272</v>
      </c>
      <c r="H10" s="3">
        <v>1.84E-2</v>
      </c>
      <c r="I10" s="3">
        <v>5.7999999999999996E-3</v>
      </c>
      <c r="J10">
        <v>103</v>
      </c>
    </row>
    <row r="11" spans="1:11" x14ac:dyDescent="0.25">
      <c r="A11" t="s">
        <v>772</v>
      </c>
      <c r="B11" s="1">
        <v>6973076</v>
      </c>
      <c r="C11" s="3">
        <v>0.99739999999999995</v>
      </c>
      <c r="D11" s="1">
        <v>18395</v>
      </c>
      <c r="E11" s="1">
        <v>2318659</v>
      </c>
      <c r="F11" s="3">
        <v>0.33250000000000002</v>
      </c>
      <c r="G11" s="1">
        <v>31851</v>
      </c>
      <c r="H11" s="3">
        <v>1.37E-2</v>
      </c>
      <c r="I11" s="3">
        <v>4.5999999999999999E-3</v>
      </c>
      <c r="J11" s="1">
        <v>2001</v>
      </c>
      <c r="K11" s="3"/>
    </row>
    <row r="12" spans="1:11" x14ac:dyDescent="0.25">
      <c r="A12" t="s">
        <v>773</v>
      </c>
      <c r="B12" s="1">
        <v>7491245</v>
      </c>
      <c r="C12" s="3">
        <v>0.99750000000000005</v>
      </c>
      <c r="D12" s="1">
        <v>18798</v>
      </c>
      <c r="E12" s="1">
        <v>2410070</v>
      </c>
      <c r="F12" s="3">
        <v>0.32169999999999999</v>
      </c>
      <c r="G12" s="1">
        <v>47578</v>
      </c>
      <c r="H12" s="3">
        <v>1.9699999999999999E-2</v>
      </c>
      <c r="I12" s="3">
        <v>6.4000000000000003E-3</v>
      </c>
      <c r="J12">
        <v>70</v>
      </c>
      <c r="K12" s="3">
        <v>0</v>
      </c>
    </row>
    <row r="13" spans="1:11" x14ac:dyDescent="0.25">
      <c r="A13" t="s">
        <v>774</v>
      </c>
      <c r="B13" s="1">
        <f>(6973076-160000)</f>
        <v>6813076</v>
      </c>
      <c r="C13" s="3">
        <v>0.99739999999999995</v>
      </c>
      <c r="D13" s="1">
        <v>18395</v>
      </c>
      <c r="E13" s="1">
        <v>2334467</v>
      </c>
      <c r="F13" s="3">
        <v>0.33479999999999999</v>
      </c>
      <c r="G13" s="1">
        <v>32022</v>
      </c>
      <c r="H13" s="3">
        <v>1.9400000000000001E-2</v>
      </c>
      <c r="I13" s="3">
        <v>7.0000000000000001E-3</v>
      </c>
      <c r="J13" s="1">
        <v>2025</v>
      </c>
      <c r="K13" s="3"/>
    </row>
    <row r="14" spans="1:11" x14ac:dyDescent="0.25">
      <c r="A14" t="s">
        <v>775</v>
      </c>
      <c r="B14" s="1">
        <v>10489321</v>
      </c>
      <c r="C14" s="3">
        <v>0.99750000000000005</v>
      </c>
      <c r="D14" s="1">
        <v>17211</v>
      </c>
      <c r="E14" s="1">
        <v>3224668</v>
      </c>
      <c r="F14" s="3">
        <v>0.31219999999999998</v>
      </c>
      <c r="G14" s="1">
        <v>35834</v>
      </c>
      <c r="H14" s="3">
        <v>2.7E-2</v>
      </c>
      <c r="I14" s="3">
        <v>0.01</v>
      </c>
      <c r="J14">
        <v>25</v>
      </c>
      <c r="K14" s="3"/>
    </row>
    <row r="15" spans="1:11" x14ac:dyDescent="0.25">
      <c r="A15" t="s">
        <v>776</v>
      </c>
      <c r="B15" s="1">
        <v>7281078</v>
      </c>
      <c r="C15" s="3">
        <v>0.99729999999999996</v>
      </c>
      <c r="D15" s="1">
        <v>19607</v>
      </c>
      <c r="E15" s="1">
        <v>2404993</v>
      </c>
      <c r="F15" s="3">
        <v>0.3175</v>
      </c>
      <c r="G15" s="1">
        <v>27818</v>
      </c>
      <c r="H15" s="3">
        <v>1.8200000000000001E-2</v>
      </c>
      <c r="I15" s="103">
        <v>7.1000000000000004E-3</v>
      </c>
      <c r="J15">
        <v>552</v>
      </c>
    </row>
    <row r="16" spans="1:11" x14ac:dyDescent="0.25">
      <c r="A16" t="s">
        <v>777</v>
      </c>
      <c r="B16" s="1">
        <v>19865257</v>
      </c>
      <c r="C16" s="3">
        <v>0.99750000000000005</v>
      </c>
      <c r="D16" s="1">
        <v>50354</v>
      </c>
      <c r="E16" s="1">
        <v>6916719</v>
      </c>
      <c r="F16" s="3">
        <v>0.34820000000000001</v>
      </c>
      <c r="G16" s="1">
        <v>107246</v>
      </c>
      <c r="H16" s="3">
        <v>1.55E-2</v>
      </c>
      <c r="I16" s="3">
        <v>5.4000000000000003E-3</v>
      </c>
      <c r="J16">
        <v>243</v>
      </c>
    </row>
    <row r="17" spans="1:17" x14ac:dyDescent="0.25">
      <c r="A17" t="s">
        <v>778</v>
      </c>
      <c r="B17" s="1">
        <v>9557050</v>
      </c>
      <c r="C17" s="3">
        <v>0.99770000000000003</v>
      </c>
      <c r="D17" s="1">
        <v>21879</v>
      </c>
      <c r="E17" s="1">
        <v>3412295</v>
      </c>
      <c r="F17" s="3">
        <v>0.35699999999999998</v>
      </c>
      <c r="G17" s="1">
        <v>46244</v>
      </c>
      <c r="H17" s="3">
        <v>1.3599999999999999E-2</v>
      </c>
      <c r="I17" s="3">
        <v>4.7999999999999996E-3</v>
      </c>
      <c r="J17">
        <v>562</v>
      </c>
    </row>
    <row r="18" spans="1:17" x14ac:dyDescent="0.25">
      <c r="A18" t="s">
        <v>779</v>
      </c>
      <c r="B18" s="1">
        <v>10439823</v>
      </c>
      <c r="C18" s="1">
        <v>85372</v>
      </c>
      <c r="D18" s="3">
        <v>0.99180000000000001</v>
      </c>
      <c r="E18" s="1">
        <v>4133432</v>
      </c>
      <c r="F18" s="3">
        <v>0.39589999999999997</v>
      </c>
      <c r="G18" s="1">
        <v>109764</v>
      </c>
      <c r="H18" s="3">
        <v>2.6599999999999999E-2</v>
      </c>
      <c r="I18" s="3">
        <v>1.0500000000000001E-2</v>
      </c>
      <c r="J18">
        <v>19</v>
      </c>
      <c r="K18" s="3">
        <v>0</v>
      </c>
    </row>
    <row r="19" spans="1:17" x14ac:dyDescent="0.25">
      <c r="A19" t="s">
        <v>780</v>
      </c>
      <c r="B19" s="1">
        <v>7656314</v>
      </c>
      <c r="C19" s="1">
        <v>18728</v>
      </c>
      <c r="D19" s="3">
        <v>0.99760000000000004</v>
      </c>
      <c r="E19" s="1">
        <v>2551881</v>
      </c>
      <c r="F19" s="3">
        <v>0.33329999999999999</v>
      </c>
      <c r="G19" s="1">
        <v>33865</v>
      </c>
      <c r="H19" s="3">
        <v>1.3299999999999999E-2</v>
      </c>
      <c r="I19" s="3">
        <v>4.4000000000000003E-3</v>
      </c>
      <c r="J19">
        <v>267</v>
      </c>
      <c r="K19" s="3">
        <v>0</v>
      </c>
      <c r="Q19" s="14"/>
    </row>
    <row r="20" spans="1:17" x14ac:dyDescent="0.25">
      <c r="A20" t="s">
        <v>781</v>
      </c>
      <c r="B20" s="1">
        <v>8739418</v>
      </c>
      <c r="C20" s="1">
        <v>23538</v>
      </c>
      <c r="D20" s="3">
        <v>0.99729999999999996</v>
      </c>
      <c r="E20" s="1">
        <v>2996110</v>
      </c>
      <c r="F20" s="3">
        <v>0.34279999999999999</v>
      </c>
      <c r="G20" s="1">
        <v>41226</v>
      </c>
      <c r="H20" s="3">
        <v>1.38E-2</v>
      </c>
      <c r="I20" s="3">
        <v>4.7000000000000002E-3</v>
      </c>
      <c r="J20">
        <v>2</v>
      </c>
      <c r="K20" s="3">
        <v>0</v>
      </c>
    </row>
    <row r="21" spans="1:17" x14ac:dyDescent="0.25">
      <c r="A21" t="s">
        <v>782</v>
      </c>
      <c r="B21" s="1">
        <v>11770833</v>
      </c>
      <c r="C21" s="1">
        <v>30903</v>
      </c>
      <c r="D21" s="3">
        <v>0.99739999999999995</v>
      </c>
      <c r="E21" s="1">
        <v>3791892</v>
      </c>
      <c r="F21" s="3">
        <v>0.3221</v>
      </c>
      <c r="G21" s="1">
        <v>47151</v>
      </c>
      <c r="H21" s="3">
        <v>1.24E-2</v>
      </c>
      <c r="I21" s="3">
        <v>4.0000000000000001E-3</v>
      </c>
      <c r="J21">
        <v>0</v>
      </c>
    </row>
    <row r="22" spans="1:17" x14ac:dyDescent="0.25">
      <c r="A22" t="s">
        <v>783</v>
      </c>
      <c r="B22" s="1">
        <v>20113809</v>
      </c>
      <c r="C22" s="1">
        <v>62897</v>
      </c>
      <c r="D22" s="3">
        <v>0.99690000000000001</v>
      </c>
      <c r="E22" s="1">
        <v>6655417</v>
      </c>
      <c r="F22" s="3">
        <v>0.33090000000000003</v>
      </c>
      <c r="G22" s="1">
        <v>82207</v>
      </c>
      <c r="H22" s="3">
        <v>1.24E-2</v>
      </c>
      <c r="I22" s="3">
        <v>4.1000000000000003E-3</v>
      </c>
      <c r="J22">
        <v>34</v>
      </c>
      <c r="K22" s="3">
        <v>0</v>
      </c>
    </row>
    <row r="23" spans="1:17" x14ac:dyDescent="0.25">
      <c r="A23" t="s">
        <v>784</v>
      </c>
      <c r="B23" s="1">
        <v>15771965</v>
      </c>
      <c r="C23" s="1">
        <v>43995</v>
      </c>
      <c r="D23" s="3">
        <v>0.99719999999999998</v>
      </c>
      <c r="E23" s="1">
        <v>6010648</v>
      </c>
      <c r="F23" s="3">
        <v>0.38109999999999999</v>
      </c>
      <c r="G23" s="1">
        <v>79275</v>
      </c>
      <c r="H23" s="3">
        <v>1.32E-2</v>
      </c>
      <c r="I23" s="3">
        <v>5.0000000000000001E-3</v>
      </c>
      <c r="J23">
        <v>0</v>
      </c>
    </row>
    <row r="24" spans="1:17" x14ac:dyDescent="0.25">
      <c r="A24" t="s">
        <v>785</v>
      </c>
      <c r="B24" s="1">
        <v>14926771</v>
      </c>
      <c r="C24" s="1">
        <v>54427</v>
      </c>
      <c r="D24" s="3">
        <v>0.99639999999999995</v>
      </c>
      <c r="E24" s="1">
        <v>5930908</v>
      </c>
      <c r="F24" s="3">
        <v>0.39729999999999999</v>
      </c>
      <c r="G24" s="1">
        <v>71804</v>
      </c>
      <c r="H24" s="3">
        <v>1.21E-2</v>
      </c>
      <c r="I24" s="3">
        <v>4.7999999999999996E-3</v>
      </c>
      <c r="J24">
        <v>4</v>
      </c>
      <c r="K24" s="3">
        <v>0</v>
      </c>
    </row>
    <row r="25" spans="1:17" x14ac:dyDescent="0.25">
      <c r="A25" t="s">
        <v>786</v>
      </c>
      <c r="B25" s="1">
        <v>18067217</v>
      </c>
      <c r="C25" s="1">
        <v>115036</v>
      </c>
      <c r="D25" s="3">
        <v>0.99360000000000004</v>
      </c>
      <c r="E25" s="1">
        <v>6820640</v>
      </c>
      <c r="F25" s="3">
        <v>0.3775</v>
      </c>
      <c r="G25" s="1">
        <v>76928</v>
      </c>
      <c r="H25" s="3">
        <v>1.1299999999999999E-2</v>
      </c>
      <c r="I25" s="3">
        <v>4.3E-3</v>
      </c>
      <c r="J25">
        <v>0</v>
      </c>
    </row>
    <row r="26" spans="1:17" x14ac:dyDescent="0.25">
      <c r="A26" t="s">
        <v>787</v>
      </c>
      <c r="B26" s="1">
        <v>19563356</v>
      </c>
      <c r="C26" s="1">
        <v>3842782</v>
      </c>
      <c r="D26" s="3">
        <v>0.80359999999999998</v>
      </c>
      <c r="E26" s="1">
        <v>5969876</v>
      </c>
      <c r="F26" s="3">
        <v>0.30520000000000003</v>
      </c>
      <c r="G26" s="1">
        <v>55960</v>
      </c>
      <c r="H26" s="3">
        <v>9.4000000000000004E-3</v>
      </c>
      <c r="I26" s="3">
        <v>2.8999999999999998E-3</v>
      </c>
      <c r="J26">
        <v>5</v>
      </c>
      <c r="K26" s="3">
        <v>0</v>
      </c>
    </row>
    <row r="27" spans="1:17" x14ac:dyDescent="0.25">
      <c r="A27" t="s">
        <v>788</v>
      </c>
      <c r="B27" s="1">
        <v>4607372</v>
      </c>
      <c r="C27" s="1">
        <v>1565007</v>
      </c>
      <c r="D27" s="3">
        <v>0.6603</v>
      </c>
      <c r="E27" s="1">
        <v>1251769</v>
      </c>
      <c r="F27" s="3">
        <v>0.2717</v>
      </c>
      <c r="G27" s="1">
        <v>28351</v>
      </c>
      <c r="H27" s="3">
        <v>2.2599999999999999E-2</v>
      </c>
      <c r="I27" s="3">
        <v>6.1999999999999998E-3</v>
      </c>
      <c r="J27">
        <v>0</v>
      </c>
    </row>
    <row r="28" spans="1:17" x14ac:dyDescent="0.25">
      <c r="A28" s="99" t="s">
        <v>789</v>
      </c>
      <c r="B28" s="100">
        <f>SUM(B2:B27)</f>
        <v>613835493</v>
      </c>
      <c r="C28" s="101">
        <f>SUM(B28-D28)/B28</f>
        <v>0.99657987937152392</v>
      </c>
      <c r="D28" s="102">
        <f>SUM(D2:D27)</f>
        <v>2099391.4321000008</v>
      </c>
      <c r="E28" s="100">
        <f>SUM(E2:E27)</f>
        <v>222096527</v>
      </c>
      <c r="F28" s="101">
        <f>AVERAGE(F2:F27)</f>
        <v>0.34370511844503232</v>
      </c>
      <c r="G28" s="100">
        <f>SUM(G2:G27)</f>
        <v>3647058</v>
      </c>
      <c r="H28" s="101">
        <f>AVERAGE(H2:H27)</f>
        <v>1.9473076923076926E-2</v>
      </c>
      <c r="I28" s="101">
        <f>AVERAGE(I2:I27)</f>
        <v>7.1769230769230773E-3</v>
      </c>
      <c r="J28" s="100">
        <f>SUM(J2:J27)</f>
        <v>563821</v>
      </c>
      <c r="K28" s="101">
        <f>J28/B28</f>
        <v>9.1852134070064277E-4</v>
      </c>
      <c r="O28" s="1"/>
    </row>
    <row r="35" spans="2:11" x14ac:dyDescent="0.25">
      <c r="B35" s="1"/>
      <c r="C35" s="1"/>
      <c r="D35" s="3"/>
      <c r="E35" s="1"/>
      <c r="F35" s="3"/>
      <c r="G35" s="1"/>
      <c r="H35" s="3"/>
      <c r="I35" s="3"/>
    </row>
    <row r="36" spans="2:11" x14ac:dyDescent="0.25">
      <c r="B36" s="1"/>
      <c r="C36" s="1"/>
      <c r="D36" s="3"/>
      <c r="E36" s="1"/>
      <c r="F36" s="3"/>
      <c r="G36" s="1"/>
      <c r="H36" s="3"/>
      <c r="I36" s="3"/>
      <c r="K36" s="3"/>
    </row>
    <row r="41" spans="2:11" x14ac:dyDescent="0.25">
      <c r="B41" s="1"/>
      <c r="C41" s="1"/>
      <c r="D41" s="3"/>
      <c r="E41" s="1"/>
      <c r="F41" s="3"/>
      <c r="G41" s="1"/>
      <c r="H41" s="3"/>
      <c r="I41" s="3"/>
    </row>
    <row r="42" spans="2:11" x14ac:dyDescent="0.25">
      <c r="B42" s="1"/>
      <c r="C42" s="1"/>
      <c r="D42" s="3"/>
      <c r="E42" s="1"/>
      <c r="F42" s="3"/>
      <c r="G42" s="1"/>
      <c r="H42" s="3"/>
      <c r="I42" s="3"/>
      <c r="K42" s="3"/>
    </row>
    <row r="43" spans="2:11" x14ac:dyDescent="0.25">
      <c r="B43" s="1"/>
      <c r="C43" s="1"/>
      <c r="D43" s="3"/>
      <c r="E43" s="1"/>
      <c r="F43" s="3"/>
      <c r="G43" s="1"/>
      <c r="H43" s="3"/>
      <c r="I43" s="3"/>
    </row>
    <row r="44" spans="2:11" x14ac:dyDescent="0.25">
      <c r="B44" s="1"/>
      <c r="C44" s="1"/>
      <c r="D44" s="3"/>
      <c r="E44" s="1"/>
      <c r="F44" s="3"/>
      <c r="G44" s="1"/>
      <c r="H44" s="3"/>
      <c r="I44" s="3"/>
      <c r="K44" s="3"/>
    </row>
    <row r="45" spans="2:11" x14ac:dyDescent="0.25">
      <c r="B45" s="1"/>
      <c r="C45" s="1"/>
      <c r="D45" s="3"/>
      <c r="E45" s="1"/>
      <c r="F45" s="3"/>
      <c r="G45" s="1"/>
      <c r="H45" s="3"/>
      <c r="I45" s="3"/>
    </row>
    <row r="46" spans="2:11" x14ac:dyDescent="0.25">
      <c r="B46" s="1"/>
      <c r="C46" s="1"/>
      <c r="D46" s="3"/>
      <c r="E46" s="1"/>
      <c r="F46" s="3"/>
      <c r="G46" s="1"/>
      <c r="H46" s="3"/>
      <c r="I46" s="3"/>
      <c r="K46" s="3"/>
    </row>
    <row r="47" spans="2:11" x14ac:dyDescent="0.25">
      <c r="B47" s="1"/>
      <c r="C47" s="1"/>
      <c r="D47" s="3"/>
      <c r="E47" s="1"/>
      <c r="F47" s="3"/>
      <c r="G47" s="1"/>
      <c r="H47" s="3"/>
      <c r="I47" s="3"/>
    </row>
    <row r="48" spans="2:11" x14ac:dyDescent="0.25">
      <c r="B48" s="1"/>
      <c r="C48" s="1"/>
      <c r="D48" s="3"/>
      <c r="E48" s="1"/>
      <c r="F48" s="3"/>
      <c r="G48" s="1"/>
      <c r="H48" s="3"/>
      <c r="I48" s="3"/>
      <c r="K48" s="3"/>
    </row>
    <row r="49" spans="2:11" x14ac:dyDescent="0.25">
      <c r="B49" s="1"/>
      <c r="C49" s="1"/>
      <c r="D49" s="3"/>
      <c r="E49" s="1"/>
      <c r="F49" s="3"/>
      <c r="G49" s="1"/>
      <c r="H49" s="3"/>
      <c r="I49" s="3"/>
      <c r="K49" s="3"/>
    </row>
    <row r="50" spans="2:11" x14ac:dyDescent="0.25">
      <c r="B50" s="1"/>
      <c r="C50" s="1"/>
      <c r="D50" s="3"/>
      <c r="E50" s="1"/>
      <c r="F50" s="3"/>
      <c r="G50" s="1"/>
      <c r="H50" s="3"/>
      <c r="I50" s="3"/>
      <c r="K50" s="3"/>
    </row>
  </sheetData>
  <pageMargins left="0.7" right="0.7" top="0.75" bottom="0.75" header="0.3" footer="0.3"/>
  <pageSetup orientation="portrait" r:id="rId1"/>
  <ignoredErrors>
    <ignoredError sqref="F28 C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EBE7-EE81-4981-9ACA-9159EC392B49}">
  <dimension ref="A1:I46"/>
  <sheetViews>
    <sheetView zoomScale="80" zoomScaleNormal="80" workbookViewId="0">
      <pane ySplit="1" topLeftCell="A2" activePane="bottomLeft" state="frozen"/>
      <selection activeCell="Q158" sqref="Q158"/>
      <selection pane="bottomLeft" activeCell="Q158" sqref="Q158"/>
    </sheetView>
  </sheetViews>
  <sheetFormatPr defaultRowHeight="15" x14ac:dyDescent="0.25"/>
  <cols>
    <col min="1" max="1" width="11.85546875" customWidth="1"/>
    <col min="2" max="2" width="69.42578125" customWidth="1"/>
    <col min="3" max="3" width="17.42578125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9" width="8" bestFit="1" customWidth="1"/>
  </cols>
  <sheetData>
    <row r="1" spans="1:9" ht="20.4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45128</v>
      </c>
      <c r="B2" t="s">
        <v>39</v>
      </c>
      <c r="C2" t="s">
        <v>32</v>
      </c>
      <c r="D2" s="1">
        <v>3084828</v>
      </c>
      <c r="E2" s="1">
        <v>1035854</v>
      </c>
      <c r="F2" s="2">
        <v>0.33578987223923001</v>
      </c>
      <c r="G2" s="1">
        <v>19060</v>
      </c>
      <c r="H2" s="2">
        <v>1.84002764868408E-2</v>
      </c>
      <c r="I2" s="2">
        <v>6.17862649068279E-3</v>
      </c>
    </row>
    <row r="3" spans="1:9" x14ac:dyDescent="0.25">
      <c r="A3" s="26">
        <v>45128</v>
      </c>
      <c r="B3" t="s">
        <v>39</v>
      </c>
      <c r="C3" t="s">
        <v>33</v>
      </c>
      <c r="D3" s="1">
        <v>215087</v>
      </c>
      <c r="E3" s="1">
        <v>50982</v>
      </c>
      <c r="F3" s="2">
        <v>0.23702966706495501</v>
      </c>
      <c r="G3" s="1">
        <v>1230</v>
      </c>
      <c r="H3" s="2">
        <v>2.41261621748853E-2</v>
      </c>
      <c r="I3" s="2">
        <v>5.7186161878681604E-3</v>
      </c>
    </row>
    <row r="4" spans="1:9" x14ac:dyDescent="0.25">
      <c r="A4" s="26">
        <v>45128</v>
      </c>
      <c r="B4" t="s">
        <v>40</v>
      </c>
      <c r="C4" t="s">
        <v>32</v>
      </c>
      <c r="D4" s="1">
        <v>325795</v>
      </c>
      <c r="E4" s="1">
        <v>94513</v>
      </c>
      <c r="F4" s="2">
        <v>0.29009960251078099</v>
      </c>
      <c r="G4" s="1">
        <v>1583</v>
      </c>
      <c r="H4" s="2">
        <v>1.6749018653518601E-2</v>
      </c>
      <c r="I4" s="2">
        <v>4.8588836538314001E-3</v>
      </c>
    </row>
    <row r="5" spans="1:9" x14ac:dyDescent="0.25">
      <c r="A5" s="26">
        <v>45128</v>
      </c>
      <c r="B5" t="s">
        <v>40</v>
      </c>
      <c r="C5" t="s">
        <v>33</v>
      </c>
      <c r="D5" s="1">
        <v>17718</v>
      </c>
      <c r="E5" s="1">
        <v>4272</v>
      </c>
      <c r="F5" s="2">
        <v>0.24111073484591899</v>
      </c>
      <c r="G5" s="1">
        <v>143</v>
      </c>
      <c r="H5" s="2">
        <v>3.34737827715356E-2</v>
      </c>
      <c r="I5" s="2">
        <v>8.0708883621176206E-3</v>
      </c>
    </row>
    <row r="6" spans="1:9" x14ac:dyDescent="0.25">
      <c r="A6" s="26">
        <v>45129</v>
      </c>
      <c r="B6" t="s">
        <v>41</v>
      </c>
      <c r="C6" t="s">
        <v>32</v>
      </c>
      <c r="D6" s="1">
        <v>1248109</v>
      </c>
      <c r="E6" s="1">
        <v>534359</v>
      </c>
      <c r="F6" s="2">
        <v>0.42813488245017101</v>
      </c>
      <c r="G6" s="1">
        <v>14053</v>
      </c>
      <c r="H6" s="2">
        <v>2.6298799121938599E-2</v>
      </c>
      <c r="I6" s="2">
        <v>1.1259433270651801E-2</v>
      </c>
    </row>
    <row r="7" spans="1:9" x14ac:dyDescent="0.25">
      <c r="A7" s="26">
        <v>45129</v>
      </c>
      <c r="B7" t="s">
        <v>41</v>
      </c>
      <c r="C7" t="s">
        <v>33</v>
      </c>
      <c r="D7" s="1">
        <v>100247</v>
      </c>
      <c r="E7" s="1">
        <v>25851</v>
      </c>
      <c r="F7" s="2">
        <v>0.25787305355771201</v>
      </c>
      <c r="G7" s="1">
        <v>350</v>
      </c>
      <c r="H7" s="2">
        <v>1.35391280801516E-2</v>
      </c>
      <c r="I7" s="2">
        <v>3.4913763005376699E-3</v>
      </c>
    </row>
    <row r="8" spans="1:9" x14ac:dyDescent="0.25">
      <c r="A8" s="26">
        <v>45131</v>
      </c>
      <c r="B8" t="s">
        <v>42</v>
      </c>
      <c r="C8" t="s">
        <v>32</v>
      </c>
      <c r="D8" s="1">
        <v>821926</v>
      </c>
      <c r="E8" s="1">
        <v>288848</v>
      </c>
      <c r="F8" s="2">
        <v>0.3514282307653</v>
      </c>
      <c r="G8" s="1">
        <v>2492</v>
      </c>
      <c r="H8" s="2">
        <v>8.6273749515316002E-3</v>
      </c>
      <c r="I8" s="2">
        <v>3.0319031153656201E-3</v>
      </c>
    </row>
    <row r="9" spans="1:9" x14ac:dyDescent="0.25">
      <c r="A9" s="26">
        <v>45131</v>
      </c>
      <c r="B9" t="s">
        <v>42</v>
      </c>
      <c r="C9" t="s">
        <v>33</v>
      </c>
      <c r="D9" s="1">
        <v>64066</v>
      </c>
      <c r="E9" s="1">
        <v>15541</v>
      </c>
      <c r="F9" s="2">
        <v>0.242577966472076</v>
      </c>
      <c r="G9" s="1">
        <v>181</v>
      </c>
      <c r="H9" s="2">
        <v>1.16466121871179E-2</v>
      </c>
      <c r="I9" s="2">
        <v>2.8252115006399698E-3</v>
      </c>
    </row>
    <row r="10" spans="1:9" x14ac:dyDescent="0.25">
      <c r="A10" s="26">
        <v>45132</v>
      </c>
      <c r="B10" t="s">
        <v>43</v>
      </c>
      <c r="C10" t="s">
        <v>32</v>
      </c>
      <c r="D10" s="1">
        <v>1042042</v>
      </c>
      <c r="E10" s="1">
        <v>409006</v>
      </c>
      <c r="F10" s="2">
        <v>0.39250433283879199</v>
      </c>
      <c r="G10" s="1">
        <v>11925</v>
      </c>
      <c r="H10" s="2">
        <v>2.9156051500467E-2</v>
      </c>
      <c r="I10" s="2">
        <v>1.14438765424042E-2</v>
      </c>
    </row>
    <row r="11" spans="1:9" x14ac:dyDescent="0.25">
      <c r="A11" s="26">
        <v>45132</v>
      </c>
      <c r="B11" t="s">
        <v>44</v>
      </c>
      <c r="C11" t="s">
        <v>33</v>
      </c>
      <c r="D11" s="1">
        <v>77413</v>
      </c>
      <c r="E11" s="1">
        <v>22666</v>
      </c>
      <c r="F11" s="2">
        <v>0.29279320010850901</v>
      </c>
      <c r="G11" s="1">
        <v>950</v>
      </c>
      <c r="H11" s="2">
        <v>4.1912997441101198E-2</v>
      </c>
      <c r="I11" s="2">
        <v>1.22718406469198E-2</v>
      </c>
    </row>
    <row r="12" spans="1:9" x14ac:dyDescent="0.25">
      <c r="A12" s="26">
        <v>45133</v>
      </c>
      <c r="B12" t="s">
        <v>45</v>
      </c>
      <c r="C12" t="s">
        <v>32</v>
      </c>
      <c r="D12" s="1">
        <v>611952</v>
      </c>
      <c r="E12" s="1">
        <v>222196</v>
      </c>
      <c r="F12" s="2">
        <v>0.36309999999999998</v>
      </c>
      <c r="G12" s="1">
        <v>2084</v>
      </c>
      <c r="H12" s="2">
        <v>9.4000000000000004E-3</v>
      </c>
      <c r="I12" s="2">
        <v>3.3999999999999998E-3</v>
      </c>
    </row>
    <row r="13" spans="1:9" x14ac:dyDescent="0.25">
      <c r="A13" s="26">
        <v>45133</v>
      </c>
      <c r="B13" t="s">
        <v>46</v>
      </c>
      <c r="C13" t="s">
        <v>33</v>
      </c>
      <c r="D13" s="1">
        <v>47832</v>
      </c>
      <c r="E13" s="1">
        <v>12083</v>
      </c>
      <c r="F13" s="3">
        <v>0.25259999999999999</v>
      </c>
      <c r="G13">
        <v>206</v>
      </c>
      <c r="H13" s="3">
        <v>1.7000000000000001E-2</v>
      </c>
      <c r="I13" s="3">
        <v>4.3E-3</v>
      </c>
    </row>
    <row r="14" spans="1:9" x14ac:dyDescent="0.25">
      <c r="A14" s="26">
        <v>45133</v>
      </c>
      <c r="B14" t="s">
        <v>47</v>
      </c>
      <c r="C14" t="s">
        <v>32</v>
      </c>
      <c r="D14" s="1">
        <v>1393646</v>
      </c>
      <c r="E14" s="1">
        <v>479461</v>
      </c>
      <c r="F14" s="2">
        <v>0.34403356376009397</v>
      </c>
      <c r="G14" s="1">
        <v>4088</v>
      </c>
      <c r="H14" s="2">
        <v>8.5262409247050305E-3</v>
      </c>
      <c r="I14" s="2">
        <v>2.9333130508034299E-3</v>
      </c>
    </row>
    <row r="15" spans="1:9" x14ac:dyDescent="0.25">
      <c r="A15" s="26">
        <v>45134</v>
      </c>
      <c r="B15" t="s">
        <v>48</v>
      </c>
      <c r="C15" t="s">
        <v>32</v>
      </c>
      <c r="D15" s="1">
        <v>207373</v>
      </c>
      <c r="E15" s="1">
        <v>73285</v>
      </c>
      <c r="F15" s="3">
        <v>0.35339999999999999</v>
      </c>
      <c r="G15" s="1">
        <v>1667</v>
      </c>
      <c r="H15" s="3">
        <v>2.2700000000000001E-2</v>
      </c>
      <c r="I15" s="3">
        <v>8.0000000000000002E-3</v>
      </c>
    </row>
    <row r="16" spans="1:9" x14ac:dyDescent="0.25">
      <c r="A16" s="26">
        <v>45134</v>
      </c>
      <c r="B16" t="s">
        <v>49</v>
      </c>
      <c r="C16" t="s">
        <v>33</v>
      </c>
      <c r="D16" s="1">
        <v>14992</v>
      </c>
      <c r="E16" s="1">
        <v>4312</v>
      </c>
      <c r="F16" s="3">
        <v>0.28760000000000002</v>
      </c>
      <c r="G16">
        <v>130</v>
      </c>
      <c r="H16" s="3">
        <v>3.0099999999999998E-2</v>
      </c>
      <c r="I16" s="3">
        <v>8.6999999999999994E-3</v>
      </c>
    </row>
    <row r="17" spans="1:9" x14ac:dyDescent="0.25">
      <c r="A17" s="26">
        <v>45134</v>
      </c>
      <c r="B17" t="s">
        <v>50</v>
      </c>
      <c r="C17" t="s">
        <v>32</v>
      </c>
      <c r="D17" s="1">
        <v>341189</v>
      </c>
      <c r="E17" s="1">
        <v>111971</v>
      </c>
      <c r="F17" s="3">
        <v>0.32819999999999999</v>
      </c>
      <c r="G17">
        <v>620</v>
      </c>
      <c r="H17" s="3">
        <v>5.4999999999999997E-3</v>
      </c>
      <c r="I17" s="3">
        <v>1.8E-3</v>
      </c>
    </row>
    <row r="18" spans="1:9" x14ac:dyDescent="0.25">
      <c r="A18" s="26">
        <v>45134</v>
      </c>
      <c r="B18" t="s">
        <v>51</v>
      </c>
      <c r="C18" t="s">
        <v>33</v>
      </c>
      <c r="D18" s="1">
        <v>13677</v>
      </c>
      <c r="E18" s="1">
        <v>3436</v>
      </c>
      <c r="F18" s="3">
        <v>0.25119999999999998</v>
      </c>
      <c r="G18">
        <v>49</v>
      </c>
      <c r="H18" s="3">
        <v>1.43E-2</v>
      </c>
      <c r="I18" s="3">
        <v>3.5999999999999999E-3</v>
      </c>
    </row>
    <row r="19" spans="1:9" x14ac:dyDescent="0.25">
      <c r="A19" s="13" t="s">
        <v>427</v>
      </c>
      <c r="D19" s="14">
        <f>SUM(D2:D18)</f>
        <v>9627892</v>
      </c>
      <c r="E19" s="14">
        <f>SUM(E2:E18)</f>
        <v>3388636</v>
      </c>
      <c r="F19" s="15">
        <f>SUM(E19/D19)</f>
        <v>0.35196032527161708</v>
      </c>
      <c r="G19" s="14">
        <f>SUM(G2:G18)</f>
        <v>60811</v>
      </c>
      <c r="H19" s="15">
        <f>SUM(G19/E19)</f>
        <v>1.794556865948423E-2</v>
      </c>
      <c r="I19" s="20">
        <f>SUM(G19/D19)</f>
        <v>6.3161281825762066E-3</v>
      </c>
    </row>
    <row r="20" spans="1:9" ht="15.75" thickBot="1" x14ac:dyDescent="0.3">
      <c r="A20" s="135"/>
      <c r="B20" s="135"/>
      <c r="C20" s="135"/>
      <c r="D20" s="135"/>
      <c r="E20" s="135"/>
      <c r="F20" s="135"/>
      <c r="G20" s="135"/>
      <c r="H20" s="135"/>
      <c r="I20" s="135"/>
    </row>
    <row r="21" spans="1:9" ht="20.45" customHeight="1" x14ac:dyDescent="0.25">
      <c r="A21" s="5" t="s">
        <v>0</v>
      </c>
      <c r="B21" s="6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7" t="s">
        <v>8</v>
      </c>
    </row>
    <row r="22" spans="1:9" x14ac:dyDescent="0.25">
      <c r="A22" s="8" t="s">
        <v>790</v>
      </c>
      <c r="B22" s="9"/>
      <c r="C22" s="9"/>
      <c r="D22" s="9"/>
      <c r="E22" s="9"/>
      <c r="F22" s="9"/>
      <c r="G22" s="9"/>
      <c r="H22" s="9"/>
      <c r="I22" s="10"/>
    </row>
    <row r="23" spans="1:9" x14ac:dyDescent="0.25">
      <c r="A23" s="11">
        <v>45128</v>
      </c>
      <c r="B23" t="s">
        <v>39</v>
      </c>
      <c r="C23" t="s">
        <v>32</v>
      </c>
      <c r="D23" s="1">
        <v>3084828</v>
      </c>
      <c r="E23" s="1">
        <v>1035854</v>
      </c>
      <c r="F23" s="2">
        <v>0.33578987223923001</v>
      </c>
      <c r="G23" s="1">
        <v>19060</v>
      </c>
      <c r="H23" s="2">
        <v>1.84002764868408E-2</v>
      </c>
      <c r="I23" s="12">
        <v>6.17862649068279E-3</v>
      </c>
    </row>
    <row r="24" spans="1:9" x14ac:dyDescent="0.25">
      <c r="A24" s="11">
        <v>45128</v>
      </c>
      <c r="B24" t="s">
        <v>39</v>
      </c>
      <c r="C24" t="s">
        <v>33</v>
      </c>
      <c r="D24" s="1">
        <v>215087</v>
      </c>
      <c r="E24" s="1">
        <v>50982</v>
      </c>
      <c r="F24" s="2">
        <v>0.23702966706495501</v>
      </c>
      <c r="G24" s="1">
        <v>1230</v>
      </c>
      <c r="H24" s="2">
        <v>2.41261621748853E-2</v>
      </c>
      <c r="I24" s="12">
        <v>5.7186161878681604E-3</v>
      </c>
    </row>
    <row r="25" spans="1:9" x14ac:dyDescent="0.25">
      <c r="A25" s="11">
        <v>45128</v>
      </c>
      <c r="B25" t="s">
        <v>40</v>
      </c>
      <c r="C25" t="s">
        <v>32</v>
      </c>
      <c r="D25" s="1">
        <v>325795</v>
      </c>
      <c r="E25" s="1">
        <v>94513</v>
      </c>
      <c r="F25" s="2">
        <v>0.29009960251078099</v>
      </c>
      <c r="G25" s="1">
        <v>1583</v>
      </c>
      <c r="H25" s="2">
        <v>1.6749018653518601E-2</v>
      </c>
      <c r="I25" s="12">
        <v>4.8588836538314001E-3</v>
      </c>
    </row>
    <row r="26" spans="1:9" x14ac:dyDescent="0.25">
      <c r="A26" s="11">
        <v>45128</v>
      </c>
      <c r="B26" t="s">
        <v>40</v>
      </c>
      <c r="C26" t="s">
        <v>33</v>
      </c>
      <c r="D26" s="1">
        <v>17718</v>
      </c>
      <c r="E26" s="1">
        <v>4272</v>
      </c>
      <c r="F26" s="2">
        <v>0.24111073484591899</v>
      </c>
      <c r="G26" s="1">
        <v>143</v>
      </c>
      <c r="H26" s="2">
        <v>3.34737827715356E-2</v>
      </c>
      <c r="I26" s="12">
        <v>8.0708883621176206E-3</v>
      </c>
    </row>
    <row r="27" spans="1:9" x14ac:dyDescent="0.25">
      <c r="A27" s="11">
        <v>45132</v>
      </c>
      <c r="B27" t="s">
        <v>43</v>
      </c>
      <c r="C27" t="s">
        <v>32</v>
      </c>
      <c r="D27" s="1">
        <v>1042042</v>
      </c>
      <c r="E27" s="1">
        <v>409006</v>
      </c>
      <c r="F27" s="2">
        <v>0.39250433283879199</v>
      </c>
      <c r="G27" s="1">
        <v>11925</v>
      </c>
      <c r="H27" s="2">
        <v>2.9156051500467E-2</v>
      </c>
      <c r="I27" s="12">
        <v>1.14438765424042E-2</v>
      </c>
    </row>
    <row r="28" spans="1:9" x14ac:dyDescent="0.25">
      <c r="A28" s="11">
        <v>45132</v>
      </c>
      <c r="B28" t="s">
        <v>44</v>
      </c>
      <c r="C28" t="s">
        <v>33</v>
      </c>
      <c r="D28" s="1">
        <v>77413</v>
      </c>
      <c r="E28" s="1">
        <v>22666</v>
      </c>
      <c r="F28" s="2">
        <v>0.29279320010850901</v>
      </c>
      <c r="G28" s="1">
        <v>950</v>
      </c>
      <c r="H28" s="2">
        <v>4.1912997441101198E-2</v>
      </c>
      <c r="I28" s="12">
        <v>1.22718406469198E-2</v>
      </c>
    </row>
    <row r="29" spans="1:9" ht="15.75" thickBot="1" x14ac:dyDescent="0.3">
      <c r="A29" s="17" t="s">
        <v>427</v>
      </c>
      <c r="B29" s="4"/>
      <c r="C29" s="4"/>
      <c r="D29" s="18">
        <f>SUM(D23:D28)</f>
        <v>4762883</v>
      </c>
      <c r="E29" s="18">
        <f>SUM(E23:E28)</f>
        <v>1617293</v>
      </c>
      <c r="F29" s="19">
        <f>SUM(E29/D29)</f>
        <v>0.33956177382480318</v>
      </c>
      <c r="G29" s="18">
        <f>SUM(G23:G28)</f>
        <v>34891</v>
      </c>
      <c r="H29" s="19">
        <f>SUM(G29/E29)</f>
        <v>2.1573703713550978E-2</v>
      </c>
      <c r="I29" s="21">
        <f>SUM(G29/D29)</f>
        <v>7.3256051009441131E-3</v>
      </c>
    </row>
    <row r="30" spans="1:9" ht="3" customHeight="1" thickBot="1" x14ac:dyDescent="0.3">
      <c r="A30" s="136"/>
      <c r="B30" s="136"/>
      <c r="C30" s="136"/>
      <c r="D30" s="136"/>
      <c r="E30" s="136"/>
      <c r="F30" s="136"/>
      <c r="G30" s="136"/>
      <c r="H30" s="136"/>
      <c r="I30" s="136"/>
    </row>
    <row r="31" spans="1:9" x14ac:dyDescent="0.25">
      <c r="A31" s="22" t="s">
        <v>791</v>
      </c>
      <c r="B31" s="23"/>
      <c r="C31" s="23"/>
      <c r="D31" s="23"/>
      <c r="E31" s="23"/>
      <c r="F31" s="23"/>
      <c r="G31" s="23"/>
      <c r="H31" s="23"/>
      <c r="I31" s="24"/>
    </row>
    <row r="32" spans="1:9" x14ac:dyDescent="0.25">
      <c r="A32" s="11">
        <v>45129</v>
      </c>
      <c r="B32" t="s">
        <v>41</v>
      </c>
      <c r="C32" t="s">
        <v>32</v>
      </c>
      <c r="D32" s="1">
        <v>1248109</v>
      </c>
      <c r="E32" s="1">
        <v>534359</v>
      </c>
      <c r="F32" s="2">
        <v>0.42813488245017101</v>
      </c>
      <c r="G32" s="1">
        <v>14053</v>
      </c>
      <c r="H32" s="2">
        <v>2.6298799121938599E-2</v>
      </c>
      <c r="I32" s="12">
        <v>1.1259433270651801E-2</v>
      </c>
    </row>
    <row r="33" spans="1:9" x14ac:dyDescent="0.25">
      <c r="A33" s="11">
        <v>45129</v>
      </c>
      <c r="B33" t="s">
        <v>41</v>
      </c>
      <c r="C33" t="s">
        <v>33</v>
      </c>
      <c r="D33" s="1">
        <v>100247</v>
      </c>
      <c r="E33" s="1">
        <v>25851</v>
      </c>
      <c r="F33" s="2">
        <v>0.25787305355771201</v>
      </c>
      <c r="G33" s="1">
        <v>350</v>
      </c>
      <c r="H33" s="2">
        <v>1.35391280801516E-2</v>
      </c>
      <c r="I33" s="12">
        <v>3.4913763005376699E-3</v>
      </c>
    </row>
    <row r="34" spans="1:9" x14ac:dyDescent="0.25">
      <c r="A34" s="11">
        <v>45131</v>
      </c>
      <c r="B34" t="s">
        <v>42</v>
      </c>
      <c r="C34" t="s">
        <v>32</v>
      </c>
      <c r="D34" s="1">
        <v>821926</v>
      </c>
      <c r="E34" s="1">
        <v>288848</v>
      </c>
      <c r="F34" s="2">
        <v>0.3514282307653</v>
      </c>
      <c r="G34" s="1">
        <v>2492</v>
      </c>
      <c r="H34" s="2">
        <v>8.6273749515316002E-3</v>
      </c>
      <c r="I34" s="12">
        <v>3.0319031153656201E-3</v>
      </c>
    </row>
    <row r="35" spans="1:9" x14ac:dyDescent="0.25">
      <c r="A35" s="11">
        <v>45131</v>
      </c>
      <c r="B35" t="s">
        <v>42</v>
      </c>
      <c r="C35" t="s">
        <v>33</v>
      </c>
      <c r="D35" s="1">
        <v>64066</v>
      </c>
      <c r="E35" s="1">
        <v>15541</v>
      </c>
      <c r="F35" s="2">
        <v>0.242577966472076</v>
      </c>
      <c r="G35" s="1">
        <v>181</v>
      </c>
      <c r="H35" s="2">
        <v>1.16466121871179E-2</v>
      </c>
      <c r="I35" s="12">
        <v>2.8252115006399698E-3</v>
      </c>
    </row>
    <row r="36" spans="1:9" x14ac:dyDescent="0.25">
      <c r="A36" s="11">
        <v>45133</v>
      </c>
      <c r="B36" t="s">
        <v>47</v>
      </c>
      <c r="C36" t="s">
        <v>32</v>
      </c>
      <c r="D36" s="1">
        <v>1393646</v>
      </c>
      <c r="E36" s="1">
        <v>479461</v>
      </c>
      <c r="F36" s="2">
        <v>0.34403356376009397</v>
      </c>
      <c r="G36" s="1">
        <v>4088</v>
      </c>
      <c r="H36" s="2">
        <v>8.5262409247050305E-3</v>
      </c>
      <c r="I36" s="12">
        <v>2.9333130508034299E-3</v>
      </c>
    </row>
    <row r="37" spans="1:9" ht="15.75" thickBot="1" x14ac:dyDescent="0.3">
      <c r="A37" s="17" t="s">
        <v>427</v>
      </c>
      <c r="B37" s="4"/>
      <c r="C37" s="4"/>
      <c r="D37" s="18">
        <f>SUM(D32:D36)</f>
        <v>3627994</v>
      </c>
      <c r="E37" s="18">
        <f>SUM(E31:E36)</f>
        <v>1344060</v>
      </c>
      <c r="F37" s="19">
        <f>SUM(E37/D37)</f>
        <v>0.37046919041211201</v>
      </c>
      <c r="G37" s="18">
        <f>SUM(G31:G36)</f>
        <v>21164</v>
      </c>
      <c r="H37" s="19">
        <f>SUM(G37/E37)</f>
        <v>1.5746320848771631E-2</v>
      </c>
      <c r="I37" s="21">
        <f>SUM(G37/D37)</f>
        <v>5.8335267368137874E-3</v>
      </c>
    </row>
    <row r="38" spans="1:9" ht="3" customHeight="1" thickBot="1" x14ac:dyDescent="0.3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22" t="s">
        <v>792</v>
      </c>
      <c r="B39" s="23"/>
      <c r="C39" s="23"/>
      <c r="D39" s="23"/>
      <c r="E39" s="23"/>
      <c r="F39" s="23"/>
      <c r="G39" s="23"/>
      <c r="H39" s="23"/>
      <c r="I39" s="24"/>
    </row>
    <row r="40" spans="1:9" x14ac:dyDescent="0.25">
      <c r="A40" s="11">
        <v>45133</v>
      </c>
      <c r="B40" t="s">
        <v>45</v>
      </c>
      <c r="C40" t="s">
        <v>32</v>
      </c>
      <c r="D40" s="1">
        <v>611952</v>
      </c>
      <c r="E40" s="1">
        <v>222196</v>
      </c>
      <c r="F40" s="2">
        <v>0.36309999999999998</v>
      </c>
      <c r="G40" s="1">
        <v>2084</v>
      </c>
      <c r="H40" s="2">
        <v>9.4000000000000004E-3</v>
      </c>
      <c r="I40" s="12">
        <v>3.3999999999999998E-3</v>
      </c>
    </row>
    <row r="41" spans="1:9" x14ac:dyDescent="0.25">
      <c r="A41" s="11">
        <v>45133</v>
      </c>
      <c r="B41" t="s">
        <v>46</v>
      </c>
      <c r="C41" t="s">
        <v>33</v>
      </c>
      <c r="D41" s="1">
        <v>47832</v>
      </c>
      <c r="E41" s="1">
        <v>12083</v>
      </c>
      <c r="F41" s="3">
        <v>0.25259999999999999</v>
      </c>
      <c r="G41">
        <v>206</v>
      </c>
      <c r="H41" s="3">
        <v>1.7000000000000001E-2</v>
      </c>
      <c r="I41" s="16">
        <v>4.3E-3</v>
      </c>
    </row>
    <row r="42" spans="1:9" x14ac:dyDescent="0.25">
      <c r="A42" s="11">
        <v>45134</v>
      </c>
      <c r="B42" t="s">
        <v>48</v>
      </c>
      <c r="C42" t="s">
        <v>32</v>
      </c>
      <c r="D42" s="1">
        <v>207373</v>
      </c>
      <c r="E42" s="1">
        <v>73285</v>
      </c>
      <c r="F42" s="3">
        <v>0.35339999999999999</v>
      </c>
      <c r="G42" s="1">
        <v>1667</v>
      </c>
      <c r="H42" s="3">
        <v>2.2700000000000001E-2</v>
      </c>
      <c r="I42" s="16">
        <v>8.0000000000000002E-3</v>
      </c>
    </row>
    <row r="43" spans="1:9" x14ac:dyDescent="0.25">
      <c r="A43" s="11">
        <v>45134</v>
      </c>
      <c r="B43" t="s">
        <v>49</v>
      </c>
      <c r="C43" t="s">
        <v>33</v>
      </c>
      <c r="D43" s="1">
        <v>14992</v>
      </c>
      <c r="E43" s="1">
        <v>4312</v>
      </c>
      <c r="F43" s="3">
        <v>0.28760000000000002</v>
      </c>
      <c r="G43">
        <v>130</v>
      </c>
      <c r="H43" s="3">
        <v>3.0099999999999998E-2</v>
      </c>
      <c r="I43" s="16">
        <v>8.6999999999999994E-3</v>
      </c>
    </row>
    <row r="44" spans="1:9" x14ac:dyDescent="0.25">
      <c r="A44" s="11">
        <v>45134</v>
      </c>
      <c r="B44" t="s">
        <v>50</v>
      </c>
      <c r="C44" t="s">
        <v>32</v>
      </c>
      <c r="D44" s="1">
        <v>341189</v>
      </c>
      <c r="E44" s="1">
        <v>111971</v>
      </c>
      <c r="F44" s="3">
        <v>0.32819999999999999</v>
      </c>
      <c r="G44">
        <v>620</v>
      </c>
      <c r="H44" s="3">
        <v>5.4999999999999997E-3</v>
      </c>
      <c r="I44" s="16">
        <v>1.8E-3</v>
      </c>
    </row>
    <row r="45" spans="1:9" x14ac:dyDescent="0.25">
      <c r="A45" s="11">
        <v>45134</v>
      </c>
      <c r="B45" t="s">
        <v>51</v>
      </c>
      <c r="C45" t="s">
        <v>33</v>
      </c>
      <c r="D45" s="1">
        <v>13677</v>
      </c>
      <c r="E45" s="1">
        <v>3436</v>
      </c>
      <c r="F45" s="3">
        <v>0.25119999999999998</v>
      </c>
      <c r="G45">
        <v>49</v>
      </c>
      <c r="H45" s="3">
        <v>1.43E-2</v>
      </c>
      <c r="I45" s="16">
        <v>3.5999999999999999E-3</v>
      </c>
    </row>
    <row r="46" spans="1:9" ht="15.75" thickBot="1" x14ac:dyDescent="0.3">
      <c r="A46" s="17" t="s">
        <v>427</v>
      </c>
      <c r="B46" s="4"/>
      <c r="C46" s="4"/>
      <c r="D46" s="18">
        <f>SUM(D40:D45)</f>
        <v>1237015</v>
      </c>
      <c r="E46" s="18">
        <f>SUM(E40:E45)</f>
        <v>427283</v>
      </c>
      <c r="F46" s="19">
        <f>SUM(E46/D46)</f>
        <v>0.34541456651697838</v>
      </c>
      <c r="G46" s="18">
        <f>SUM(G40:G45)</f>
        <v>4756</v>
      </c>
      <c r="H46" s="19">
        <f>SUM(G46/E46)</f>
        <v>1.1130796217027122E-2</v>
      </c>
      <c r="I46" s="21">
        <f>SUM(G46/D46)</f>
        <v>3.8447391502932464E-3</v>
      </c>
    </row>
  </sheetData>
  <mergeCells count="3">
    <mergeCell ref="A20:I20"/>
    <mergeCell ref="A30:I30"/>
    <mergeCell ref="A38:I38"/>
  </mergeCells>
  <pageMargins left="0.7" right="0.7" top="0.75" bottom="0.75" header="0.3" footer="0.3"/>
  <pageSetup orientation="portrait" r:id="rId1"/>
  <ignoredErrors>
    <ignoredError sqref="F29 F37 F46 F19" formula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F14E-06F1-4B9A-A515-36ACB3B874BD}">
  <dimension ref="A1:I54"/>
  <sheetViews>
    <sheetView zoomScale="75" zoomScaleNormal="75" workbookViewId="0">
      <pane ySplit="1" topLeftCell="A2" activePane="bottomLeft" state="frozen"/>
      <selection activeCell="Q158" sqref="Q158"/>
      <selection pane="bottomLeft" activeCell="Q158" sqref="Q158"/>
    </sheetView>
  </sheetViews>
  <sheetFormatPr defaultRowHeight="15" x14ac:dyDescent="0.25"/>
  <cols>
    <col min="1" max="1" width="11.85546875" customWidth="1"/>
    <col min="2" max="2" width="69.42578125" customWidth="1"/>
    <col min="3" max="3" width="17.42578125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9" width="8" bestFit="1" customWidth="1"/>
  </cols>
  <sheetData>
    <row r="1" spans="1:9" ht="20.4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45135</v>
      </c>
      <c r="B2" t="s">
        <v>52</v>
      </c>
      <c r="C2" t="s">
        <v>793</v>
      </c>
      <c r="D2" s="1">
        <v>3120223</v>
      </c>
      <c r="E2" s="1">
        <v>1037619</v>
      </c>
      <c r="F2" s="2">
        <v>0.33254642376522398</v>
      </c>
      <c r="G2" s="1">
        <v>17803</v>
      </c>
      <c r="H2" s="2">
        <v>1.7157550121961899E-2</v>
      </c>
      <c r="I2" s="2">
        <v>5.7056819336310299E-3</v>
      </c>
    </row>
    <row r="3" spans="1:9" x14ac:dyDescent="0.25">
      <c r="A3" s="26">
        <v>45135</v>
      </c>
      <c r="B3" t="s">
        <v>52</v>
      </c>
      <c r="C3" t="s">
        <v>794</v>
      </c>
      <c r="D3" s="1">
        <v>215674</v>
      </c>
      <c r="E3" s="1">
        <v>49080</v>
      </c>
      <c r="F3" s="2">
        <v>0.22756567782857501</v>
      </c>
      <c r="G3" s="1">
        <v>1013</v>
      </c>
      <c r="H3" s="2">
        <v>2.0639771801140998E-2</v>
      </c>
      <c r="I3" s="2">
        <v>4.6969036601537499E-3</v>
      </c>
    </row>
    <row r="4" spans="1:9" x14ac:dyDescent="0.25">
      <c r="A4" s="26">
        <v>45135</v>
      </c>
      <c r="B4" t="s">
        <v>53</v>
      </c>
      <c r="C4" t="s">
        <v>793</v>
      </c>
      <c r="D4" s="1">
        <v>328397</v>
      </c>
      <c r="E4" s="1">
        <v>103289</v>
      </c>
      <c r="F4" s="2">
        <v>0.31452479772957698</v>
      </c>
      <c r="G4" s="1">
        <v>1955</v>
      </c>
      <c r="H4" s="2">
        <v>1.8927475336192601E-2</v>
      </c>
      <c r="I4" s="2">
        <v>5.9531603516475504E-3</v>
      </c>
    </row>
    <row r="5" spans="1:9" x14ac:dyDescent="0.25">
      <c r="A5" s="26">
        <v>45136</v>
      </c>
      <c r="B5" t="s">
        <v>54</v>
      </c>
      <c r="C5" t="s">
        <v>793</v>
      </c>
      <c r="D5" s="1">
        <v>24167</v>
      </c>
      <c r="E5" s="1">
        <v>11699</v>
      </c>
      <c r="F5" s="2">
        <v>0.48408987462241898</v>
      </c>
      <c r="G5" s="1">
        <v>2494</v>
      </c>
      <c r="H5" s="2">
        <v>0.213180613727669</v>
      </c>
      <c r="I5" s="2">
        <v>0.103198576571358</v>
      </c>
    </row>
    <row r="6" spans="1:9" x14ac:dyDescent="0.25">
      <c r="A6" s="26">
        <v>45139</v>
      </c>
      <c r="B6" t="s">
        <v>55</v>
      </c>
      <c r="C6" t="s">
        <v>793</v>
      </c>
      <c r="D6" s="1">
        <v>240489</v>
      </c>
      <c r="E6" s="1">
        <v>123622</v>
      </c>
      <c r="F6" s="2">
        <v>0.51404430140255897</v>
      </c>
      <c r="G6" s="1">
        <v>303</v>
      </c>
      <c r="H6" s="2">
        <v>2.4510200449758099E-3</v>
      </c>
      <c r="I6" s="2">
        <v>1.25993288674326E-3</v>
      </c>
    </row>
    <row r="7" spans="1:9" x14ac:dyDescent="0.25">
      <c r="A7" s="26">
        <v>45139</v>
      </c>
      <c r="B7" t="s">
        <v>56</v>
      </c>
      <c r="C7" t="s">
        <v>793</v>
      </c>
      <c r="D7" s="1">
        <v>1047738</v>
      </c>
      <c r="E7" s="1">
        <v>361768</v>
      </c>
      <c r="F7" s="2">
        <v>0.34528479448106297</v>
      </c>
      <c r="G7" s="1">
        <v>6372</v>
      </c>
      <c r="H7" s="2">
        <v>1.7613498153512701E-2</v>
      </c>
      <c r="I7" s="2">
        <v>6.0816730900282298E-3</v>
      </c>
    </row>
    <row r="8" spans="1:9" x14ac:dyDescent="0.25">
      <c r="A8" s="26">
        <v>45139</v>
      </c>
      <c r="B8" t="s">
        <v>56</v>
      </c>
      <c r="C8" t="s">
        <v>794</v>
      </c>
      <c r="D8" s="1">
        <v>82557</v>
      </c>
      <c r="E8" s="1">
        <v>22588</v>
      </c>
      <c r="F8" s="2">
        <v>0.27360490327894699</v>
      </c>
      <c r="G8" s="1">
        <v>720</v>
      </c>
      <c r="H8" s="2">
        <v>3.18753320347087E-2</v>
      </c>
      <c r="I8" s="2">
        <v>8.7212471383407795E-3</v>
      </c>
    </row>
    <row r="9" spans="1:9" x14ac:dyDescent="0.25">
      <c r="A9" s="26">
        <v>45139</v>
      </c>
      <c r="B9" t="s">
        <v>57</v>
      </c>
      <c r="C9" t="s">
        <v>793</v>
      </c>
      <c r="D9" s="1">
        <v>88327</v>
      </c>
      <c r="E9" s="1">
        <v>33456</v>
      </c>
      <c r="F9" s="2">
        <v>0.37877432721591398</v>
      </c>
      <c r="G9" s="1">
        <v>4241</v>
      </c>
      <c r="H9" s="2">
        <v>0.12676351028216201</v>
      </c>
      <c r="I9" s="2">
        <v>4.8014763322653302E-2</v>
      </c>
    </row>
    <row r="10" spans="1:9" x14ac:dyDescent="0.25">
      <c r="A10" s="26">
        <v>45139</v>
      </c>
      <c r="B10" t="s">
        <v>57</v>
      </c>
      <c r="C10" t="s">
        <v>794</v>
      </c>
      <c r="D10" s="1">
        <v>9853</v>
      </c>
      <c r="E10" s="1">
        <v>2892</v>
      </c>
      <c r="F10" s="2">
        <v>0.29351466558408601</v>
      </c>
      <c r="G10" s="1">
        <v>596</v>
      </c>
      <c r="H10" s="2">
        <v>0.20608575380359601</v>
      </c>
      <c r="I10" s="2">
        <v>6.0489191109306797E-2</v>
      </c>
    </row>
    <row r="11" spans="1:9" x14ac:dyDescent="0.25">
      <c r="A11" s="26">
        <v>45140</v>
      </c>
      <c r="B11" t="s">
        <v>37</v>
      </c>
      <c r="C11" t="s">
        <v>793</v>
      </c>
      <c r="D11" s="1">
        <v>598873</v>
      </c>
      <c r="E11" s="1">
        <v>196813</v>
      </c>
      <c r="F11" s="3">
        <v>0.3286</v>
      </c>
      <c r="G11" s="1">
        <v>2086</v>
      </c>
      <c r="H11" s="3">
        <v>1.06E-2</v>
      </c>
      <c r="I11" s="3">
        <v>3.5000000000000001E-3</v>
      </c>
    </row>
    <row r="12" spans="1:9" x14ac:dyDescent="0.25">
      <c r="A12" s="26">
        <v>45140</v>
      </c>
      <c r="B12" t="s">
        <v>38</v>
      </c>
      <c r="C12" t="s">
        <v>794</v>
      </c>
      <c r="D12" s="1">
        <v>48134</v>
      </c>
      <c r="E12" s="1">
        <v>13010</v>
      </c>
      <c r="F12" s="3">
        <v>0.27029999999999998</v>
      </c>
      <c r="G12">
        <v>291</v>
      </c>
      <c r="H12" s="3">
        <v>2.24E-2</v>
      </c>
      <c r="I12" s="3">
        <v>6.0000000000000001E-3</v>
      </c>
    </row>
    <row r="13" spans="1:9" x14ac:dyDescent="0.25">
      <c r="A13" s="26">
        <v>45140</v>
      </c>
      <c r="B13" t="s">
        <v>58</v>
      </c>
      <c r="C13" t="s">
        <v>793</v>
      </c>
      <c r="D13" s="1">
        <v>151827</v>
      </c>
      <c r="E13" s="1">
        <v>64949</v>
      </c>
      <c r="F13" s="2">
        <v>0.42778293715874</v>
      </c>
      <c r="G13" s="1">
        <v>1307</v>
      </c>
      <c r="H13" s="2">
        <v>2.01234815008699E-2</v>
      </c>
      <c r="I13" s="2">
        <v>8.6084820223016993E-3</v>
      </c>
    </row>
    <row r="14" spans="1:9" x14ac:dyDescent="0.25">
      <c r="A14" s="26">
        <v>45140</v>
      </c>
      <c r="B14" t="s">
        <v>58</v>
      </c>
      <c r="C14" t="s">
        <v>794</v>
      </c>
      <c r="D14" s="1">
        <v>10538</v>
      </c>
      <c r="E14" s="1">
        <v>4417</v>
      </c>
      <c r="F14" s="2">
        <v>0.41914974378439901</v>
      </c>
      <c r="G14" s="1">
        <v>124</v>
      </c>
      <c r="H14" s="2">
        <v>2.8073352954494001E-2</v>
      </c>
      <c r="I14" s="2">
        <v>1.1766938698045201E-2</v>
      </c>
    </row>
    <row r="15" spans="1:9" x14ac:dyDescent="0.25">
      <c r="A15" s="26">
        <v>45140</v>
      </c>
      <c r="B15" t="s">
        <v>59</v>
      </c>
      <c r="C15" t="s">
        <v>793</v>
      </c>
      <c r="D15" s="1">
        <v>141345</v>
      </c>
      <c r="E15" s="1">
        <v>46013</v>
      </c>
      <c r="F15" s="2">
        <v>0.325536807103187</v>
      </c>
      <c r="G15" s="1">
        <v>401</v>
      </c>
      <c r="H15" s="2">
        <v>8.7149283898028795E-3</v>
      </c>
      <c r="I15" s="2">
        <v>2.8370299621493498E-3</v>
      </c>
    </row>
    <row r="16" spans="1:9" x14ac:dyDescent="0.25">
      <c r="A16" s="26">
        <v>45140</v>
      </c>
      <c r="B16" t="s">
        <v>59</v>
      </c>
      <c r="C16" t="s">
        <v>794</v>
      </c>
      <c r="D16" s="1">
        <v>3374</v>
      </c>
      <c r="E16" s="1">
        <v>1070</v>
      </c>
      <c r="F16" s="2">
        <v>0.317131001778305</v>
      </c>
      <c r="G16" s="1">
        <v>8</v>
      </c>
      <c r="H16" s="2">
        <v>7.4766355140186902E-3</v>
      </c>
      <c r="I16" s="2">
        <v>2.371072910492E-3</v>
      </c>
    </row>
    <row r="17" spans="1:9" x14ac:dyDescent="0.25">
      <c r="A17" s="26">
        <v>45141</v>
      </c>
      <c r="B17" t="s">
        <v>60</v>
      </c>
      <c r="C17" t="s">
        <v>793</v>
      </c>
      <c r="D17" s="1">
        <v>243755</v>
      </c>
      <c r="E17" s="1">
        <v>84201</v>
      </c>
      <c r="F17" s="3">
        <v>0.34539999999999998</v>
      </c>
      <c r="G17">
        <v>503</v>
      </c>
      <c r="H17" s="3">
        <v>6.0000000000000001E-3</v>
      </c>
      <c r="I17" s="3">
        <v>2.0999999999999999E-3</v>
      </c>
    </row>
    <row r="18" spans="1:9" x14ac:dyDescent="0.25">
      <c r="A18" s="26">
        <v>45141</v>
      </c>
      <c r="B18" t="s">
        <v>61</v>
      </c>
      <c r="C18" t="s">
        <v>794</v>
      </c>
      <c r="D18" s="1">
        <v>21837</v>
      </c>
      <c r="E18" s="1">
        <v>6327</v>
      </c>
      <c r="F18" s="3">
        <v>0.28970000000000001</v>
      </c>
      <c r="G18">
        <v>110</v>
      </c>
      <c r="H18" s="3">
        <v>1.7399999999999999E-2</v>
      </c>
      <c r="I18" s="3">
        <v>5.0000000000000001E-3</v>
      </c>
    </row>
    <row r="19" spans="1:9" x14ac:dyDescent="0.25">
      <c r="A19" s="26">
        <v>45141</v>
      </c>
      <c r="B19" t="s">
        <v>48</v>
      </c>
      <c r="C19" t="s">
        <v>793</v>
      </c>
      <c r="D19" s="1">
        <v>152940</v>
      </c>
      <c r="E19" s="1">
        <v>54101</v>
      </c>
      <c r="F19" s="3">
        <v>0.35370000000000001</v>
      </c>
      <c r="G19">
        <v>877</v>
      </c>
      <c r="H19" s="3">
        <v>1.6199999999999999E-2</v>
      </c>
      <c r="I19" s="3">
        <v>5.7000000000000002E-3</v>
      </c>
    </row>
    <row r="20" spans="1:9" x14ac:dyDescent="0.25">
      <c r="A20" s="26">
        <v>45141</v>
      </c>
      <c r="B20" t="s">
        <v>49</v>
      </c>
      <c r="C20" t="s">
        <v>794</v>
      </c>
      <c r="D20" s="1">
        <v>13937</v>
      </c>
      <c r="E20" s="1">
        <v>4192</v>
      </c>
      <c r="F20" s="3">
        <v>0.30080000000000001</v>
      </c>
      <c r="G20">
        <v>117</v>
      </c>
      <c r="H20" s="3">
        <v>2.7900000000000001E-2</v>
      </c>
      <c r="I20" s="3">
        <v>8.3999999999999995E-3</v>
      </c>
    </row>
    <row r="21" spans="1:9" x14ac:dyDescent="0.25">
      <c r="A21" s="26">
        <v>45141</v>
      </c>
      <c r="B21" t="s">
        <v>50</v>
      </c>
      <c r="C21" t="s">
        <v>793</v>
      </c>
      <c r="D21" s="1">
        <v>341190</v>
      </c>
      <c r="E21" s="1">
        <v>113880</v>
      </c>
      <c r="F21" s="3">
        <v>0.33379999999999999</v>
      </c>
      <c r="G21">
        <v>636</v>
      </c>
      <c r="H21" s="3">
        <v>5.5999999999999999E-3</v>
      </c>
      <c r="I21" s="3">
        <v>1.9E-3</v>
      </c>
    </row>
    <row r="22" spans="1:9" x14ac:dyDescent="0.25">
      <c r="A22" s="26">
        <v>45141</v>
      </c>
      <c r="B22" t="s">
        <v>51</v>
      </c>
      <c r="C22" t="s">
        <v>794</v>
      </c>
      <c r="D22" s="1">
        <v>13691</v>
      </c>
      <c r="E22" s="1">
        <v>3520</v>
      </c>
      <c r="F22" s="3">
        <v>0.2571</v>
      </c>
      <c r="G22">
        <v>50</v>
      </c>
      <c r="H22" s="3">
        <v>1.4200000000000001E-2</v>
      </c>
      <c r="I22" s="3">
        <v>3.7000000000000002E-3</v>
      </c>
    </row>
    <row r="23" spans="1:9" x14ac:dyDescent="0.25">
      <c r="A23" s="27" t="s">
        <v>427</v>
      </c>
      <c r="D23" s="14">
        <f ca="1">SUM(Table132[Sent])</f>
        <v>6898866</v>
      </c>
      <c r="E23" s="14">
        <f ca="1">SUM(Table132[Unique Opens])</f>
        <v>2338506</v>
      </c>
      <c r="F23" s="15">
        <f ca="1">SUM(E23/D23)</f>
        <v>0.33896962196395758</v>
      </c>
      <c r="G23" s="14">
        <f ca="1">SUM(Table132[Unique Clicks])</f>
        <v>42007</v>
      </c>
      <c r="H23" s="15">
        <f ca="1">SUM(G23/E23)</f>
        <v>1.7963178200098694E-2</v>
      </c>
      <c r="I23" s="15">
        <f ca="1">SUM(G23/D23)</f>
        <v>6.0889717237586584E-3</v>
      </c>
    </row>
    <row r="24" spans="1:9" ht="15.75" thickBot="1" x14ac:dyDescent="0.3">
      <c r="A24" s="135"/>
      <c r="B24" s="135"/>
      <c r="C24" s="135"/>
      <c r="D24" s="135"/>
      <c r="E24" s="135"/>
      <c r="F24" s="135"/>
      <c r="G24" s="135"/>
      <c r="H24" s="135"/>
      <c r="I24" s="135"/>
    </row>
    <row r="25" spans="1:9" ht="20.45" customHeight="1" x14ac:dyDescent="0.25">
      <c r="A25" s="5" t="s">
        <v>0</v>
      </c>
      <c r="B25" s="6" t="s">
        <v>1</v>
      </c>
      <c r="C25" s="6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  <c r="I25" s="7" t="s">
        <v>8</v>
      </c>
    </row>
    <row r="26" spans="1:9" x14ac:dyDescent="0.25">
      <c r="A26" s="8" t="s">
        <v>790</v>
      </c>
      <c r="B26" s="9"/>
      <c r="C26" s="9"/>
      <c r="D26" s="9"/>
      <c r="E26" s="9"/>
      <c r="F26" s="9"/>
      <c r="G26" s="9"/>
      <c r="H26" s="9"/>
      <c r="I26" s="10"/>
    </row>
    <row r="27" spans="1:9" x14ac:dyDescent="0.25">
      <c r="A27" s="11">
        <v>45135</v>
      </c>
      <c r="B27" t="s">
        <v>52</v>
      </c>
      <c r="C27" t="s">
        <v>793</v>
      </c>
      <c r="D27" s="1">
        <v>3120223</v>
      </c>
      <c r="E27" s="1">
        <v>1037619</v>
      </c>
      <c r="F27" s="3">
        <v>0.33254642376522398</v>
      </c>
      <c r="G27" s="1">
        <v>17803</v>
      </c>
      <c r="H27" s="3">
        <v>1.7157550121961899E-2</v>
      </c>
      <c r="I27" s="16">
        <v>5.7056819336310299E-3</v>
      </c>
    </row>
    <row r="28" spans="1:9" x14ac:dyDescent="0.25">
      <c r="A28" s="11">
        <v>45135</v>
      </c>
      <c r="B28" t="s">
        <v>52</v>
      </c>
      <c r="C28" t="s">
        <v>794</v>
      </c>
      <c r="D28" s="1">
        <v>215674</v>
      </c>
      <c r="E28" s="1">
        <v>49080</v>
      </c>
      <c r="F28" s="3">
        <v>0.22756567782857501</v>
      </c>
      <c r="G28" s="1">
        <v>1013</v>
      </c>
      <c r="H28" s="3">
        <v>2.0639771801140998E-2</v>
      </c>
      <c r="I28" s="16">
        <v>4.6969036601537499E-3</v>
      </c>
    </row>
    <row r="29" spans="1:9" x14ac:dyDescent="0.25">
      <c r="A29" s="11">
        <v>45135</v>
      </c>
      <c r="B29" t="s">
        <v>53</v>
      </c>
      <c r="C29" t="s">
        <v>793</v>
      </c>
      <c r="D29" s="1">
        <v>328397</v>
      </c>
      <c r="E29" s="1">
        <v>103289</v>
      </c>
      <c r="F29" s="3">
        <v>0.31452479772957698</v>
      </c>
      <c r="G29" s="1">
        <v>1955</v>
      </c>
      <c r="H29" s="3">
        <v>1.8927475336192601E-2</v>
      </c>
      <c r="I29" s="16">
        <v>5.9531603516475504E-3</v>
      </c>
    </row>
    <row r="30" spans="1:9" x14ac:dyDescent="0.25">
      <c r="A30" s="11">
        <v>45139</v>
      </c>
      <c r="B30" t="s">
        <v>56</v>
      </c>
      <c r="C30" t="s">
        <v>793</v>
      </c>
      <c r="D30" s="1">
        <v>1047738</v>
      </c>
      <c r="E30" s="1">
        <v>361768</v>
      </c>
      <c r="F30" s="3">
        <v>0.34528479448106297</v>
      </c>
      <c r="G30" s="1">
        <v>6372</v>
      </c>
      <c r="H30" s="3">
        <v>1.7613498153512701E-2</v>
      </c>
      <c r="I30" s="16">
        <v>6.0816730900282298E-3</v>
      </c>
    </row>
    <row r="31" spans="1:9" x14ac:dyDescent="0.25">
      <c r="A31" s="11">
        <v>45139</v>
      </c>
      <c r="B31" t="s">
        <v>56</v>
      </c>
      <c r="C31" t="s">
        <v>794</v>
      </c>
      <c r="D31" s="1">
        <v>82557</v>
      </c>
      <c r="E31" s="1">
        <v>22588</v>
      </c>
      <c r="F31" s="3">
        <v>0.27360490327894699</v>
      </c>
      <c r="G31" s="1">
        <v>720</v>
      </c>
      <c r="H31" s="3">
        <v>3.18753320347087E-2</v>
      </c>
      <c r="I31" s="16">
        <v>8.7212471383407795E-3</v>
      </c>
    </row>
    <row r="32" spans="1:9" ht="15.75" thickBot="1" x14ac:dyDescent="0.3">
      <c r="A32" s="17" t="s">
        <v>427</v>
      </c>
      <c r="B32" s="4"/>
      <c r="C32" s="4"/>
      <c r="D32" s="18">
        <f>SUM(D27:D31)</f>
        <v>4794589</v>
      </c>
      <c r="E32" s="18">
        <f>SUM(E27:E31)</f>
        <v>1574344</v>
      </c>
      <c r="F32" s="19">
        <f>SUM(E32/D32)</f>
        <v>0.3283584891217996</v>
      </c>
      <c r="G32" s="18">
        <f>SUM(G27:G31)</f>
        <v>27863</v>
      </c>
      <c r="H32" s="19">
        <f>SUM(G32/E32)</f>
        <v>1.7698165077009852E-2</v>
      </c>
      <c r="I32" s="21">
        <f>SUM(G32/D32)</f>
        <v>5.8113427449151536E-3</v>
      </c>
    </row>
    <row r="33" spans="1:9" ht="3" customHeight="1" thickBot="1" x14ac:dyDescent="0.3">
      <c r="A33" s="136"/>
      <c r="B33" s="136"/>
      <c r="C33" s="136"/>
      <c r="D33" s="136"/>
      <c r="E33" s="136"/>
      <c r="F33" s="136"/>
      <c r="G33" s="136"/>
      <c r="H33" s="136"/>
      <c r="I33" s="136"/>
    </row>
    <row r="34" spans="1:9" x14ac:dyDescent="0.25">
      <c r="A34" s="22" t="s">
        <v>795</v>
      </c>
      <c r="B34" s="23"/>
      <c r="C34" s="23"/>
      <c r="D34" s="23"/>
      <c r="E34" s="23"/>
      <c r="F34" s="23"/>
      <c r="G34" s="23"/>
      <c r="H34" s="23"/>
      <c r="I34" s="24"/>
    </row>
    <row r="35" spans="1:9" x14ac:dyDescent="0.25">
      <c r="A35" s="11">
        <v>45136</v>
      </c>
      <c r="B35" t="s">
        <v>54</v>
      </c>
      <c r="C35" t="s">
        <v>793</v>
      </c>
      <c r="D35" s="1">
        <v>24167</v>
      </c>
      <c r="E35" s="1">
        <v>11699</v>
      </c>
      <c r="F35" s="3">
        <v>0.48408987462241898</v>
      </c>
      <c r="G35" s="1">
        <v>2494</v>
      </c>
      <c r="H35" s="3">
        <v>0.213180613727669</v>
      </c>
      <c r="I35" s="16">
        <v>0.103198576571358</v>
      </c>
    </row>
    <row r="36" spans="1:9" x14ac:dyDescent="0.25">
      <c r="A36" s="11">
        <v>45139</v>
      </c>
      <c r="B36" t="s">
        <v>55</v>
      </c>
      <c r="C36" t="s">
        <v>793</v>
      </c>
      <c r="D36" s="1">
        <v>240489</v>
      </c>
      <c r="E36" s="1">
        <v>123622</v>
      </c>
      <c r="F36" s="3">
        <v>0.51404430140255897</v>
      </c>
      <c r="G36" s="1">
        <v>303</v>
      </c>
      <c r="H36" s="3">
        <v>2.4510200449758099E-3</v>
      </c>
      <c r="I36" s="16">
        <v>1.25993288674326E-3</v>
      </c>
    </row>
    <row r="37" spans="1:9" x14ac:dyDescent="0.25">
      <c r="A37" s="11">
        <v>45139</v>
      </c>
      <c r="B37" t="s">
        <v>57</v>
      </c>
      <c r="C37" t="s">
        <v>793</v>
      </c>
      <c r="D37" s="1">
        <v>88327</v>
      </c>
      <c r="E37" s="1">
        <v>33456</v>
      </c>
      <c r="F37" s="3">
        <v>0.37877432721591398</v>
      </c>
      <c r="G37" s="1">
        <v>4241</v>
      </c>
      <c r="H37" s="3">
        <v>0.12676351028216201</v>
      </c>
      <c r="I37" s="16">
        <v>4.8014763322653302E-2</v>
      </c>
    </row>
    <row r="38" spans="1:9" x14ac:dyDescent="0.25">
      <c r="A38" s="11">
        <v>45139</v>
      </c>
      <c r="B38" t="s">
        <v>57</v>
      </c>
      <c r="C38" t="s">
        <v>794</v>
      </c>
      <c r="D38" s="1">
        <v>9853</v>
      </c>
      <c r="E38" s="1">
        <v>2892</v>
      </c>
      <c r="F38" s="3">
        <v>0.29351466558408601</v>
      </c>
      <c r="G38" s="1">
        <v>596</v>
      </c>
      <c r="H38" s="3">
        <v>0.20608575380359601</v>
      </c>
      <c r="I38" s="16">
        <v>6.0489191109306797E-2</v>
      </c>
    </row>
    <row r="39" spans="1:9" x14ac:dyDescent="0.25">
      <c r="A39" s="11">
        <v>45140</v>
      </c>
      <c r="B39" t="s">
        <v>58</v>
      </c>
      <c r="C39" t="s">
        <v>793</v>
      </c>
      <c r="D39" s="1">
        <v>151827</v>
      </c>
      <c r="E39" s="1">
        <v>64949</v>
      </c>
      <c r="F39" s="3">
        <v>0.42778293715874</v>
      </c>
      <c r="G39" s="1">
        <v>1307</v>
      </c>
      <c r="H39" s="3">
        <v>2.01234815008699E-2</v>
      </c>
      <c r="I39" s="16">
        <v>8.6084820223016993E-3</v>
      </c>
    </row>
    <row r="40" spans="1:9" x14ac:dyDescent="0.25">
      <c r="A40" s="11">
        <v>45140</v>
      </c>
      <c r="B40" t="s">
        <v>58</v>
      </c>
      <c r="C40" t="s">
        <v>794</v>
      </c>
      <c r="D40" s="1">
        <v>10538</v>
      </c>
      <c r="E40" s="1">
        <v>4417</v>
      </c>
      <c r="F40" s="3">
        <v>0.41914974378439901</v>
      </c>
      <c r="G40" s="1">
        <v>124</v>
      </c>
      <c r="H40" s="3">
        <v>2.8073352954494001E-2</v>
      </c>
      <c r="I40" s="16">
        <v>1.1766938698045201E-2</v>
      </c>
    </row>
    <row r="41" spans="1:9" x14ac:dyDescent="0.25">
      <c r="A41" s="11">
        <v>45140</v>
      </c>
      <c r="B41" t="s">
        <v>59</v>
      </c>
      <c r="C41" t="s">
        <v>793</v>
      </c>
      <c r="D41" s="1">
        <v>141345</v>
      </c>
      <c r="E41" s="1">
        <v>46013</v>
      </c>
      <c r="F41" s="3">
        <v>0.325536807103187</v>
      </c>
      <c r="G41" s="1">
        <v>401</v>
      </c>
      <c r="H41" s="3">
        <v>8.7149283898028795E-3</v>
      </c>
      <c r="I41" s="16">
        <v>2.8370299621493498E-3</v>
      </c>
    </row>
    <row r="42" spans="1:9" x14ac:dyDescent="0.25">
      <c r="A42" s="11">
        <v>45140</v>
      </c>
      <c r="B42" t="s">
        <v>59</v>
      </c>
      <c r="C42" t="s">
        <v>794</v>
      </c>
      <c r="D42" s="1">
        <v>3374</v>
      </c>
      <c r="E42" s="1">
        <v>1070</v>
      </c>
      <c r="F42" s="3">
        <v>0.317131001778305</v>
      </c>
      <c r="G42" s="1">
        <v>8</v>
      </c>
      <c r="H42" s="3">
        <v>7.4766355140186902E-3</v>
      </c>
      <c r="I42" s="16">
        <v>2.371072910492E-3</v>
      </c>
    </row>
    <row r="43" spans="1:9" ht="15.75" thickBot="1" x14ac:dyDescent="0.3">
      <c r="A43" s="17" t="s">
        <v>427</v>
      </c>
      <c r="B43" s="4"/>
      <c r="C43" s="4"/>
      <c r="D43" s="18">
        <f>SUM(D35:D42)</f>
        <v>669920</v>
      </c>
      <c r="E43" s="18">
        <f>SUM(E35:E42)</f>
        <v>288118</v>
      </c>
      <c r="F43" s="19">
        <f>SUM(E43/D43)</f>
        <v>0.43007821829472176</v>
      </c>
      <c r="G43" s="18">
        <f>SUM(G35:G42)</f>
        <v>9474</v>
      </c>
      <c r="H43" s="19">
        <f>SUM(G43/E43)</f>
        <v>3.2882360699435648E-2</v>
      </c>
      <c r="I43" s="21">
        <f>SUM(G43/D43)</f>
        <v>1.4141987102937664E-2</v>
      </c>
    </row>
    <row r="44" spans="1:9" ht="3" customHeight="1" thickBot="1" x14ac:dyDescent="0.3">
      <c r="A44" s="137"/>
      <c r="B44" s="137"/>
      <c r="C44" s="137"/>
      <c r="D44" s="137"/>
      <c r="E44" s="137"/>
      <c r="F44" s="137"/>
      <c r="G44" s="137"/>
      <c r="H44" s="137"/>
      <c r="I44" s="137"/>
    </row>
    <row r="45" spans="1:9" x14ac:dyDescent="0.25">
      <c r="A45" s="22" t="s">
        <v>792</v>
      </c>
      <c r="B45" s="23"/>
      <c r="C45" s="23"/>
      <c r="D45" s="23"/>
      <c r="E45" s="23"/>
      <c r="F45" s="23"/>
      <c r="G45" s="23"/>
      <c r="H45" s="23"/>
      <c r="I45" s="24"/>
    </row>
    <row r="46" spans="1:9" x14ac:dyDescent="0.25">
      <c r="A46" s="11">
        <v>45140</v>
      </c>
      <c r="B46" t="s">
        <v>37</v>
      </c>
      <c r="C46" t="s">
        <v>793</v>
      </c>
      <c r="D46" s="1">
        <v>598873</v>
      </c>
      <c r="E46" s="1">
        <v>196813</v>
      </c>
      <c r="F46" s="3">
        <v>0.3286</v>
      </c>
      <c r="G46" s="1">
        <v>2086</v>
      </c>
      <c r="H46" s="3">
        <v>1.06E-2</v>
      </c>
      <c r="I46" s="16">
        <v>3.5000000000000001E-3</v>
      </c>
    </row>
    <row r="47" spans="1:9" x14ac:dyDescent="0.25">
      <c r="A47" s="11">
        <v>45140</v>
      </c>
      <c r="B47" t="s">
        <v>38</v>
      </c>
      <c r="C47" t="s">
        <v>794</v>
      </c>
      <c r="D47" s="1">
        <v>48134</v>
      </c>
      <c r="E47" s="1">
        <v>13010</v>
      </c>
      <c r="F47" s="3">
        <v>0.27029999999999998</v>
      </c>
      <c r="G47" s="1">
        <v>291</v>
      </c>
      <c r="H47" s="3">
        <v>2.24E-2</v>
      </c>
      <c r="I47" s="16">
        <v>6.0000000000000001E-3</v>
      </c>
    </row>
    <row r="48" spans="1:9" x14ac:dyDescent="0.25">
      <c r="A48" s="11">
        <v>45141</v>
      </c>
      <c r="B48" t="s">
        <v>60</v>
      </c>
      <c r="C48" t="s">
        <v>793</v>
      </c>
      <c r="D48" s="1">
        <v>243755</v>
      </c>
      <c r="E48" s="1">
        <v>84201</v>
      </c>
      <c r="F48" s="3">
        <v>0.34539999999999998</v>
      </c>
      <c r="G48" s="1">
        <v>503</v>
      </c>
      <c r="H48" s="3">
        <v>6.0000000000000001E-3</v>
      </c>
      <c r="I48" s="16">
        <v>2.0999999999999999E-3</v>
      </c>
    </row>
    <row r="49" spans="1:9" x14ac:dyDescent="0.25">
      <c r="A49" s="11">
        <v>45141</v>
      </c>
      <c r="B49" t="s">
        <v>61</v>
      </c>
      <c r="C49" t="s">
        <v>794</v>
      </c>
      <c r="D49" s="1">
        <v>21837</v>
      </c>
      <c r="E49" s="1">
        <v>6327</v>
      </c>
      <c r="F49" s="3">
        <v>0.28970000000000001</v>
      </c>
      <c r="G49" s="1">
        <v>110</v>
      </c>
      <c r="H49" s="3">
        <v>1.7399999999999999E-2</v>
      </c>
      <c r="I49" s="16">
        <v>5.0000000000000001E-3</v>
      </c>
    </row>
    <row r="50" spans="1:9" x14ac:dyDescent="0.25">
      <c r="A50" s="11">
        <v>45141</v>
      </c>
      <c r="B50" t="s">
        <v>48</v>
      </c>
      <c r="C50" t="s">
        <v>793</v>
      </c>
      <c r="D50" s="1">
        <v>152940</v>
      </c>
      <c r="E50" s="1">
        <v>54101</v>
      </c>
      <c r="F50" s="3">
        <v>0.35370000000000001</v>
      </c>
      <c r="G50" s="1">
        <v>877</v>
      </c>
      <c r="H50" s="3">
        <v>1.6199999999999999E-2</v>
      </c>
      <c r="I50" s="16">
        <v>5.7000000000000002E-3</v>
      </c>
    </row>
    <row r="51" spans="1:9" x14ac:dyDescent="0.25">
      <c r="A51" s="11">
        <v>45141</v>
      </c>
      <c r="B51" t="s">
        <v>49</v>
      </c>
      <c r="C51" t="s">
        <v>794</v>
      </c>
      <c r="D51" s="1">
        <v>13937</v>
      </c>
      <c r="E51" s="1">
        <v>4192</v>
      </c>
      <c r="F51" s="3">
        <v>0.30080000000000001</v>
      </c>
      <c r="G51" s="1">
        <v>117</v>
      </c>
      <c r="H51" s="3">
        <v>2.7900000000000001E-2</v>
      </c>
      <c r="I51" s="16">
        <v>8.3999999999999995E-3</v>
      </c>
    </row>
    <row r="52" spans="1:9" x14ac:dyDescent="0.25">
      <c r="A52" s="11">
        <v>45141</v>
      </c>
      <c r="B52" t="s">
        <v>50</v>
      </c>
      <c r="C52" t="s">
        <v>793</v>
      </c>
      <c r="D52" s="1">
        <v>341190</v>
      </c>
      <c r="E52" s="1">
        <v>113880</v>
      </c>
      <c r="F52" s="3">
        <v>0.33379999999999999</v>
      </c>
      <c r="G52" s="1">
        <v>636</v>
      </c>
      <c r="H52" s="3">
        <v>5.5999999999999999E-3</v>
      </c>
      <c r="I52" s="16">
        <v>1.9E-3</v>
      </c>
    </row>
    <row r="53" spans="1:9" x14ac:dyDescent="0.25">
      <c r="A53" s="11">
        <v>45141</v>
      </c>
      <c r="B53" t="s">
        <v>51</v>
      </c>
      <c r="C53" t="s">
        <v>794</v>
      </c>
      <c r="D53" s="1">
        <v>13691</v>
      </c>
      <c r="E53" s="1">
        <v>3520</v>
      </c>
      <c r="F53" s="3">
        <v>0.2571</v>
      </c>
      <c r="G53" s="1">
        <v>50</v>
      </c>
      <c r="H53" s="3">
        <v>1.4200000000000001E-2</v>
      </c>
      <c r="I53" s="16">
        <v>3.7000000000000002E-3</v>
      </c>
    </row>
    <row r="54" spans="1:9" ht="15.75" thickBot="1" x14ac:dyDescent="0.3">
      <c r="A54" s="17" t="s">
        <v>427</v>
      </c>
      <c r="B54" s="4"/>
      <c r="C54" s="4"/>
      <c r="D54" s="18">
        <f>SUM(D46:D53)</f>
        <v>1434357</v>
      </c>
      <c r="E54" s="18">
        <f>SUM(E46:E53)</f>
        <v>476044</v>
      </c>
      <c r="F54" s="19">
        <f>SUM(E54/D54)</f>
        <v>0.33188669208572202</v>
      </c>
      <c r="G54" s="18">
        <f>SUM(G45:G53)</f>
        <v>4670</v>
      </c>
      <c r="H54" s="19">
        <f>SUM(G54/E54)</f>
        <v>9.8100175614018875E-3</v>
      </c>
      <c r="I54" s="21">
        <f>SUM(G54/D54)</f>
        <v>3.2558142777565141E-3</v>
      </c>
    </row>
  </sheetData>
  <mergeCells count="3">
    <mergeCell ref="A24:I24"/>
    <mergeCell ref="A33:I33"/>
    <mergeCell ref="A44:I44"/>
  </mergeCells>
  <pageMargins left="0.7" right="0.7" top="0.75" bottom="0.75" header="0.3" footer="0.3"/>
  <pageSetup orientation="portrait" r:id="rId1"/>
  <ignoredErrors>
    <ignoredError sqref="F43 F32" formula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8431-5BCA-40BD-8CB2-DE918EC7740C}">
  <dimension ref="A1:K68"/>
  <sheetViews>
    <sheetView zoomScale="80" zoomScaleNormal="80" workbookViewId="0">
      <selection activeCell="Q158" sqref="Q158"/>
    </sheetView>
  </sheetViews>
  <sheetFormatPr defaultRowHeight="15" x14ac:dyDescent="0.25"/>
  <cols>
    <col min="1" max="1" width="11.85546875" customWidth="1"/>
    <col min="2" max="2" width="69.42578125" customWidth="1"/>
    <col min="3" max="3" width="27.85546875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bestFit="1" customWidth="1"/>
  </cols>
  <sheetData>
    <row r="1" spans="1:9" ht="20.45" customHeight="1" x14ac:dyDescent="0.25">
      <c r="A1" s="5" t="s">
        <v>0</v>
      </c>
      <c r="B1" s="6" t="s">
        <v>1</v>
      </c>
      <c r="C1" s="6" t="s">
        <v>796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45142</v>
      </c>
      <c r="B2" t="s">
        <v>62</v>
      </c>
      <c r="C2" t="s">
        <v>793</v>
      </c>
      <c r="D2" s="1">
        <v>3150759</v>
      </c>
      <c r="E2" s="1">
        <v>1108258</v>
      </c>
      <c r="F2" s="2">
        <v>0.35175166781297901</v>
      </c>
      <c r="G2" s="1">
        <v>15326</v>
      </c>
      <c r="H2" s="2">
        <v>1.38289098747765E-2</v>
      </c>
      <c r="I2" s="2">
        <v>4.8643421124879901E-3</v>
      </c>
    </row>
    <row r="3" spans="1:9" x14ac:dyDescent="0.25">
      <c r="A3" s="26">
        <v>45142</v>
      </c>
      <c r="B3" t="s">
        <v>62</v>
      </c>
      <c r="C3" t="s">
        <v>794</v>
      </c>
      <c r="D3" s="1">
        <v>216571</v>
      </c>
      <c r="E3" s="1">
        <v>59761</v>
      </c>
      <c r="F3" s="2">
        <v>0.27594183893503699</v>
      </c>
      <c r="G3" s="1">
        <v>1253</v>
      </c>
      <c r="H3" s="2">
        <v>2.09668512909757E-2</v>
      </c>
      <c r="I3" s="2">
        <v>5.7856315019093E-3</v>
      </c>
    </row>
    <row r="4" spans="1:9" x14ac:dyDescent="0.25">
      <c r="A4" s="26">
        <v>45142</v>
      </c>
      <c r="B4" t="s">
        <v>63</v>
      </c>
      <c r="C4" t="s">
        <v>793</v>
      </c>
      <c r="D4" s="1">
        <v>331115</v>
      </c>
      <c r="E4" s="1">
        <v>103584</v>
      </c>
      <c r="F4" s="2">
        <v>0.31283957850737998</v>
      </c>
      <c r="G4" s="1">
        <v>1697</v>
      </c>
      <c r="H4" s="2">
        <v>1.6382839048501699E-2</v>
      </c>
      <c r="I4" s="2">
        <v>5.1252004626875097E-3</v>
      </c>
    </row>
    <row r="5" spans="1:9" x14ac:dyDescent="0.25">
      <c r="A5" s="26">
        <v>45142</v>
      </c>
      <c r="B5" t="s">
        <v>63</v>
      </c>
      <c r="C5" t="s">
        <v>794</v>
      </c>
      <c r="D5" s="1">
        <v>18080</v>
      </c>
      <c r="E5" s="1">
        <v>4921</v>
      </c>
      <c r="F5" s="2">
        <v>0.272179203539823</v>
      </c>
      <c r="G5" s="1">
        <v>199</v>
      </c>
      <c r="H5" s="2">
        <v>4.0438935175777298E-2</v>
      </c>
      <c r="I5" s="2">
        <v>1.1006637168141599E-2</v>
      </c>
    </row>
    <row r="6" spans="1:9" x14ac:dyDescent="0.25">
      <c r="A6" s="26">
        <v>45143</v>
      </c>
      <c r="B6" t="s">
        <v>64</v>
      </c>
      <c r="C6" t="s">
        <v>793</v>
      </c>
      <c r="D6" s="1">
        <v>42048</v>
      </c>
      <c r="E6" s="1">
        <v>17259</v>
      </c>
      <c r="F6" s="2">
        <v>0.41048876204067097</v>
      </c>
      <c r="G6" s="1">
        <v>1118</v>
      </c>
      <c r="H6" s="2">
        <v>6.4777797091372602E-2</v>
      </c>
      <c r="I6" s="2">
        <v>2.6590557735759301E-2</v>
      </c>
    </row>
    <row r="7" spans="1:9" x14ac:dyDescent="0.25">
      <c r="A7" s="26">
        <v>45143</v>
      </c>
      <c r="B7" t="s">
        <v>64</v>
      </c>
      <c r="C7" t="s">
        <v>794</v>
      </c>
      <c r="D7" s="1">
        <v>3855</v>
      </c>
      <c r="E7" s="1">
        <v>1589</v>
      </c>
      <c r="F7" s="2">
        <v>0.41219195849545998</v>
      </c>
      <c r="G7" s="1">
        <v>138</v>
      </c>
      <c r="H7" s="2">
        <v>8.6847073631214605E-2</v>
      </c>
      <c r="I7" s="2">
        <v>3.5797665369649803E-2</v>
      </c>
    </row>
    <row r="8" spans="1:9" x14ac:dyDescent="0.25">
      <c r="A8" s="26">
        <v>45146</v>
      </c>
      <c r="B8" t="s">
        <v>65</v>
      </c>
      <c r="C8" t="s">
        <v>793</v>
      </c>
      <c r="D8" s="1">
        <v>216703</v>
      </c>
      <c r="E8" s="1">
        <v>80764</v>
      </c>
      <c r="F8" s="2">
        <v>0.37319902037798602</v>
      </c>
      <c r="G8" s="1">
        <v>1735</v>
      </c>
      <c r="H8" s="2">
        <v>2.1482343618443901E-2</v>
      </c>
      <c r="I8" s="2">
        <v>8.0171895938265306E-3</v>
      </c>
    </row>
    <row r="9" spans="1:9" x14ac:dyDescent="0.25">
      <c r="A9" s="26">
        <v>45146</v>
      </c>
      <c r="B9" t="s">
        <v>65</v>
      </c>
      <c r="C9" t="s">
        <v>794</v>
      </c>
      <c r="D9" s="1">
        <v>16401</v>
      </c>
      <c r="E9" s="1">
        <v>5101</v>
      </c>
      <c r="F9" s="2">
        <v>0.31101762087677598</v>
      </c>
      <c r="G9" s="1">
        <v>197</v>
      </c>
      <c r="H9" s="2">
        <v>3.8619878455204898E-2</v>
      </c>
      <c r="I9" s="2">
        <v>1.20114627156881E-2</v>
      </c>
    </row>
    <row r="10" spans="1:9" x14ac:dyDescent="0.25">
      <c r="A10" s="26">
        <v>45147</v>
      </c>
      <c r="B10" t="s">
        <v>66</v>
      </c>
      <c r="C10" t="s">
        <v>67</v>
      </c>
      <c r="D10" s="1">
        <v>43629</v>
      </c>
      <c r="E10" s="1">
        <v>17721</v>
      </c>
      <c r="F10" s="3">
        <v>0.40620000000000001</v>
      </c>
      <c r="G10">
        <v>300</v>
      </c>
      <c r="H10" s="3">
        <v>1.6899999999999998E-2</v>
      </c>
      <c r="I10" s="3">
        <v>6.8999999999999999E-3</v>
      </c>
    </row>
    <row r="11" spans="1:9" x14ac:dyDescent="0.25">
      <c r="A11" s="26">
        <v>45147</v>
      </c>
      <c r="B11" t="s">
        <v>66</v>
      </c>
      <c r="C11" t="s">
        <v>68</v>
      </c>
      <c r="D11" s="1">
        <v>14589</v>
      </c>
      <c r="E11" s="1">
        <v>5071</v>
      </c>
      <c r="F11" s="3">
        <v>0.34760000000000002</v>
      </c>
      <c r="G11">
        <v>55</v>
      </c>
      <c r="H11" s="3">
        <v>1.0800000000000001E-2</v>
      </c>
      <c r="I11" s="3">
        <v>3.8E-3</v>
      </c>
    </row>
    <row r="12" spans="1:9" x14ac:dyDescent="0.25">
      <c r="A12" s="26">
        <v>45147</v>
      </c>
      <c r="B12" t="s">
        <v>66</v>
      </c>
      <c r="C12" t="s">
        <v>69</v>
      </c>
      <c r="D12" s="1">
        <v>14433</v>
      </c>
      <c r="E12" s="1">
        <v>5280</v>
      </c>
      <c r="F12" s="3">
        <v>0.36580000000000001</v>
      </c>
      <c r="G12">
        <v>88</v>
      </c>
      <c r="H12" s="3">
        <v>1.67E-2</v>
      </c>
      <c r="I12" s="3">
        <v>6.1000000000000004E-3</v>
      </c>
    </row>
    <row r="13" spans="1:9" x14ac:dyDescent="0.25">
      <c r="A13" s="26">
        <v>45147</v>
      </c>
      <c r="B13" t="s">
        <v>66</v>
      </c>
      <c r="C13" t="s">
        <v>70</v>
      </c>
      <c r="D13" s="1">
        <v>14056</v>
      </c>
      <c r="E13" s="1">
        <v>5078</v>
      </c>
      <c r="F13" s="3">
        <v>0.36130000000000001</v>
      </c>
      <c r="G13">
        <v>116</v>
      </c>
      <c r="H13" s="3">
        <v>2.2800000000000001E-2</v>
      </c>
      <c r="I13" s="3">
        <v>8.3000000000000001E-3</v>
      </c>
    </row>
    <row r="14" spans="1:9" x14ac:dyDescent="0.25">
      <c r="A14" s="26">
        <v>45147</v>
      </c>
      <c r="B14" t="s">
        <v>66</v>
      </c>
      <c r="C14" t="s">
        <v>71</v>
      </c>
      <c r="D14" s="1">
        <v>1355</v>
      </c>
      <c r="E14">
        <v>363</v>
      </c>
      <c r="F14" s="3">
        <v>0.26790000000000003</v>
      </c>
      <c r="G14">
        <v>10</v>
      </c>
      <c r="H14" s="3">
        <v>2.75E-2</v>
      </c>
      <c r="I14" s="3">
        <v>7.4000000000000003E-3</v>
      </c>
    </row>
    <row r="15" spans="1:9" x14ac:dyDescent="0.25">
      <c r="A15" s="26">
        <v>45147</v>
      </c>
      <c r="B15" t="s">
        <v>66</v>
      </c>
      <c r="C15" t="s">
        <v>72</v>
      </c>
      <c r="D15">
        <v>507</v>
      </c>
      <c r="E15">
        <v>140</v>
      </c>
      <c r="F15" s="3">
        <v>0.27610000000000001</v>
      </c>
      <c r="G15">
        <v>3</v>
      </c>
      <c r="H15" s="3">
        <v>2.1399999999999999E-2</v>
      </c>
      <c r="I15" s="3">
        <v>5.8999999999999999E-3</v>
      </c>
    </row>
    <row r="16" spans="1:9" x14ac:dyDescent="0.25">
      <c r="A16" s="26">
        <v>45147</v>
      </c>
      <c r="B16" t="s">
        <v>66</v>
      </c>
      <c r="C16" t="s">
        <v>73</v>
      </c>
      <c r="D16">
        <v>460</v>
      </c>
      <c r="E16">
        <v>116</v>
      </c>
      <c r="F16" s="3">
        <v>0.25219999999999998</v>
      </c>
      <c r="G16">
        <v>2</v>
      </c>
      <c r="H16" s="3">
        <v>1.72E-2</v>
      </c>
      <c r="I16" s="3">
        <v>4.3E-3</v>
      </c>
    </row>
    <row r="17" spans="1:9" x14ac:dyDescent="0.25">
      <c r="A17" s="26">
        <v>45147</v>
      </c>
      <c r="B17" t="s">
        <v>66</v>
      </c>
      <c r="C17" t="s">
        <v>74</v>
      </c>
      <c r="D17">
        <v>466</v>
      </c>
      <c r="E17">
        <v>133</v>
      </c>
      <c r="F17" s="3">
        <v>0.28539999999999999</v>
      </c>
      <c r="G17">
        <v>5</v>
      </c>
      <c r="H17" s="3">
        <v>3.7600000000000001E-2</v>
      </c>
      <c r="I17" s="3">
        <v>1.0699999999999999E-2</v>
      </c>
    </row>
    <row r="18" spans="1:9" x14ac:dyDescent="0.25">
      <c r="A18" s="26">
        <v>45148</v>
      </c>
      <c r="B18" t="s">
        <v>60</v>
      </c>
      <c r="C18" t="s">
        <v>793</v>
      </c>
      <c r="D18" s="1">
        <v>207908</v>
      </c>
      <c r="E18" s="1">
        <v>63149</v>
      </c>
      <c r="F18" s="3">
        <v>0.30420000000000003</v>
      </c>
      <c r="G18">
        <v>561</v>
      </c>
      <c r="H18" s="3">
        <v>8.8999999999999999E-3</v>
      </c>
      <c r="I18" s="3">
        <v>2.7000000000000001E-3</v>
      </c>
    </row>
    <row r="19" spans="1:9" x14ac:dyDescent="0.25">
      <c r="A19" s="26">
        <v>45148</v>
      </c>
      <c r="B19" t="s">
        <v>61</v>
      </c>
      <c r="C19" t="s">
        <v>794</v>
      </c>
      <c r="D19" s="1">
        <v>19477</v>
      </c>
      <c r="E19" s="1">
        <v>4396</v>
      </c>
      <c r="F19" s="3">
        <v>0.22570000000000001</v>
      </c>
      <c r="G19">
        <v>60</v>
      </c>
      <c r="H19" s="3">
        <v>1.3599999999999999E-2</v>
      </c>
      <c r="I19" s="3">
        <v>3.0999999999999999E-3</v>
      </c>
    </row>
    <row r="20" spans="1:9" x14ac:dyDescent="0.25">
      <c r="A20" s="26">
        <v>45148</v>
      </c>
      <c r="B20" t="s">
        <v>75</v>
      </c>
      <c r="C20" t="s">
        <v>793</v>
      </c>
      <c r="D20" s="1">
        <v>317042</v>
      </c>
      <c r="E20" s="1">
        <v>109187</v>
      </c>
      <c r="F20" s="3">
        <v>0.34439999999999998</v>
      </c>
      <c r="G20">
        <v>787</v>
      </c>
      <c r="H20" s="3">
        <v>7.1999999999999998E-3</v>
      </c>
      <c r="I20" s="3">
        <v>2.5000000000000001E-3</v>
      </c>
    </row>
    <row r="21" spans="1:9" x14ac:dyDescent="0.25">
      <c r="A21" s="26">
        <v>45148</v>
      </c>
      <c r="B21" t="s">
        <v>76</v>
      </c>
      <c r="C21" t="s">
        <v>794</v>
      </c>
      <c r="D21" s="1">
        <v>18533</v>
      </c>
      <c r="E21" s="1">
        <v>4705</v>
      </c>
      <c r="F21" s="3">
        <v>0.25390000000000001</v>
      </c>
      <c r="G21">
        <v>101</v>
      </c>
      <c r="H21" s="3">
        <v>2.1499999999999998E-2</v>
      </c>
      <c r="I21" s="3">
        <v>5.4000000000000003E-3</v>
      </c>
    </row>
    <row r="22" spans="1:9" x14ac:dyDescent="0.25">
      <c r="A22" s="26">
        <v>45148</v>
      </c>
      <c r="B22" t="s">
        <v>48</v>
      </c>
      <c r="C22" t="s">
        <v>793</v>
      </c>
      <c r="D22" s="1">
        <v>144600</v>
      </c>
      <c r="E22" s="1">
        <v>45971</v>
      </c>
      <c r="F22" s="3">
        <v>0.31850000000000001</v>
      </c>
      <c r="G22">
        <v>853</v>
      </c>
      <c r="H22" s="3">
        <v>1.8599999999999998E-2</v>
      </c>
      <c r="I22" s="3">
        <v>5.8999999999999999E-3</v>
      </c>
    </row>
    <row r="23" spans="1:9" x14ac:dyDescent="0.25">
      <c r="A23" s="26">
        <v>45148</v>
      </c>
      <c r="B23" t="s">
        <v>49</v>
      </c>
      <c r="C23" t="s">
        <v>794</v>
      </c>
      <c r="D23" s="1">
        <v>11873</v>
      </c>
      <c r="E23" s="1">
        <v>3469</v>
      </c>
      <c r="F23" s="3">
        <v>0.29260000000000003</v>
      </c>
      <c r="G23" s="1">
        <v>88</v>
      </c>
      <c r="H23" s="3">
        <v>2.5399999999999999E-2</v>
      </c>
      <c r="I23" s="3">
        <v>7.4000000000000003E-3</v>
      </c>
    </row>
    <row r="24" spans="1:9" x14ac:dyDescent="0.25">
      <c r="A24" s="26">
        <v>45148</v>
      </c>
      <c r="B24" t="s">
        <v>50</v>
      </c>
      <c r="C24" t="s">
        <v>793</v>
      </c>
      <c r="D24" s="1">
        <v>277148</v>
      </c>
      <c r="E24" s="1">
        <v>94344</v>
      </c>
      <c r="F24" s="3">
        <v>0.34039999999999998</v>
      </c>
      <c r="G24" s="1">
        <v>1383</v>
      </c>
      <c r="H24" s="3">
        <v>1.47E-2</v>
      </c>
      <c r="I24" s="3">
        <v>5.0000000000000001E-3</v>
      </c>
    </row>
    <row r="25" spans="1:9" x14ac:dyDescent="0.25">
      <c r="A25" s="26">
        <v>45148</v>
      </c>
      <c r="B25" t="s">
        <v>51</v>
      </c>
      <c r="C25" t="s">
        <v>794</v>
      </c>
      <c r="D25" s="1">
        <v>11307</v>
      </c>
      <c r="E25" s="1">
        <v>3204</v>
      </c>
      <c r="F25" s="3">
        <v>0.28339999999999999</v>
      </c>
      <c r="G25">
        <v>52</v>
      </c>
      <c r="H25" s="3">
        <v>1.6199999999999999E-2</v>
      </c>
      <c r="I25" s="3">
        <v>4.5999999999999999E-3</v>
      </c>
    </row>
    <row r="26" spans="1:9" x14ac:dyDescent="0.25">
      <c r="A26" s="26">
        <v>45148</v>
      </c>
      <c r="B26" t="s">
        <v>77</v>
      </c>
      <c r="C26" t="s">
        <v>797</v>
      </c>
      <c r="D26" s="1">
        <v>378732</v>
      </c>
      <c r="E26" s="1">
        <v>111347</v>
      </c>
      <c r="F26" s="3">
        <v>0.32490000000000002</v>
      </c>
      <c r="G26" s="1">
        <v>965</v>
      </c>
      <c r="H26" s="3">
        <v>6.4000000000000003E-3</v>
      </c>
      <c r="I26" s="3">
        <v>2E-3</v>
      </c>
    </row>
    <row r="27" spans="1:9" x14ac:dyDescent="0.25">
      <c r="A27" s="26">
        <v>45148</v>
      </c>
      <c r="B27" t="s">
        <v>77</v>
      </c>
      <c r="C27" t="s">
        <v>798</v>
      </c>
      <c r="D27" s="1">
        <v>460438</v>
      </c>
      <c r="E27" s="1">
        <v>161806</v>
      </c>
      <c r="F27" s="3">
        <v>0.35139999999999999</v>
      </c>
      <c r="G27" s="1">
        <v>1356</v>
      </c>
      <c r="H27" s="3">
        <v>8.3999999999999995E-3</v>
      </c>
      <c r="I27" s="3">
        <v>2.8999999999999998E-3</v>
      </c>
    </row>
    <row r="28" spans="1:9" x14ac:dyDescent="0.25">
      <c r="A28" s="26">
        <v>45148</v>
      </c>
      <c r="B28" t="s">
        <v>78</v>
      </c>
      <c r="C28" t="s">
        <v>799</v>
      </c>
      <c r="D28" s="1">
        <v>22953</v>
      </c>
      <c r="E28" s="1">
        <v>4772</v>
      </c>
      <c r="F28" s="3">
        <v>0.23350000000000001</v>
      </c>
      <c r="G28">
        <v>72</v>
      </c>
      <c r="H28" s="3">
        <v>1.83E-2</v>
      </c>
      <c r="I28" s="3">
        <v>4.4000000000000003E-3</v>
      </c>
    </row>
    <row r="29" spans="1:9" x14ac:dyDescent="0.25">
      <c r="A29" s="26">
        <v>45148</v>
      </c>
      <c r="B29" t="s">
        <v>78</v>
      </c>
      <c r="C29" t="s">
        <v>800</v>
      </c>
      <c r="D29" s="1">
        <v>23556</v>
      </c>
      <c r="E29" s="1">
        <v>5164</v>
      </c>
      <c r="F29" s="3">
        <v>0.21970000000000001</v>
      </c>
      <c r="G29">
        <v>66</v>
      </c>
      <c r="H29" s="3">
        <v>1.2800000000000001E-2</v>
      </c>
      <c r="I29" s="3">
        <v>2.8E-3</v>
      </c>
    </row>
    <row r="30" spans="1:9" x14ac:dyDescent="0.25">
      <c r="A30" s="27" t="s">
        <v>427</v>
      </c>
      <c r="D30" s="14">
        <f>SUM(D2:D29)</f>
        <v>5978594</v>
      </c>
      <c r="E30" s="14">
        <f>SUM(E2:E29)</f>
        <v>2026653</v>
      </c>
      <c r="F30" s="15">
        <f>SUM(E30/D30)</f>
        <v>0.33898488507498586</v>
      </c>
      <c r="G30" s="14">
        <f>SUM(G2:G29)</f>
        <v>28586</v>
      </c>
      <c r="H30" s="15">
        <f>SUM(G30/E30)</f>
        <v>1.4105029326678025E-2</v>
      </c>
      <c r="I30" s="15">
        <f>SUM(G30/D30)</f>
        <v>4.7813917452832555E-3</v>
      </c>
    </row>
    <row r="31" spans="1:9" ht="15.75" thickBot="1" x14ac:dyDescent="0.3">
      <c r="A31" s="135"/>
      <c r="B31" s="135"/>
      <c r="C31" s="135"/>
      <c r="D31" s="135"/>
      <c r="E31" s="135"/>
      <c r="F31" s="135"/>
      <c r="G31" s="135"/>
      <c r="H31" s="135"/>
      <c r="I31" s="135"/>
    </row>
    <row r="32" spans="1:9" ht="20.45" customHeight="1" x14ac:dyDescent="0.25">
      <c r="A32" s="5" t="s">
        <v>0</v>
      </c>
      <c r="B32" s="6" t="s">
        <v>1</v>
      </c>
      <c r="C32" s="6" t="s">
        <v>796</v>
      </c>
      <c r="D32" s="6" t="s">
        <v>3</v>
      </c>
      <c r="E32" s="6" t="s">
        <v>4</v>
      </c>
      <c r="F32" s="6" t="s">
        <v>5</v>
      </c>
      <c r="G32" s="6" t="s">
        <v>6</v>
      </c>
      <c r="H32" s="6" t="s">
        <v>7</v>
      </c>
      <c r="I32" s="7" t="s">
        <v>8</v>
      </c>
    </row>
    <row r="33" spans="1:9" x14ac:dyDescent="0.25">
      <c r="A33" s="8" t="s">
        <v>790</v>
      </c>
      <c r="B33" s="9"/>
      <c r="C33" s="9"/>
      <c r="D33" s="9"/>
      <c r="E33" s="9"/>
      <c r="F33" s="9"/>
      <c r="G33" s="9"/>
      <c r="H33" s="9"/>
      <c r="I33" s="10"/>
    </row>
    <row r="34" spans="1:9" x14ac:dyDescent="0.25">
      <c r="A34" s="11">
        <v>45142</v>
      </c>
      <c r="B34" t="s">
        <v>62</v>
      </c>
      <c r="C34" t="s">
        <v>793</v>
      </c>
      <c r="D34" s="1">
        <v>3150759</v>
      </c>
      <c r="E34" s="1">
        <v>1108258</v>
      </c>
      <c r="F34" s="2">
        <v>0.35175166781297901</v>
      </c>
      <c r="G34" s="1">
        <v>15326</v>
      </c>
      <c r="H34" s="2">
        <v>1.38289098747765E-2</v>
      </c>
      <c r="I34" s="12">
        <v>4.8643421124879901E-3</v>
      </c>
    </row>
    <row r="35" spans="1:9" x14ac:dyDescent="0.25">
      <c r="A35" s="11">
        <v>45142</v>
      </c>
      <c r="B35" t="s">
        <v>62</v>
      </c>
      <c r="C35" t="s">
        <v>794</v>
      </c>
      <c r="D35" s="1">
        <v>216571</v>
      </c>
      <c r="E35" s="1">
        <v>59761</v>
      </c>
      <c r="F35" s="2">
        <v>0.27594183893503699</v>
      </c>
      <c r="G35" s="1">
        <v>1253</v>
      </c>
      <c r="H35" s="2">
        <v>2.09668512909757E-2</v>
      </c>
      <c r="I35" s="12">
        <v>5.7856315019093E-3</v>
      </c>
    </row>
    <row r="36" spans="1:9" x14ac:dyDescent="0.25">
      <c r="A36" s="11">
        <v>45142</v>
      </c>
      <c r="B36" t="s">
        <v>63</v>
      </c>
      <c r="C36" t="s">
        <v>793</v>
      </c>
      <c r="D36" s="1">
        <v>331115</v>
      </c>
      <c r="E36" s="1">
        <v>103584</v>
      </c>
      <c r="F36" s="2">
        <v>0.31283957850737998</v>
      </c>
      <c r="G36" s="1">
        <v>1697</v>
      </c>
      <c r="H36" s="2">
        <v>1.6382839048501699E-2</v>
      </c>
      <c r="I36" s="12">
        <v>5.1252004626875097E-3</v>
      </c>
    </row>
    <row r="37" spans="1:9" x14ac:dyDescent="0.25">
      <c r="A37" s="11">
        <v>45142</v>
      </c>
      <c r="B37" t="s">
        <v>63</v>
      </c>
      <c r="C37" t="s">
        <v>794</v>
      </c>
      <c r="D37" s="1">
        <v>18080</v>
      </c>
      <c r="E37" s="1">
        <v>4921</v>
      </c>
      <c r="F37" s="2">
        <v>0.272179203539823</v>
      </c>
      <c r="G37" s="1">
        <v>199</v>
      </c>
      <c r="H37" s="2">
        <v>4.0438935175777298E-2</v>
      </c>
      <c r="I37" s="12">
        <v>1.1006637168141599E-2</v>
      </c>
    </row>
    <row r="38" spans="1:9" x14ac:dyDescent="0.25">
      <c r="A38" s="11">
        <v>45146</v>
      </c>
      <c r="B38" t="s">
        <v>65</v>
      </c>
      <c r="C38" t="s">
        <v>793</v>
      </c>
      <c r="D38" s="1">
        <v>216703</v>
      </c>
      <c r="E38" s="1">
        <v>80764</v>
      </c>
      <c r="F38" s="2">
        <v>0.37319902037798602</v>
      </c>
      <c r="G38" s="1">
        <v>1735</v>
      </c>
      <c r="H38" s="2">
        <v>2.1482343618443901E-2</v>
      </c>
      <c r="I38" s="12">
        <v>8.0171895938265306E-3</v>
      </c>
    </row>
    <row r="39" spans="1:9" x14ac:dyDescent="0.25">
      <c r="A39" s="11">
        <v>45146</v>
      </c>
      <c r="B39" t="s">
        <v>65</v>
      </c>
      <c r="C39" t="s">
        <v>794</v>
      </c>
      <c r="D39" s="1">
        <v>16401</v>
      </c>
      <c r="E39" s="1">
        <v>5101</v>
      </c>
      <c r="F39" s="2">
        <v>0.31101762087677598</v>
      </c>
      <c r="G39" s="1">
        <v>197</v>
      </c>
      <c r="H39" s="2">
        <v>3.8619878455204898E-2</v>
      </c>
      <c r="I39" s="12">
        <v>1.20114627156881E-2</v>
      </c>
    </row>
    <row r="40" spans="1:9" ht="15.75" thickBot="1" x14ac:dyDescent="0.3">
      <c r="A40" s="17" t="s">
        <v>427</v>
      </c>
      <c r="B40" s="4"/>
      <c r="C40" s="4"/>
      <c r="D40" s="18">
        <f>SUM(D34:D39)</f>
        <v>3949629</v>
      </c>
      <c r="E40" s="18">
        <f>SUM(E34:E39)</f>
        <v>1362389</v>
      </c>
      <c r="F40" s="19">
        <f>SUM(E40/D40)</f>
        <v>0.34494100585143567</v>
      </c>
      <c r="G40" s="18">
        <f>SUM(G34:G39)</f>
        <v>20407</v>
      </c>
      <c r="H40" s="19">
        <f>SUM(G40/E40)</f>
        <v>1.4978834972977615E-2</v>
      </c>
      <c r="I40" s="21">
        <f>SUM(G40/D40)</f>
        <v>5.1668144020615607E-3</v>
      </c>
    </row>
    <row r="41" spans="1:9" ht="3" customHeight="1" thickBot="1" x14ac:dyDescent="0.3">
      <c r="A41" s="138"/>
      <c r="B41" s="136"/>
      <c r="C41" s="136"/>
      <c r="D41" s="136"/>
      <c r="E41" s="136"/>
      <c r="F41" s="136"/>
      <c r="G41" s="136"/>
      <c r="H41" s="136"/>
      <c r="I41" s="139"/>
    </row>
    <row r="42" spans="1:9" x14ac:dyDescent="0.25">
      <c r="A42" s="22" t="s">
        <v>795</v>
      </c>
      <c r="B42" s="23"/>
      <c r="C42" s="23"/>
      <c r="D42" s="23"/>
      <c r="E42" s="23"/>
      <c r="F42" s="23"/>
      <c r="G42" s="23"/>
      <c r="H42" s="23"/>
      <c r="I42" s="24"/>
    </row>
    <row r="43" spans="1:9" x14ac:dyDescent="0.25">
      <c r="A43" s="11">
        <v>45143</v>
      </c>
      <c r="B43" t="s">
        <v>64</v>
      </c>
      <c r="C43" t="s">
        <v>793</v>
      </c>
      <c r="D43" s="1">
        <v>42048</v>
      </c>
      <c r="E43" s="1">
        <v>17259</v>
      </c>
      <c r="F43" s="2">
        <v>0.41048876204067097</v>
      </c>
      <c r="G43" s="1">
        <v>1118</v>
      </c>
      <c r="H43" s="2">
        <v>6.4777797091372602E-2</v>
      </c>
      <c r="I43" s="12">
        <v>2.6590557735759301E-2</v>
      </c>
    </row>
    <row r="44" spans="1:9" x14ac:dyDescent="0.25">
      <c r="A44" s="11">
        <v>45143</v>
      </c>
      <c r="B44" t="s">
        <v>64</v>
      </c>
      <c r="C44" t="s">
        <v>794</v>
      </c>
      <c r="D44" s="1">
        <v>3855</v>
      </c>
      <c r="E44" s="1">
        <v>1589</v>
      </c>
      <c r="F44" s="2">
        <v>0.41219195849545998</v>
      </c>
      <c r="G44" s="1">
        <v>138</v>
      </c>
      <c r="H44" s="2">
        <v>8.6847073631214605E-2</v>
      </c>
      <c r="I44" s="12">
        <v>3.5797665369649803E-2</v>
      </c>
    </row>
    <row r="45" spans="1:9" x14ac:dyDescent="0.25">
      <c r="A45" s="11">
        <v>45147</v>
      </c>
      <c r="B45" t="s">
        <v>66</v>
      </c>
      <c r="C45" t="s">
        <v>67</v>
      </c>
      <c r="D45" s="1">
        <v>43629</v>
      </c>
      <c r="E45" s="1">
        <v>17721</v>
      </c>
      <c r="F45" s="3">
        <v>0.40620000000000001</v>
      </c>
      <c r="G45">
        <v>300</v>
      </c>
      <c r="H45" s="3">
        <v>1.6899999999999998E-2</v>
      </c>
      <c r="I45" s="16">
        <v>6.8999999999999999E-3</v>
      </c>
    </row>
    <row r="46" spans="1:9" x14ac:dyDescent="0.25">
      <c r="A46" s="11">
        <v>45147</v>
      </c>
      <c r="B46" t="s">
        <v>66</v>
      </c>
      <c r="C46" t="s">
        <v>68</v>
      </c>
      <c r="D46" s="1">
        <v>14589</v>
      </c>
      <c r="E46" s="1">
        <v>5071</v>
      </c>
      <c r="F46" s="3">
        <v>0.34760000000000002</v>
      </c>
      <c r="G46">
        <v>55</v>
      </c>
      <c r="H46" s="3">
        <v>1.0800000000000001E-2</v>
      </c>
      <c r="I46" s="16">
        <v>3.8E-3</v>
      </c>
    </row>
    <row r="47" spans="1:9" x14ac:dyDescent="0.25">
      <c r="A47" s="11">
        <v>45147</v>
      </c>
      <c r="B47" t="s">
        <v>66</v>
      </c>
      <c r="C47" t="s">
        <v>69</v>
      </c>
      <c r="D47" s="1">
        <v>14433</v>
      </c>
      <c r="E47" s="1">
        <v>5280</v>
      </c>
      <c r="F47" s="3">
        <v>0.36580000000000001</v>
      </c>
      <c r="G47">
        <v>88</v>
      </c>
      <c r="H47" s="3">
        <v>1.67E-2</v>
      </c>
      <c r="I47" s="16">
        <v>6.1000000000000004E-3</v>
      </c>
    </row>
    <row r="48" spans="1:9" x14ac:dyDescent="0.25">
      <c r="A48" s="11">
        <v>45147</v>
      </c>
      <c r="B48" t="s">
        <v>66</v>
      </c>
      <c r="C48" t="s">
        <v>70</v>
      </c>
      <c r="D48" s="1">
        <v>14056</v>
      </c>
      <c r="E48" s="1">
        <v>5078</v>
      </c>
      <c r="F48" s="3">
        <v>0.36130000000000001</v>
      </c>
      <c r="G48">
        <v>116</v>
      </c>
      <c r="H48" s="3">
        <v>2.2800000000000001E-2</v>
      </c>
      <c r="I48" s="16">
        <v>8.3000000000000001E-3</v>
      </c>
    </row>
    <row r="49" spans="1:11" x14ac:dyDescent="0.25">
      <c r="A49" s="11">
        <v>45147</v>
      </c>
      <c r="B49" t="s">
        <v>66</v>
      </c>
      <c r="C49" t="s">
        <v>71</v>
      </c>
      <c r="D49" s="1">
        <v>1355</v>
      </c>
      <c r="E49">
        <v>363</v>
      </c>
      <c r="F49" s="3">
        <v>0.26790000000000003</v>
      </c>
      <c r="G49">
        <v>10</v>
      </c>
      <c r="H49" s="3">
        <v>2.75E-2</v>
      </c>
      <c r="I49" s="16">
        <v>7.4000000000000003E-3</v>
      </c>
    </row>
    <row r="50" spans="1:11" x14ac:dyDescent="0.25">
      <c r="A50" s="11">
        <v>45147</v>
      </c>
      <c r="B50" t="s">
        <v>66</v>
      </c>
      <c r="C50" t="s">
        <v>72</v>
      </c>
      <c r="D50">
        <v>507</v>
      </c>
      <c r="E50">
        <v>140</v>
      </c>
      <c r="F50" s="3">
        <v>0.27610000000000001</v>
      </c>
      <c r="G50">
        <v>3</v>
      </c>
      <c r="H50" s="3">
        <v>2.1399999999999999E-2</v>
      </c>
      <c r="I50" s="16">
        <v>5.8999999999999999E-3</v>
      </c>
    </row>
    <row r="51" spans="1:11" x14ac:dyDescent="0.25">
      <c r="A51" s="11">
        <v>45147</v>
      </c>
      <c r="B51" t="s">
        <v>66</v>
      </c>
      <c r="C51" t="s">
        <v>73</v>
      </c>
      <c r="D51">
        <v>460</v>
      </c>
      <c r="E51">
        <v>116</v>
      </c>
      <c r="F51" s="3">
        <v>0.25219999999999998</v>
      </c>
      <c r="G51">
        <v>2</v>
      </c>
      <c r="H51" s="3">
        <v>1.72E-2</v>
      </c>
      <c r="I51" s="16">
        <v>4.3E-3</v>
      </c>
    </row>
    <row r="52" spans="1:11" x14ac:dyDescent="0.25">
      <c r="A52" s="11">
        <v>45147</v>
      </c>
      <c r="B52" t="s">
        <v>66</v>
      </c>
      <c r="C52" t="s">
        <v>74</v>
      </c>
      <c r="D52">
        <v>466</v>
      </c>
      <c r="E52">
        <v>133</v>
      </c>
      <c r="F52" s="3">
        <v>0.28539999999999999</v>
      </c>
      <c r="G52">
        <v>5</v>
      </c>
      <c r="H52" s="3">
        <v>3.7600000000000001E-2</v>
      </c>
      <c r="I52" s="16">
        <v>1.0699999999999999E-2</v>
      </c>
    </row>
    <row r="53" spans="1:11" ht="15.75" thickBot="1" x14ac:dyDescent="0.3">
      <c r="A53" s="17" t="s">
        <v>427</v>
      </c>
      <c r="B53" s="4"/>
      <c r="C53" s="4"/>
      <c r="D53" s="18">
        <f>SUM(D43:D52)</f>
        <v>135398</v>
      </c>
      <c r="E53" s="18">
        <f>SUM(E43:E52)</f>
        <v>52750</v>
      </c>
      <c r="F53" s="19">
        <f>SUM(E53/D53)</f>
        <v>0.3895921653200195</v>
      </c>
      <c r="G53" s="18">
        <f>SUM(G43:G52)</f>
        <v>1835</v>
      </c>
      <c r="H53" s="19">
        <f>SUM(G53/E53)</f>
        <v>3.4786729857819908E-2</v>
      </c>
      <c r="I53" s="21">
        <f>SUM(G53/D53)</f>
        <v>1.3552637409710631E-2</v>
      </c>
    </row>
    <row r="54" spans="1:11" ht="3" customHeight="1" thickBot="1" x14ac:dyDescent="0.3">
      <c r="A54" s="137"/>
      <c r="B54" s="137"/>
      <c r="C54" s="137"/>
      <c r="D54" s="137"/>
      <c r="E54" s="137"/>
      <c r="F54" s="137"/>
      <c r="G54" s="137"/>
      <c r="H54" s="137"/>
      <c r="I54" s="137"/>
    </row>
    <row r="55" spans="1:11" x14ac:dyDescent="0.25">
      <c r="A55" s="22" t="s">
        <v>792</v>
      </c>
      <c r="B55" s="23"/>
      <c r="C55" s="23"/>
      <c r="D55" s="23"/>
      <c r="E55" s="23"/>
      <c r="F55" s="23"/>
      <c r="G55" s="23"/>
      <c r="H55" s="23"/>
      <c r="I55" s="24"/>
    </row>
    <row r="56" spans="1:11" x14ac:dyDescent="0.25">
      <c r="A56" s="11">
        <v>45148</v>
      </c>
      <c r="B56" t="s">
        <v>60</v>
      </c>
      <c r="C56" t="s">
        <v>793</v>
      </c>
      <c r="D56" s="1">
        <v>207908</v>
      </c>
      <c r="E56" s="1">
        <v>63149</v>
      </c>
      <c r="F56" s="3">
        <v>0.30420000000000003</v>
      </c>
      <c r="G56">
        <v>561</v>
      </c>
      <c r="H56" s="3">
        <v>8.8999999999999999E-3</v>
      </c>
      <c r="I56" s="16">
        <v>2.7000000000000001E-3</v>
      </c>
    </row>
    <row r="57" spans="1:11" x14ac:dyDescent="0.25">
      <c r="A57" s="11">
        <v>45148</v>
      </c>
      <c r="B57" t="s">
        <v>61</v>
      </c>
      <c r="C57" t="s">
        <v>794</v>
      </c>
      <c r="D57" s="1">
        <v>19477</v>
      </c>
      <c r="E57" s="1">
        <v>4396</v>
      </c>
      <c r="F57" s="3">
        <v>0.22570000000000001</v>
      </c>
      <c r="G57">
        <v>60</v>
      </c>
      <c r="H57" s="3">
        <v>1.3599999999999999E-2</v>
      </c>
      <c r="I57" s="16">
        <v>3.0999999999999999E-3</v>
      </c>
    </row>
    <row r="58" spans="1:11" x14ac:dyDescent="0.25">
      <c r="A58" s="11">
        <v>45148</v>
      </c>
      <c r="B58" t="s">
        <v>75</v>
      </c>
      <c r="C58" t="s">
        <v>793</v>
      </c>
      <c r="D58" s="1">
        <v>317042</v>
      </c>
      <c r="E58" s="1">
        <v>109187</v>
      </c>
      <c r="F58" s="3">
        <v>0.34439999999999998</v>
      </c>
      <c r="G58">
        <v>787</v>
      </c>
      <c r="H58" s="3">
        <v>7.1999999999999998E-3</v>
      </c>
      <c r="I58" s="16">
        <v>2.5000000000000001E-3</v>
      </c>
    </row>
    <row r="59" spans="1:11" x14ac:dyDescent="0.25">
      <c r="A59" s="11">
        <v>45148</v>
      </c>
      <c r="B59" t="s">
        <v>76</v>
      </c>
      <c r="C59" t="s">
        <v>794</v>
      </c>
      <c r="D59" s="1">
        <v>18533</v>
      </c>
      <c r="E59" s="1">
        <v>4705</v>
      </c>
      <c r="F59" s="3">
        <v>0.25390000000000001</v>
      </c>
      <c r="G59">
        <v>101</v>
      </c>
      <c r="H59" s="3">
        <v>2.1499999999999998E-2</v>
      </c>
      <c r="I59" s="16">
        <v>5.4000000000000003E-3</v>
      </c>
    </row>
    <row r="60" spans="1:11" x14ac:dyDescent="0.25">
      <c r="A60" s="11">
        <v>45148</v>
      </c>
      <c r="B60" t="s">
        <v>48</v>
      </c>
      <c r="C60" t="s">
        <v>793</v>
      </c>
      <c r="D60" s="1">
        <v>144600</v>
      </c>
      <c r="E60" s="1">
        <v>45971</v>
      </c>
      <c r="F60" s="3">
        <v>0.31850000000000001</v>
      </c>
      <c r="G60">
        <v>853</v>
      </c>
      <c r="H60" s="3">
        <v>1.8599999999999998E-2</v>
      </c>
      <c r="I60" s="16">
        <v>5.8999999999999999E-3</v>
      </c>
    </row>
    <row r="61" spans="1:11" x14ac:dyDescent="0.25">
      <c r="A61" s="11">
        <v>45148</v>
      </c>
      <c r="B61" t="s">
        <v>49</v>
      </c>
      <c r="C61" t="s">
        <v>794</v>
      </c>
      <c r="D61" s="1">
        <v>11873</v>
      </c>
      <c r="E61" s="1">
        <v>3469</v>
      </c>
      <c r="F61" s="3">
        <v>0.29260000000000003</v>
      </c>
      <c r="G61" s="1">
        <v>88</v>
      </c>
      <c r="H61" s="3">
        <v>2.5399999999999999E-2</v>
      </c>
      <c r="I61" s="16">
        <v>7.4000000000000003E-3</v>
      </c>
    </row>
    <row r="62" spans="1:11" x14ac:dyDescent="0.25">
      <c r="A62" s="11">
        <v>45148</v>
      </c>
      <c r="B62" t="s">
        <v>50</v>
      </c>
      <c r="C62" t="s">
        <v>793</v>
      </c>
      <c r="D62" s="1">
        <v>277148</v>
      </c>
      <c r="E62" s="1">
        <v>94344</v>
      </c>
      <c r="F62" s="3">
        <v>0.34039999999999998</v>
      </c>
      <c r="G62" s="1">
        <v>1383</v>
      </c>
      <c r="H62" s="3">
        <v>1.47E-2</v>
      </c>
      <c r="I62" s="16">
        <v>5.0000000000000001E-3</v>
      </c>
    </row>
    <row r="63" spans="1:11" x14ac:dyDescent="0.25">
      <c r="A63" s="11">
        <v>45148</v>
      </c>
      <c r="B63" t="s">
        <v>51</v>
      </c>
      <c r="C63" t="s">
        <v>794</v>
      </c>
      <c r="D63" s="1">
        <v>11307</v>
      </c>
      <c r="E63" s="1">
        <v>3204</v>
      </c>
      <c r="F63" s="3">
        <v>0.28339999999999999</v>
      </c>
      <c r="G63">
        <v>52</v>
      </c>
      <c r="H63" s="3">
        <v>1.6199999999999999E-2</v>
      </c>
      <c r="I63" s="16">
        <v>4.5999999999999999E-3</v>
      </c>
    </row>
    <row r="64" spans="1:11" x14ac:dyDescent="0.25">
      <c r="A64" s="11">
        <v>45148</v>
      </c>
      <c r="B64" t="s">
        <v>77</v>
      </c>
      <c r="C64" t="s">
        <v>797</v>
      </c>
      <c r="D64" s="1">
        <v>378732</v>
      </c>
      <c r="E64" s="1">
        <v>111347</v>
      </c>
      <c r="F64" s="3">
        <v>0.32490000000000002</v>
      </c>
      <c r="G64" s="1">
        <v>965</v>
      </c>
      <c r="H64" s="3">
        <v>6.4000000000000003E-3</v>
      </c>
      <c r="I64" s="16">
        <v>2E-3</v>
      </c>
      <c r="K64" s="1"/>
    </row>
    <row r="65" spans="1:9" x14ac:dyDescent="0.25">
      <c r="A65" s="11">
        <v>45148</v>
      </c>
      <c r="B65" t="s">
        <v>77</v>
      </c>
      <c r="C65" t="s">
        <v>798</v>
      </c>
      <c r="D65" s="1">
        <v>460438</v>
      </c>
      <c r="E65" s="1">
        <v>161806</v>
      </c>
      <c r="F65" s="3">
        <v>0.35139999999999999</v>
      </c>
      <c r="G65" s="1">
        <v>1356</v>
      </c>
      <c r="H65" s="3">
        <v>8.3999999999999995E-3</v>
      </c>
      <c r="I65" s="16">
        <v>2.8999999999999998E-3</v>
      </c>
    </row>
    <row r="66" spans="1:9" x14ac:dyDescent="0.25">
      <c r="A66" s="11">
        <v>45148</v>
      </c>
      <c r="B66" t="s">
        <v>78</v>
      </c>
      <c r="C66" t="s">
        <v>799</v>
      </c>
      <c r="D66" s="1">
        <v>22953</v>
      </c>
      <c r="E66" s="1">
        <v>4772</v>
      </c>
      <c r="F66" s="3">
        <v>0.23350000000000001</v>
      </c>
      <c r="G66">
        <v>72</v>
      </c>
      <c r="H66" s="3">
        <v>1.83E-2</v>
      </c>
      <c r="I66" s="16">
        <v>4.4000000000000003E-3</v>
      </c>
    </row>
    <row r="67" spans="1:9" x14ac:dyDescent="0.25">
      <c r="A67" s="11">
        <v>45148</v>
      </c>
      <c r="B67" t="s">
        <v>78</v>
      </c>
      <c r="C67" t="s">
        <v>800</v>
      </c>
      <c r="D67" s="1">
        <v>23556</v>
      </c>
      <c r="E67" s="1">
        <v>5164</v>
      </c>
      <c r="F67" s="3">
        <v>0.21970000000000001</v>
      </c>
      <c r="G67">
        <v>66</v>
      </c>
      <c r="H67" s="3">
        <v>1.2800000000000001E-2</v>
      </c>
      <c r="I67" s="16">
        <v>2.8E-3</v>
      </c>
    </row>
    <row r="68" spans="1:9" ht="15.75" thickBot="1" x14ac:dyDescent="0.3">
      <c r="A68" s="17" t="s">
        <v>427</v>
      </c>
      <c r="B68" s="4"/>
      <c r="C68" s="4"/>
      <c r="D68" s="18">
        <f>SUM(D56:D67)</f>
        <v>1893567</v>
      </c>
      <c r="E68" s="18">
        <f>SUM(E56:E67)</f>
        <v>611514</v>
      </c>
      <c r="F68" s="19">
        <f>SUM(E68/D68)</f>
        <v>0.32294289032286683</v>
      </c>
      <c r="G68" s="18">
        <f>SUM(G55:G67)</f>
        <v>6344</v>
      </c>
      <c r="H68" s="19">
        <f>SUM(G68/E68)</f>
        <v>1.0374251448045343E-2</v>
      </c>
      <c r="I68" s="21">
        <f>SUM(G68/D68)</f>
        <v>3.3502907475679499E-3</v>
      </c>
    </row>
  </sheetData>
  <mergeCells count="3">
    <mergeCell ref="A31:I31"/>
    <mergeCell ref="A41:I41"/>
    <mergeCell ref="A54:I54"/>
  </mergeCells>
  <phoneticPr fontId="4" type="noConversion"/>
  <pageMargins left="0.7" right="0.7" top="0.75" bottom="0.75" header="0.3" footer="0.3"/>
  <pageSetup orientation="portrait" r:id="rId1"/>
  <ignoredErrors>
    <ignoredError sqref="F30 F40 F53" formula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3F34-5D54-4B39-BB89-1A75C50A67DC}">
  <dimension ref="A1:I44"/>
  <sheetViews>
    <sheetView topLeftCell="A2" zoomScale="80" zoomScaleNormal="80" workbookViewId="0">
      <selection activeCell="Q158" sqref="Q158"/>
    </sheetView>
  </sheetViews>
  <sheetFormatPr defaultRowHeight="15" x14ac:dyDescent="0.25"/>
  <cols>
    <col min="1" max="1" width="11.85546875" customWidth="1"/>
    <col min="2" max="2" width="69.42578125" customWidth="1"/>
    <col min="3" max="3" width="27.85546875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bestFit="1" customWidth="1"/>
  </cols>
  <sheetData>
    <row r="1" spans="1:9" ht="20.45" customHeight="1" x14ac:dyDescent="0.25">
      <c r="A1" s="5" t="s">
        <v>0</v>
      </c>
      <c r="B1" s="6" t="s">
        <v>1</v>
      </c>
      <c r="C1" s="6" t="s">
        <v>796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45149</v>
      </c>
      <c r="B2" t="s">
        <v>79</v>
      </c>
      <c r="C2" t="s">
        <v>793</v>
      </c>
      <c r="D2" s="1">
        <v>3521855</v>
      </c>
      <c r="E2" s="1">
        <v>1262474</v>
      </c>
      <c r="F2" s="3">
        <v>0.35849999999999999</v>
      </c>
      <c r="G2" s="1">
        <v>20976</v>
      </c>
      <c r="H2" s="3">
        <v>1.66E-2</v>
      </c>
      <c r="I2" s="3">
        <v>6.0000000000000001E-3</v>
      </c>
    </row>
    <row r="3" spans="1:9" x14ac:dyDescent="0.25">
      <c r="A3" s="26">
        <v>45149</v>
      </c>
      <c r="B3" t="s">
        <v>79</v>
      </c>
      <c r="C3" t="s">
        <v>794</v>
      </c>
      <c r="D3" s="1">
        <v>225883</v>
      </c>
      <c r="E3" s="1">
        <v>63918</v>
      </c>
      <c r="F3" s="3">
        <v>0.28299999999999997</v>
      </c>
      <c r="G3" s="1">
        <v>1669</v>
      </c>
      <c r="H3" s="3">
        <v>2.6100000000000002E-2</v>
      </c>
      <c r="I3" s="3">
        <v>7.4000000000000003E-3</v>
      </c>
    </row>
    <row r="4" spans="1:9" x14ac:dyDescent="0.25">
      <c r="A4" s="26">
        <v>45149</v>
      </c>
      <c r="B4" t="s">
        <v>80</v>
      </c>
      <c r="C4" t="s">
        <v>793</v>
      </c>
      <c r="D4" s="1">
        <v>554881</v>
      </c>
      <c r="E4" s="1">
        <v>238199</v>
      </c>
      <c r="F4" s="2">
        <v>0.42927943108522398</v>
      </c>
      <c r="G4" s="1">
        <v>2271</v>
      </c>
      <c r="H4" s="2">
        <v>9.5340450631614705E-3</v>
      </c>
      <c r="I4" s="2">
        <v>4.0927694406548403E-3</v>
      </c>
    </row>
    <row r="5" spans="1:9" x14ac:dyDescent="0.25">
      <c r="A5" s="26">
        <v>45149</v>
      </c>
      <c r="B5" t="s">
        <v>81</v>
      </c>
      <c r="C5" t="s">
        <v>793</v>
      </c>
      <c r="D5" s="1">
        <v>373490</v>
      </c>
      <c r="E5" s="1">
        <v>127122</v>
      </c>
      <c r="F5" s="2">
        <v>0.34036252643979797</v>
      </c>
      <c r="G5" s="1">
        <v>2210</v>
      </c>
      <c r="H5" s="2">
        <v>1.7384874372649899E-2</v>
      </c>
      <c r="I5" s="2">
        <v>5.9171597633136102E-3</v>
      </c>
    </row>
    <row r="6" spans="1:9" x14ac:dyDescent="0.25">
      <c r="A6" s="26">
        <v>45153</v>
      </c>
      <c r="B6" t="s">
        <v>82</v>
      </c>
      <c r="C6" t="s">
        <v>793</v>
      </c>
      <c r="D6" s="1">
        <v>1224207</v>
      </c>
      <c r="E6" s="1">
        <v>422505</v>
      </c>
      <c r="F6" s="3">
        <v>0.3458</v>
      </c>
      <c r="G6" s="1">
        <v>8445</v>
      </c>
      <c r="H6" s="3">
        <v>0.02</v>
      </c>
      <c r="I6" s="3">
        <v>6.8999999999999999E-3</v>
      </c>
    </row>
    <row r="7" spans="1:9" x14ac:dyDescent="0.25">
      <c r="A7" s="26">
        <v>45153</v>
      </c>
      <c r="B7" t="s">
        <v>82</v>
      </c>
      <c r="C7" t="s">
        <v>794</v>
      </c>
      <c r="D7" s="1">
        <v>89075</v>
      </c>
      <c r="E7" s="1">
        <v>25353</v>
      </c>
      <c r="F7" s="3">
        <v>0.28489999999999999</v>
      </c>
      <c r="G7">
        <v>660</v>
      </c>
      <c r="H7" s="3">
        <v>2.5999999999999999E-2</v>
      </c>
      <c r="I7" s="3">
        <v>7.4000000000000003E-3</v>
      </c>
    </row>
    <row r="8" spans="1:9" x14ac:dyDescent="0.25">
      <c r="A8" s="26">
        <v>45154</v>
      </c>
      <c r="B8" t="s">
        <v>83</v>
      </c>
      <c r="C8" t="s">
        <v>793</v>
      </c>
      <c r="D8" s="1">
        <v>1171587</v>
      </c>
      <c r="E8" s="1">
        <v>497707</v>
      </c>
      <c r="F8" s="3">
        <v>0.42649999999999999</v>
      </c>
      <c r="G8" s="1">
        <v>5523</v>
      </c>
      <c r="H8" s="3">
        <v>1.109689033909509E-2</v>
      </c>
      <c r="I8" s="3">
        <v>4.714118541772826E-3</v>
      </c>
    </row>
    <row r="9" spans="1:9" x14ac:dyDescent="0.25">
      <c r="A9" s="26">
        <v>45154</v>
      </c>
      <c r="B9" t="s">
        <v>83</v>
      </c>
      <c r="C9" t="s">
        <v>794</v>
      </c>
      <c r="D9" s="1">
        <v>51287</v>
      </c>
      <c r="E9" s="1">
        <v>15468</v>
      </c>
      <c r="F9" s="3">
        <v>0.30159689589954569</v>
      </c>
      <c r="G9">
        <v>206</v>
      </c>
      <c r="H9" s="3">
        <v>1.3317817429531937E-2</v>
      </c>
      <c r="I9" s="3">
        <v>4.0166123969036984E-3</v>
      </c>
    </row>
    <row r="10" spans="1:9" x14ac:dyDescent="0.25">
      <c r="A10" s="26">
        <v>45154</v>
      </c>
      <c r="B10" t="s">
        <v>84</v>
      </c>
      <c r="C10" t="s">
        <v>793</v>
      </c>
      <c r="D10" s="1">
        <v>897</v>
      </c>
      <c r="E10" s="1">
        <v>466</v>
      </c>
      <c r="F10" s="3">
        <v>0.51950947603121511</v>
      </c>
      <c r="G10" s="1">
        <v>52</v>
      </c>
      <c r="H10" s="3">
        <v>0.11158798283261803</v>
      </c>
      <c r="I10" s="3">
        <v>5.7971014492753624E-2</v>
      </c>
    </row>
    <row r="11" spans="1:9" x14ac:dyDescent="0.25">
      <c r="A11" s="26">
        <v>45154</v>
      </c>
      <c r="B11" t="s">
        <v>84</v>
      </c>
      <c r="C11" t="s">
        <v>794</v>
      </c>
      <c r="D11" s="1">
        <v>280</v>
      </c>
      <c r="E11" s="1">
        <v>156</v>
      </c>
      <c r="F11" s="3">
        <v>0.55714285714285716</v>
      </c>
      <c r="G11" s="1">
        <v>27</v>
      </c>
      <c r="H11" s="3">
        <v>0.17307692307692307</v>
      </c>
      <c r="I11" s="3">
        <v>9.6428571428571433E-2</v>
      </c>
    </row>
    <row r="12" spans="1:9" x14ac:dyDescent="0.25">
      <c r="A12" s="26">
        <v>45155</v>
      </c>
      <c r="B12" t="s">
        <v>85</v>
      </c>
      <c r="C12" t="s">
        <v>793</v>
      </c>
      <c r="D12" s="1">
        <v>207066</v>
      </c>
      <c r="E12" s="1">
        <v>77566</v>
      </c>
      <c r="F12" s="3">
        <v>0.37459553958641206</v>
      </c>
      <c r="G12">
        <v>795</v>
      </c>
      <c r="H12" s="3">
        <v>1.0249336049299951E-2</v>
      </c>
      <c r="I12" s="3">
        <v>3.83935556778998E-3</v>
      </c>
    </row>
    <row r="13" spans="1:9" x14ac:dyDescent="0.25">
      <c r="A13" s="26">
        <v>45155</v>
      </c>
      <c r="B13" t="s">
        <v>86</v>
      </c>
      <c r="C13" t="s">
        <v>794</v>
      </c>
      <c r="D13" s="1">
        <v>19415</v>
      </c>
      <c r="E13" s="1">
        <v>6477</v>
      </c>
      <c r="F13" s="3">
        <v>0.33360803502446562</v>
      </c>
      <c r="G13">
        <v>111</v>
      </c>
      <c r="H13" s="3">
        <v>1.7137563686892079E-2</v>
      </c>
      <c r="I13" s="3">
        <v>5.7172289466907028E-3</v>
      </c>
    </row>
    <row r="14" spans="1:9" x14ac:dyDescent="0.25">
      <c r="A14" s="26">
        <v>45155</v>
      </c>
      <c r="B14" t="s">
        <v>87</v>
      </c>
      <c r="C14" t="s">
        <v>793</v>
      </c>
      <c r="D14" s="1">
        <v>317334</v>
      </c>
      <c r="E14" s="1">
        <v>112616</v>
      </c>
      <c r="F14" s="3">
        <v>0.35488160739158109</v>
      </c>
      <c r="G14">
        <v>804</v>
      </c>
      <c r="H14" s="3">
        <v>7.1393052496980889E-3</v>
      </c>
      <c r="I14" s="3">
        <v>2.5336081226720111E-3</v>
      </c>
    </row>
    <row r="15" spans="1:9" x14ac:dyDescent="0.25">
      <c r="A15" s="26">
        <v>45155</v>
      </c>
      <c r="B15" t="s">
        <v>88</v>
      </c>
      <c r="C15" t="s">
        <v>794</v>
      </c>
      <c r="D15" s="1">
        <v>18573</v>
      </c>
      <c r="E15" s="1">
        <v>4880</v>
      </c>
      <c r="F15" s="3">
        <v>0.26274699833091048</v>
      </c>
      <c r="G15">
        <v>103</v>
      </c>
      <c r="H15" s="3">
        <v>2.1106557377049182E-2</v>
      </c>
      <c r="I15" s="3">
        <v>5.5456845959188069E-3</v>
      </c>
    </row>
    <row r="16" spans="1:9" x14ac:dyDescent="0.25">
      <c r="A16" s="26">
        <v>45155</v>
      </c>
      <c r="B16" t="s">
        <v>77</v>
      </c>
      <c r="C16" t="s">
        <v>793</v>
      </c>
      <c r="D16" s="1">
        <v>733906</v>
      </c>
      <c r="E16" s="1">
        <v>273011</v>
      </c>
      <c r="F16" s="3">
        <v>0.37199723125304873</v>
      </c>
      <c r="G16" s="1">
        <v>2291</v>
      </c>
      <c r="H16" s="3">
        <v>8.391603268732761E-3</v>
      </c>
      <c r="I16" s="3">
        <v>3.1216531817426208E-3</v>
      </c>
    </row>
    <row r="17" spans="1:9" x14ac:dyDescent="0.25">
      <c r="A17" s="26">
        <v>45155</v>
      </c>
      <c r="B17" t="s">
        <v>78</v>
      </c>
      <c r="C17" t="s">
        <v>794</v>
      </c>
      <c r="D17" s="1">
        <v>41976</v>
      </c>
      <c r="E17" s="1">
        <v>12400</v>
      </c>
      <c r="F17" s="3">
        <v>0.29540689918048407</v>
      </c>
      <c r="G17">
        <v>197</v>
      </c>
      <c r="H17" s="3">
        <v>1.5887096774193549E-2</v>
      </c>
      <c r="I17" s="3">
        <v>4.6931579950447878E-3</v>
      </c>
    </row>
    <row r="18" spans="1:9" x14ac:dyDescent="0.25">
      <c r="A18" s="27" t="s">
        <v>427</v>
      </c>
      <c r="D18" s="14">
        <f>SUM(D2:D17)</f>
        <v>8551712</v>
      </c>
      <c r="E18" s="14">
        <f>SUM(E2:E17)</f>
        <v>3140318</v>
      </c>
      <c r="F18" s="15">
        <f>SUM(E18/D18)</f>
        <v>0.36721512604727569</v>
      </c>
      <c r="G18" s="14">
        <f>SUM(G2:G17)</f>
        <v>46340</v>
      </c>
      <c r="H18" s="15">
        <f>SUM(G18/E18)</f>
        <v>1.4756467338658059E-2</v>
      </c>
      <c r="I18" s="15">
        <f>SUM(G18/D18)</f>
        <v>5.4187980137778259E-3</v>
      </c>
    </row>
    <row r="19" spans="1:9" ht="15.75" thickBot="1" x14ac:dyDescent="0.3">
      <c r="A19" s="135"/>
      <c r="B19" s="135"/>
      <c r="C19" s="135"/>
      <c r="D19" s="135"/>
      <c r="E19" s="135"/>
      <c r="F19" s="135"/>
      <c r="G19" s="135"/>
      <c r="H19" s="135"/>
      <c r="I19" s="135"/>
    </row>
    <row r="20" spans="1:9" ht="20.45" customHeight="1" x14ac:dyDescent="0.25">
      <c r="A20" s="5" t="s">
        <v>0</v>
      </c>
      <c r="B20" s="6" t="s">
        <v>1</v>
      </c>
      <c r="C20" s="6" t="s">
        <v>796</v>
      </c>
      <c r="D20" s="6" t="s">
        <v>3</v>
      </c>
      <c r="E20" s="6" t="s">
        <v>4</v>
      </c>
      <c r="F20" s="6" t="s">
        <v>5</v>
      </c>
      <c r="G20" s="6" t="s">
        <v>6</v>
      </c>
      <c r="H20" s="6" t="s">
        <v>7</v>
      </c>
      <c r="I20" s="7" t="s">
        <v>8</v>
      </c>
    </row>
    <row r="21" spans="1:9" x14ac:dyDescent="0.25">
      <c r="A21" s="8" t="s">
        <v>790</v>
      </c>
      <c r="B21" s="9"/>
      <c r="C21" s="9"/>
      <c r="D21" s="9"/>
      <c r="E21" s="9"/>
      <c r="F21" s="9"/>
      <c r="G21" s="9"/>
      <c r="H21" s="9"/>
      <c r="I21" s="10"/>
    </row>
    <row r="22" spans="1:9" x14ac:dyDescent="0.25">
      <c r="A22" s="11">
        <v>45149</v>
      </c>
      <c r="B22" t="s">
        <v>79</v>
      </c>
      <c r="C22" t="s">
        <v>793</v>
      </c>
      <c r="D22" s="1">
        <v>3521855</v>
      </c>
      <c r="E22" s="1">
        <v>1262474</v>
      </c>
      <c r="F22" s="3">
        <v>0.35849999999999999</v>
      </c>
      <c r="G22" s="1">
        <v>20976</v>
      </c>
      <c r="H22" s="3">
        <v>1.66E-2</v>
      </c>
      <c r="I22" s="16">
        <v>6.0000000000000001E-3</v>
      </c>
    </row>
    <row r="23" spans="1:9" x14ac:dyDescent="0.25">
      <c r="A23" s="11">
        <v>45149</v>
      </c>
      <c r="B23" t="s">
        <v>79</v>
      </c>
      <c r="C23" t="s">
        <v>794</v>
      </c>
      <c r="D23" s="1">
        <v>225883</v>
      </c>
      <c r="E23" s="1">
        <v>63918</v>
      </c>
      <c r="F23" s="3">
        <v>0.28299999999999997</v>
      </c>
      <c r="G23" s="1">
        <v>1669</v>
      </c>
      <c r="H23" s="3">
        <v>2.6100000000000002E-2</v>
      </c>
      <c r="I23" s="16">
        <v>7.4000000000000003E-3</v>
      </c>
    </row>
    <row r="24" spans="1:9" x14ac:dyDescent="0.25">
      <c r="A24" s="11">
        <v>45149</v>
      </c>
      <c r="B24" t="s">
        <v>81</v>
      </c>
      <c r="C24" t="s">
        <v>793</v>
      </c>
      <c r="D24" s="1">
        <v>373490</v>
      </c>
      <c r="E24" s="1">
        <v>127122</v>
      </c>
      <c r="F24" s="2">
        <v>0.34036252643979797</v>
      </c>
      <c r="G24" s="1">
        <v>2210</v>
      </c>
      <c r="H24" s="2">
        <v>1.7384874372649899E-2</v>
      </c>
      <c r="I24" s="12">
        <v>5.9171597633136102E-3</v>
      </c>
    </row>
    <row r="25" spans="1:9" x14ac:dyDescent="0.25">
      <c r="A25" s="11">
        <v>45153</v>
      </c>
      <c r="B25" t="s">
        <v>82</v>
      </c>
      <c r="C25" t="s">
        <v>793</v>
      </c>
      <c r="D25" s="1">
        <v>1224207</v>
      </c>
      <c r="E25" s="1">
        <v>422505</v>
      </c>
      <c r="F25" s="3">
        <v>0.3458</v>
      </c>
      <c r="G25" s="1">
        <v>8445</v>
      </c>
      <c r="H25" s="3">
        <v>0.02</v>
      </c>
      <c r="I25" s="16">
        <v>6.8999999999999999E-3</v>
      </c>
    </row>
    <row r="26" spans="1:9" x14ac:dyDescent="0.25">
      <c r="A26" s="11">
        <v>45153</v>
      </c>
      <c r="B26" t="s">
        <v>82</v>
      </c>
      <c r="C26" t="s">
        <v>794</v>
      </c>
      <c r="D26" s="1">
        <v>89075</v>
      </c>
      <c r="E26" s="1">
        <v>25353</v>
      </c>
      <c r="F26" s="3">
        <v>0.28489999999999999</v>
      </c>
      <c r="G26">
        <v>660</v>
      </c>
      <c r="H26" s="3">
        <v>2.5999999999999999E-2</v>
      </c>
      <c r="I26" s="16">
        <v>7.4000000000000003E-3</v>
      </c>
    </row>
    <row r="27" spans="1:9" ht="15.75" thickBot="1" x14ac:dyDescent="0.3">
      <c r="A27" s="17" t="s">
        <v>427</v>
      </c>
      <c r="B27" s="4"/>
      <c r="C27" s="4"/>
      <c r="D27" s="18">
        <f>SUM(D22:D26)</f>
        <v>5434510</v>
      </c>
      <c r="E27" s="18">
        <f>SUM(E22:E26)</f>
        <v>1901372</v>
      </c>
      <c r="F27" s="19">
        <f>SUM(E27/D27)</f>
        <v>0.34986999747907355</v>
      </c>
      <c r="G27" s="18">
        <f>SUM(G22:G26)</f>
        <v>33960</v>
      </c>
      <c r="H27" s="19">
        <f>SUM(G27/E27)</f>
        <v>1.786078684234332E-2</v>
      </c>
      <c r="I27" s="21">
        <f>SUM(G27/D27)</f>
        <v>6.248953447504927E-3</v>
      </c>
    </row>
    <row r="28" spans="1:9" ht="3" customHeight="1" thickBot="1" x14ac:dyDescent="0.3">
      <c r="A28" s="138"/>
      <c r="B28" s="136"/>
      <c r="C28" s="136"/>
      <c r="D28" s="136"/>
      <c r="E28" s="136"/>
      <c r="F28" s="136"/>
      <c r="G28" s="136"/>
      <c r="H28" s="136"/>
      <c r="I28" s="139"/>
    </row>
    <row r="29" spans="1:9" x14ac:dyDescent="0.25">
      <c r="A29" s="22" t="s">
        <v>795</v>
      </c>
      <c r="B29" s="23"/>
      <c r="C29" s="23"/>
      <c r="D29" s="23"/>
      <c r="E29" s="23"/>
      <c r="F29" s="23"/>
      <c r="G29" s="23"/>
      <c r="H29" s="23"/>
      <c r="I29" s="24"/>
    </row>
    <row r="30" spans="1:9" x14ac:dyDescent="0.25">
      <c r="A30" s="11">
        <v>45149</v>
      </c>
      <c r="B30" t="s">
        <v>80</v>
      </c>
      <c r="C30" t="s">
        <v>793</v>
      </c>
      <c r="D30" s="1">
        <v>554881</v>
      </c>
      <c r="E30" s="1">
        <v>238199</v>
      </c>
      <c r="F30" s="2">
        <v>0.42927943108522398</v>
      </c>
      <c r="G30" s="1">
        <v>2271</v>
      </c>
      <c r="H30" s="2">
        <v>9.5340450631614705E-3</v>
      </c>
      <c r="I30" s="12">
        <v>4.0927694406548403E-3</v>
      </c>
    </row>
    <row r="31" spans="1:9" x14ac:dyDescent="0.25">
      <c r="A31" s="11">
        <v>45154</v>
      </c>
      <c r="B31" t="s">
        <v>83</v>
      </c>
      <c r="C31" t="s">
        <v>793</v>
      </c>
      <c r="D31" s="1">
        <v>1171587</v>
      </c>
      <c r="E31" s="1">
        <v>497707</v>
      </c>
      <c r="F31" s="3">
        <v>0.42649999999999999</v>
      </c>
      <c r="G31" s="1">
        <v>5523</v>
      </c>
      <c r="H31" s="3">
        <v>1.109689033909509E-2</v>
      </c>
      <c r="I31" s="16">
        <v>4.714118541772826E-3</v>
      </c>
    </row>
    <row r="32" spans="1:9" x14ac:dyDescent="0.25">
      <c r="A32" s="11">
        <v>45154</v>
      </c>
      <c r="B32" t="s">
        <v>83</v>
      </c>
      <c r="C32" t="s">
        <v>794</v>
      </c>
      <c r="D32" s="1">
        <v>51287</v>
      </c>
      <c r="E32" s="1">
        <v>15468</v>
      </c>
      <c r="F32" s="3">
        <v>0.30159689589954569</v>
      </c>
      <c r="G32">
        <v>206</v>
      </c>
      <c r="H32" s="3">
        <v>1.3317817429531937E-2</v>
      </c>
      <c r="I32" s="16">
        <v>4.0166123969036984E-3</v>
      </c>
    </row>
    <row r="33" spans="1:9" x14ac:dyDescent="0.25">
      <c r="A33" s="11">
        <v>45154</v>
      </c>
      <c r="B33" t="s">
        <v>84</v>
      </c>
      <c r="C33" t="s">
        <v>793</v>
      </c>
      <c r="D33" s="1">
        <v>897</v>
      </c>
      <c r="E33" s="1">
        <v>466</v>
      </c>
      <c r="F33" s="3">
        <v>0.51950947603121511</v>
      </c>
      <c r="G33" s="1">
        <v>52</v>
      </c>
      <c r="H33" s="3">
        <v>0.11158798283261803</v>
      </c>
      <c r="I33" s="16">
        <v>5.7971014492753624E-2</v>
      </c>
    </row>
    <row r="34" spans="1:9" x14ac:dyDescent="0.25">
      <c r="A34" s="11">
        <v>45154</v>
      </c>
      <c r="B34" t="s">
        <v>84</v>
      </c>
      <c r="C34" t="s">
        <v>794</v>
      </c>
      <c r="D34" s="1">
        <v>280</v>
      </c>
      <c r="E34" s="1">
        <v>156</v>
      </c>
      <c r="F34" s="3">
        <v>0.55714285714285716</v>
      </c>
      <c r="G34" s="1">
        <v>27</v>
      </c>
      <c r="H34" s="3">
        <v>0.17307692307692307</v>
      </c>
      <c r="I34" s="16">
        <v>9.6428571428571433E-2</v>
      </c>
    </row>
    <row r="35" spans="1:9" ht="15.75" thickBot="1" x14ac:dyDescent="0.3">
      <c r="A35" s="17" t="s">
        <v>427</v>
      </c>
      <c r="B35" s="4"/>
      <c r="C35" s="4"/>
      <c r="D35" s="18">
        <f>SUM(D30:D34)</f>
        <v>1778932</v>
      </c>
      <c r="E35" s="18">
        <f>SUM(E30:E34)</f>
        <v>751996</v>
      </c>
      <c r="F35" s="19">
        <f>SUM(E35/D35)</f>
        <v>0.42272329689948801</v>
      </c>
      <c r="G35" s="18">
        <f>SUM(G30:G34)</f>
        <v>8079</v>
      </c>
      <c r="H35" s="19">
        <f>SUM(G35/E35)</f>
        <v>1.0743408209618137E-2</v>
      </c>
      <c r="I35" s="21">
        <f>SUM(G35/D35)</f>
        <v>4.5414889383068044E-3</v>
      </c>
    </row>
    <row r="36" spans="1:9" ht="3" customHeight="1" thickBot="1" x14ac:dyDescent="0.3">
      <c r="A36" s="137"/>
      <c r="B36" s="137"/>
      <c r="C36" s="137"/>
      <c r="D36" s="137"/>
      <c r="E36" s="137"/>
      <c r="F36" s="137"/>
      <c r="G36" s="137"/>
      <c r="H36" s="137"/>
      <c r="I36" s="137"/>
    </row>
    <row r="37" spans="1:9" x14ac:dyDescent="0.25">
      <c r="A37" s="22" t="s">
        <v>792</v>
      </c>
      <c r="B37" s="23"/>
      <c r="C37" s="23"/>
      <c r="D37" s="23"/>
      <c r="E37" s="23"/>
      <c r="F37" s="23"/>
      <c r="G37" s="23"/>
      <c r="H37" s="23"/>
      <c r="I37" s="24"/>
    </row>
    <row r="38" spans="1:9" x14ac:dyDescent="0.25">
      <c r="A38" s="11">
        <v>45155</v>
      </c>
      <c r="B38" t="s">
        <v>85</v>
      </c>
      <c r="C38" t="s">
        <v>793</v>
      </c>
      <c r="D38" s="1">
        <v>207066</v>
      </c>
      <c r="E38" s="1">
        <v>77566</v>
      </c>
      <c r="F38" s="3">
        <v>0.37459553958641206</v>
      </c>
      <c r="G38">
        <v>795</v>
      </c>
      <c r="H38" s="3">
        <v>1.0249336049299951E-2</v>
      </c>
      <c r="I38" s="16">
        <v>3.83935556778998E-3</v>
      </c>
    </row>
    <row r="39" spans="1:9" x14ac:dyDescent="0.25">
      <c r="A39" s="11">
        <v>45155</v>
      </c>
      <c r="B39" t="s">
        <v>86</v>
      </c>
      <c r="C39" t="s">
        <v>794</v>
      </c>
      <c r="D39" s="1">
        <v>19415</v>
      </c>
      <c r="E39" s="1">
        <v>6477</v>
      </c>
      <c r="F39" s="3">
        <v>0.33360803502446562</v>
      </c>
      <c r="G39">
        <v>111</v>
      </c>
      <c r="H39" s="3">
        <v>1.7137563686892079E-2</v>
      </c>
      <c r="I39" s="16">
        <v>5.7172289466907028E-3</v>
      </c>
    </row>
    <row r="40" spans="1:9" x14ac:dyDescent="0.25">
      <c r="A40" s="11">
        <v>45155</v>
      </c>
      <c r="B40" t="s">
        <v>87</v>
      </c>
      <c r="C40" t="s">
        <v>793</v>
      </c>
      <c r="D40" s="1">
        <v>317334</v>
      </c>
      <c r="E40" s="1">
        <v>112616</v>
      </c>
      <c r="F40" s="3">
        <v>0.35488160739158109</v>
      </c>
      <c r="G40">
        <v>804</v>
      </c>
      <c r="H40" s="3">
        <v>7.1393052496980889E-3</v>
      </c>
      <c r="I40" s="16">
        <v>2.5336081226720111E-3</v>
      </c>
    </row>
    <row r="41" spans="1:9" x14ac:dyDescent="0.25">
      <c r="A41" s="11">
        <v>45155</v>
      </c>
      <c r="B41" t="s">
        <v>88</v>
      </c>
      <c r="C41" t="s">
        <v>794</v>
      </c>
      <c r="D41" s="1">
        <v>18573</v>
      </c>
      <c r="E41" s="1">
        <v>4880</v>
      </c>
      <c r="F41" s="3">
        <v>0.26274699833091048</v>
      </c>
      <c r="G41">
        <v>103</v>
      </c>
      <c r="H41" s="3">
        <v>2.1106557377049182E-2</v>
      </c>
      <c r="I41" s="16">
        <v>5.5456845959188069E-3</v>
      </c>
    </row>
    <row r="42" spans="1:9" x14ac:dyDescent="0.25">
      <c r="A42" s="11">
        <v>45155</v>
      </c>
      <c r="B42" t="s">
        <v>77</v>
      </c>
      <c r="C42" t="s">
        <v>793</v>
      </c>
      <c r="D42" s="1">
        <v>733906</v>
      </c>
      <c r="E42" s="1">
        <v>273011</v>
      </c>
      <c r="F42" s="3">
        <v>0.37199723125304873</v>
      </c>
      <c r="G42" s="1">
        <v>2291</v>
      </c>
      <c r="H42" s="3">
        <v>8.391603268732761E-3</v>
      </c>
      <c r="I42" s="16">
        <v>3.1216531817426208E-3</v>
      </c>
    </row>
    <row r="43" spans="1:9" x14ac:dyDescent="0.25">
      <c r="A43" s="11">
        <v>45155</v>
      </c>
      <c r="B43" t="s">
        <v>78</v>
      </c>
      <c r="C43" t="s">
        <v>794</v>
      </c>
      <c r="D43" s="1">
        <v>41976</v>
      </c>
      <c r="E43" s="1">
        <v>12400</v>
      </c>
      <c r="F43" s="3">
        <v>0.29540689918048407</v>
      </c>
      <c r="G43">
        <v>197</v>
      </c>
      <c r="H43" s="3">
        <v>1.5887096774193549E-2</v>
      </c>
      <c r="I43" s="16">
        <v>4.6931579950447878E-3</v>
      </c>
    </row>
    <row r="44" spans="1:9" ht="15.75" thickBot="1" x14ac:dyDescent="0.3">
      <c r="A44" s="17" t="s">
        <v>427</v>
      </c>
      <c r="B44" s="4"/>
      <c r="C44" s="4"/>
      <c r="D44" s="18">
        <f>SUM(D38:D43)</f>
        <v>1338270</v>
      </c>
      <c r="E44" s="18">
        <f>SUM(E38:E43)</f>
        <v>486950</v>
      </c>
      <c r="F44" s="19">
        <f>SUM(E44/D44)</f>
        <v>0.36386528876833524</v>
      </c>
      <c r="G44" s="18">
        <f>SUM(G37:G43)</f>
        <v>4301</v>
      </c>
      <c r="H44" s="19">
        <f>SUM(G44/E44)</f>
        <v>8.8325290070849164E-3</v>
      </c>
      <c r="I44" s="21">
        <f>SUM(G44/D44)</f>
        <v>3.2138507177176504E-3</v>
      </c>
    </row>
  </sheetData>
  <mergeCells count="3">
    <mergeCell ref="A19:I19"/>
    <mergeCell ref="A28:I28"/>
    <mergeCell ref="A36:I36"/>
  </mergeCells>
  <pageMargins left="0.7" right="0.7" top="0.75" bottom="0.75" header="0.3" footer="0.3"/>
  <pageSetup orientation="portrait" r:id="rId1"/>
  <ignoredErrors>
    <ignoredError sqref="F18 F35 F27" formula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45AD-6265-4EDB-A354-C03393203952}">
  <dimension ref="A1:I60"/>
  <sheetViews>
    <sheetView topLeftCell="B1" zoomScale="90" zoomScaleNormal="90" workbookViewId="0">
      <pane ySplit="1" topLeftCell="A2" activePane="bottomLeft" state="frozen"/>
      <selection activeCell="Q158" sqref="Q158"/>
      <selection pane="bottomLeft" activeCell="Q158" sqref="Q158"/>
    </sheetView>
  </sheetViews>
  <sheetFormatPr defaultRowHeight="15" x14ac:dyDescent="0.25"/>
  <cols>
    <col min="1" max="1" width="11.85546875" customWidth="1"/>
    <col min="2" max="2" width="69.42578125" customWidth="1"/>
    <col min="3" max="3" width="27.85546875" customWidth="1"/>
    <col min="4" max="4" width="12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bestFit="1" customWidth="1"/>
  </cols>
  <sheetData>
    <row r="1" spans="1:9" ht="20.45" customHeight="1" x14ac:dyDescent="0.25">
      <c r="A1" s="5" t="s">
        <v>0</v>
      </c>
      <c r="B1" s="6" t="s">
        <v>1</v>
      </c>
      <c r="C1" s="6" t="s">
        <v>796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45156</v>
      </c>
      <c r="B2" t="s">
        <v>89</v>
      </c>
      <c r="C2" t="s">
        <v>32</v>
      </c>
      <c r="D2" s="1">
        <v>3502257</v>
      </c>
      <c r="E2" s="1">
        <v>1345536</v>
      </c>
      <c r="F2" s="3">
        <v>0.38419999999999999</v>
      </c>
      <c r="G2" s="1">
        <v>20007</v>
      </c>
      <c r="H2" s="3">
        <v>1.49E-2</v>
      </c>
      <c r="I2" s="3">
        <v>5.7000000000000002E-3</v>
      </c>
    </row>
    <row r="3" spans="1:9" x14ac:dyDescent="0.25">
      <c r="A3" s="26">
        <v>45156</v>
      </c>
      <c r="B3" t="s">
        <v>89</v>
      </c>
      <c r="C3" t="s">
        <v>33</v>
      </c>
      <c r="D3" s="1">
        <v>224864</v>
      </c>
      <c r="E3" s="1">
        <v>59925</v>
      </c>
      <c r="F3" s="3">
        <v>0.26650000000000001</v>
      </c>
      <c r="G3" s="1">
        <v>1363</v>
      </c>
      <c r="H3" s="3">
        <v>2.2700000000000001E-2</v>
      </c>
      <c r="I3" s="3">
        <v>6.1000000000000004E-3</v>
      </c>
    </row>
    <row r="4" spans="1:9" x14ac:dyDescent="0.25">
      <c r="A4" s="26">
        <v>45156</v>
      </c>
      <c r="B4" t="s">
        <v>90</v>
      </c>
      <c r="C4" t="s">
        <v>32</v>
      </c>
      <c r="D4" s="1">
        <v>360395</v>
      </c>
      <c r="E4" s="1">
        <v>124468</v>
      </c>
      <c r="F4" s="3">
        <v>0.34539999999999998</v>
      </c>
      <c r="G4" s="1">
        <v>2921</v>
      </c>
      <c r="H4" s="3">
        <v>2.35E-2</v>
      </c>
      <c r="I4" s="3">
        <v>8.0999999999999996E-3</v>
      </c>
    </row>
    <row r="5" spans="1:9" x14ac:dyDescent="0.25">
      <c r="A5" s="26">
        <v>45156</v>
      </c>
      <c r="B5" t="s">
        <v>90</v>
      </c>
      <c r="C5" t="s">
        <v>33</v>
      </c>
      <c r="D5" s="1">
        <v>18280</v>
      </c>
      <c r="E5" s="1">
        <v>4943</v>
      </c>
      <c r="F5" s="2">
        <v>0.27040481400437599</v>
      </c>
      <c r="G5" s="1">
        <v>212</v>
      </c>
      <c r="H5" s="2">
        <v>4.2888933845842601E-2</v>
      </c>
      <c r="I5" s="2">
        <v>1.1597374179431101E-2</v>
      </c>
    </row>
    <row r="6" spans="1:9" x14ac:dyDescent="0.25">
      <c r="A6" s="26">
        <v>45157</v>
      </c>
      <c r="B6" t="s">
        <v>91</v>
      </c>
      <c r="C6" t="s">
        <v>32</v>
      </c>
      <c r="D6" s="1">
        <v>564989</v>
      </c>
      <c r="E6" s="1">
        <v>207350</v>
      </c>
      <c r="F6" s="3">
        <v>0.36699999999999999</v>
      </c>
      <c r="G6" s="1">
        <v>3536</v>
      </c>
      <c r="H6" s="3">
        <v>1.7100000000000001E-2</v>
      </c>
      <c r="I6" s="3">
        <v>6.3E-3</v>
      </c>
    </row>
    <row r="7" spans="1:9" x14ac:dyDescent="0.25">
      <c r="A7" s="26">
        <v>45157</v>
      </c>
      <c r="B7" t="s">
        <v>91</v>
      </c>
      <c r="C7" t="s">
        <v>33</v>
      </c>
      <c r="D7" s="1">
        <v>38302</v>
      </c>
      <c r="E7" s="1">
        <v>10381</v>
      </c>
      <c r="F7" s="3">
        <v>0.27100000000000002</v>
      </c>
      <c r="G7">
        <v>361</v>
      </c>
      <c r="H7" s="3">
        <v>3.4799999999999998E-2</v>
      </c>
      <c r="I7" s="3">
        <v>9.4000000000000004E-3</v>
      </c>
    </row>
    <row r="8" spans="1:9" x14ac:dyDescent="0.25">
      <c r="A8" s="26">
        <v>45160</v>
      </c>
      <c r="B8" t="s">
        <v>92</v>
      </c>
      <c r="C8" t="s">
        <v>32</v>
      </c>
      <c r="D8" s="1">
        <v>1232022</v>
      </c>
      <c r="E8" s="1">
        <v>427221</v>
      </c>
      <c r="F8" s="3">
        <v>0.3468</v>
      </c>
      <c r="G8" s="1">
        <v>5694</v>
      </c>
      <c r="H8" s="3">
        <v>1.3299999999999999E-2</v>
      </c>
      <c r="I8" s="3">
        <v>4.5999999999999999E-3</v>
      </c>
    </row>
    <row r="9" spans="1:9" x14ac:dyDescent="0.25">
      <c r="A9" s="26">
        <v>45160</v>
      </c>
      <c r="B9" t="s">
        <v>92</v>
      </c>
      <c r="C9" t="s">
        <v>33</v>
      </c>
      <c r="D9" s="1">
        <v>89342</v>
      </c>
      <c r="E9" s="1">
        <v>27092</v>
      </c>
      <c r="F9" s="3">
        <v>0.30320000000000003</v>
      </c>
      <c r="G9">
        <v>663</v>
      </c>
      <c r="H9" s="3">
        <v>2.4500000000000001E-2</v>
      </c>
      <c r="I9" s="3">
        <v>7.4000000000000003E-3</v>
      </c>
    </row>
    <row r="10" spans="1:9" x14ac:dyDescent="0.25">
      <c r="A10" s="26">
        <v>45161</v>
      </c>
      <c r="B10" t="s">
        <v>93</v>
      </c>
      <c r="C10" t="s">
        <v>32</v>
      </c>
      <c r="D10" s="1">
        <v>4980561</v>
      </c>
      <c r="E10" s="1">
        <v>1751259</v>
      </c>
      <c r="F10" s="3">
        <v>0.35160000000000002</v>
      </c>
      <c r="G10" s="1">
        <v>109525</v>
      </c>
      <c r="H10" s="3">
        <v>6.25E-2</v>
      </c>
      <c r="I10" s="3">
        <v>2.1999999999999999E-2</v>
      </c>
    </row>
    <row r="11" spans="1:9" x14ac:dyDescent="0.25">
      <c r="A11" s="26">
        <v>45161</v>
      </c>
      <c r="B11" t="s">
        <v>93</v>
      </c>
      <c r="C11" t="s">
        <v>33</v>
      </c>
      <c r="D11" s="1">
        <v>325472</v>
      </c>
      <c r="E11" s="1">
        <v>96730</v>
      </c>
      <c r="F11" s="3">
        <v>0.29720000000000002</v>
      </c>
      <c r="G11" s="1">
        <v>10043</v>
      </c>
      <c r="H11" s="3">
        <v>0.1038</v>
      </c>
      <c r="I11" s="3">
        <v>3.09E-2</v>
      </c>
    </row>
    <row r="12" spans="1:9" x14ac:dyDescent="0.25">
      <c r="A12" s="26">
        <v>45161</v>
      </c>
      <c r="B12" t="s">
        <v>94</v>
      </c>
      <c r="C12" t="s">
        <v>32</v>
      </c>
      <c r="D12" s="1">
        <v>67865</v>
      </c>
      <c r="E12" s="1">
        <v>27534</v>
      </c>
      <c r="F12" s="3">
        <v>0.40570000000000001</v>
      </c>
      <c r="G12">
        <v>719</v>
      </c>
      <c r="H12" s="3">
        <v>2.6100000000000002E-2</v>
      </c>
      <c r="I12" s="3">
        <v>1.06E-2</v>
      </c>
    </row>
    <row r="13" spans="1:9" x14ac:dyDescent="0.25">
      <c r="A13" s="26">
        <v>45161</v>
      </c>
      <c r="B13" t="s">
        <v>94</v>
      </c>
      <c r="C13" t="s">
        <v>33</v>
      </c>
      <c r="D13" s="1">
        <v>4928</v>
      </c>
      <c r="E13" s="1">
        <v>1898</v>
      </c>
      <c r="F13" s="2">
        <v>0.38514610389610399</v>
      </c>
      <c r="G13" s="1">
        <v>48</v>
      </c>
      <c r="H13" s="2">
        <v>2.52897787144362E-2</v>
      </c>
      <c r="I13" s="2">
        <v>9.74025974025974E-3</v>
      </c>
    </row>
    <row r="14" spans="1:9" x14ac:dyDescent="0.25">
      <c r="A14" s="26">
        <v>45162</v>
      </c>
      <c r="B14" t="s">
        <v>95</v>
      </c>
      <c r="C14" t="s">
        <v>96</v>
      </c>
      <c r="D14" s="1">
        <v>269274</v>
      </c>
      <c r="E14" s="1">
        <v>75658</v>
      </c>
      <c r="F14" s="3">
        <v>0.28660000000000002</v>
      </c>
      <c r="G14">
        <v>840</v>
      </c>
      <c r="H14" s="3">
        <v>1.17E-2</v>
      </c>
      <c r="I14" s="3">
        <v>3.3E-3</v>
      </c>
    </row>
    <row r="15" spans="1:9" x14ac:dyDescent="0.25">
      <c r="A15" s="26">
        <v>45162</v>
      </c>
      <c r="B15" t="s">
        <v>95</v>
      </c>
      <c r="C15" t="s">
        <v>97</v>
      </c>
      <c r="D15" s="1">
        <v>21756</v>
      </c>
      <c r="E15" s="1">
        <v>4770</v>
      </c>
      <c r="F15" s="3">
        <v>0.222</v>
      </c>
      <c r="G15">
        <v>117</v>
      </c>
      <c r="H15" s="3">
        <v>2.2700000000000001E-2</v>
      </c>
      <c r="I15" s="3">
        <v>5.0000000000000001E-3</v>
      </c>
    </row>
    <row r="16" spans="1:9" x14ac:dyDescent="0.25">
      <c r="A16" s="26">
        <v>45162</v>
      </c>
      <c r="B16" t="s">
        <v>95</v>
      </c>
      <c r="C16" t="s">
        <v>98</v>
      </c>
      <c r="D16" s="1">
        <v>14119</v>
      </c>
      <c r="E16" s="1">
        <v>3947</v>
      </c>
      <c r="F16" s="3">
        <v>0.28549999999999998</v>
      </c>
      <c r="G16">
        <v>45</v>
      </c>
      <c r="H16" s="3">
        <v>1.15E-2</v>
      </c>
      <c r="I16" s="3">
        <v>3.3E-3</v>
      </c>
    </row>
    <row r="17" spans="1:9" x14ac:dyDescent="0.25">
      <c r="A17" s="26">
        <v>45162</v>
      </c>
      <c r="B17" t="s">
        <v>95</v>
      </c>
      <c r="C17" t="s">
        <v>99</v>
      </c>
      <c r="D17" s="1">
        <v>1190</v>
      </c>
      <c r="E17">
        <v>214</v>
      </c>
      <c r="F17" s="3">
        <v>0.17119999999999999</v>
      </c>
      <c r="G17">
        <v>7</v>
      </c>
      <c r="H17" s="3">
        <v>3.0200000000000001E-2</v>
      </c>
      <c r="I17" s="3">
        <v>5.1999999999999998E-3</v>
      </c>
    </row>
    <row r="18" spans="1:9" x14ac:dyDescent="0.25">
      <c r="A18" s="26">
        <v>45162</v>
      </c>
      <c r="B18" t="s">
        <v>100</v>
      </c>
      <c r="C18" t="s">
        <v>32</v>
      </c>
      <c r="D18" s="1">
        <v>367334</v>
      </c>
      <c r="E18" s="1">
        <v>115428</v>
      </c>
      <c r="F18" s="3">
        <v>0.31419999999999998</v>
      </c>
      <c r="G18" s="1">
        <v>790</v>
      </c>
      <c r="H18" s="3">
        <v>6.7999999999999996E-3</v>
      </c>
      <c r="I18" s="32">
        <v>2.2000000000000001E-3</v>
      </c>
    </row>
    <row r="19" spans="1:9" x14ac:dyDescent="0.25">
      <c r="A19" s="26">
        <v>45162</v>
      </c>
      <c r="B19" t="s">
        <v>101</v>
      </c>
      <c r="C19" t="s">
        <v>33</v>
      </c>
      <c r="D19" s="1">
        <v>25534</v>
      </c>
      <c r="E19" s="1">
        <v>6454</v>
      </c>
      <c r="F19" s="3">
        <v>0.25280000000000002</v>
      </c>
      <c r="G19">
        <v>72</v>
      </c>
      <c r="H19" s="3">
        <v>1.12E-2</v>
      </c>
      <c r="I19" s="3">
        <v>2.8E-3</v>
      </c>
    </row>
    <row r="20" spans="1:9" x14ac:dyDescent="0.25">
      <c r="A20" s="26">
        <v>45162</v>
      </c>
      <c r="B20" t="s">
        <v>75</v>
      </c>
      <c r="C20" t="s">
        <v>32</v>
      </c>
      <c r="D20" s="1">
        <v>267294</v>
      </c>
      <c r="E20" s="1">
        <v>106780</v>
      </c>
      <c r="F20" s="3">
        <v>0.39950000000000002</v>
      </c>
      <c r="G20">
        <v>735</v>
      </c>
      <c r="H20" s="3">
        <v>6.8999999999999999E-3</v>
      </c>
      <c r="I20" s="3">
        <v>2.7000000000000001E-3</v>
      </c>
    </row>
    <row r="21" spans="1:9" x14ac:dyDescent="0.25">
      <c r="A21" s="26">
        <v>45162</v>
      </c>
      <c r="B21" t="s">
        <v>76</v>
      </c>
      <c r="C21" t="s">
        <v>33</v>
      </c>
      <c r="D21" s="1">
        <v>16036</v>
      </c>
      <c r="E21" s="1">
        <v>5365</v>
      </c>
      <c r="F21" s="3">
        <v>0.33460000000000001</v>
      </c>
      <c r="G21">
        <v>67</v>
      </c>
      <c r="H21" s="3">
        <v>1.2500000000000001E-2</v>
      </c>
      <c r="I21" s="3">
        <v>4.1999999999999997E-3</v>
      </c>
    </row>
    <row r="22" spans="1:9" x14ac:dyDescent="0.25">
      <c r="A22" s="26">
        <v>45162</v>
      </c>
      <c r="B22" t="s">
        <v>102</v>
      </c>
      <c r="C22" t="s">
        <v>32</v>
      </c>
      <c r="D22" s="1">
        <v>121163</v>
      </c>
      <c r="E22" s="1">
        <v>40258</v>
      </c>
      <c r="F22" s="3">
        <v>0.33229999999999998</v>
      </c>
      <c r="G22" s="1">
        <v>336</v>
      </c>
      <c r="H22" s="3">
        <v>8.3000000000000001E-3</v>
      </c>
      <c r="I22" s="32">
        <v>2.8E-3</v>
      </c>
    </row>
    <row r="23" spans="1:9" x14ac:dyDescent="0.25">
      <c r="A23" s="26">
        <v>45162</v>
      </c>
      <c r="B23" t="s">
        <v>103</v>
      </c>
      <c r="C23" t="s">
        <v>33</v>
      </c>
      <c r="D23" s="1">
        <v>7410</v>
      </c>
      <c r="E23" s="1">
        <v>2074</v>
      </c>
      <c r="F23" s="3">
        <v>0.27989999999999998</v>
      </c>
      <c r="G23" s="1">
        <v>21</v>
      </c>
      <c r="H23" s="3">
        <v>1.01E-2</v>
      </c>
      <c r="I23" s="3">
        <v>2.8E-3</v>
      </c>
    </row>
    <row r="24" spans="1:9" x14ac:dyDescent="0.25">
      <c r="A24" s="26">
        <v>45162</v>
      </c>
      <c r="B24" t="s">
        <v>77</v>
      </c>
      <c r="C24" t="s">
        <v>32</v>
      </c>
      <c r="D24" s="1">
        <v>722364</v>
      </c>
      <c r="E24" s="1">
        <v>246406</v>
      </c>
      <c r="F24" s="3">
        <v>0.34110000000000001</v>
      </c>
      <c r="G24" s="1">
        <v>2724</v>
      </c>
      <c r="H24" s="3">
        <v>1.11E-2</v>
      </c>
      <c r="I24" s="3">
        <v>3.8E-3</v>
      </c>
    </row>
    <row r="25" spans="1:9" x14ac:dyDescent="0.25">
      <c r="A25" s="26">
        <v>45162</v>
      </c>
      <c r="B25" t="s">
        <v>78</v>
      </c>
      <c r="C25" t="s">
        <v>33</v>
      </c>
      <c r="D25" s="1">
        <v>41547</v>
      </c>
      <c r="E25" s="1">
        <v>9560</v>
      </c>
      <c r="F25" s="3">
        <v>0.2301</v>
      </c>
      <c r="G25">
        <v>137</v>
      </c>
      <c r="H25" s="3">
        <v>1.43E-2</v>
      </c>
      <c r="I25" s="3">
        <v>3.3E-3</v>
      </c>
    </row>
    <row r="26" spans="1:9" x14ac:dyDescent="0.25">
      <c r="A26" s="27" t="s">
        <v>427</v>
      </c>
      <c r="D26" s="14">
        <f>SUM(D2:D25)</f>
        <v>13284298</v>
      </c>
      <c r="E26" s="14">
        <f>SUM(E2:E25)</f>
        <v>4701251</v>
      </c>
      <c r="F26" s="15">
        <f>SUM(E26/D26)</f>
        <v>0.35389532815358404</v>
      </c>
      <c r="G26" s="14">
        <f>SUM(G2:G25)</f>
        <v>160983</v>
      </c>
      <c r="H26" s="15">
        <f>SUM(G26/E26)</f>
        <v>3.4242587770786967E-2</v>
      </c>
      <c r="I26" s="15">
        <f>SUM(G26/D26)</f>
        <v>1.2118291835970556E-2</v>
      </c>
    </row>
    <row r="27" spans="1:9" ht="15.75" thickBot="1" x14ac:dyDescent="0.3">
      <c r="A27" s="135"/>
      <c r="B27" s="135"/>
      <c r="C27" s="135"/>
      <c r="D27" s="135"/>
      <c r="E27" s="135"/>
      <c r="F27" s="135"/>
      <c r="G27" s="135"/>
      <c r="H27" s="135"/>
      <c r="I27" s="135"/>
    </row>
    <row r="28" spans="1:9" ht="20.45" customHeight="1" x14ac:dyDescent="0.25">
      <c r="A28" s="5" t="s">
        <v>0</v>
      </c>
      <c r="B28" s="6" t="s">
        <v>1</v>
      </c>
      <c r="C28" s="6" t="s">
        <v>796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7" t="s">
        <v>8</v>
      </c>
    </row>
    <row r="29" spans="1:9" x14ac:dyDescent="0.25">
      <c r="A29" s="8" t="s">
        <v>790</v>
      </c>
      <c r="B29" s="9"/>
      <c r="C29" s="9"/>
      <c r="D29" s="9"/>
      <c r="E29" s="9"/>
      <c r="F29" s="9"/>
      <c r="G29" s="9"/>
      <c r="H29" s="9"/>
      <c r="I29" s="10"/>
    </row>
    <row r="30" spans="1:9" x14ac:dyDescent="0.25">
      <c r="A30" s="11">
        <v>45156</v>
      </c>
      <c r="B30" t="s">
        <v>89</v>
      </c>
      <c r="C30" t="s">
        <v>32</v>
      </c>
      <c r="D30" s="1">
        <v>3502257</v>
      </c>
      <c r="E30" s="1">
        <v>1345536</v>
      </c>
      <c r="F30" s="3">
        <v>0.38419999999999999</v>
      </c>
      <c r="G30" s="1">
        <v>20007</v>
      </c>
      <c r="H30" s="3">
        <v>1.49E-2</v>
      </c>
      <c r="I30" s="16">
        <v>5.7000000000000002E-3</v>
      </c>
    </row>
    <row r="31" spans="1:9" x14ac:dyDescent="0.25">
      <c r="A31" s="11">
        <v>45156</v>
      </c>
      <c r="B31" t="s">
        <v>89</v>
      </c>
      <c r="C31" t="s">
        <v>33</v>
      </c>
      <c r="D31" s="1">
        <v>224864</v>
      </c>
      <c r="E31" s="1">
        <v>59925</v>
      </c>
      <c r="F31" s="3">
        <v>0.26650000000000001</v>
      </c>
      <c r="G31" s="1">
        <v>1363</v>
      </c>
      <c r="H31" s="3">
        <v>2.2700000000000001E-2</v>
      </c>
      <c r="I31" s="16">
        <v>6.1000000000000004E-3</v>
      </c>
    </row>
    <row r="32" spans="1:9" x14ac:dyDescent="0.25">
      <c r="A32" s="11">
        <v>45156</v>
      </c>
      <c r="B32" t="s">
        <v>90</v>
      </c>
      <c r="C32" t="s">
        <v>32</v>
      </c>
      <c r="D32" s="1">
        <v>360395</v>
      </c>
      <c r="E32" s="1">
        <v>124468</v>
      </c>
      <c r="F32" s="3">
        <v>0.34539999999999998</v>
      </c>
      <c r="G32" s="1">
        <v>2921</v>
      </c>
      <c r="H32" s="3">
        <v>2.35E-2</v>
      </c>
      <c r="I32" s="16">
        <v>8.0999999999999996E-3</v>
      </c>
    </row>
    <row r="33" spans="1:9" x14ac:dyDescent="0.25">
      <c r="A33" s="11">
        <v>45156</v>
      </c>
      <c r="B33" t="s">
        <v>90</v>
      </c>
      <c r="C33" t="s">
        <v>33</v>
      </c>
      <c r="D33" s="1">
        <v>18280</v>
      </c>
      <c r="E33" s="1">
        <v>4943</v>
      </c>
      <c r="F33" s="2">
        <v>0.27040481400437599</v>
      </c>
      <c r="G33" s="1">
        <v>212</v>
      </c>
      <c r="H33" s="2">
        <v>4.2888933845842601E-2</v>
      </c>
      <c r="I33" s="12">
        <v>1.1597374179431101E-2</v>
      </c>
    </row>
    <row r="34" spans="1:9" x14ac:dyDescent="0.25">
      <c r="A34" s="11">
        <v>45160</v>
      </c>
      <c r="B34" t="s">
        <v>92</v>
      </c>
      <c r="C34" t="s">
        <v>32</v>
      </c>
      <c r="D34" s="1">
        <v>1232022</v>
      </c>
      <c r="E34" s="1">
        <v>427221</v>
      </c>
      <c r="F34" s="3">
        <v>0.3468</v>
      </c>
      <c r="G34" s="1">
        <v>5694</v>
      </c>
      <c r="H34" s="3">
        <v>1.3299999999999999E-2</v>
      </c>
      <c r="I34" s="16">
        <v>4.5999999999999999E-3</v>
      </c>
    </row>
    <row r="35" spans="1:9" x14ac:dyDescent="0.25">
      <c r="A35" s="11">
        <v>45160</v>
      </c>
      <c r="B35" t="s">
        <v>92</v>
      </c>
      <c r="C35" t="s">
        <v>33</v>
      </c>
      <c r="D35" s="1">
        <v>89342</v>
      </c>
      <c r="E35" s="1">
        <v>27092</v>
      </c>
      <c r="F35" s="3">
        <v>0.30320000000000003</v>
      </c>
      <c r="G35">
        <v>663</v>
      </c>
      <c r="H35" s="3">
        <v>2.4500000000000001E-2</v>
      </c>
      <c r="I35" s="16">
        <v>7.4000000000000003E-3</v>
      </c>
    </row>
    <row r="36" spans="1:9" ht="15.75" thickBot="1" x14ac:dyDescent="0.3">
      <c r="A36" s="17" t="s">
        <v>427</v>
      </c>
      <c r="B36" s="4"/>
      <c r="C36" s="4"/>
      <c r="D36" s="18">
        <f>SUM(D30:D35)</f>
        <v>5427160</v>
      </c>
      <c r="E36" s="18">
        <f>SUM(E30:E35)</f>
        <v>1989185</v>
      </c>
      <c r="F36" s="19">
        <f>SUM(E36/D36)</f>
        <v>0.36652411205860891</v>
      </c>
      <c r="G36" s="18">
        <f>SUM(G30:G35)</f>
        <v>30860</v>
      </c>
      <c r="H36" s="19">
        <f>SUM(G36/E36)</f>
        <v>1.5513891367570136E-2</v>
      </c>
      <c r="I36" s="21">
        <f>SUM(G36/D36)</f>
        <v>5.6862152580723618E-3</v>
      </c>
    </row>
    <row r="37" spans="1:9" ht="3" customHeight="1" thickBot="1" x14ac:dyDescent="0.3">
      <c r="A37" s="138"/>
      <c r="B37" s="136"/>
      <c r="C37" s="136"/>
      <c r="D37" s="136"/>
      <c r="E37" s="136"/>
      <c r="F37" s="136"/>
      <c r="G37" s="136"/>
      <c r="H37" s="136"/>
      <c r="I37" s="139"/>
    </row>
    <row r="38" spans="1:9" x14ac:dyDescent="0.25">
      <c r="A38" s="22" t="s">
        <v>795</v>
      </c>
      <c r="B38" s="23"/>
      <c r="C38" s="23"/>
      <c r="D38" s="23"/>
      <c r="E38" s="23"/>
      <c r="F38" s="23"/>
      <c r="G38" s="23"/>
      <c r="H38" s="23"/>
      <c r="I38" s="24"/>
    </row>
    <row r="39" spans="1:9" x14ac:dyDescent="0.25">
      <c r="A39" s="11">
        <v>45157</v>
      </c>
      <c r="B39" t="s">
        <v>91</v>
      </c>
      <c r="C39" t="s">
        <v>32</v>
      </c>
      <c r="D39" s="1">
        <v>564989</v>
      </c>
      <c r="E39" s="1">
        <v>207350</v>
      </c>
      <c r="F39" s="3">
        <v>0.36699999999999999</v>
      </c>
      <c r="G39" s="1">
        <v>3536</v>
      </c>
      <c r="H39" s="3">
        <v>1.7100000000000001E-2</v>
      </c>
      <c r="I39" s="16">
        <v>6.3E-3</v>
      </c>
    </row>
    <row r="40" spans="1:9" x14ac:dyDescent="0.25">
      <c r="A40" s="11">
        <v>45157</v>
      </c>
      <c r="B40" t="s">
        <v>91</v>
      </c>
      <c r="C40" t="s">
        <v>33</v>
      </c>
      <c r="D40" s="1">
        <v>38302</v>
      </c>
      <c r="E40" s="1">
        <v>10381</v>
      </c>
      <c r="F40" s="3">
        <v>0.27100000000000002</v>
      </c>
      <c r="G40">
        <v>361</v>
      </c>
      <c r="H40" s="3">
        <v>3.4799999999999998E-2</v>
      </c>
      <c r="I40" s="16">
        <v>9.4000000000000004E-3</v>
      </c>
    </row>
    <row r="41" spans="1:9" x14ac:dyDescent="0.25">
      <c r="A41" s="11">
        <v>45161</v>
      </c>
      <c r="B41" t="s">
        <v>93</v>
      </c>
      <c r="C41" t="s">
        <v>32</v>
      </c>
      <c r="D41" s="1">
        <v>4980561</v>
      </c>
      <c r="E41" s="1">
        <v>1751259</v>
      </c>
      <c r="F41" s="3">
        <v>0.35160000000000002</v>
      </c>
      <c r="G41" s="1">
        <v>109525</v>
      </c>
      <c r="H41" s="3">
        <v>6.25E-2</v>
      </c>
      <c r="I41" s="16">
        <v>2.1999999999999999E-2</v>
      </c>
    </row>
    <row r="42" spans="1:9" x14ac:dyDescent="0.25">
      <c r="A42" s="11">
        <v>45161</v>
      </c>
      <c r="B42" t="s">
        <v>93</v>
      </c>
      <c r="C42" t="s">
        <v>33</v>
      </c>
      <c r="D42" s="1">
        <v>325472</v>
      </c>
      <c r="E42" s="1">
        <v>96730</v>
      </c>
      <c r="F42" s="3">
        <v>0.29720000000000002</v>
      </c>
      <c r="G42" s="1">
        <v>10043</v>
      </c>
      <c r="H42" s="3">
        <v>0.1038</v>
      </c>
      <c r="I42" s="16">
        <v>3.09E-2</v>
      </c>
    </row>
    <row r="43" spans="1:9" x14ac:dyDescent="0.25">
      <c r="A43" s="11">
        <v>45161</v>
      </c>
      <c r="B43" t="s">
        <v>94</v>
      </c>
      <c r="C43" t="s">
        <v>32</v>
      </c>
      <c r="D43" s="1">
        <v>67865</v>
      </c>
      <c r="E43" s="1">
        <v>27534</v>
      </c>
      <c r="F43" s="3">
        <v>0.40570000000000001</v>
      </c>
      <c r="G43">
        <v>719</v>
      </c>
      <c r="H43" s="3">
        <v>2.6100000000000002E-2</v>
      </c>
      <c r="I43" s="16">
        <v>1.06E-2</v>
      </c>
    </row>
    <row r="44" spans="1:9" x14ac:dyDescent="0.25">
      <c r="A44" s="11">
        <v>45161</v>
      </c>
      <c r="B44" t="s">
        <v>94</v>
      </c>
      <c r="C44" t="s">
        <v>33</v>
      </c>
      <c r="D44" s="1">
        <v>4928</v>
      </c>
      <c r="E44" s="1">
        <v>1898</v>
      </c>
      <c r="F44" s="2">
        <v>0.38514610389610399</v>
      </c>
      <c r="G44" s="1">
        <v>48</v>
      </c>
      <c r="H44" s="2">
        <v>2.52897787144362E-2</v>
      </c>
      <c r="I44" s="12">
        <v>9.74025974025974E-3</v>
      </c>
    </row>
    <row r="45" spans="1:9" x14ac:dyDescent="0.25">
      <c r="A45" s="11">
        <v>45162</v>
      </c>
      <c r="B45" t="s">
        <v>95</v>
      </c>
      <c r="C45" t="s">
        <v>96</v>
      </c>
      <c r="D45" s="1">
        <v>269274</v>
      </c>
      <c r="E45" s="1">
        <v>75658</v>
      </c>
      <c r="F45" s="3">
        <v>0.28660000000000002</v>
      </c>
      <c r="G45">
        <v>840</v>
      </c>
      <c r="H45" s="3">
        <v>1.17E-2</v>
      </c>
      <c r="I45" s="16">
        <v>3.3E-3</v>
      </c>
    </row>
    <row r="46" spans="1:9" x14ac:dyDescent="0.25">
      <c r="A46" s="11">
        <v>45162</v>
      </c>
      <c r="B46" t="s">
        <v>95</v>
      </c>
      <c r="C46" t="s">
        <v>97</v>
      </c>
      <c r="D46" s="1">
        <v>21756</v>
      </c>
      <c r="E46" s="1">
        <v>4770</v>
      </c>
      <c r="F46" s="3">
        <v>0.222</v>
      </c>
      <c r="G46">
        <v>117</v>
      </c>
      <c r="H46" s="3">
        <v>2.2700000000000001E-2</v>
      </c>
      <c r="I46" s="16">
        <v>5.0000000000000001E-3</v>
      </c>
    </row>
    <row r="47" spans="1:9" x14ac:dyDescent="0.25">
      <c r="A47" s="11">
        <v>45162</v>
      </c>
      <c r="B47" t="s">
        <v>95</v>
      </c>
      <c r="C47" t="s">
        <v>98</v>
      </c>
      <c r="D47" s="1">
        <v>14119</v>
      </c>
      <c r="E47" s="1">
        <v>3947</v>
      </c>
      <c r="F47" s="3">
        <v>0.28549999999999998</v>
      </c>
      <c r="G47">
        <v>45</v>
      </c>
      <c r="H47" s="3">
        <v>1.15E-2</v>
      </c>
      <c r="I47" s="16">
        <v>3.3E-3</v>
      </c>
    </row>
    <row r="48" spans="1:9" x14ac:dyDescent="0.25">
      <c r="A48" s="11">
        <v>45162</v>
      </c>
      <c r="B48" t="s">
        <v>95</v>
      </c>
      <c r="C48" t="s">
        <v>99</v>
      </c>
      <c r="D48" s="1">
        <v>1190</v>
      </c>
      <c r="E48">
        <v>214</v>
      </c>
      <c r="F48" s="3">
        <v>0.17119999999999999</v>
      </c>
      <c r="G48">
        <v>7</v>
      </c>
      <c r="H48" s="3">
        <v>3.0200000000000001E-2</v>
      </c>
      <c r="I48" s="16">
        <v>5.1999999999999998E-3</v>
      </c>
    </row>
    <row r="49" spans="1:9" ht="15.75" thickBot="1" x14ac:dyDescent="0.3">
      <c r="A49" s="17" t="s">
        <v>427</v>
      </c>
      <c r="B49" s="4"/>
      <c r="C49" s="4"/>
      <c r="D49" s="18">
        <f>SUM(D39:D48)</f>
        <v>6288456</v>
      </c>
      <c r="E49" s="18">
        <f>SUM(E39:E48)</f>
        <v>2179741</v>
      </c>
      <c r="F49" s="19">
        <f>SUM(E49/D49)</f>
        <v>0.34662578540741956</v>
      </c>
      <c r="G49" s="18">
        <f>SUM(G39:G48)</f>
        <v>125241</v>
      </c>
      <c r="H49" s="19">
        <f>SUM(G49/E49)</f>
        <v>5.7456826292665047E-2</v>
      </c>
      <c r="I49" s="21">
        <f>SUM(G49/D49)</f>
        <v>1.9916017540712698E-2</v>
      </c>
    </row>
    <row r="50" spans="1:9" ht="3" customHeight="1" thickBot="1" x14ac:dyDescent="0.3">
      <c r="A50" s="137"/>
      <c r="B50" s="137"/>
      <c r="C50" s="137"/>
      <c r="D50" s="137"/>
      <c r="E50" s="137"/>
      <c r="F50" s="137"/>
      <c r="G50" s="137"/>
      <c r="H50" s="137"/>
      <c r="I50" s="137"/>
    </row>
    <row r="51" spans="1:9" x14ac:dyDescent="0.25">
      <c r="A51" s="22" t="s">
        <v>792</v>
      </c>
      <c r="B51" s="23"/>
      <c r="C51" s="23"/>
      <c r="D51" s="23"/>
      <c r="E51" s="23"/>
      <c r="F51" s="23"/>
      <c r="G51" s="23"/>
      <c r="H51" s="23"/>
      <c r="I51" s="24"/>
    </row>
    <row r="52" spans="1:9" x14ac:dyDescent="0.25">
      <c r="A52" s="11">
        <v>45162</v>
      </c>
      <c r="B52" t="s">
        <v>100</v>
      </c>
      <c r="C52" t="s">
        <v>32</v>
      </c>
      <c r="D52" s="1">
        <v>367334</v>
      </c>
      <c r="E52" s="1">
        <v>115428</v>
      </c>
      <c r="F52" s="3">
        <v>0.31419999999999998</v>
      </c>
      <c r="G52" s="1">
        <v>790</v>
      </c>
      <c r="H52" s="3">
        <v>6.7999999999999996E-3</v>
      </c>
      <c r="I52" s="33">
        <v>2.2000000000000001E-3</v>
      </c>
    </row>
    <row r="53" spans="1:9" x14ac:dyDescent="0.25">
      <c r="A53" s="11">
        <v>45162</v>
      </c>
      <c r="B53" t="s">
        <v>101</v>
      </c>
      <c r="C53" t="s">
        <v>33</v>
      </c>
      <c r="D53" s="1">
        <v>25534</v>
      </c>
      <c r="E53" s="1">
        <v>6454</v>
      </c>
      <c r="F53" s="3">
        <v>0.25280000000000002</v>
      </c>
      <c r="G53">
        <v>72</v>
      </c>
      <c r="H53" s="3">
        <v>1.12E-2</v>
      </c>
      <c r="I53" s="16">
        <v>2.8E-3</v>
      </c>
    </row>
    <row r="54" spans="1:9" x14ac:dyDescent="0.25">
      <c r="A54" s="11">
        <v>45162</v>
      </c>
      <c r="B54" t="s">
        <v>75</v>
      </c>
      <c r="C54" t="s">
        <v>32</v>
      </c>
      <c r="D54" s="1">
        <v>267294</v>
      </c>
      <c r="E54" s="1">
        <v>106780</v>
      </c>
      <c r="F54" s="3">
        <v>0.39950000000000002</v>
      </c>
      <c r="G54">
        <v>735</v>
      </c>
      <c r="H54" s="3">
        <v>6.8999999999999999E-3</v>
      </c>
      <c r="I54" s="16">
        <v>2.7000000000000001E-3</v>
      </c>
    </row>
    <row r="55" spans="1:9" x14ac:dyDescent="0.25">
      <c r="A55" s="11">
        <v>45162</v>
      </c>
      <c r="B55" t="s">
        <v>76</v>
      </c>
      <c r="C55" t="s">
        <v>33</v>
      </c>
      <c r="D55" s="1">
        <v>16036</v>
      </c>
      <c r="E55" s="1">
        <v>5365</v>
      </c>
      <c r="F55" s="3">
        <v>0.33460000000000001</v>
      </c>
      <c r="G55">
        <v>67</v>
      </c>
      <c r="H55" s="3">
        <v>1.2500000000000001E-2</v>
      </c>
      <c r="I55" s="16">
        <v>4.1999999999999997E-3</v>
      </c>
    </row>
    <row r="56" spans="1:9" x14ac:dyDescent="0.25">
      <c r="A56" s="11">
        <v>45162</v>
      </c>
      <c r="B56" t="s">
        <v>102</v>
      </c>
      <c r="C56" t="s">
        <v>32</v>
      </c>
      <c r="D56" s="1">
        <v>121163</v>
      </c>
      <c r="E56" s="1">
        <v>40258</v>
      </c>
      <c r="F56" s="3">
        <v>0.33229999999999998</v>
      </c>
      <c r="G56" s="1">
        <v>336</v>
      </c>
      <c r="H56" s="3">
        <v>8.3000000000000001E-3</v>
      </c>
      <c r="I56" s="33">
        <v>2.8E-3</v>
      </c>
    </row>
    <row r="57" spans="1:9" x14ac:dyDescent="0.25">
      <c r="A57" s="11">
        <v>45162</v>
      </c>
      <c r="B57" t="s">
        <v>103</v>
      </c>
      <c r="C57" t="s">
        <v>33</v>
      </c>
      <c r="D57" s="1">
        <v>7410</v>
      </c>
      <c r="E57" s="1">
        <v>2074</v>
      </c>
      <c r="F57" s="3">
        <v>0.27989999999999998</v>
      </c>
      <c r="G57" s="1">
        <v>21</v>
      </c>
      <c r="H57" s="3">
        <v>1.01E-2</v>
      </c>
      <c r="I57" s="16">
        <v>2.8E-3</v>
      </c>
    </row>
    <row r="58" spans="1:9" x14ac:dyDescent="0.25">
      <c r="A58" s="11">
        <v>45162</v>
      </c>
      <c r="B58" t="s">
        <v>77</v>
      </c>
      <c r="C58" t="s">
        <v>32</v>
      </c>
      <c r="D58" s="1">
        <v>722364</v>
      </c>
      <c r="E58" s="1">
        <v>246406</v>
      </c>
      <c r="F58" s="3">
        <v>0.34110000000000001</v>
      </c>
      <c r="G58" s="1">
        <v>2724</v>
      </c>
      <c r="H58" s="3">
        <v>1.11E-2</v>
      </c>
      <c r="I58" s="16">
        <v>3.8E-3</v>
      </c>
    </row>
    <row r="59" spans="1:9" x14ac:dyDescent="0.25">
      <c r="A59" s="11">
        <v>45162</v>
      </c>
      <c r="B59" t="s">
        <v>78</v>
      </c>
      <c r="C59" t="s">
        <v>33</v>
      </c>
      <c r="D59" s="1">
        <v>41547</v>
      </c>
      <c r="E59" s="1">
        <v>9560</v>
      </c>
      <c r="F59" s="3">
        <v>0.2301</v>
      </c>
      <c r="G59">
        <v>137</v>
      </c>
      <c r="H59" s="3">
        <v>1.43E-2</v>
      </c>
      <c r="I59" s="16">
        <v>3.3E-3</v>
      </c>
    </row>
    <row r="60" spans="1:9" ht="15.75" thickBot="1" x14ac:dyDescent="0.3">
      <c r="A60" s="17" t="s">
        <v>427</v>
      </c>
      <c r="B60" s="4"/>
      <c r="C60" s="4"/>
      <c r="D60" s="18">
        <f>SUM(D52:D59)</f>
        <v>1568682</v>
      </c>
      <c r="E60" s="18">
        <f>SUM(E52:E59)</f>
        <v>532325</v>
      </c>
      <c r="F60" s="19">
        <f>SUM(E60/D60)</f>
        <v>0.33934538676417525</v>
      </c>
      <c r="G60" s="18">
        <f>SUM(G51:G59)</f>
        <v>4882</v>
      </c>
      <c r="H60" s="19">
        <f>SUM(G60/E60)</f>
        <v>9.1710890903113698E-3</v>
      </c>
      <c r="I60" s="21">
        <f>SUM(G60/D60)</f>
        <v>3.1121667744004201E-3</v>
      </c>
    </row>
  </sheetData>
  <mergeCells count="3">
    <mergeCell ref="A27:I27"/>
    <mergeCell ref="A37:I37"/>
    <mergeCell ref="A50:I50"/>
  </mergeCells>
  <pageMargins left="0.7" right="0.7" top="0.75" bottom="0.75" header="0.3" footer="0.3"/>
  <pageSetup orientation="portrait" r:id="rId1"/>
  <ignoredErrors>
    <ignoredError sqref="F36 F26 F49" formula="1"/>
  </ignoredError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33D0-0551-42B1-B895-7C7D0D9B8370}">
  <dimension ref="A1:I46"/>
  <sheetViews>
    <sheetView zoomScale="90" zoomScaleNormal="90" workbookViewId="0">
      <selection activeCell="M37" sqref="M37"/>
    </sheetView>
  </sheetViews>
  <sheetFormatPr defaultRowHeight="15" x14ac:dyDescent="0.25"/>
  <cols>
    <col min="1" max="1" width="11.85546875" customWidth="1"/>
    <col min="2" max="2" width="69.42578125" customWidth="1"/>
    <col min="3" max="3" width="27.85546875" customWidth="1"/>
    <col min="4" max="4" width="12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bestFit="1" customWidth="1"/>
  </cols>
  <sheetData>
    <row r="1" spans="1:9" ht="20.45" customHeight="1" x14ac:dyDescent="0.25">
      <c r="A1" s="5" t="s">
        <v>0</v>
      </c>
      <c r="B1" s="6" t="s">
        <v>1</v>
      </c>
      <c r="C1" s="6" t="s">
        <v>796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45163</v>
      </c>
      <c r="B2" t="s">
        <v>104</v>
      </c>
      <c r="C2" t="s">
        <v>32</v>
      </c>
      <c r="D2" s="1">
        <v>3088793</v>
      </c>
      <c r="E2" s="1">
        <v>1030291</v>
      </c>
      <c r="F2" s="2">
        <v>0.33355780073316699</v>
      </c>
      <c r="G2" s="1">
        <v>16270</v>
      </c>
      <c r="H2" s="2">
        <v>1.5791654979030199E-2</v>
      </c>
      <c r="I2" s="2">
        <v>5.2674297047422703E-3</v>
      </c>
    </row>
    <row r="3" spans="1:9" x14ac:dyDescent="0.25">
      <c r="A3" s="26">
        <v>45163</v>
      </c>
      <c r="B3" t="s">
        <v>104</v>
      </c>
      <c r="C3" t="s">
        <v>33</v>
      </c>
      <c r="D3" s="1">
        <v>211432</v>
      </c>
      <c r="E3" s="1">
        <v>51225</v>
      </c>
      <c r="F3" s="2">
        <v>0.24227647659767701</v>
      </c>
      <c r="G3" s="1">
        <v>1277</v>
      </c>
      <c r="H3" s="2">
        <v>2.4929233772572001E-2</v>
      </c>
      <c r="I3" s="2">
        <v>6.0397669226985497E-3</v>
      </c>
    </row>
    <row r="4" spans="1:9" x14ac:dyDescent="0.25">
      <c r="A4" s="26">
        <v>45163</v>
      </c>
      <c r="B4" t="s">
        <v>105</v>
      </c>
      <c r="C4" t="s">
        <v>32</v>
      </c>
      <c r="D4" s="1">
        <v>319820</v>
      </c>
      <c r="E4" s="1">
        <v>107509</v>
      </c>
      <c r="F4" s="2">
        <v>0.336154712025514</v>
      </c>
      <c r="G4" s="1">
        <v>1751</v>
      </c>
      <c r="H4" s="2">
        <v>1.6287008529518501E-2</v>
      </c>
      <c r="I4" s="2">
        <v>5.4749546619973699E-3</v>
      </c>
    </row>
    <row r="5" spans="1:9" x14ac:dyDescent="0.25">
      <c r="A5" s="26">
        <v>45166</v>
      </c>
      <c r="B5" t="s">
        <v>106</v>
      </c>
      <c r="C5" t="s">
        <v>32</v>
      </c>
      <c r="D5" s="1">
        <v>90670</v>
      </c>
      <c r="E5" s="1">
        <v>35364</v>
      </c>
      <c r="F5" s="2">
        <v>0.390029778316974</v>
      </c>
      <c r="G5" s="1">
        <v>713</v>
      </c>
      <c r="H5" s="2">
        <v>2.0161746408777301E-2</v>
      </c>
      <c r="I5" s="2">
        <v>7.8636814822984503E-3</v>
      </c>
    </row>
    <row r="6" spans="1:9" x14ac:dyDescent="0.25">
      <c r="A6" s="26">
        <v>45166</v>
      </c>
      <c r="B6" t="s">
        <v>107</v>
      </c>
      <c r="C6" t="s">
        <v>32</v>
      </c>
      <c r="D6" s="1">
        <v>334712</v>
      </c>
      <c r="E6" s="1">
        <v>146695</v>
      </c>
      <c r="F6" s="2">
        <v>0.438272305743445</v>
      </c>
      <c r="G6" s="1">
        <v>2981</v>
      </c>
      <c r="H6" s="2">
        <v>2.0321074337911998E-2</v>
      </c>
      <c r="I6" s="2">
        <v>8.9061641052606399E-3</v>
      </c>
    </row>
    <row r="7" spans="1:9" x14ac:dyDescent="0.25">
      <c r="A7" s="26">
        <v>45167</v>
      </c>
      <c r="B7" t="s">
        <v>108</v>
      </c>
      <c r="C7" t="s">
        <v>32</v>
      </c>
      <c r="D7" s="1">
        <v>916412</v>
      </c>
      <c r="E7" s="1">
        <v>329575</v>
      </c>
      <c r="F7" s="2">
        <v>0.35963627713299301</v>
      </c>
      <c r="G7" s="1">
        <v>6718</v>
      </c>
      <c r="H7" s="2">
        <v>2.0383827656830798E-2</v>
      </c>
      <c r="I7" s="2">
        <v>7.3307638922231501E-3</v>
      </c>
    </row>
    <row r="8" spans="1:9" x14ac:dyDescent="0.25">
      <c r="A8" s="26">
        <v>45167</v>
      </c>
      <c r="B8" t="s">
        <v>108</v>
      </c>
      <c r="C8" t="s">
        <v>33</v>
      </c>
      <c r="D8" s="1">
        <v>71420</v>
      </c>
      <c r="E8" s="1">
        <v>21999</v>
      </c>
      <c r="F8" s="2">
        <v>0.30802296275553098</v>
      </c>
      <c r="G8" s="1">
        <v>644</v>
      </c>
      <c r="H8" s="2">
        <v>2.92740579117233E-2</v>
      </c>
      <c r="I8" s="2">
        <v>9.0170820498459807E-3</v>
      </c>
    </row>
    <row r="9" spans="1:9" x14ac:dyDescent="0.25">
      <c r="A9" s="26">
        <v>45168</v>
      </c>
      <c r="B9" t="s">
        <v>109</v>
      </c>
      <c r="C9" t="s">
        <v>32</v>
      </c>
      <c r="D9" s="1">
        <v>2333516</v>
      </c>
      <c r="E9" s="1">
        <v>748686</v>
      </c>
      <c r="F9" s="3">
        <v>0.32079999999999997</v>
      </c>
      <c r="G9" s="1">
        <v>20879</v>
      </c>
      <c r="H9" s="3">
        <v>2.7900000000000001E-2</v>
      </c>
      <c r="I9" s="3">
        <v>8.8999999999999999E-3</v>
      </c>
    </row>
    <row r="10" spans="1:9" x14ac:dyDescent="0.25">
      <c r="A10" s="26">
        <v>45168</v>
      </c>
      <c r="B10" t="s">
        <v>109</v>
      </c>
      <c r="C10" t="s">
        <v>33</v>
      </c>
      <c r="D10" s="1">
        <v>112034</v>
      </c>
      <c r="E10" s="1">
        <v>29269</v>
      </c>
      <c r="F10" s="3">
        <v>0.26129999999999998</v>
      </c>
      <c r="G10" s="1">
        <v>1184</v>
      </c>
      <c r="H10" s="3">
        <v>4.0500000000000001E-2</v>
      </c>
      <c r="I10" s="3">
        <v>1.06E-2</v>
      </c>
    </row>
    <row r="11" spans="1:9" x14ac:dyDescent="0.25">
      <c r="A11" s="26">
        <v>45169</v>
      </c>
      <c r="B11" t="s">
        <v>110</v>
      </c>
      <c r="C11" t="s">
        <v>32</v>
      </c>
      <c r="D11" s="1">
        <v>620716</v>
      </c>
      <c r="E11" s="1">
        <v>180063</v>
      </c>
      <c r="F11" s="3">
        <v>0.29010000000000002</v>
      </c>
      <c r="G11" s="1">
        <v>1115</v>
      </c>
      <c r="H11" s="3">
        <v>6.1999999999999998E-3</v>
      </c>
      <c r="I11" s="3">
        <v>1.8E-3</v>
      </c>
    </row>
    <row r="12" spans="1:9" x14ac:dyDescent="0.25">
      <c r="A12" s="26">
        <v>45169</v>
      </c>
      <c r="B12" t="s">
        <v>111</v>
      </c>
      <c r="C12" t="s">
        <v>33</v>
      </c>
      <c r="D12" s="1">
        <v>52074</v>
      </c>
      <c r="E12" s="1">
        <v>10973</v>
      </c>
      <c r="F12" s="3">
        <v>0.2107</v>
      </c>
      <c r="G12">
        <v>123</v>
      </c>
      <c r="H12" s="3">
        <v>1.12E-2</v>
      </c>
      <c r="I12" s="3">
        <v>2.3999999999999998E-3</v>
      </c>
    </row>
    <row r="13" spans="1:9" x14ac:dyDescent="0.25">
      <c r="A13" s="26">
        <v>45169</v>
      </c>
      <c r="B13" t="s">
        <v>112</v>
      </c>
      <c r="C13" t="s">
        <v>32</v>
      </c>
      <c r="D13" s="1">
        <v>4432067</v>
      </c>
      <c r="E13" s="1">
        <v>1770690</v>
      </c>
      <c r="F13" s="2">
        <v>0.399517877324508</v>
      </c>
      <c r="G13" s="1">
        <v>52016</v>
      </c>
      <c r="H13" s="2">
        <v>2.9376118914095601E-2</v>
      </c>
      <c r="I13" s="2">
        <v>1.17362846725918E-2</v>
      </c>
    </row>
    <row r="14" spans="1:9" x14ac:dyDescent="0.25">
      <c r="A14" s="26">
        <v>45169</v>
      </c>
      <c r="B14" t="s">
        <v>112</v>
      </c>
      <c r="C14" t="s">
        <v>33</v>
      </c>
      <c r="D14" s="1">
        <v>307558</v>
      </c>
      <c r="E14" s="1">
        <v>75473</v>
      </c>
      <c r="F14" s="2">
        <v>0.24539436464016501</v>
      </c>
      <c r="G14" s="1">
        <v>1718</v>
      </c>
      <c r="H14" s="2">
        <v>2.27631073363984E-2</v>
      </c>
      <c r="I14" s="2">
        <v>5.5859382620513896E-3</v>
      </c>
    </row>
    <row r="15" spans="1:9" x14ac:dyDescent="0.25">
      <c r="A15" s="26">
        <v>45169</v>
      </c>
      <c r="B15" t="s">
        <v>100</v>
      </c>
      <c r="C15" t="s">
        <v>32</v>
      </c>
      <c r="D15" s="1">
        <v>334639</v>
      </c>
      <c r="E15" s="1">
        <v>102960</v>
      </c>
      <c r="F15" s="3">
        <v>0.30769999999999997</v>
      </c>
      <c r="G15">
        <v>588</v>
      </c>
      <c r="H15" s="3">
        <v>5.7000000000000002E-3</v>
      </c>
      <c r="I15" s="3">
        <v>1.8E-3</v>
      </c>
    </row>
    <row r="16" spans="1:9" x14ac:dyDescent="0.25">
      <c r="A16" s="26">
        <v>45169</v>
      </c>
      <c r="B16" t="s">
        <v>101</v>
      </c>
      <c r="C16" t="s">
        <v>33</v>
      </c>
      <c r="D16" s="1">
        <v>21663</v>
      </c>
      <c r="E16" s="1">
        <v>4837</v>
      </c>
      <c r="F16" s="3">
        <v>0.2233</v>
      </c>
      <c r="G16">
        <v>46</v>
      </c>
      <c r="H16" s="3">
        <v>9.4999999999999998E-3</v>
      </c>
      <c r="I16" s="3">
        <v>2.0999999999999999E-3</v>
      </c>
    </row>
    <row r="17" spans="1:9" x14ac:dyDescent="0.25">
      <c r="A17" s="26">
        <v>45169</v>
      </c>
      <c r="B17" t="s">
        <v>102</v>
      </c>
      <c r="C17" t="s">
        <v>32</v>
      </c>
      <c r="D17" s="1">
        <v>90821</v>
      </c>
      <c r="E17" s="1">
        <v>28889</v>
      </c>
      <c r="F17" s="3">
        <v>0.31809999999999999</v>
      </c>
      <c r="G17">
        <v>209</v>
      </c>
      <c r="H17" s="3">
        <v>7.1999999999999998E-3</v>
      </c>
      <c r="I17" s="3">
        <v>2.3E-3</v>
      </c>
    </row>
    <row r="18" spans="1:9" x14ac:dyDescent="0.25">
      <c r="A18" s="26">
        <v>45169</v>
      </c>
      <c r="B18" t="s">
        <v>103</v>
      </c>
      <c r="C18" t="s">
        <v>33</v>
      </c>
      <c r="D18" s="1">
        <v>5872</v>
      </c>
      <c r="E18" s="1">
        <v>1456</v>
      </c>
      <c r="F18" s="3">
        <v>0.248</v>
      </c>
      <c r="G18">
        <v>8</v>
      </c>
      <c r="H18" s="3">
        <v>5.4999999999999997E-3</v>
      </c>
      <c r="I18" s="3">
        <v>1.4E-3</v>
      </c>
    </row>
    <row r="19" spans="1:9" x14ac:dyDescent="0.25">
      <c r="A19" s="27" t="s">
        <v>427</v>
      </c>
      <c r="D19" s="14">
        <f>SUM(D2:D18)</f>
        <v>13344219</v>
      </c>
      <c r="E19" s="14">
        <f>SUM(E2:E18)</f>
        <v>4675954</v>
      </c>
      <c r="F19" s="15">
        <f>SUM(E19/D19)</f>
        <v>0.35041046613518556</v>
      </c>
      <c r="G19" s="14">
        <f>SUM(G2:G18)</f>
        <v>108240</v>
      </c>
      <c r="H19" s="15">
        <f>SUM(G19/E19)</f>
        <v>2.3148217454662726E-2</v>
      </c>
      <c r="I19" s="15">
        <f>SUM(G19/D19)</f>
        <v>8.1113776684870048E-3</v>
      </c>
    </row>
    <row r="20" spans="1:9" ht="15.75" thickBot="1" x14ac:dyDescent="0.3">
      <c r="A20" s="135"/>
      <c r="B20" s="135"/>
      <c r="C20" s="135"/>
      <c r="D20" s="135"/>
      <c r="E20" s="135"/>
      <c r="F20" s="135"/>
      <c r="G20" s="135"/>
      <c r="H20" s="135"/>
      <c r="I20" s="135"/>
    </row>
    <row r="21" spans="1:9" x14ac:dyDescent="0.25">
      <c r="A21" s="5" t="s">
        <v>0</v>
      </c>
      <c r="B21" s="6" t="s">
        <v>1</v>
      </c>
      <c r="C21" s="6" t="s">
        <v>796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7" t="s">
        <v>8</v>
      </c>
    </row>
    <row r="22" spans="1:9" x14ac:dyDescent="0.25">
      <c r="A22" s="8" t="s">
        <v>790</v>
      </c>
      <c r="B22" s="9"/>
      <c r="C22" s="9"/>
      <c r="D22" s="9"/>
      <c r="E22" s="9"/>
      <c r="F22" s="9"/>
      <c r="G22" s="9"/>
      <c r="H22" s="9"/>
      <c r="I22" s="10"/>
    </row>
    <row r="23" spans="1:9" x14ac:dyDescent="0.25">
      <c r="A23" s="11">
        <v>45163</v>
      </c>
      <c r="B23" t="s">
        <v>104</v>
      </c>
      <c r="C23" t="s">
        <v>32</v>
      </c>
      <c r="D23" s="1">
        <v>3088793</v>
      </c>
      <c r="E23" s="1">
        <v>1030291</v>
      </c>
      <c r="F23" s="2">
        <v>0.33355780073316699</v>
      </c>
      <c r="G23" s="1">
        <v>16270</v>
      </c>
      <c r="H23" s="2">
        <v>1.5791654979030199E-2</v>
      </c>
      <c r="I23" s="12">
        <v>5.2674297047422703E-3</v>
      </c>
    </row>
    <row r="24" spans="1:9" x14ac:dyDescent="0.25">
      <c r="A24" s="11">
        <v>45163</v>
      </c>
      <c r="B24" t="s">
        <v>104</v>
      </c>
      <c r="C24" t="s">
        <v>33</v>
      </c>
      <c r="D24" s="1">
        <v>211432</v>
      </c>
      <c r="E24" s="1">
        <v>51225</v>
      </c>
      <c r="F24" s="2">
        <v>0.24227647659767701</v>
      </c>
      <c r="G24" s="1">
        <v>1277</v>
      </c>
      <c r="H24" s="2">
        <v>2.4929233772572001E-2</v>
      </c>
      <c r="I24" s="12">
        <v>6.0397669226985497E-3</v>
      </c>
    </row>
    <row r="25" spans="1:9" x14ac:dyDescent="0.25">
      <c r="A25" s="11">
        <v>45163</v>
      </c>
      <c r="B25" t="s">
        <v>105</v>
      </c>
      <c r="C25" t="s">
        <v>32</v>
      </c>
      <c r="D25" s="1">
        <v>319820</v>
      </c>
      <c r="E25" s="1">
        <v>107509</v>
      </c>
      <c r="F25" s="2">
        <v>0.336154712025514</v>
      </c>
      <c r="G25" s="1">
        <v>1751</v>
      </c>
      <c r="H25" s="2">
        <v>1.6287008529518501E-2</v>
      </c>
      <c r="I25" s="12">
        <v>5.4749546619973699E-3</v>
      </c>
    </row>
    <row r="26" spans="1:9" x14ac:dyDescent="0.25">
      <c r="A26" s="11">
        <v>45167</v>
      </c>
      <c r="B26" t="s">
        <v>108</v>
      </c>
      <c r="C26" t="s">
        <v>32</v>
      </c>
      <c r="D26" s="1">
        <v>916412</v>
      </c>
      <c r="E26" s="1">
        <v>329575</v>
      </c>
      <c r="F26" s="2">
        <v>0.35963627713299301</v>
      </c>
      <c r="G26" s="1">
        <v>6718</v>
      </c>
      <c r="H26" s="2">
        <v>2.0383827656830798E-2</v>
      </c>
      <c r="I26" s="12">
        <v>7.3307638922231501E-3</v>
      </c>
    </row>
    <row r="27" spans="1:9" x14ac:dyDescent="0.25">
      <c r="A27" s="11">
        <v>45167</v>
      </c>
      <c r="B27" t="s">
        <v>108</v>
      </c>
      <c r="C27" t="s">
        <v>33</v>
      </c>
      <c r="D27" s="1">
        <v>71420</v>
      </c>
      <c r="E27" s="1">
        <v>21999</v>
      </c>
      <c r="F27" s="2">
        <v>0.30802296275553098</v>
      </c>
      <c r="G27" s="1">
        <v>644</v>
      </c>
      <c r="H27" s="2">
        <v>2.92740579117233E-2</v>
      </c>
      <c r="I27" s="12">
        <v>9.0170820498459807E-3</v>
      </c>
    </row>
    <row r="28" spans="1:9" ht="15.75" thickBot="1" x14ac:dyDescent="0.3">
      <c r="A28" s="17" t="s">
        <v>427</v>
      </c>
      <c r="B28" s="4"/>
      <c r="C28" s="4"/>
      <c r="D28" s="18">
        <f>SUM(D23:D27)</f>
        <v>4607877</v>
      </c>
      <c r="E28" s="18">
        <f>SUM(E23:E27)</f>
        <v>1540599</v>
      </c>
      <c r="F28" s="19">
        <f>SUM(E28/D28)</f>
        <v>0.33434030465656961</v>
      </c>
      <c r="G28" s="18">
        <f>SUM(G23:G27)</f>
        <v>26660</v>
      </c>
      <c r="H28" s="19">
        <f>SUM(G28/E28)</f>
        <v>1.7304957357495362E-2</v>
      </c>
      <c r="I28" s="21">
        <f>SUM(G28/D28)</f>
        <v>5.7857447149739453E-3</v>
      </c>
    </row>
    <row r="29" spans="1:9" ht="15.75" thickBot="1" x14ac:dyDescent="0.3">
      <c r="A29" s="140"/>
      <c r="B29" s="140"/>
      <c r="C29" s="140"/>
      <c r="D29" s="140"/>
      <c r="E29" s="140"/>
      <c r="F29" s="140"/>
      <c r="G29" s="140"/>
      <c r="H29" s="140"/>
      <c r="I29" s="140"/>
    </row>
    <row r="30" spans="1:9" x14ac:dyDescent="0.25">
      <c r="A30" s="22" t="s">
        <v>795</v>
      </c>
      <c r="B30" s="23"/>
      <c r="C30" s="23"/>
      <c r="D30" s="23"/>
      <c r="E30" s="23"/>
      <c r="F30" s="23"/>
      <c r="G30" s="23"/>
      <c r="H30" s="23"/>
      <c r="I30" s="24"/>
    </row>
    <row r="31" spans="1:9" x14ac:dyDescent="0.25">
      <c r="A31" s="11">
        <v>45166</v>
      </c>
      <c r="B31" t="s">
        <v>106</v>
      </c>
      <c r="C31" t="s">
        <v>32</v>
      </c>
      <c r="D31" s="1">
        <v>90670</v>
      </c>
      <c r="E31" s="1">
        <v>35364</v>
      </c>
      <c r="F31" s="2">
        <v>0.390029778316974</v>
      </c>
      <c r="G31" s="1">
        <v>713</v>
      </c>
      <c r="H31" s="2">
        <v>2.0161746408777301E-2</v>
      </c>
      <c r="I31" s="12">
        <v>7.8636814822984503E-3</v>
      </c>
    </row>
    <row r="32" spans="1:9" x14ac:dyDescent="0.25">
      <c r="A32" s="11">
        <v>45166</v>
      </c>
      <c r="B32" t="s">
        <v>107</v>
      </c>
      <c r="C32" t="s">
        <v>32</v>
      </c>
      <c r="D32" s="1">
        <v>334712</v>
      </c>
      <c r="E32" s="1">
        <v>146695</v>
      </c>
      <c r="F32" s="2">
        <v>0.438272305743445</v>
      </c>
      <c r="G32" s="1">
        <v>2981</v>
      </c>
      <c r="H32" s="2">
        <v>2.0321074337911998E-2</v>
      </c>
      <c r="I32" s="12">
        <v>8.9061641052606399E-3</v>
      </c>
    </row>
    <row r="33" spans="1:9" x14ac:dyDescent="0.25">
      <c r="A33" s="11">
        <v>45168</v>
      </c>
      <c r="B33" t="s">
        <v>109</v>
      </c>
      <c r="C33" t="s">
        <v>32</v>
      </c>
      <c r="D33" s="1">
        <v>2333516</v>
      </c>
      <c r="E33" s="1">
        <v>748686</v>
      </c>
      <c r="F33" s="3">
        <v>0.32079999999999997</v>
      </c>
      <c r="G33" s="1">
        <v>20879</v>
      </c>
      <c r="H33" s="3">
        <v>2.7900000000000001E-2</v>
      </c>
      <c r="I33" s="16">
        <v>8.8999999999999999E-3</v>
      </c>
    </row>
    <row r="34" spans="1:9" x14ac:dyDescent="0.25">
      <c r="A34" s="11">
        <v>45168</v>
      </c>
      <c r="B34" t="s">
        <v>109</v>
      </c>
      <c r="C34" t="s">
        <v>33</v>
      </c>
      <c r="D34" s="1">
        <v>112034</v>
      </c>
      <c r="E34" s="1">
        <v>29269</v>
      </c>
      <c r="F34" s="3">
        <v>0.26129999999999998</v>
      </c>
      <c r="G34" s="1">
        <v>1184</v>
      </c>
      <c r="H34" s="3">
        <v>4.0500000000000001E-2</v>
      </c>
      <c r="I34" s="16">
        <v>1.06E-2</v>
      </c>
    </row>
    <row r="35" spans="1:9" x14ac:dyDescent="0.25">
      <c r="A35" s="11">
        <v>45169</v>
      </c>
      <c r="B35" t="s">
        <v>112</v>
      </c>
      <c r="C35" t="s">
        <v>32</v>
      </c>
      <c r="D35" s="1">
        <v>4432067</v>
      </c>
      <c r="E35" s="1">
        <v>1770690</v>
      </c>
      <c r="F35" s="2">
        <v>0.399517877324508</v>
      </c>
      <c r="G35" s="1">
        <v>52016</v>
      </c>
      <c r="H35" s="2">
        <v>2.9376118914095601E-2</v>
      </c>
      <c r="I35" s="12">
        <v>1.17362846725918E-2</v>
      </c>
    </row>
    <row r="36" spans="1:9" x14ac:dyDescent="0.25">
      <c r="A36" s="11">
        <v>45169</v>
      </c>
      <c r="B36" t="s">
        <v>112</v>
      </c>
      <c r="C36" t="s">
        <v>33</v>
      </c>
      <c r="D36" s="1">
        <v>307558</v>
      </c>
      <c r="E36" s="1">
        <v>75473</v>
      </c>
      <c r="F36" s="2">
        <v>0.24539436464016501</v>
      </c>
      <c r="G36" s="1">
        <v>1718</v>
      </c>
      <c r="H36" s="2">
        <v>2.27631073363984E-2</v>
      </c>
      <c r="I36" s="12">
        <v>5.5859382620513896E-3</v>
      </c>
    </row>
    <row r="37" spans="1:9" ht="15.75" thickBot="1" x14ac:dyDescent="0.3">
      <c r="A37" s="17" t="s">
        <v>427</v>
      </c>
      <c r="B37" s="4"/>
      <c r="C37" s="4"/>
      <c r="D37" s="18">
        <f>SUM(D31:D36)</f>
        <v>7610557</v>
      </c>
      <c r="E37" s="18">
        <f>SUM(E31:E36)</f>
        <v>2806177</v>
      </c>
      <c r="F37" s="19">
        <f>SUM(E37/D37)</f>
        <v>0.36872163233256122</v>
      </c>
      <c r="G37" s="18">
        <f>SUM(G31:G36)</f>
        <v>79491</v>
      </c>
      <c r="H37" s="19">
        <f>SUM(G37/E37)</f>
        <v>2.8327151138363687E-2</v>
      </c>
      <c r="I37" s="21">
        <f>SUM(G37/D37)</f>
        <v>1.0444833407068628E-2</v>
      </c>
    </row>
    <row r="38" spans="1:9" ht="15.75" thickBot="1" x14ac:dyDescent="0.3">
      <c r="A38" s="137"/>
      <c r="B38" s="137"/>
      <c r="C38" s="137"/>
      <c r="D38" s="137"/>
      <c r="E38" s="137"/>
      <c r="F38" s="137"/>
      <c r="G38" s="137"/>
      <c r="H38" s="137"/>
      <c r="I38" s="137"/>
    </row>
    <row r="39" spans="1:9" x14ac:dyDescent="0.25">
      <c r="A39" s="22" t="s">
        <v>792</v>
      </c>
      <c r="B39" s="23"/>
      <c r="C39" s="23"/>
      <c r="D39" s="23"/>
      <c r="E39" s="23"/>
      <c r="F39" s="23"/>
      <c r="G39" s="23"/>
      <c r="H39" s="23"/>
      <c r="I39" s="24"/>
    </row>
    <row r="40" spans="1:9" x14ac:dyDescent="0.25">
      <c r="A40" s="11">
        <v>45169</v>
      </c>
      <c r="B40" t="s">
        <v>110</v>
      </c>
      <c r="C40" t="s">
        <v>32</v>
      </c>
      <c r="D40" s="1">
        <v>620716</v>
      </c>
      <c r="E40" s="1">
        <v>180063</v>
      </c>
      <c r="F40" s="3">
        <v>0.29010000000000002</v>
      </c>
      <c r="G40" s="1">
        <v>1115</v>
      </c>
      <c r="H40" s="3">
        <v>6.1999999999999998E-3</v>
      </c>
      <c r="I40" s="16">
        <v>1.8E-3</v>
      </c>
    </row>
    <row r="41" spans="1:9" x14ac:dyDescent="0.25">
      <c r="A41" s="11">
        <v>45169</v>
      </c>
      <c r="B41" t="s">
        <v>111</v>
      </c>
      <c r="C41" t="s">
        <v>33</v>
      </c>
      <c r="D41" s="1">
        <v>52074</v>
      </c>
      <c r="E41" s="1">
        <v>10973</v>
      </c>
      <c r="F41" s="3">
        <v>0.2107</v>
      </c>
      <c r="G41">
        <v>123</v>
      </c>
      <c r="H41" s="3">
        <v>1.12E-2</v>
      </c>
      <c r="I41" s="16">
        <v>2.3999999999999998E-3</v>
      </c>
    </row>
    <row r="42" spans="1:9" x14ac:dyDescent="0.25">
      <c r="A42" s="11">
        <v>45169</v>
      </c>
      <c r="B42" t="s">
        <v>100</v>
      </c>
      <c r="C42" t="s">
        <v>32</v>
      </c>
      <c r="D42" s="1">
        <v>334639</v>
      </c>
      <c r="E42" s="1">
        <v>102960</v>
      </c>
      <c r="F42" s="3">
        <v>0.30769999999999997</v>
      </c>
      <c r="G42">
        <v>588</v>
      </c>
      <c r="H42" s="3">
        <v>5.7000000000000002E-3</v>
      </c>
      <c r="I42" s="16">
        <v>1.8E-3</v>
      </c>
    </row>
    <row r="43" spans="1:9" x14ac:dyDescent="0.25">
      <c r="A43" s="11">
        <v>45169</v>
      </c>
      <c r="B43" t="s">
        <v>101</v>
      </c>
      <c r="C43" t="s">
        <v>33</v>
      </c>
      <c r="D43" s="1">
        <v>21663</v>
      </c>
      <c r="E43" s="1">
        <v>4837</v>
      </c>
      <c r="F43" s="3">
        <v>0.2233</v>
      </c>
      <c r="G43">
        <v>46</v>
      </c>
      <c r="H43" s="3">
        <v>9.4999999999999998E-3</v>
      </c>
      <c r="I43" s="16">
        <v>2.0999999999999999E-3</v>
      </c>
    </row>
    <row r="44" spans="1:9" x14ac:dyDescent="0.25">
      <c r="A44" s="11">
        <v>45169</v>
      </c>
      <c r="B44" t="s">
        <v>102</v>
      </c>
      <c r="C44" t="s">
        <v>32</v>
      </c>
      <c r="D44" s="1">
        <v>90821</v>
      </c>
      <c r="E44" s="1">
        <v>28889</v>
      </c>
      <c r="F44" s="3">
        <v>0.31809999999999999</v>
      </c>
      <c r="G44">
        <v>209</v>
      </c>
      <c r="H44" s="3">
        <v>7.1999999999999998E-3</v>
      </c>
      <c r="I44" s="16">
        <v>2.3E-3</v>
      </c>
    </row>
    <row r="45" spans="1:9" x14ac:dyDescent="0.25">
      <c r="A45" s="11">
        <v>45169</v>
      </c>
      <c r="B45" t="s">
        <v>103</v>
      </c>
      <c r="C45" t="s">
        <v>33</v>
      </c>
      <c r="D45" s="1">
        <v>5872</v>
      </c>
      <c r="E45" s="1">
        <v>1456</v>
      </c>
      <c r="F45" s="3">
        <v>0.248</v>
      </c>
      <c r="G45">
        <v>8</v>
      </c>
      <c r="H45" s="3">
        <v>5.4999999999999997E-3</v>
      </c>
      <c r="I45" s="16">
        <v>1.4E-3</v>
      </c>
    </row>
    <row r="46" spans="1:9" ht="15.75" thickBot="1" x14ac:dyDescent="0.3">
      <c r="A46" s="17" t="s">
        <v>427</v>
      </c>
      <c r="B46" s="4"/>
      <c r="C46" s="4"/>
      <c r="D46" s="18">
        <f>SUM(D40:D45)</f>
        <v>1125785</v>
      </c>
      <c r="E46" s="18">
        <f>SUM(E40:E45)</f>
        <v>329178</v>
      </c>
      <c r="F46" s="19">
        <f>SUM(E46/D46)</f>
        <v>0.29239863739523975</v>
      </c>
      <c r="G46" s="18">
        <f>SUM(G39:G45)</f>
        <v>2089</v>
      </c>
      <c r="H46" s="19">
        <f>SUM(G46/E46)</f>
        <v>6.3461106149256636E-3</v>
      </c>
      <c r="I46" s="21">
        <f>SUM(G46/D46)</f>
        <v>1.8555940965637311E-3</v>
      </c>
    </row>
  </sheetData>
  <mergeCells count="3">
    <mergeCell ref="A20:I20"/>
    <mergeCell ref="A29:I29"/>
    <mergeCell ref="A38:I38"/>
  </mergeCells>
  <pageMargins left="0.7" right="0.7" top="0.75" bottom="0.75" header="0.3" footer="0.3"/>
  <pageSetup orientation="portrait" r:id="rId1"/>
  <ignoredErrors>
    <ignoredError sqref="F19 F28 F37" formula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8D50-CC54-4F95-8F59-1CD3F2A9C8FF}">
  <dimension ref="A1:I68"/>
  <sheetViews>
    <sheetView zoomScale="80" zoomScaleNormal="80" workbookViewId="0">
      <selection activeCell="M37" sqref="M37"/>
    </sheetView>
  </sheetViews>
  <sheetFormatPr defaultRowHeight="15" x14ac:dyDescent="0.25"/>
  <cols>
    <col min="1" max="1" width="11.85546875" customWidth="1"/>
    <col min="2" max="2" width="69.42578125" customWidth="1"/>
    <col min="3" max="3" width="40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5" t="s">
        <v>0</v>
      </c>
      <c r="B1" s="6" t="s">
        <v>1</v>
      </c>
      <c r="C1" s="6" t="s">
        <v>796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45170</v>
      </c>
      <c r="B2" t="s">
        <v>113</v>
      </c>
      <c r="C2" t="s">
        <v>32</v>
      </c>
      <c r="D2" s="1">
        <v>3092303</v>
      </c>
      <c r="E2" s="1">
        <v>1031901</v>
      </c>
      <c r="F2" s="2">
        <v>0.333699834718655</v>
      </c>
      <c r="G2" s="1">
        <v>16183</v>
      </c>
      <c r="H2" s="2">
        <v>1.5682705996020899E-2</v>
      </c>
      <c r="I2" s="2">
        <v>5.2333163988134397E-3</v>
      </c>
    </row>
    <row r="3" spans="1:9" x14ac:dyDescent="0.25">
      <c r="A3" s="26">
        <v>45170</v>
      </c>
      <c r="B3" t="s">
        <v>113</v>
      </c>
      <c r="C3" t="s">
        <v>33</v>
      </c>
      <c r="D3" s="1">
        <v>211034</v>
      </c>
      <c r="E3" s="1">
        <v>49765</v>
      </c>
      <c r="F3" s="2">
        <v>0.23581508192992601</v>
      </c>
      <c r="G3" s="1">
        <v>979</v>
      </c>
      <c r="H3" s="2">
        <v>1.9672460564653899E-2</v>
      </c>
      <c r="I3" s="2">
        <v>4.63906289981709E-3</v>
      </c>
    </row>
    <row r="4" spans="1:9" x14ac:dyDescent="0.25">
      <c r="A4" s="26">
        <v>45170</v>
      </c>
      <c r="B4" t="s">
        <v>114</v>
      </c>
      <c r="C4" t="s">
        <v>32</v>
      </c>
      <c r="D4" s="1">
        <v>32437</v>
      </c>
      <c r="E4" s="1">
        <v>13324</v>
      </c>
      <c r="F4" s="2">
        <v>0.41076548386102302</v>
      </c>
      <c r="G4" s="1">
        <v>315</v>
      </c>
      <c r="H4" s="2">
        <v>2.3641549084359101E-2</v>
      </c>
      <c r="I4" s="2">
        <v>9.7111323488608698E-3</v>
      </c>
    </row>
    <row r="5" spans="1:9" x14ac:dyDescent="0.25">
      <c r="A5" s="26">
        <v>45170</v>
      </c>
      <c r="B5" t="s">
        <v>115</v>
      </c>
      <c r="C5" t="s">
        <v>32</v>
      </c>
      <c r="D5" s="1">
        <v>321326</v>
      </c>
      <c r="E5" s="1">
        <v>120423</v>
      </c>
      <c r="F5" s="2">
        <v>0.37476892626180303</v>
      </c>
      <c r="G5" s="1">
        <v>2001</v>
      </c>
      <c r="H5" s="2">
        <v>1.66164270944919E-2</v>
      </c>
      <c r="I5" s="2">
        <v>6.2273205405102604E-3</v>
      </c>
    </row>
    <row r="6" spans="1:9" x14ac:dyDescent="0.25">
      <c r="A6" s="26">
        <v>45170</v>
      </c>
      <c r="B6" t="s">
        <v>115</v>
      </c>
      <c r="C6" t="s">
        <v>33</v>
      </c>
      <c r="D6" s="1">
        <v>17377</v>
      </c>
      <c r="E6" s="1">
        <v>5705</v>
      </c>
      <c r="F6" s="2">
        <v>0.32830753294584802</v>
      </c>
      <c r="G6" s="1">
        <v>176</v>
      </c>
      <c r="H6" s="2">
        <v>3.0850131463628399E-2</v>
      </c>
      <c r="I6" s="2">
        <v>1.01283305518789E-2</v>
      </c>
    </row>
    <row r="7" spans="1:9" x14ac:dyDescent="0.25">
      <c r="A7" s="26">
        <v>45170</v>
      </c>
      <c r="B7" t="s">
        <v>116</v>
      </c>
      <c r="C7" t="s">
        <v>32</v>
      </c>
      <c r="D7" s="1">
        <v>2333284</v>
      </c>
      <c r="E7" s="1">
        <v>799297</v>
      </c>
      <c r="F7" s="2">
        <v>0.34256309990554101</v>
      </c>
      <c r="G7" s="1">
        <v>22160</v>
      </c>
      <c r="H7" s="2">
        <v>2.7724362783796301E-2</v>
      </c>
      <c r="I7" s="2">
        <v>9.4973436581230596E-3</v>
      </c>
    </row>
    <row r="8" spans="1:9" x14ac:dyDescent="0.25">
      <c r="A8" s="26">
        <v>45170</v>
      </c>
      <c r="B8" t="s">
        <v>116</v>
      </c>
      <c r="C8" t="s">
        <v>33</v>
      </c>
      <c r="D8" s="1">
        <v>112024</v>
      </c>
      <c r="E8" s="1">
        <v>31622</v>
      </c>
      <c r="F8" s="2">
        <v>0.282278797400557</v>
      </c>
      <c r="G8" s="1">
        <v>1262</v>
      </c>
      <c r="H8" s="2">
        <v>3.9908924166719401E-2</v>
      </c>
      <c r="I8" s="2">
        <v>1.12654431193316E-2</v>
      </c>
    </row>
    <row r="9" spans="1:9" x14ac:dyDescent="0.25">
      <c r="A9" s="26">
        <v>45170</v>
      </c>
      <c r="B9" t="s">
        <v>117</v>
      </c>
      <c r="C9" t="s">
        <v>32</v>
      </c>
      <c r="D9" s="1">
        <v>88461</v>
      </c>
      <c r="E9" s="1">
        <v>34721</v>
      </c>
      <c r="F9" s="2">
        <v>0.39250065000395701</v>
      </c>
      <c r="G9" s="1">
        <v>3769</v>
      </c>
      <c r="H9" s="2">
        <v>0.108551020995939</v>
      </c>
      <c r="I9" s="2">
        <v>4.26063462994992E-2</v>
      </c>
    </row>
    <row r="10" spans="1:9" x14ac:dyDescent="0.25">
      <c r="A10" s="26">
        <v>45170</v>
      </c>
      <c r="B10" t="s">
        <v>117</v>
      </c>
      <c r="C10" t="s">
        <v>33</v>
      </c>
      <c r="D10" s="1">
        <v>9836</v>
      </c>
      <c r="E10" s="1">
        <v>2569</v>
      </c>
      <c r="F10" s="2">
        <v>0.26118340788938599</v>
      </c>
      <c r="G10" s="1">
        <v>426</v>
      </c>
      <c r="H10" s="2">
        <v>0.16582327753989901</v>
      </c>
      <c r="I10" s="2">
        <v>4.3310288735258197E-2</v>
      </c>
    </row>
    <row r="11" spans="1:9" x14ac:dyDescent="0.25">
      <c r="A11" s="26">
        <v>45171</v>
      </c>
      <c r="B11" t="s">
        <v>118</v>
      </c>
      <c r="C11" t="s">
        <v>32</v>
      </c>
      <c r="D11" s="1">
        <v>41800</v>
      </c>
      <c r="E11" s="1">
        <v>15154</v>
      </c>
      <c r="F11" s="2">
        <v>0.36253588516746399</v>
      </c>
      <c r="G11" s="1">
        <v>1294</v>
      </c>
      <c r="H11" s="2">
        <v>8.5389996040649299E-2</v>
      </c>
      <c r="I11" s="2">
        <v>3.0956937799043099E-2</v>
      </c>
    </row>
    <row r="12" spans="1:9" x14ac:dyDescent="0.25">
      <c r="A12" s="26">
        <v>45171</v>
      </c>
      <c r="B12" t="s">
        <v>118</v>
      </c>
      <c r="C12" t="s">
        <v>33</v>
      </c>
      <c r="D12" s="1">
        <v>3898</v>
      </c>
      <c r="E12" s="1">
        <v>1357</v>
      </c>
      <c r="F12" s="2">
        <v>0.34812724474089302</v>
      </c>
      <c r="G12" s="1">
        <v>122</v>
      </c>
      <c r="H12" s="2">
        <v>8.9904200442151805E-2</v>
      </c>
      <c r="I12" s="2">
        <v>3.1298101590559298E-2</v>
      </c>
    </row>
    <row r="13" spans="1:9" x14ac:dyDescent="0.25">
      <c r="A13" s="26">
        <v>45171</v>
      </c>
      <c r="B13" t="s">
        <v>119</v>
      </c>
      <c r="C13" t="s">
        <v>32</v>
      </c>
      <c r="D13" s="1">
        <v>29694</v>
      </c>
      <c r="E13" s="1">
        <v>10555</v>
      </c>
      <c r="F13" s="3">
        <v>0.35549999999999998</v>
      </c>
      <c r="G13" s="1">
        <v>1945</v>
      </c>
      <c r="H13" s="3">
        <v>0.18429999999999999</v>
      </c>
      <c r="I13" s="3">
        <v>6.5500000000000003E-2</v>
      </c>
    </row>
    <row r="14" spans="1:9" x14ac:dyDescent="0.25">
      <c r="A14" s="26">
        <v>45174</v>
      </c>
      <c r="B14" t="s">
        <v>120</v>
      </c>
      <c r="C14" t="s">
        <v>32</v>
      </c>
      <c r="D14" s="1">
        <v>1113251</v>
      </c>
      <c r="E14" s="1">
        <v>397519</v>
      </c>
      <c r="F14" s="2">
        <v>0.35707940078203398</v>
      </c>
      <c r="G14" s="1">
        <v>7508</v>
      </c>
      <c r="H14" s="2">
        <v>1.88871475325708E-2</v>
      </c>
      <c r="I14" s="2">
        <v>6.7442113234122397E-3</v>
      </c>
    </row>
    <row r="15" spans="1:9" x14ac:dyDescent="0.25">
      <c r="A15" s="26">
        <v>45174</v>
      </c>
      <c r="B15" t="s">
        <v>120</v>
      </c>
      <c r="C15" t="s">
        <v>33</v>
      </c>
      <c r="D15" s="1">
        <v>84767</v>
      </c>
      <c r="E15" s="1">
        <v>23001</v>
      </c>
      <c r="F15" s="2">
        <v>0.27134380124340801</v>
      </c>
      <c r="G15" s="1">
        <v>608</v>
      </c>
      <c r="H15" s="2">
        <v>2.64336333202904E-2</v>
      </c>
      <c r="I15" s="2">
        <v>7.17260254580202E-3</v>
      </c>
    </row>
    <row r="16" spans="1:9" x14ac:dyDescent="0.25">
      <c r="A16" s="26">
        <v>45174</v>
      </c>
      <c r="B16" t="s">
        <v>121</v>
      </c>
      <c r="C16" t="s">
        <v>122</v>
      </c>
      <c r="D16" s="1">
        <v>2139</v>
      </c>
      <c r="E16">
        <v>892</v>
      </c>
      <c r="F16" s="3">
        <v>0.41699999999999998</v>
      </c>
      <c r="G16">
        <v>40</v>
      </c>
      <c r="H16" s="3">
        <v>4.48E-2</v>
      </c>
      <c r="I16" s="3">
        <v>1.8700000000000001E-2</v>
      </c>
    </row>
    <row r="17" spans="1:9" x14ac:dyDescent="0.25">
      <c r="A17" s="26">
        <v>45174</v>
      </c>
      <c r="B17" t="s">
        <v>121</v>
      </c>
      <c r="C17" t="s">
        <v>123</v>
      </c>
      <c r="D17" s="1">
        <v>2478</v>
      </c>
      <c r="E17" s="1">
        <v>1050</v>
      </c>
      <c r="F17" s="3">
        <v>0.42370000000000002</v>
      </c>
      <c r="G17">
        <v>30</v>
      </c>
      <c r="H17" s="3">
        <v>2.86E-2</v>
      </c>
      <c r="I17" s="3">
        <v>1.21E-2</v>
      </c>
    </row>
    <row r="18" spans="1:9" x14ac:dyDescent="0.25">
      <c r="A18" s="26">
        <v>45174</v>
      </c>
      <c r="B18" t="s">
        <v>121</v>
      </c>
      <c r="C18" t="s">
        <v>124</v>
      </c>
      <c r="D18" s="1">
        <v>12698</v>
      </c>
      <c r="E18" s="1">
        <v>4422</v>
      </c>
      <c r="F18" s="3">
        <v>0.34820000000000001</v>
      </c>
      <c r="G18">
        <v>93</v>
      </c>
      <c r="H18" s="3">
        <v>2.1000000000000001E-2</v>
      </c>
      <c r="I18" s="3">
        <v>7.3000000000000001E-3</v>
      </c>
    </row>
    <row r="19" spans="1:9" x14ac:dyDescent="0.25">
      <c r="A19" s="26">
        <v>45175</v>
      </c>
      <c r="B19" t="s">
        <v>125</v>
      </c>
      <c r="C19" t="s">
        <v>32</v>
      </c>
      <c r="D19" s="1">
        <v>4410546</v>
      </c>
      <c r="E19" s="1">
        <v>1381078</v>
      </c>
      <c r="F19" s="2">
        <v>0.313130845931547</v>
      </c>
      <c r="G19" s="1">
        <v>30407</v>
      </c>
      <c r="H19" s="2">
        <v>2.2016859293971801E-2</v>
      </c>
      <c r="I19" s="2">
        <v>6.8941577754772299E-3</v>
      </c>
    </row>
    <row r="20" spans="1:9" x14ac:dyDescent="0.25">
      <c r="A20" s="26">
        <v>45175</v>
      </c>
      <c r="B20" t="s">
        <v>125</v>
      </c>
      <c r="C20" t="s">
        <v>33</v>
      </c>
      <c r="D20" s="1">
        <v>305399</v>
      </c>
      <c r="E20" s="1">
        <v>86830</v>
      </c>
      <c r="F20" s="2">
        <v>0.28431658256903303</v>
      </c>
      <c r="G20" s="1">
        <v>3743</v>
      </c>
      <c r="H20" s="2">
        <v>4.31072210065645E-2</v>
      </c>
      <c r="I20" s="2">
        <v>1.22560977606344E-2</v>
      </c>
    </row>
    <row r="21" spans="1:9" x14ac:dyDescent="0.25">
      <c r="A21" s="26">
        <v>45175</v>
      </c>
      <c r="B21" t="s">
        <v>126</v>
      </c>
      <c r="C21" t="s">
        <v>32</v>
      </c>
      <c r="D21" s="1">
        <v>140182</v>
      </c>
      <c r="E21" s="1">
        <v>95196</v>
      </c>
      <c r="F21" s="3">
        <v>0.67910000000000004</v>
      </c>
      <c r="G21" s="1">
        <v>1455</v>
      </c>
      <c r="H21" s="3">
        <v>1.5299999999999999E-2</v>
      </c>
      <c r="I21" s="3">
        <v>1.04E-2</v>
      </c>
    </row>
    <row r="22" spans="1:9" x14ac:dyDescent="0.25">
      <c r="A22" s="26">
        <v>45176</v>
      </c>
      <c r="B22" t="s">
        <v>100</v>
      </c>
      <c r="C22" t="s">
        <v>32</v>
      </c>
      <c r="D22" s="1">
        <v>330956</v>
      </c>
      <c r="E22" s="1">
        <v>79440</v>
      </c>
      <c r="F22" s="3">
        <v>0.24</v>
      </c>
      <c r="G22">
        <v>527</v>
      </c>
      <c r="H22" s="3">
        <v>6.6E-3</v>
      </c>
      <c r="I22" s="3">
        <v>1.6000000000000001E-3</v>
      </c>
    </row>
    <row r="23" spans="1:9" x14ac:dyDescent="0.25">
      <c r="A23" s="26">
        <v>45176</v>
      </c>
      <c r="B23" t="s">
        <v>101</v>
      </c>
      <c r="C23" t="s">
        <v>33</v>
      </c>
      <c r="D23" s="1">
        <v>21540</v>
      </c>
      <c r="E23" s="1">
        <v>4062</v>
      </c>
      <c r="F23" s="3">
        <v>0.18859999999999999</v>
      </c>
      <c r="G23">
        <v>43</v>
      </c>
      <c r="H23" s="3">
        <v>1.06E-2</v>
      </c>
      <c r="I23" s="3">
        <v>2E-3</v>
      </c>
    </row>
    <row r="24" spans="1:9" x14ac:dyDescent="0.25">
      <c r="A24" s="26">
        <v>45176</v>
      </c>
      <c r="B24" t="s">
        <v>127</v>
      </c>
      <c r="C24" t="s">
        <v>32</v>
      </c>
      <c r="D24" s="1">
        <v>381400</v>
      </c>
      <c r="E24" s="1">
        <v>95107</v>
      </c>
      <c r="F24" s="3">
        <v>0.24940000000000001</v>
      </c>
      <c r="G24">
        <v>878</v>
      </c>
      <c r="H24" s="3">
        <v>9.1999999999999998E-3</v>
      </c>
      <c r="I24" s="3">
        <v>2.3E-3</v>
      </c>
    </row>
    <row r="25" spans="1:9" x14ac:dyDescent="0.25">
      <c r="A25" s="26">
        <v>45176</v>
      </c>
      <c r="B25" t="s">
        <v>128</v>
      </c>
      <c r="C25" t="s">
        <v>33</v>
      </c>
      <c r="D25" s="1">
        <v>22814</v>
      </c>
      <c r="E25" s="1">
        <v>4860</v>
      </c>
      <c r="F25" s="3">
        <v>0.21299999999999999</v>
      </c>
      <c r="G25">
        <v>60</v>
      </c>
      <c r="H25" s="3">
        <v>1.23E-2</v>
      </c>
      <c r="I25" s="3">
        <v>2.5999999999999999E-3</v>
      </c>
    </row>
    <row r="26" spans="1:9" x14ac:dyDescent="0.25">
      <c r="A26" s="26">
        <v>45176</v>
      </c>
      <c r="B26" t="s">
        <v>110</v>
      </c>
      <c r="C26" t="s">
        <v>32</v>
      </c>
      <c r="D26" s="1">
        <v>520337</v>
      </c>
      <c r="E26" s="1">
        <v>115893</v>
      </c>
      <c r="F26" s="3">
        <v>0.22270000000000001</v>
      </c>
      <c r="G26">
        <v>676</v>
      </c>
      <c r="H26" s="3">
        <v>5.7999999999999996E-3</v>
      </c>
      <c r="I26" s="3">
        <v>1.2999999999999999E-3</v>
      </c>
    </row>
    <row r="27" spans="1:9" x14ac:dyDescent="0.25">
      <c r="A27" s="26">
        <v>45176</v>
      </c>
      <c r="B27" t="s">
        <v>111</v>
      </c>
      <c r="C27" t="s">
        <v>33</v>
      </c>
      <c r="D27" s="1">
        <v>46781</v>
      </c>
      <c r="E27" s="1">
        <v>7536</v>
      </c>
      <c r="F27" s="3">
        <v>0.16109999999999999</v>
      </c>
      <c r="G27">
        <v>66</v>
      </c>
      <c r="H27" s="3">
        <v>8.8000000000000005E-3</v>
      </c>
      <c r="I27" s="3">
        <v>1.4E-3</v>
      </c>
    </row>
    <row r="28" spans="1:9" x14ac:dyDescent="0.25">
      <c r="A28" s="26">
        <v>45176</v>
      </c>
      <c r="B28" t="s">
        <v>102</v>
      </c>
      <c r="C28" t="s">
        <v>32</v>
      </c>
      <c r="D28" s="1">
        <v>90626</v>
      </c>
      <c r="E28" s="1">
        <v>21803</v>
      </c>
      <c r="F28" s="3">
        <v>0.24060000000000001</v>
      </c>
      <c r="G28">
        <v>155</v>
      </c>
      <c r="H28" s="3">
        <v>7.1000000000000004E-3</v>
      </c>
      <c r="I28" s="3">
        <v>1.6999999999999999E-3</v>
      </c>
    </row>
    <row r="29" spans="1:9" x14ac:dyDescent="0.25">
      <c r="A29" s="26">
        <v>45176</v>
      </c>
      <c r="B29" t="s">
        <v>103</v>
      </c>
      <c r="C29" t="s">
        <v>33</v>
      </c>
      <c r="D29" s="1">
        <v>5863</v>
      </c>
      <c r="E29" s="1">
        <v>1149</v>
      </c>
      <c r="F29" s="3">
        <v>0.19600000000000001</v>
      </c>
      <c r="G29">
        <v>13</v>
      </c>
      <c r="H29" s="3">
        <v>1.1299999999999999E-2</v>
      </c>
      <c r="I29" s="3">
        <v>2.2000000000000001E-3</v>
      </c>
    </row>
    <row r="30" spans="1:9" x14ac:dyDescent="0.25">
      <c r="A30" s="27" t="s">
        <v>427</v>
      </c>
      <c r="D30" s="14">
        <f>SUM(D2:D29)</f>
        <v>13785251</v>
      </c>
      <c r="E30" s="14">
        <f>SUM(E2:E29)</f>
        <v>4436231</v>
      </c>
      <c r="F30" s="15">
        <f>SUM(E30/D30)</f>
        <v>0.32180995471174229</v>
      </c>
      <c r="G30" s="14">
        <f>SUM(G2:G29)</f>
        <v>96934</v>
      </c>
      <c r="H30" s="15">
        <f>SUM(G30/E30)</f>
        <v>2.1850530326306274E-2</v>
      </c>
      <c r="I30" s="15">
        <f>SUM(G30/D30)</f>
        <v>7.0317181747361727E-3</v>
      </c>
    </row>
    <row r="31" spans="1:9" ht="15.75" thickBot="1" x14ac:dyDescent="0.3">
      <c r="A31" s="135"/>
      <c r="B31" s="135"/>
      <c r="C31" s="135"/>
      <c r="D31" s="135"/>
      <c r="E31" s="135"/>
      <c r="F31" s="135"/>
      <c r="G31" s="135"/>
      <c r="H31" s="135"/>
      <c r="I31" s="135"/>
    </row>
    <row r="32" spans="1:9" ht="20.45" customHeight="1" x14ac:dyDescent="0.25">
      <c r="A32" s="5" t="s">
        <v>0</v>
      </c>
      <c r="B32" s="6" t="s">
        <v>1</v>
      </c>
      <c r="C32" s="6" t="s">
        <v>796</v>
      </c>
      <c r="D32" s="6" t="s">
        <v>3</v>
      </c>
      <c r="E32" s="6" t="s">
        <v>4</v>
      </c>
      <c r="F32" s="6" t="s">
        <v>5</v>
      </c>
      <c r="G32" s="6" t="s">
        <v>6</v>
      </c>
      <c r="H32" s="6" t="s">
        <v>7</v>
      </c>
      <c r="I32" s="7" t="s">
        <v>8</v>
      </c>
    </row>
    <row r="33" spans="1:9" x14ac:dyDescent="0.25">
      <c r="A33" s="8" t="s">
        <v>790</v>
      </c>
      <c r="B33" s="9"/>
      <c r="C33" s="9"/>
      <c r="D33" s="9"/>
      <c r="E33" s="9"/>
      <c r="F33" s="9"/>
      <c r="G33" s="9"/>
      <c r="H33" s="9"/>
      <c r="I33" s="10"/>
    </row>
    <row r="34" spans="1:9" x14ac:dyDescent="0.25">
      <c r="A34" s="11">
        <v>45170</v>
      </c>
      <c r="B34" t="s">
        <v>113</v>
      </c>
      <c r="C34" t="s">
        <v>32</v>
      </c>
      <c r="D34" s="1">
        <v>3092303</v>
      </c>
      <c r="E34" s="1">
        <v>1031901</v>
      </c>
      <c r="F34" s="2">
        <v>0.333699834718655</v>
      </c>
      <c r="G34" s="1">
        <v>16183</v>
      </c>
      <c r="H34" s="2">
        <v>1.5682705996020899E-2</v>
      </c>
      <c r="I34" s="12">
        <v>5.2333163988134397E-3</v>
      </c>
    </row>
    <row r="35" spans="1:9" x14ac:dyDescent="0.25">
      <c r="A35" s="11">
        <v>45170</v>
      </c>
      <c r="B35" t="s">
        <v>113</v>
      </c>
      <c r="C35" t="s">
        <v>33</v>
      </c>
      <c r="D35" s="1">
        <v>211034</v>
      </c>
      <c r="E35" s="1">
        <v>49765</v>
      </c>
      <c r="F35" s="2">
        <v>0.23581508192992601</v>
      </c>
      <c r="G35" s="1">
        <v>979</v>
      </c>
      <c r="H35" s="2">
        <v>1.9672460564653899E-2</v>
      </c>
      <c r="I35" s="12">
        <v>4.63906289981709E-3</v>
      </c>
    </row>
    <row r="36" spans="1:9" x14ac:dyDescent="0.25">
      <c r="A36" s="11">
        <v>45170</v>
      </c>
      <c r="B36" t="s">
        <v>115</v>
      </c>
      <c r="C36" t="s">
        <v>32</v>
      </c>
      <c r="D36" s="1">
        <v>321326</v>
      </c>
      <c r="E36" s="1">
        <v>120423</v>
      </c>
      <c r="F36" s="2">
        <v>0.37476892626180303</v>
      </c>
      <c r="G36" s="1">
        <v>2001</v>
      </c>
      <c r="H36" s="2">
        <v>1.66164270944919E-2</v>
      </c>
      <c r="I36" s="12">
        <v>6.2273205405102604E-3</v>
      </c>
    </row>
    <row r="37" spans="1:9" x14ac:dyDescent="0.25">
      <c r="A37" s="11">
        <v>45170</v>
      </c>
      <c r="B37" t="s">
        <v>115</v>
      </c>
      <c r="C37" t="s">
        <v>33</v>
      </c>
      <c r="D37" s="1">
        <v>17377</v>
      </c>
      <c r="E37" s="1">
        <v>5705</v>
      </c>
      <c r="F37" s="2">
        <v>0.32830753294584802</v>
      </c>
      <c r="G37" s="1">
        <v>176</v>
      </c>
      <c r="H37" s="2">
        <v>3.0850131463628399E-2</v>
      </c>
      <c r="I37" s="12">
        <v>1.01283305518789E-2</v>
      </c>
    </row>
    <row r="38" spans="1:9" x14ac:dyDescent="0.25">
      <c r="A38" s="11">
        <v>45174</v>
      </c>
      <c r="B38" t="s">
        <v>120</v>
      </c>
      <c r="C38" t="s">
        <v>32</v>
      </c>
      <c r="D38" s="1">
        <v>1113251</v>
      </c>
      <c r="E38" s="1">
        <v>397519</v>
      </c>
      <c r="F38" s="2">
        <v>0.35707940078203398</v>
      </c>
      <c r="G38" s="1">
        <v>7508</v>
      </c>
      <c r="H38" s="2">
        <v>1.88871475325708E-2</v>
      </c>
      <c r="I38" s="12">
        <v>6.7442113234122397E-3</v>
      </c>
    </row>
    <row r="39" spans="1:9" x14ac:dyDescent="0.25">
      <c r="A39" s="11">
        <v>45174</v>
      </c>
      <c r="B39" t="s">
        <v>120</v>
      </c>
      <c r="C39" t="s">
        <v>33</v>
      </c>
      <c r="D39" s="1">
        <v>84767</v>
      </c>
      <c r="E39" s="1">
        <v>23001</v>
      </c>
      <c r="F39" s="2">
        <v>0.27134380124340801</v>
      </c>
      <c r="G39" s="1">
        <v>608</v>
      </c>
      <c r="H39" s="2">
        <v>2.64336333202904E-2</v>
      </c>
      <c r="I39" s="12">
        <v>7.17260254580202E-3</v>
      </c>
    </row>
    <row r="40" spans="1:9" ht="15.75" thickBot="1" x14ac:dyDescent="0.3">
      <c r="A40" s="17" t="s">
        <v>427</v>
      </c>
      <c r="B40" s="4"/>
      <c r="C40" s="4"/>
      <c r="D40" s="18">
        <f>SUM(D34:D39)</f>
        <v>4840058</v>
      </c>
      <c r="E40" s="18">
        <f>SUM(E34:E39)</f>
        <v>1628314</v>
      </c>
      <c r="F40" s="19">
        <f>SUM(E40/D40)</f>
        <v>0.33642448086365906</v>
      </c>
      <c r="G40" s="18">
        <f>SUM(G34:G39)</f>
        <v>27455</v>
      </c>
      <c r="H40" s="19">
        <f>SUM(G40/E40)</f>
        <v>1.6860998554332887E-2</v>
      </c>
      <c r="I40" s="21">
        <f>SUM(G40/D40)</f>
        <v>5.6724526854843478E-3</v>
      </c>
    </row>
    <row r="41" spans="1:9" ht="3" customHeight="1" thickBot="1" x14ac:dyDescent="0.3">
      <c r="A41" s="138"/>
      <c r="B41" s="136"/>
      <c r="C41" s="136"/>
      <c r="D41" s="136"/>
      <c r="E41" s="136"/>
      <c r="F41" s="136"/>
      <c r="G41" s="136"/>
      <c r="H41" s="136"/>
      <c r="I41" s="139"/>
    </row>
    <row r="42" spans="1:9" x14ac:dyDescent="0.25">
      <c r="A42" s="22" t="s">
        <v>795</v>
      </c>
      <c r="B42" s="23"/>
      <c r="C42" s="23"/>
      <c r="D42" s="23"/>
      <c r="E42" s="23"/>
      <c r="F42" s="23"/>
      <c r="G42" s="23"/>
      <c r="H42" s="23"/>
      <c r="I42" s="24"/>
    </row>
    <row r="43" spans="1:9" x14ac:dyDescent="0.25">
      <c r="A43" s="11">
        <v>45170</v>
      </c>
      <c r="B43" t="s">
        <v>114</v>
      </c>
      <c r="C43" t="s">
        <v>32</v>
      </c>
      <c r="D43" s="1">
        <v>32437</v>
      </c>
      <c r="E43" s="1">
        <v>13324</v>
      </c>
      <c r="F43" s="2">
        <v>0.41076548386102302</v>
      </c>
      <c r="G43" s="1">
        <v>315</v>
      </c>
      <c r="H43" s="2">
        <v>2.3641549084359101E-2</v>
      </c>
      <c r="I43" s="12">
        <v>9.7111323488608698E-3</v>
      </c>
    </row>
    <row r="44" spans="1:9" x14ac:dyDescent="0.25">
      <c r="A44" s="11">
        <v>45170</v>
      </c>
      <c r="B44" t="s">
        <v>116</v>
      </c>
      <c r="C44" t="s">
        <v>32</v>
      </c>
      <c r="D44" s="1">
        <v>2333284</v>
      </c>
      <c r="E44" s="1">
        <v>799297</v>
      </c>
      <c r="F44" s="2">
        <v>0.34256309990554101</v>
      </c>
      <c r="G44" s="1">
        <v>22160</v>
      </c>
      <c r="H44" s="2">
        <v>2.7724362783796301E-2</v>
      </c>
      <c r="I44" s="12">
        <v>9.4973436581230596E-3</v>
      </c>
    </row>
    <row r="45" spans="1:9" x14ac:dyDescent="0.25">
      <c r="A45" s="11">
        <v>45170</v>
      </c>
      <c r="B45" t="s">
        <v>116</v>
      </c>
      <c r="C45" t="s">
        <v>33</v>
      </c>
      <c r="D45" s="1">
        <v>112024</v>
      </c>
      <c r="E45" s="1">
        <v>31622</v>
      </c>
      <c r="F45" s="2">
        <v>0.282278797400557</v>
      </c>
      <c r="G45" s="1">
        <v>1262</v>
      </c>
      <c r="H45" s="2">
        <v>3.9908924166719401E-2</v>
      </c>
      <c r="I45" s="12">
        <v>1.12654431193316E-2</v>
      </c>
    </row>
    <row r="46" spans="1:9" x14ac:dyDescent="0.25">
      <c r="A46" s="11">
        <v>45170</v>
      </c>
      <c r="B46" t="s">
        <v>117</v>
      </c>
      <c r="C46" t="s">
        <v>32</v>
      </c>
      <c r="D46" s="1">
        <v>88461</v>
      </c>
      <c r="E46" s="1">
        <v>34721</v>
      </c>
      <c r="F46" s="2">
        <v>0.39250065000395701</v>
      </c>
      <c r="G46" s="1">
        <v>3769</v>
      </c>
      <c r="H46" s="2">
        <v>0.108551020995939</v>
      </c>
      <c r="I46" s="12">
        <v>4.26063462994992E-2</v>
      </c>
    </row>
    <row r="47" spans="1:9" x14ac:dyDescent="0.25">
      <c r="A47" s="11">
        <v>45170</v>
      </c>
      <c r="B47" t="s">
        <v>117</v>
      </c>
      <c r="C47" t="s">
        <v>33</v>
      </c>
      <c r="D47" s="1">
        <v>9836</v>
      </c>
      <c r="E47" s="1">
        <v>2569</v>
      </c>
      <c r="F47" s="2">
        <v>0.26118340788938599</v>
      </c>
      <c r="G47" s="1">
        <v>426</v>
      </c>
      <c r="H47" s="2">
        <v>0.16582327753989901</v>
      </c>
      <c r="I47" s="12">
        <v>4.3310288735258197E-2</v>
      </c>
    </row>
    <row r="48" spans="1:9" x14ac:dyDescent="0.25">
      <c r="A48" s="11">
        <v>45171</v>
      </c>
      <c r="B48" t="s">
        <v>118</v>
      </c>
      <c r="C48" t="s">
        <v>32</v>
      </c>
      <c r="D48" s="1">
        <v>41800</v>
      </c>
      <c r="E48" s="1">
        <v>15154</v>
      </c>
      <c r="F48" s="2">
        <v>0.36253588516746399</v>
      </c>
      <c r="G48" s="1">
        <v>1294</v>
      </c>
      <c r="H48" s="2">
        <v>8.5389996040649299E-2</v>
      </c>
      <c r="I48" s="12">
        <v>3.0956937799043099E-2</v>
      </c>
    </row>
    <row r="49" spans="1:9" x14ac:dyDescent="0.25">
      <c r="A49" s="11">
        <v>45171</v>
      </c>
      <c r="B49" t="s">
        <v>118</v>
      </c>
      <c r="C49" t="s">
        <v>33</v>
      </c>
      <c r="D49" s="1">
        <v>3898</v>
      </c>
      <c r="E49" s="1">
        <v>1357</v>
      </c>
      <c r="F49" s="2">
        <v>0.34812724474089302</v>
      </c>
      <c r="G49" s="1">
        <v>122</v>
      </c>
      <c r="H49" s="2">
        <v>8.9904200442151805E-2</v>
      </c>
      <c r="I49" s="12">
        <v>3.1298101590559298E-2</v>
      </c>
    </row>
    <row r="50" spans="1:9" x14ac:dyDescent="0.25">
      <c r="A50" s="11">
        <v>45171</v>
      </c>
      <c r="B50" t="s">
        <v>119</v>
      </c>
      <c r="C50" t="s">
        <v>32</v>
      </c>
      <c r="D50" s="1">
        <v>29694</v>
      </c>
      <c r="E50" s="1">
        <v>10555</v>
      </c>
      <c r="F50" s="3">
        <v>0.35549999999999998</v>
      </c>
      <c r="G50" s="1">
        <v>1945</v>
      </c>
      <c r="H50" s="3">
        <v>0.18429999999999999</v>
      </c>
      <c r="I50" s="16">
        <v>6.5500000000000003E-2</v>
      </c>
    </row>
    <row r="51" spans="1:9" x14ac:dyDescent="0.25">
      <c r="A51" s="11">
        <v>45174</v>
      </c>
      <c r="B51" t="s">
        <v>121</v>
      </c>
      <c r="C51" t="s">
        <v>122</v>
      </c>
      <c r="D51" s="1">
        <v>2139</v>
      </c>
      <c r="E51">
        <v>892</v>
      </c>
      <c r="F51" s="3">
        <v>0.41699999999999998</v>
      </c>
      <c r="G51">
        <v>40</v>
      </c>
      <c r="H51" s="3">
        <v>4.48E-2</v>
      </c>
      <c r="I51" s="16">
        <v>1.8700000000000001E-2</v>
      </c>
    </row>
    <row r="52" spans="1:9" x14ac:dyDescent="0.25">
      <c r="A52" s="11">
        <v>45174</v>
      </c>
      <c r="B52" t="s">
        <v>121</v>
      </c>
      <c r="C52" t="s">
        <v>123</v>
      </c>
      <c r="D52" s="1">
        <v>2478</v>
      </c>
      <c r="E52" s="1">
        <v>1050</v>
      </c>
      <c r="F52" s="3">
        <v>0.42370000000000002</v>
      </c>
      <c r="G52">
        <v>30</v>
      </c>
      <c r="H52" s="3">
        <v>2.86E-2</v>
      </c>
      <c r="I52" s="16">
        <v>1.21E-2</v>
      </c>
    </row>
    <row r="53" spans="1:9" x14ac:dyDescent="0.25">
      <c r="A53" s="11">
        <v>45174</v>
      </c>
      <c r="B53" t="s">
        <v>121</v>
      </c>
      <c r="C53" t="s">
        <v>124</v>
      </c>
      <c r="D53" s="1">
        <v>12698</v>
      </c>
      <c r="E53" s="1">
        <v>4422</v>
      </c>
      <c r="F53" s="3">
        <v>0.34820000000000001</v>
      </c>
      <c r="G53">
        <v>93</v>
      </c>
      <c r="H53" s="3">
        <v>2.1000000000000001E-2</v>
      </c>
      <c r="I53" s="16">
        <v>7.3000000000000001E-3</v>
      </c>
    </row>
    <row r="54" spans="1:9" x14ac:dyDescent="0.25">
      <c r="A54" s="11">
        <v>45175</v>
      </c>
      <c r="B54" t="s">
        <v>125</v>
      </c>
      <c r="C54" t="s">
        <v>32</v>
      </c>
      <c r="D54" s="1">
        <v>4410546</v>
      </c>
      <c r="E54" s="1">
        <v>1381078</v>
      </c>
      <c r="F54" s="2">
        <v>0.313130845931547</v>
      </c>
      <c r="G54" s="1">
        <v>30407</v>
      </c>
      <c r="H54" s="2">
        <v>2.2016859293971801E-2</v>
      </c>
      <c r="I54" s="12">
        <v>6.8941577754772299E-3</v>
      </c>
    </row>
    <row r="55" spans="1:9" x14ac:dyDescent="0.25">
      <c r="A55" s="11">
        <v>45175</v>
      </c>
      <c r="B55" t="s">
        <v>125</v>
      </c>
      <c r="C55" t="s">
        <v>33</v>
      </c>
      <c r="D55" s="1">
        <v>305399</v>
      </c>
      <c r="E55" s="1">
        <v>86830</v>
      </c>
      <c r="F55" s="2">
        <v>0.28431658256903303</v>
      </c>
      <c r="G55" s="1">
        <v>3743</v>
      </c>
      <c r="H55" s="2">
        <v>4.31072210065645E-2</v>
      </c>
      <c r="I55" s="12">
        <v>1.22560977606344E-2</v>
      </c>
    </row>
    <row r="56" spans="1:9" x14ac:dyDescent="0.25">
      <c r="A56" s="11">
        <v>45175</v>
      </c>
      <c r="B56" t="s">
        <v>126</v>
      </c>
      <c r="C56" t="s">
        <v>32</v>
      </c>
      <c r="D56" s="1">
        <v>140182</v>
      </c>
      <c r="E56" s="1">
        <v>95196</v>
      </c>
      <c r="F56" s="3">
        <v>0.67910000000000004</v>
      </c>
      <c r="G56" s="1">
        <v>1455</v>
      </c>
      <c r="H56" s="3">
        <v>1.5299999999999999E-2</v>
      </c>
      <c r="I56" s="16">
        <v>1.04E-2</v>
      </c>
    </row>
    <row r="57" spans="1:9" ht="15.75" thickBot="1" x14ac:dyDescent="0.3">
      <c r="A57" s="17" t="s">
        <v>427</v>
      </c>
      <c r="B57" s="4"/>
      <c r="C57" s="4"/>
      <c r="D57" s="18">
        <f>SUM(D43:D56)</f>
        <v>7524876</v>
      </c>
      <c r="E57" s="18">
        <f>SUM(E43:E56)</f>
        <v>2478067</v>
      </c>
      <c r="F57" s="19">
        <f>SUM(E57/D57)</f>
        <v>0.32931665584921266</v>
      </c>
      <c r="G57" s="18">
        <f>SUM(G43:G56)</f>
        <v>67061</v>
      </c>
      <c r="H57" s="19">
        <f>SUM(G57/E57)</f>
        <v>2.7061818748242077E-2</v>
      </c>
      <c r="I57" s="21">
        <f>SUM(G57/D57)</f>
        <v>8.9119076513686068E-3</v>
      </c>
    </row>
    <row r="58" spans="1:9" ht="3" customHeight="1" thickBot="1" x14ac:dyDescent="0.3">
      <c r="A58" s="141"/>
      <c r="B58" s="137"/>
      <c r="C58" s="137"/>
      <c r="D58" s="137"/>
      <c r="E58" s="137"/>
      <c r="F58" s="137"/>
      <c r="G58" s="137"/>
      <c r="H58" s="137"/>
      <c r="I58" s="142"/>
    </row>
    <row r="59" spans="1:9" x14ac:dyDescent="0.25">
      <c r="A59" s="22" t="s">
        <v>792</v>
      </c>
      <c r="B59" s="23"/>
      <c r="C59" s="23"/>
      <c r="D59" s="23"/>
      <c r="E59" s="23"/>
      <c r="F59" s="23"/>
      <c r="G59" s="23"/>
      <c r="H59" s="23"/>
      <c r="I59" s="24"/>
    </row>
    <row r="60" spans="1:9" x14ac:dyDescent="0.25">
      <c r="A60" s="11">
        <v>45176</v>
      </c>
      <c r="B60" t="s">
        <v>100</v>
      </c>
      <c r="C60" t="s">
        <v>32</v>
      </c>
      <c r="D60" s="1">
        <v>330956</v>
      </c>
      <c r="E60" s="1">
        <v>79440</v>
      </c>
      <c r="F60" s="3">
        <v>0.24</v>
      </c>
      <c r="G60">
        <v>527</v>
      </c>
      <c r="H60" s="3">
        <v>6.6E-3</v>
      </c>
      <c r="I60" s="16">
        <v>1.6000000000000001E-3</v>
      </c>
    </row>
    <row r="61" spans="1:9" x14ac:dyDescent="0.25">
      <c r="A61" s="11">
        <v>45176</v>
      </c>
      <c r="B61" t="s">
        <v>101</v>
      </c>
      <c r="C61" t="s">
        <v>33</v>
      </c>
      <c r="D61" s="1">
        <v>21540</v>
      </c>
      <c r="E61" s="1">
        <v>4062</v>
      </c>
      <c r="F61" s="3">
        <v>0.18859999999999999</v>
      </c>
      <c r="G61">
        <v>43</v>
      </c>
      <c r="H61" s="3">
        <v>1.06E-2</v>
      </c>
      <c r="I61" s="16">
        <v>2E-3</v>
      </c>
    </row>
    <row r="62" spans="1:9" x14ac:dyDescent="0.25">
      <c r="A62" s="11">
        <v>45176</v>
      </c>
      <c r="B62" t="s">
        <v>127</v>
      </c>
      <c r="C62" t="s">
        <v>32</v>
      </c>
      <c r="D62" s="1">
        <v>381400</v>
      </c>
      <c r="E62" s="1">
        <v>95107</v>
      </c>
      <c r="F62" s="3">
        <v>0.24940000000000001</v>
      </c>
      <c r="G62">
        <v>878</v>
      </c>
      <c r="H62" s="3">
        <v>9.1999999999999998E-3</v>
      </c>
      <c r="I62" s="16">
        <v>2.3E-3</v>
      </c>
    </row>
    <row r="63" spans="1:9" x14ac:dyDescent="0.25">
      <c r="A63" s="11">
        <v>45176</v>
      </c>
      <c r="B63" t="s">
        <v>128</v>
      </c>
      <c r="C63" t="s">
        <v>33</v>
      </c>
      <c r="D63" s="1">
        <v>22814</v>
      </c>
      <c r="E63" s="1">
        <v>4860</v>
      </c>
      <c r="F63" s="3">
        <v>0.21299999999999999</v>
      </c>
      <c r="G63">
        <v>60</v>
      </c>
      <c r="H63" s="3">
        <v>1.23E-2</v>
      </c>
      <c r="I63" s="16">
        <v>2.5999999999999999E-3</v>
      </c>
    </row>
    <row r="64" spans="1:9" x14ac:dyDescent="0.25">
      <c r="A64" s="11">
        <v>45176</v>
      </c>
      <c r="B64" t="s">
        <v>110</v>
      </c>
      <c r="C64" t="s">
        <v>32</v>
      </c>
      <c r="D64" s="1">
        <v>520337</v>
      </c>
      <c r="E64" s="1">
        <v>115893</v>
      </c>
      <c r="F64" s="3">
        <v>0.22270000000000001</v>
      </c>
      <c r="G64">
        <v>676</v>
      </c>
      <c r="H64" s="3">
        <v>5.7999999999999996E-3</v>
      </c>
      <c r="I64" s="16">
        <v>1.2999999999999999E-3</v>
      </c>
    </row>
    <row r="65" spans="1:9" x14ac:dyDescent="0.25">
      <c r="A65" s="11">
        <v>45176</v>
      </c>
      <c r="B65" t="s">
        <v>111</v>
      </c>
      <c r="C65" t="s">
        <v>33</v>
      </c>
      <c r="D65" s="1">
        <v>46781</v>
      </c>
      <c r="E65" s="1">
        <v>7536</v>
      </c>
      <c r="F65" s="3">
        <v>0.16109999999999999</v>
      </c>
      <c r="G65">
        <v>66</v>
      </c>
      <c r="H65" s="3">
        <v>8.8000000000000005E-3</v>
      </c>
      <c r="I65" s="16">
        <v>1.4E-3</v>
      </c>
    </row>
    <row r="66" spans="1:9" x14ac:dyDescent="0.25">
      <c r="A66" s="11">
        <v>45176</v>
      </c>
      <c r="B66" t="s">
        <v>102</v>
      </c>
      <c r="C66" t="s">
        <v>32</v>
      </c>
      <c r="D66" s="1">
        <v>90626</v>
      </c>
      <c r="E66" s="1">
        <v>21803</v>
      </c>
      <c r="F66" s="3">
        <v>0.24060000000000001</v>
      </c>
      <c r="G66">
        <v>155</v>
      </c>
      <c r="H66" s="3">
        <v>7.1000000000000004E-3</v>
      </c>
      <c r="I66" s="16">
        <v>1.6999999999999999E-3</v>
      </c>
    </row>
    <row r="67" spans="1:9" x14ac:dyDescent="0.25">
      <c r="A67" s="11">
        <v>45176</v>
      </c>
      <c r="B67" t="s">
        <v>103</v>
      </c>
      <c r="C67" t="s">
        <v>33</v>
      </c>
      <c r="D67" s="1">
        <v>5863</v>
      </c>
      <c r="E67" s="1">
        <v>1149</v>
      </c>
      <c r="F67" s="3">
        <v>0.19600000000000001</v>
      </c>
      <c r="G67">
        <v>13</v>
      </c>
      <c r="H67" s="3">
        <v>1.1299999999999999E-2</v>
      </c>
      <c r="I67" s="16">
        <v>2.2000000000000001E-3</v>
      </c>
    </row>
    <row r="68" spans="1:9" ht="15.75" thickBot="1" x14ac:dyDescent="0.3">
      <c r="A68" s="17" t="s">
        <v>427</v>
      </c>
      <c r="B68" s="4"/>
      <c r="C68" s="4"/>
      <c r="D68" s="18">
        <f>SUM(D60:D67)</f>
        <v>1420317</v>
      </c>
      <c r="E68" s="18">
        <f>SUM(E60:E67)</f>
        <v>329850</v>
      </c>
      <c r="F68" s="19">
        <f>SUM(E68/D68)</f>
        <v>0.23223688796233516</v>
      </c>
      <c r="G68" s="18">
        <f>SUM(G59:G67)</f>
        <v>2418</v>
      </c>
      <c r="H68" s="19">
        <f>SUM(G68/E68)</f>
        <v>7.3306048203728965E-3</v>
      </c>
      <c r="I68" s="21">
        <f>SUM(G68/D68)</f>
        <v>1.7024368503650946E-3</v>
      </c>
    </row>
  </sheetData>
  <mergeCells count="3">
    <mergeCell ref="A31:I31"/>
    <mergeCell ref="A41:I41"/>
    <mergeCell ref="A58:I58"/>
  </mergeCells>
  <phoneticPr fontId="4" type="noConversion"/>
  <pageMargins left="0.7" right="0.7" top="0.75" bottom="0.75" header="0.3" footer="0.3"/>
  <pageSetup orientation="portrait" r:id="rId1"/>
  <ignoredErrors>
    <ignoredError sqref="F30 F40 F57" formula="1"/>
  </ignoredError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5400-93C8-4617-A100-E9390674E9DB}">
  <dimension ref="A1:M73"/>
  <sheetViews>
    <sheetView zoomScale="80" zoomScaleNormal="80" workbookViewId="0">
      <selection activeCell="M37" sqref="M37"/>
    </sheetView>
  </sheetViews>
  <sheetFormatPr defaultRowHeight="15" x14ac:dyDescent="0.25"/>
  <cols>
    <col min="1" max="1" width="11.85546875" customWidth="1"/>
    <col min="2" max="2" width="69.42578125" customWidth="1"/>
    <col min="3" max="3" width="40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  <col min="10" max="10" width="8.85546875" customWidth="1"/>
  </cols>
  <sheetData>
    <row r="1" spans="1:9" ht="20.45" customHeight="1" x14ac:dyDescent="0.25">
      <c r="A1" s="5" t="s">
        <v>0</v>
      </c>
      <c r="B1" s="6" t="s">
        <v>1</v>
      </c>
      <c r="C1" s="6" t="s">
        <v>796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26">
        <v>45191</v>
      </c>
      <c r="B2" t="s">
        <v>151</v>
      </c>
      <c r="C2" t="s">
        <v>32</v>
      </c>
      <c r="D2" s="1">
        <v>3095143</v>
      </c>
      <c r="E2" s="1">
        <v>972423</v>
      </c>
      <c r="F2" s="2">
        <v>0.31949553492223098</v>
      </c>
      <c r="G2" s="1">
        <v>13154</v>
      </c>
      <c r="H2" s="2">
        <v>1.3527035045448299E-2</v>
      </c>
      <c r="I2" s="2">
        <v>4.3218272977572801E-3</v>
      </c>
    </row>
    <row r="3" spans="1:9" x14ac:dyDescent="0.25">
      <c r="A3" s="26">
        <v>45191</v>
      </c>
      <c r="B3" t="s">
        <v>151</v>
      </c>
      <c r="C3" t="s">
        <v>33</v>
      </c>
      <c r="D3" s="1">
        <v>207845</v>
      </c>
      <c r="E3" s="1">
        <v>52405</v>
      </c>
      <c r="F3" s="2">
        <v>0.25213500445043202</v>
      </c>
      <c r="G3" s="1">
        <v>1016</v>
      </c>
      <c r="H3" s="2">
        <v>1.9387463028337E-2</v>
      </c>
      <c r="I3" s="2">
        <v>4.8882580769323298E-3</v>
      </c>
    </row>
    <row r="4" spans="1:9" x14ac:dyDescent="0.25">
      <c r="A4" s="26">
        <v>45191</v>
      </c>
      <c r="B4" t="s">
        <v>152</v>
      </c>
      <c r="C4" t="s">
        <v>32</v>
      </c>
      <c r="D4" s="1">
        <v>323264</v>
      </c>
      <c r="E4" s="1">
        <v>101049</v>
      </c>
      <c r="F4" s="2">
        <v>0.312589709958424</v>
      </c>
      <c r="G4" s="1">
        <v>1712</v>
      </c>
      <c r="H4" s="2">
        <v>1.6942275529693501E-2</v>
      </c>
      <c r="I4" s="2">
        <v>5.2959809938626003E-3</v>
      </c>
    </row>
    <row r="5" spans="1:9" x14ac:dyDescent="0.25">
      <c r="A5" s="26">
        <v>45191</v>
      </c>
      <c r="B5" t="s">
        <v>153</v>
      </c>
      <c r="C5" t="s">
        <v>32</v>
      </c>
      <c r="D5" s="1">
        <v>174829</v>
      </c>
      <c r="E5" s="1">
        <v>95517</v>
      </c>
      <c r="F5" s="2">
        <v>0.54634528596514298</v>
      </c>
      <c r="G5" s="1">
        <v>1333</v>
      </c>
      <c r="H5" s="2">
        <v>1.39556309348074E-2</v>
      </c>
      <c r="I5" s="2">
        <v>7.6245931739013497E-3</v>
      </c>
    </row>
    <row r="6" spans="1:9" x14ac:dyDescent="0.25">
      <c r="A6" s="26">
        <v>45194</v>
      </c>
      <c r="B6" t="s">
        <v>154</v>
      </c>
      <c r="C6" t="s">
        <v>32</v>
      </c>
      <c r="D6" s="1">
        <v>168257</v>
      </c>
      <c r="E6" s="1">
        <v>86765</v>
      </c>
      <c r="F6" s="2">
        <v>0.51566948180462002</v>
      </c>
      <c r="G6" s="1">
        <v>1443</v>
      </c>
      <c r="H6" s="2">
        <v>1.6631130063965899E-2</v>
      </c>
      <c r="I6" s="2">
        <v>8.5761662219105295E-3</v>
      </c>
    </row>
    <row r="7" spans="1:9" x14ac:dyDescent="0.25">
      <c r="A7" s="26">
        <v>45194</v>
      </c>
      <c r="B7" t="s">
        <v>155</v>
      </c>
      <c r="C7" t="s">
        <v>32</v>
      </c>
      <c r="D7" s="1">
        <v>341958</v>
      </c>
      <c r="E7" s="1">
        <v>128630</v>
      </c>
      <c r="F7" s="2">
        <v>0.37615730586797202</v>
      </c>
      <c r="G7" s="1">
        <v>1923</v>
      </c>
      <c r="H7" s="2">
        <v>1.49498561766306E-2</v>
      </c>
      <c r="I7" s="2">
        <v>5.6234976225150498E-3</v>
      </c>
    </row>
    <row r="8" spans="1:9" x14ac:dyDescent="0.25">
      <c r="A8" s="26">
        <v>45194</v>
      </c>
      <c r="B8" t="s">
        <v>156</v>
      </c>
      <c r="C8" t="s">
        <v>33</v>
      </c>
      <c r="D8" s="1">
        <v>23169</v>
      </c>
      <c r="E8" s="1">
        <v>7716</v>
      </c>
      <c r="F8" s="2">
        <v>0.33303120549009502</v>
      </c>
      <c r="G8" s="1">
        <v>204</v>
      </c>
      <c r="H8" s="2">
        <v>2.6438569206842899E-2</v>
      </c>
      <c r="I8" s="2">
        <v>8.8048685743881902E-3</v>
      </c>
    </row>
    <row r="9" spans="1:9" x14ac:dyDescent="0.25">
      <c r="A9" s="26">
        <v>45195</v>
      </c>
      <c r="B9" t="s">
        <v>157</v>
      </c>
      <c r="C9" t="s">
        <v>32</v>
      </c>
      <c r="D9" s="1">
        <v>1115598</v>
      </c>
      <c r="E9" s="1">
        <v>365270</v>
      </c>
      <c r="F9" s="2">
        <v>0.32742080928793299</v>
      </c>
      <c r="G9" s="1">
        <v>5417</v>
      </c>
      <c r="H9" s="2">
        <v>1.48301256604703E-2</v>
      </c>
      <c r="I9" s="2">
        <v>4.8556917455929499E-3</v>
      </c>
    </row>
    <row r="10" spans="1:9" x14ac:dyDescent="0.25">
      <c r="A10" s="26">
        <v>45195</v>
      </c>
      <c r="B10" t="s">
        <v>157</v>
      </c>
      <c r="C10" t="s">
        <v>33</v>
      </c>
      <c r="D10" s="1">
        <v>84818</v>
      </c>
      <c r="E10" s="1">
        <v>23256</v>
      </c>
      <c r="F10" s="2">
        <v>0.27418708293050997</v>
      </c>
      <c r="G10" s="1">
        <v>614</v>
      </c>
      <c r="H10" s="2">
        <v>2.64017887856897E-2</v>
      </c>
      <c r="I10" s="2">
        <v>7.2390294512957197E-3</v>
      </c>
    </row>
    <row r="11" spans="1:9" x14ac:dyDescent="0.25">
      <c r="A11" s="26">
        <v>45195</v>
      </c>
      <c r="B11" t="s">
        <v>158</v>
      </c>
      <c r="C11" t="s">
        <v>32</v>
      </c>
      <c r="D11" s="1">
        <v>33829</v>
      </c>
      <c r="E11" s="1">
        <v>17247</v>
      </c>
      <c r="F11" s="2">
        <v>0.50982884507375303</v>
      </c>
      <c r="G11" s="1">
        <v>225</v>
      </c>
      <c r="H11" s="2">
        <v>1.30457470864498E-2</v>
      </c>
      <c r="I11" s="2">
        <v>6.6510981702089904E-3</v>
      </c>
    </row>
    <row r="12" spans="1:9" x14ac:dyDescent="0.25">
      <c r="A12" s="26">
        <v>45195</v>
      </c>
      <c r="B12" t="s">
        <v>159</v>
      </c>
      <c r="C12" t="s">
        <v>32</v>
      </c>
      <c r="D12" s="1">
        <v>53893</v>
      </c>
      <c r="E12" s="1">
        <v>19550</v>
      </c>
      <c r="F12" s="2">
        <v>0.36275583099845998</v>
      </c>
      <c r="G12" s="1">
        <v>288</v>
      </c>
      <c r="H12" s="2">
        <v>1.4731457800511501E-2</v>
      </c>
      <c r="I12" s="2">
        <v>5.3439222162433003E-3</v>
      </c>
    </row>
    <row r="13" spans="1:9" x14ac:dyDescent="0.25">
      <c r="A13" s="26">
        <v>45196</v>
      </c>
      <c r="B13" t="s">
        <v>160</v>
      </c>
      <c r="C13" t="s">
        <v>32</v>
      </c>
      <c r="D13" s="1">
        <v>223346</v>
      </c>
      <c r="E13" s="1">
        <v>70214</v>
      </c>
      <c r="F13" s="2">
        <v>0.31437321465349699</v>
      </c>
      <c r="G13" s="1">
        <v>939</v>
      </c>
      <c r="H13" s="2">
        <v>1.3373401315976899E-2</v>
      </c>
      <c r="I13" s="2">
        <v>4.2042391625549602E-3</v>
      </c>
    </row>
    <row r="14" spans="1:9" x14ac:dyDescent="0.25">
      <c r="A14" s="26">
        <v>45196</v>
      </c>
      <c r="B14" t="s">
        <v>160</v>
      </c>
      <c r="C14" t="s">
        <v>33</v>
      </c>
      <c r="D14" s="1">
        <v>12594</v>
      </c>
      <c r="E14" s="1">
        <v>3121</v>
      </c>
      <c r="F14" s="2">
        <v>0.247816420517707</v>
      </c>
      <c r="G14" s="1">
        <v>71</v>
      </c>
      <c r="H14" s="2">
        <v>2.2749118872156401E-2</v>
      </c>
      <c r="I14" s="2">
        <v>5.6376052088295998E-3</v>
      </c>
    </row>
    <row r="15" spans="1:9" x14ac:dyDescent="0.25">
      <c r="A15" s="26">
        <v>45197</v>
      </c>
      <c r="B15" t="s">
        <v>161</v>
      </c>
      <c r="C15" t="s">
        <v>162</v>
      </c>
      <c r="D15" s="1">
        <v>21611</v>
      </c>
      <c r="E15" s="1">
        <v>6705</v>
      </c>
      <c r="F15" s="2">
        <v>0.310258664568969</v>
      </c>
      <c r="G15" s="1">
        <v>72</v>
      </c>
      <c r="H15" s="2">
        <v>1.0738255033557E-2</v>
      </c>
      <c r="I15" s="2">
        <v>3.3316366665124201E-3</v>
      </c>
    </row>
    <row r="16" spans="1:9" x14ac:dyDescent="0.25">
      <c r="A16" s="26">
        <v>45197</v>
      </c>
      <c r="B16" t="s">
        <v>161</v>
      </c>
      <c r="C16" t="s">
        <v>163</v>
      </c>
      <c r="D16" s="1">
        <v>1145</v>
      </c>
      <c r="E16" s="1">
        <v>317</v>
      </c>
      <c r="F16" s="2">
        <v>0.276855895196507</v>
      </c>
      <c r="G16" s="1">
        <v>5</v>
      </c>
      <c r="H16" s="2">
        <v>1.5772870662460602E-2</v>
      </c>
      <c r="I16" s="2">
        <v>4.3668122270742399E-3</v>
      </c>
    </row>
    <row r="17" spans="1:9" x14ac:dyDescent="0.25">
      <c r="A17" s="26">
        <v>45197</v>
      </c>
      <c r="B17" t="s">
        <v>161</v>
      </c>
      <c r="C17" t="s">
        <v>164</v>
      </c>
      <c r="D17" s="1">
        <v>2848</v>
      </c>
      <c r="E17" s="1">
        <v>788</v>
      </c>
      <c r="F17" s="2">
        <v>0.276685393258427</v>
      </c>
      <c r="G17" s="1">
        <v>11</v>
      </c>
      <c r="H17" s="2">
        <v>1.3959390862944201E-2</v>
      </c>
      <c r="I17" s="2">
        <v>3.8623595505617998E-3</v>
      </c>
    </row>
    <row r="18" spans="1:9" x14ac:dyDescent="0.25">
      <c r="A18" s="26">
        <v>45197</v>
      </c>
      <c r="B18" t="s">
        <v>161</v>
      </c>
      <c r="C18" t="s">
        <v>165</v>
      </c>
      <c r="D18">
        <v>142</v>
      </c>
      <c r="E18">
        <v>45</v>
      </c>
      <c r="F18" s="3">
        <v>0.31690000000000002</v>
      </c>
      <c r="G18">
        <v>2</v>
      </c>
      <c r="H18" s="3">
        <v>4.4400000000000002E-2</v>
      </c>
      <c r="I18" s="3">
        <v>1.41E-2</v>
      </c>
    </row>
    <row r="19" spans="1:9" x14ac:dyDescent="0.25">
      <c r="A19" s="26">
        <v>45197</v>
      </c>
      <c r="B19" t="s">
        <v>136</v>
      </c>
      <c r="C19" t="s">
        <v>32</v>
      </c>
      <c r="D19" s="1">
        <v>329554</v>
      </c>
      <c r="E19" s="1">
        <v>118242</v>
      </c>
      <c r="F19" s="3">
        <v>0.35880000000000001</v>
      </c>
      <c r="G19">
        <v>902</v>
      </c>
      <c r="H19" s="3">
        <v>7.6E-3</v>
      </c>
      <c r="I19" s="3">
        <v>2.7000000000000001E-3</v>
      </c>
    </row>
    <row r="20" spans="1:9" x14ac:dyDescent="0.25">
      <c r="A20" s="26">
        <v>45197</v>
      </c>
      <c r="B20" t="s">
        <v>137</v>
      </c>
      <c r="C20" t="s">
        <v>32</v>
      </c>
      <c r="D20" s="1">
        <v>219749</v>
      </c>
      <c r="E20" s="1">
        <v>85148</v>
      </c>
      <c r="F20" s="3">
        <v>0.38750000000000001</v>
      </c>
      <c r="G20" s="1">
        <v>1038</v>
      </c>
      <c r="H20" s="3">
        <v>1.2200000000000001E-2</v>
      </c>
      <c r="I20" s="3">
        <v>4.7000000000000002E-3</v>
      </c>
    </row>
    <row r="21" spans="1:9" x14ac:dyDescent="0.25">
      <c r="A21" s="26">
        <v>45197</v>
      </c>
      <c r="B21" t="s">
        <v>138</v>
      </c>
      <c r="C21" t="s">
        <v>33</v>
      </c>
      <c r="D21" s="1">
        <v>12241</v>
      </c>
      <c r="E21" s="1">
        <v>3914</v>
      </c>
      <c r="F21" s="3">
        <v>0.31969999999999998</v>
      </c>
      <c r="G21">
        <v>49</v>
      </c>
      <c r="H21" s="3">
        <v>1.2500000000000001E-2</v>
      </c>
      <c r="I21" s="3">
        <v>4.0000000000000001E-3</v>
      </c>
    </row>
    <row r="22" spans="1:9" x14ac:dyDescent="0.25">
      <c r="A22" s="26">
        <v>45197</v>
      </c>
      <c r="B22" t="s">
        <v>139</v>
      </c>
      <c r="C22" t="s">
        <v>32</v>
      </c>
      <c r="D22" s="1">
        <v>128946</v>
      </c>
      <c r="E22" s="1">
        <v>37955</v>
      </c>
      <c r="F22" s="3">
        <v>0.29430000000000001</v>
      </c>
      <c r="G22">
        <v>278</v>
      </c>
      <c r="H22" s="3">
        <v>7.3000000000000001E-3</v>
      </c>
      <c r="I22" s="3">
        <v>2.2000000000000001E-3</v>
      </c>
    </row>
    <row r="23" spans="1:9" x14ac:dyDescent="0.25">
      <c r="A23" s="26">
        <v>45197</v>
      </c>
      <c r="B23" t="s">
        <v>140</v>
      </c>
      <c r="C23" t="s">
        <v>33</v>
      </c>
      <c r="D23" s="1">
        <v>4645</v>
      </c>
      <c r="E23" s="1">
        <v>1028</v>
      </c>
      <c r="F23" s="3">
        <v>0.2213</v>
      </c>
      <c r="G23">
        <v>10</v>
      </c>
      <c r="H23" s="3">
        <v>9.7000000000000003E-3</v>
      </c>
      <c r="I23" s="3">
        <v>2.2000000000000001E-3</v>
      </c>
    </row>
    <row r="24" spans="1:9" x14ac:dyDescent="0.25">
      <c r="A24" s="26">
        <v>45197</v>
      </c>
      <c r="B24" t="s">
        <v>166</v>
      </c>
      <c r="C24" t="s">
        <v>32</v>
      </c>
      <c r="D24" s="1">
        <v>238900</v>
      </c>
      <c r="E24" s="1">
        <v>71345</v>
      </c>
      <c r="F24" s="3">
        <v>0.29859999999999998</v>
      </c>
      <c r="G24">
        <v>435</v>
      </c>
      <c r="H24" s="3">
        <v>6.1000000000000004E-3</v>
      </c>
      <c r="I24" s="3">
        <v>1.8E-3</v>
      </c>
    </row>
    <row r="25" spans="1:9" x14ac:dyDescent="0.25">
      <c r="A25" s="26">
        <v>45197</v>
      </c>
      <c r="B25" t="s">
        <v>167</v>
      </c>
      <c r="C25" t="s">
        <v>33</v>
      </c>
      <c r="D25" s="1">
        <v>18071</v>
      </c>
      <c r="E25" s="1">
        <v>4072</v>
      </c>
      <c r="F25" s="3">
        <v>0.2253</v>
      </c>
      <c r="G25">
        <v>46</v>
      </c>
      <c r="H25" s="3">
        <v>1.1299999999999999E-2</v>
      </c>
      <c r="I25" s="3">
        <v>2.5000000000000001E-3</v>
      </c>
    </row>
    <row r="26" spans="1:9" x14ac:dyDescent="0.25">
      <c r="A26" s="26">
        <v>45197</v>
      </c>
      <c r="B26" t="s">
        <v>168</v>
      </c>
      <c r="C26" t="s">
        <v>162</v>
      </c>
      <c r="D26" s="1">
        <v>66969</v>
      </c>
      <c r="E26" s="1">
        <v>20356</v>
      </c>
      <c r="F26" s="3">
        <v>0.30399999999999999</v>
      </c>
      <c r="G26">
        <v>273</v>
      </c>
      <c r="H26" s="3">
        <v>1.34E-2</v>
      </c>
      <c r="I26" s="3">
        <v>4.1000000000000003E-3</v>
      </c>
    </row>
    <row r="27" spans="1:9" x14ac:dyDescent="0.25">
      <c r="A27" s="26">
        <v>45197</v>
      </c>
      <c r="B27" t="s">
        <v>168</v>
      </c>
      <c r="C27" t="s">
        <v>164</v>
      </c>
      <c r="D27" s="1">
        <v>6828</v>
      </c>
      <c r="E27" s="1">
        <v>1834</v>
      </c>
      <c r="F27" s="3">
        <v>0.26860000000000001</v>
      </c>
      <c r="G27">
        <v>56</v>
      </c>
      <c r="H27" s="3">
        <v>3.0499999999999999E-2</v>
      </c>
      <c r="I27" s="3">
        <v>8.2000000000000007E-3</v>
      </c>
    </row>
    <row r="28" spans="1:9" x14ac:dyDescent="0.25">
      <c r="A28" s="26">
        <v>45197</v>
      </c>
      <c r="B28" t="s">
        <v>169</v>
      </c>
      <c r="C28" t="s">
        <v>32</v>
      </c>
      <c r="D28" s="1">
        <v>3741</v>
      </c>
      <c r="E28" s="1">
        <v>1918</v>
      </c>
      <c r="F28" s="3">
        <v>0.51270000000000004</v>
      </c>
      <c r="G28">
        <v>194</v>
      </c>
      <c r="H28" s="3">
        <v>0.1011</v>
      </c>
      <c r="I28" s="3">
        <v>5.1900000000000002E-2</v>
      </c>
    </row>
    <row r="29" spans="1:9" x14ac:dyDescent="0.25">
      <c r="A29" s="27" t="s">
        <v>427</v>
      </c>
      <c r="D29" s="14">
        <f>SUM(D2:D28)</f>
        <v>6913933</v>
      </c>
      <c r="E29" s="14">
        <f>SUM(E2:E28)</f>
        <v>2296830</v>
      </c>
      <c r="F29" s="15">
        <f>SUM(E29/D29)</f>
        <v>0.33220310350129223</v>
      </c>
      <c r="G29" s="14">
        <f>SUM(G2:G28)</f>
        <v>31710</v>
      </c>
      <c r="H29" s="15">
        <f>SUM(G29/E29)</f>
        <v>1.3805984770313867E-2</v>
      </c>
      <c r="I29" s="15">
        <f>SUM(G29/D29)</f>
        <v>4.5863909875898425E-3</v>
      </c>
    </row>
    <row r="30" spans="1:9" ht="15.75" thickBot="1" x14ac:dyDescent="0.3">
      <c r="A30" s="135"/>
      <c r="B30" s="135"/>
      <c r="C30" s="135"/>
      <c r="D30" s="135"/>
      <c r="E30" s="135"/>
      <c r="F30" s="135"/>
      <c r="G30" s="135"/>
      <c r="H30" s="135"/>
      <c r="I30" s="135"/>
    </row>
    <row r="31" spans="1:9" ht="20.45" customHeight="1" x14ac:dyDescent="0.25">
      <c r="A31" s="5" t="s">
        <v>0</v>
      </c>
      <c r="B31" s="6" t="s">
        <v>1</v>
      </c>
      <c r="C31" s="6" t="s">
        <v>796</v>
      </c>
      <c r="D31" s="6" t="s">
        <v>3</v>
      </c>
      <c r="E31" s="6" t="s">
        <v>4</v>
      </c>
      <c r="F31" s="6" t="s">
        <v>5</v>
      </c>
      <c r="G31" s="6" t="s">
        <v>6</v>
      </c>
      <c r="H31" s="6" t="s">
        <v>7</v>
      </c>
      <c r="I31" s="7" t="s">
        <v>8</v>
      </c>
    </row>
    <row r="32" spans="1:9" x14ac:dyDescent="0.25">
      <c r="A32" s="8" t="s">
        <v>790</v>
      </c>
      <c r="B32" s="9"/>
      <c r="C32" s="9"/>
      <c r="D32" s="9"/>
      <c r="E32" s="9"/>
      <c r="F32" s="9"/>
      <c r="G32" s="9"/>
      <c r="H32" s="9"/>
      <c r="I32" s="10"/>
    </row>
    <row r="33" spans="1:9" x14ac:dyDescent="0.25">
      <c r="A33" s="11">
        <v>45191</v>
      </c>
      <c r="B33" t="s">
        <v>151</v>
      </c>
      <c r="C33" t="s">
        <v>32</v>
      </c>
      <c r="D33" s="1">
        <v>3095143</v>
      </c>
      <c r="E33" s="1">
        <v>972423</v>
      </c>
      <c r="F33" s="2">
        <v>0.31949553492223098</v>
      </c>
      <c r="G33" s="1">
        <v>13154</v>
      </c>
      <c r="H33" s="2">
        <v>1.3527035045448299E-2</v>
      </c>
      <c r="I33" s="12">
        <v>4.3218272977572801E-3</v>
      </c>
    </row>
    <row r="34" spans="1:9" x14ac:dyDescent="0.25">
      <c r="A34" s="11">
        <v>45191</v>
      </c>
      <c r="B34" t="s">
        <v>151</v>
      </c>
      <c r="C34" t="s">
        <v>33</v>
      </c>
      <c r="D34" s="1">
        <v>207845</v>
      </c>
      <c r="E34" s="1">
        <v>52405</v>
      </c>
      <c r="F34" s="2">
        <v>0.25213500445043202</v>
      </c>
      <c r="G34" s="1">
        <v>1016</v>
      </c>
      <c r="H34" s="2">
        <v>1.9387463028337E-2</v>
      </c>
      <c r="I34" s="12">
        <v>4.8882580769323298E-3</v>
      </c>
    </row>
    <row r="35" spans="1:9" x14ac:dyDescent="0.25">
      <c r="A35" s="11">
        <v>45191</v>
      </c>
      <c r="B35" t="s">
        <v>152</v>
      </c>
      <c r="C35" t="s">
        <v>32</v>
      </c>
      <c r="D35" s="1">
        <v>323264</v>
      </c>
      <c r="E35" s="1">
        <v>101049</v>
      </c>
      <c r="F35" s="2">
        <v>0.312589709958424</v>
      </c>
      <c r="G35" s="1">
        <v>1712</v>
      </c>
      <c r="H35" s="2">
        <v>1.6942275529693501E-2</v>
      </c>
      <c r="I35" s="12">
        <v>5.2959809938626003E-3</v>
      </c>
    </row>
    <row r="36" spans="1:9" x14ac:dyDescent="0.25">
      <c r="A36" s="11">
        <v>45195</v>
      </c>
      <c r="B36" t="s">
        <v>157</v>
      </c>
      <c r="C36" t="s">
        <v>32</v>
      </c>
      <c r="D36" s="1">
        <v>1115598</v>
      </c>
      <c r="E36" s="1">
        <v>365270</v>
      </c>
      <c r="F36" s="2">
        <v>0.32742080928793299</v>
      </c>
      <c r="G36" s="1">
        <v>5417</v>
      </c>
      <c r="H36" s="2">
        <v>1.48301256604703E-2</v>
      </c>
      <c r="I36" s="12">
        <v>4.8556917455929499E-3</v>
      </c>
    </row>
    <row r="37" spans="1:9" x14ac:dyDescent="0.25">
      <c r="A37" s="11">
        <v>45195</v>
      </c>
      <c r="B37" t="s">
        <v>157</v>
      </c>
      <c r="C37" t="s">
        <v>33</v>
      </c>
      <c r="D37" s="1">
        <v>84818</v>
      </c>
      <c r="E37" s="1">
        <v>23256</v>
      </c>
      <c r="F37" s="2">
        <v>0.27418708293050997</v>
      </c>
      <c r="G37" s="1">
        <v>614</v>
      </c>
      <c r="H37" s="2">
        <v>2.64017887856897E-2</v>
      </c>
      <c r="I37" s="12">
        <v>7.2390294512957197E-3</v>
      </c>
    </row>
    <row r="38" spans="1:9" ht="15.75" thickBot="1" x14ac:dyDescent="0.3">
      <c r="A38" s="17" t="s">
        <v>427</v>
      </c>
      <c r="B38" s="4"/>
      <c r="C38" s="4"/>
      <c r="D38" s="18">
        <f>SUM(D33:D37)</f>
        <v>4826668</v>
      </c>
      <c r="E38" s="18">
        <f>SUM(E33:E37)</f>
        <v>1514403</v>
      </c>
      <c r="F38" s="19">
        <f>SUM(E38/D38)</f>
        <v>0.31375744095098318</v>
      </c>
      <c r="G38" s="18">
        <f>SUM(G33:G37)</f>
        <v>21913</v>
      </c>
      <c r="H38" s="19">
        <f>SUM(G38/E38)</f>
        <v>1.4469728335192151E-2</v>
      </c>
      <c r="I38" s="21">
        <f>SUM(G38/D38)</f>
        <v>4.5399849337058196E-3</v>
      </c>
    </row>
    <row r="39" spans="1:9" ht="3" customHeight="1" thickBot="1" x14ac:dyDescent="0.3">
      <c r="A39" s="138"/>
      <c r="B39" s="136"/>
      <c r="C39" s="136"/>
      <c r="D39" s="136"/>
      <c r="E39" s="136"/>
      <c r="F39" s="136"/>
      <c r="G39" s="136"/>
      <c r="H39" s="136"/>
      <c r="I39" s="139"/>
    </row>
    <row r="40" spans="1:9" x14ac:dyDescent="0.25">
      <c r="A40" s="22" t="s">
        <v>795</v>
      </c>
      <c r="B40" s="23"/>
      <c r="C40" s="23"/>
      <c r="D40" s="23"/>
      <c r="E40" s="23"/>
      <c r="F40" s="23"/>
      <c r="G40" s="23"/>
      <c r="H40" s="23"/>
      <c r="I40" s="24"/>
    </row>
    <row r="41" spans="1:9" x14ac:dyDescent="0.25">
      <c r="A41" s="11">
        <v>45191</v>
      </c>
      <c r="B41" t="s">
        <v>153</v>
      </c>
      <c r="C41" t="s">
        <v>32</v>
      </c>
      <c r="D41" s="1">
        <v>174829</v>
      </c>
      <c r="E41" s="1">
        <v>95517</v>
      </c>
      <c r="F41" s="2">
        <v>0.54634528596514298</v>
      </c>
      <c r="G41" s="1">
        <v>1333</v>
      </c>
      <c r="H41" s="2">
        <v>1.39556309348074E-2</v>
      </c>
      <c r="I41" s="12">
        <v>7.6245931739013497E-3</v>
      </c>
    </row>
    <row r="42" spans="1:9" x14ac:dyDescent="0.25">
      <c r="A42" s="11">
        <v>45194</v>
      </c>
      <c r="B42" t="s">
        <v>154</v>
      </c>
      <c r="C42" t="s">
        <v>32</v>
      </c>
      <c r="D42" s="1">
        <v>168257</v>
      </c>
      <c r="E42" s="1">
        <v>86765</v>
      </c>
      <c r="F42" s="2">
        <v>0.51566948180462002</v>
      </c>
      <c r="G42" s="1">
        <v>1443</v>
      </c>
      <c r="H42" s="2">
        <v>1.6631130063965899E-2</v>
      </c>
      <c r="I42" s="12">
        <v>8.5761662219105295E-3</v>
      </c>
    </row>
    <row r="43" spans="1:9" x14ac:dyDescent="0.25">
      <c r="A43" s="11">
        <v>45194</v>
      </c>
      <c r="B43" t="s">
        <v>155</v>
      </c>
      <c r="C43" t="s">
        <v>32</v>
      </c>
      <c r="D43" s="1">
        <v>341958</v>
      </c>
      <c r="E43" s="1">
        <v>128630</v>
      </c>
      <c r="F43" s="2">
        <v>0.37615730586797202</v>
      </c>
      <c r="G43" s="1">
        <v>1923</v>
      </c>
      <c r="H43" s="2">
        <v>1.49498561766306E-2</v>
      </c>
      <c r="I43" s="12">
        <v>5.6234976225150498E-3</v>
      </c>
    </row>
    <row r="44" spans="1:9" x14ac:dyDescent="0.25">
      <c r="A44" s="11">
        <v>45194</v>
      </c>
      <c r="B44" t="s">
        <v>156</v>
      </c>
      <c r="C44" t="s">
        <v>33</v>
      </c>
      <c r="D44" s="1">
        <v>23169</v>
      </c>
      <c r="E44" s="1">
        <v>7716</v>
      </c>
      <c r="F44" s="2">
        <v>0.33303120549009502</v>
      </c>
      <c r="G44" s="1">
        <v>204</v>
      </c>
      <c r="H44" s="2">
        <v>2.6438569206842899E-2</v>
      </c>
      <c r="I44" s="12">
        <v>8.8048685743881902E-3</v>
      </c>
    </row>
    <row r="45" spans="1:9" x14ac:dyDescent="0.25">
      <c r="A45" s="11">
        <v>45195</v>
      </c>
      <c r="B45" t="s">
        <v>158</v>
      </c>
      <c r="C45" t="s">
        <v>32</v>
      </c>
      <c r="D45" s="1">
        <v>33829</v>
      </c>
      <c r="E45" s="1">
        <v>17247</v>
      </c>
      <c r="F45" s="2">
        <v>0.50982884507375303</v>
      </c>
      <c r="G45" s="1">
        <v>225</v>
      </c>
      <c r="H45" s="2">
        <v>1.30457470864498E-2</v>
      </c>
      <c r="I45" s="12">
        <v>6.6510981702089904E-3</v>
      </c>
    </row>
    <row r="46" spans="1:9" x14ac:dyDescent="0.25">
      <c r="A46" s="11">
        <v>45195</v>
      </c>
      <c r="B46" t="s">
        <v>159</v>
      </c>
      <c r="C46" t="s">
        <v>32</v>
      </c>
      <c r="D46" s="1">
        <v>53893</v>
      </c>
      <c r="E46" s="1">
        <v>19550</v>
      </c>
      <c r="F46" s="2">
        <v>0.36275583099845998</v>
      </c>
      <c r="G46" s="1">
        <v>288</v>
      </c>
      <c r="H46" s="2">
        <v>1.4731457800511501E-2</v>
      </c>
      <c r="I46" s="12">
        <v>5.3439222162433003E-3</v>
      </c>
    </row>
    <row r="47" spans="1:9" x14ac:dyDescent="0.25">
      <c r="A47" s="11">
        <v>45196</v>
      </c>
      <c r="B47" t="s">
        <v>160</v>
      </c>
      <c r="C47" t="s">
        <v>32</v>
      </c>
      <c r="D47" s="1">
        <v>223346</v>
      </c>
      <c r="E47" s="1">
        <v>70214</v>
      </c>
      <c r="F47" s="2">
        <v>0.31437321465349699</v>
      </c>
      <c r="G47" s="1">
        <v>939</v>
      </c>
      <c r="H47" s="2">
        <v>1.3373401315976899E-2</v>
      </c>
      <c r="I47" s="12">
        <v>4.2042391625549602E-3</v>
      </c>
    </row>
    <row r="48" spans="1:9" x14ac:dyDescent="0.25">
      <c r="A48" s="11">
        <v>45196</v>
      </c>
      <c r="B48" t="s">
        <v>160</v>
      </c>
      <c r="C48" t="s">
        <v>33</v>
      </c>
      <c r="D48" s="1">
        <v>12594</v>
      </c>
      <c r="E48" s="1">
        <v>3121</v>
      </c>
      <c r="F48" s="2">
        <v>0.247816420517707</v>
      </c>
      <c r="G48" s="1">
        <v>71</v>
      </c>
      <c r="H48" s="2">
        <v>2.2749118872156401E-2</v>
      </c>
      <c r="I48" s="12">
        <v>5.6376052088295998E-3</v>
      </c>
    </row>
    <row r="49" spans="1:9" x14ac:dyDescent="0.25">
      <c r="A49" s="11">
        <v>45197</v>
      </c>
      <c r="B49" t="s">
        <v>161</v>
      </c>
      <c r="C49" t="s">
        <v>162</v>
      </c>
      <c r="D49" s="1">
        <v>21611</v>
      </c>
      <c r="E49" s="1">
        <v>6705</v>
      </c>
      <c r="F49" s="2">
        <v>0.310258664568969</v>
      </c>
      <c r="G49" s="1">
        <v>72</v>
      </c>
      <c r="H49" s="2">
        <v>1.0738255033557E-2</v>
      </c>
      <c r="I49" s="12">
        <v>3.3316366665124201E-3</v>
      </c>
    </row>
    <row r="50" spans="1:9" x14ac:dyDescent="0.25">
      <c r="A50" s="11">
        <v>45197</v>
      </c>
      <c r="B50" t="s">
        <v>161</v>
      </c>
      <c r="C50" t="s">
        <v>163</v>
      </c>
      <c r="D50" s="1">
        <v>1145</v>
      </c>
      <c r="E50" s="1">
        <v>317</v>
      </c>
      <c r="F50" s="2">
        <v>0.276855895196507</v>
      </c>
      <c r="G50" s="1">
        <v>5</v>
      </c>
      <c r="H50" s="2">
        <v>1.5772870662460602E-2</v>
      </c>
      <c r="I50" s="12">
        <v>4.3668122270742399E-3</v>
      </c>
    </row>
    <row r="51" spans="1:9" x14ac:dyDescent="0.25">
      <c r="A51" s="11">
        <v>45197</v>
      </c>
      <c r="B51" t="s">
        <v>161</v>
      </c>
      <c r="C51" t="s">
        <v>164</v>
      </c>
      <c r="D51" s="1">
        <v>2848</v>
      </c>
      <c r="E51" s="1">
        <v>788</v>
      </c>
      <c r="F51" s="2">
        <v>0.276685393258427</v>
      </c>
      <c r="G51" s="1">
        <v>11</v>
      </c>
      <c r="H51" s="2">
        <v>1.3959390862944201E-2</v>
      </c>
      <c r="I51" s="12">
        <v>3.8623595505617998E-3</v>
      </c>
    </row>
    <row r="52" spans="1:9" x14ac:dyDescent="0.25">
      <c r="A52" s="11">
        <v>45197</v>
      </c>
      <c r="B52" t="s">
        <v>161</v>
      </c>
      <c r="C52" t="s">
        <v>165</v>
      </c>
      <c r="D52">
        <v>142</v>
      </c>
      <c r="E52">
        <v>45</v>
      </c>
      <c r="F52" s="3">
        <v>0.31690000000000002</v>
      </c>
      <c r="G52">
        <v>2</v>
      </c>
      <c r="H52" s="3">
        <v>4.4400000000000002E-2</v>
      </c>
      <c r="I52" s="16">
        <v>1.41E-2</v>
      </c>
    </row>
    <row r="53" spans="1:9" x14ac:dyDescent="0.25">
      <c r="A53" s="11">
        <v>45197</v>
      </c>
      <c r="B53" t="s">
        <v>168</v>
      </c>
      <c r="C53" t="s">
        <v>162</v>
      </c>
      <c r="D53" s="1">
        <v>66969</v>
      </c>
      <c r="E53" s="1">
        <v>20356</v>
      </c>
      <c r="F53" s="3">
        <v>0.30399999999999999</v>
      </c>
      <c r="G53">
        <v>273</v>
      </c>
      <c r="H53" s="3">
        <v>1.34E-2</v>
      </c>
      <c r="I53" s="16">
        <v>4.1000000000000003E-3</v>
      </c>
    </row>
    <row r="54" spans="1:9" x14ac:dyDescent="0.25">
      <c r="A54" s="11">
        <v>45197</v>
      </c>
      <c r="B54" t="s">
        <v>168</v>
      </c>
      <c r="C54" t="s">
        <v>164</v>
      </c>
      <c r="D54" s="1">
        <v>6828</v>
      </c>
      <c r="E54" s="1">
        <v>1834</v>
      </c>
      <c r="F54" s="3">
        <v>0.26860000000000001</v>
      </c>
      <c r="G54">
        <v>56</v>
      </c>
      <c r="H54" s="3">
        <v>3.0499999999999999E-2</v>
      </c>
      <c r="I54" s="16">
        <v>8.2000000000000007E-3</v>
      </c>
    </row>
    <row r="55" spans="1:9" x14ac:dyDescent="0.25">
      <c r="A55" s="11">
        <v>45197</v>
      </c>
      <c r="B55" t="s">
        <v>169</v>
      </c>
      <c r="C55" t="s">
        <v>32</v>
      </c>
      <c r="D55" s="1">
        <v>3741</v>
      </c>
      <c r="E55" s="1">
        <v>1918</v>
      </c>
      <c r="F55" s="3">
        <v>0.51270000000000004</v>
      </c>
      <c r="G55">
        <v>194</v>
      </c>
      <c r="H55" s="3">
        <v>0.1011</v>
      </c>
      <c r="I55" s="16">
        <v>5.1900000000000002E-2</v>
      </c>
    </row>
    <row r="56" spans="1:9" ht="15.75" thickBot="1" x14ac:dyDescent="0.3">
      <c r="A56" s="17" t="s">
        <v>427</v>
      </c>
      <c r="B56" s="4"/>
      <c r="C56" s="4"/>
      <c r="D56" s="18">
        <f>SUM(D41:D55)</f>
        <v>1135159</v>
      </c>
      <c r="E56" s="18">
        <f>SUM(E41:E55)</f>
        <v>460723</v>
      </c>
      <c r="F56" s="19">
        <f>SUM(E56/D56)</f>
        <v>0.40586649094972599</v>
      </c>
      <c r="G56" s="18">
        <f>SUM(G41:G55)</f>
        <v>7039</v>
      </c>
      <c r="H56" s="19">
        <f>SUM(G56/E56)</f>
        <v>1.5278160630140019E-2</v>
      </c>
      <c r="I56" s="21">
        <f>SUM(G56/D56)</f>
        <v>6.2008934431211837E-3</v>
      </c>
    </row>
    <row r="57" spans="1:9" ht="3" customHeight="1" thickBot="1" x14ac:dyDescent="0.3">
      <c r="A57" s="141"/>
      <c r="B57" s="137"/>
      <c r="C57" s="137"/>
      <c r="D57" s="137"/>
      <c r="E57" s="137"/>
      <c r="F57" s="137"/>
      <c r="G57" s="137"/>
      <c r="H57" s="137"/>
      <c r="I57" s="142"/>
    </row>
    <row r="58" spans="1:9" x14ac:dyDescent="0.25">
      <c r="A58" s="22" t="s">
        <v>792</v>
      </c>
      <c r="B58" s="23"/>
      <c r="C58" s="23"/>
      <c r="D58" s="23"/>
      <c r="E58" s="23"/>
      <c r="F58" s="23"/>
      <c r="G58" s="23"/>
      <c r="H58" s="23"/>
      <c r="I58" s="24"/>
    </row>
    <row r="59" spans="1:9" x14ac:dyDescent="0.25">
      <c r="A59" s="11">
        <v>45197</v>
      </c>
      <c r="B59" t="s">
        <v>136</v>
      </c>
      <c r="C59" t="s">
        <v>32</v>
      </c>
      <c r="D59" s="1">
        <v>329554</v>
      </c>
      <c r="E59" s="1">
        <v>118242</v>
      </c>
      <c r="F59" s="3">
        <v>0.35880000000000001</v>
      </c>
      <c r="G59">
        <v>902</v>
      </c>
      <c r="H59" s="3">
        <v>7.6E-3</v>
      </c>
      <c r="I59" s="16">
        <v>2.7000000000000001E-3</v>
      </c>
    </row>
    <row r="60" spans="1:9" x14ac:dyDescent="0.25">
      <c r="A60" s="11">
        <v>45197</v>
      </c>
      <c r="B60" t="s">
        <v>137</v>
      </c>
      <c r="C60" t="s">
        <v>32</v>
      </c>
      <c r="D60" s="1">
        <v>219749</v>
      </c>
      <c r="E60" s="1">
        <v>85148</v>
      </c>
      <c r="F60" s="3">
        <v>0.38750000000000001</v>
      </c>
      <c r="G60" s="1">
        <v>1038</v>
      </c>
      <c r="H60" s="3">
        <v>1.2200000000000001E-2</v>
      </c>
      <c r="I60" s="16">
        <v>4.7000000000000002E-3</v>
      </c>
    </row>
    <row r="61" spans="1:9" x14ac:dyDescent="0.25">
      <c r="A61" s="11">
        <v>45197</v>
      </c>
      <c r="B61" t="s">
        <v>138</v>
      </c>
      <c r="C61" t="s">
        <v>33</v>
      </c>
      <c r="D61" s="1">
        <v>12241</v>
      </c>
      <c r="E61" s="1">
        <v>3914</v>
      </c>
      <c r="F61" s="3">
        <v>0.31969999999999998</v>
      </c>
      <c r="G61">
        <v>49</v>
      </c>
      <c r="H61" s="3">
        <v>1.2500000000000001E-2</v>
      </c>
      <c r="I61" s="16">
        <v>4.0000000000000001E-3</v>
      </c>
    </row>
    <row r="62" spans="1:9" x14ac:dyDescent="0.25">
      <c r="A62" s="11">
        <v>45197</v>
      </c>
      <c r="B62" t="s">
        <v>139</v>
      </c>
      <c r="C62" t="s">
        <v>32</v>
      </c>
      <c r="D62" s="1">
        <v>128946</v>
      </c>
      <c r="E62" s="1">
        <v>37955</v>
      </c>
      <c r="F62" s="3">
        <v>0.29430000000000001</v>
      </c>
      <c r="G62">
        <v>278</v>
      </c>
      <c r="H62" s="3">
        <v>7.3000000000000001E-3</v>
      </c>
      <c r="I62" s="16">
        <v>2.2000000000000001E-3</v>
      </c>
    </row>
    <row r="63" spans="1:9" x14ac:dyDescent="0.25">
      <c r="A63" s="11">
        <v>45197</v>
      </c>
      <c r="B63" t="s">
        <v>140</v>
      </c>
      <c r="C63" t="s">
        <v>33</v>
      </c>
      <c r="D63" s="1">
        <v>4645</v>
      </c>
      <c r="E63" s="1">
        <v>1028</v>
      </c>
      <c r="F63" s="3">
        <v>0.2213</v>
      </c>
      <c r="G63">
        <v>10</v>
      </c>
      <c r="H63" s="3">
        <v>9.7000000000000003E-3</v>
      </c>
      <c r="I63" s="16">
        <v>2.2000000000000001E-3</v>
      </c>
    </row>
    <row r="64" spans="1:9" x14ac:dyDescent="0.25">
      <c r="A64" s="11">
        <v>45197</v>
      </c>
      <c r="B64" t="s">
        <v>166</v>
      </c>
      <c r="C64" t="s">
        <v>32</v>
      </c>
      <c r="D64" s="1">
        <v>238900</v>
      </c>
      <c r="E64" s="1">
        <v>71345</v>
      </c>
      <c r="F64" s="3">
        <v>0.29859999999999998</v>
      </c>
      <c r="G64">
        <v>435</v>
      </c>
      <c r="H64" s="3">
        <v>6.1000000000000004E-3</v>
      </c>
      <c r="I64" s="16">
        <v>1.8E-3</v>
      </c>
    </row>
    <row r="65" spans="1:13" x14ac:dyDescent="0.25">
      <c r="A65" s="11">
        <v>45197</v>
      </c>
      <c r="B65" t="s">
        <v>167</v>
      </c>
      <c r="C65" t="s">
        <v>33</v>
      </c>
      <c r="D65" s="1">
        <v>18071</v>
      </c>
      <c r="E65" s="1">
        <v>4072</v>
      </c>
      <c r="F65" s="3">
        <v>0.2253</v>
      </c>
      <c r="G65">
        <v>46</v>
      </c>
      <c r="H65" s="3">
        <v>1.1299999999999999E-2</v>
      </c>
      <c r="I65" s="16">
        <v>2.5000000000000001E-3</v>
      </c>
    </row>
    <row r="66" spans="1:13" ht="15.75" thickBot="1" x14ac:dyDescent="0.3">
      <c r="A66" s="17" t="s">
        <v>427</v>
      </c>
      <c r="B66" s="4"/>
      <c r="C66" s="4"/>
      <c r="D66" s="18">
        <f>SUM(D59:D65)</f>
        <v>952106</v>
      </c>
      <c r="E66" s="18">
        <f>SUM(E59:E65)</f>
        <v>321704</v>
      </c>
      <c r="F66" s="19">
        <f>SUM(E66/D66)</f>
        <v>0.33788674790411993</v>
      </c>
      <c r="G66" s="18">
        <f>SUM(G58:G65)</f>
        <v>2758</v>
      </c>
      <c r="H66" s="19">
        <f>SUM(G66/E66)</f>
        <v>8.5730982518091164E-3</v>
      </c>
      <c r="I66" s="21">
        <f>SUM(G66/D66)</f>
        <v>2.8967362877662783E-3</v>
      </c>
    </row>
    <row r="72" spans="1:13" x14ac:dyDescent="0.25">
      <c r="A72" t="s">
        <v>801</v>
      </c>
      <c r="B72" t="s">
        <v>802</v>
      </c>
      <c r="C72" t="s">
        <v>803</v>
      </c>
      <c r="D72" t="s">
        <v>431</v>
      </c>
      <c r="E72" t="s">
        <v>804</v>
      </c>
      <c r="F72" t="s">
        <v>432</v>
      </c>
      <c r="G72" t="s">
        <v>4</v>
      </c>
      <c r="H72" t="s">
        <v>5</v>
      </c>
      <c r="I72" t="s">
        <v>6</v>
      </c>
      <c r="J72" t="s">
        <v>7</v>
      </c>
      <c r="K72" t="s">
        <v>8</v>
      </c>
      <c r="L72" t="s">
        <v>435</v>
      </c>
      <c r="M72" t="s">
        <v>805</v>
      </c>
    </row>
    <row r="73" spans="1:13" x14ac:dyDescent="0.25">
      <c r="A73" t="s">
        <v>806</v>
      </c>
      <c r="B73" t="s">
        <v>807</v>
      </c>
      <c r="C73" t="s">
        <v>32</v>
      </c>
      <c r="D73" s="1">
        <v>3741</v>
      </c>
      <c r="E73">
        <v>5</v>
      </c>
      <c r="F73" s="3">
        <v>0.99870000000000003</v>
      </c>
      <c r="G73" s="1">
        <v>1918</v>
      </c>
      <c r="H73" s="3">
        <v>0.51270000000000004</v>
      </c>
      <c r="I73">
        <v>194</v>
      </c>
      <c r="J73" s="3">
        <v>0.1011</v>
      </c>
      <c r="K73" s="3">
        <v>5.1900000000000002E-2</v>
      </c>
      <c r="L73">
        <v>0</v>
      </c>
    </row>
  </sheetData>
  <mergeCells count="3">
    <mergeCell ref="A30:I30"/>
    <mergeCell ref="A39:I39"/>
    <mergeCell ref="A57:I57"/>
  </mergeCells>
  <pageMargins left="0.7" right="0.7" top="0.75" bottom="0.75" header="0.3" footer="0.3"/>
  <pageSetup orientation="portrait" r:id="rId1"/>
  <ignoredErrors>
    <ignoredError sqref="F29 F56" formula="1"/>
  </ignoredErrors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BA16-D22E-4FFA-83BD-8B4A8C9F86BA}">
  <dimension ref="A1:I60"/>
  <sheetViews>
    <sheetView zoomScale="80" zoomScaleNormal="80"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40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5" t="s">
        <v>0</v>
      </c>
      <c r="B1" s="6" t="s">
        <v>1</v>
      </c>
      <c r="C1" s="6" t="s">
        <v>796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A2" s="11">
        <v>45198</v>
      </c>
      <c r="B2" t="s">
        <v>170</v>
      </c>
      <c r="C2" t="s">
        <v>32</v>
      </c>
      <c r="D2" s="1">
        <v>3032310</v>
      </c>
      <c r="E2" s="1">
        <v>945956</v>
      </c>
      <c r="F2" s="2">
        <v>0.31195886964063702</v>
      </c>
      <c r="G2" s="1">
        <v>12848</v>
      </c>
      <c r="H2" s="2">
        <v>1.35820270710266E-2</v>
      </c>
      <c r="I2" s="2">
        <v>4.2370338125059803E-3</v>
      </c>
    </row>
    <row r="3" spans="1:9" x14ac:dyDescent="0.25">
      <c r="A3" s="11">
        <v>45198</v>
      </c>
      <c r="B3" t="s">
        <v>170</v>
      </c>
      <c r="C3" t="s">
        <v>33</v>
      </c>
      <c r="D3" s="1">
        <v>207100</v>
      </c>
      <c r="E3" s="1">
        <v>50082</v>
      </c>
      <c r="F3" s="2">
        <v>0.241825205214872</v>
      </c>
      <c r="G3" s="1">
        <v>922</v>
      </c>
      <c r="H3" s="2">
        <v>1.8409807915019401E-2</v>
      </c>
      <c r="I3" s="2">
        <v>4.4519555770159303E-3</v>
      </c>
    </row>
    <row r="4" spans="1:9" x14ac:dyDescent="0.25">
      <c r="A4" s="11">
        <v>45198</v>
      </c>
      <c r="B4" t="s">
        <v>171</v>
      </c>
      <c r="C4" t="s">
        <v>32</v>
      </c>
      <c r="D4" s="1">
        <v>323327</v>
      </c>
      <c r="E4" s="1">
        <v>101607</v>
      </c>
      <c r="F4" s="2">
        <v>0.31425460911089997</v>
      </c>
      <c r="G4" s="1">
        <v>1598</v>
      </c>
      <c r="H4" s="2">
        <v>1.5727262885431099E-2</v>
      </c>
      <c r="I4" s="2">
        <v>4.9423648504455199E-3</v>
      </c>
    </row>
    <row r="5" spans="1:9" x14ac:dyDescent="0.25">
      <c r="A5" s="11">
        <v>45198</v>
      </c>
      <c r="B5" t="s">
        <v>171</v>
      </c>
      <c r="C5" t="s">
        <v>33</v>
      </c>
      <c r="D5" s="1">
        <v>17492</v>
      </c>
      <c r="E5" s="1">
        <v>5202</v>
      </c>
      <c r="F5" s="2">
        <v>0.29739309398582198</v>
      </c>
      <c r="G5" s="1">
        <v>166</v>
      </c>
      <c r="H5" s="2">
        <v>3.1910803537101101E-2</v>
      </c>
      <c r="I5" s="2">
        <v>9.4900525954722207E-3</v>
      </c>
    </row>
    <row r="6" spans="1:9" x14ac:dyDescent="0.25">
      <c r="A6" s="11">
        <v>45198</v>
      </c>
      <c r="B6" t="s">
        <v>172</v>
      </c>
      <c r="C6" t="s">
        <v>32</v>
      </c>
      <c r="D6" s="1">
        <v>79102</v>
      </c>
      <c r="E6" s="1">
        <v>34725</v>
      </c>
      <c r="F6" s="2">
        <v>0.43899016459760798</v>
      </c>
      <c r="G6" s="1">
        <v>395</v>
      </c>
      <c r="H6" s="2">
        <v>1.13750899928006E-2</v>
      </c>
      <c r="I6" s="2">
        <v>4.9935526282521301E-3</v>
      </c>
    </row>
    <row r="7" spans="1:9" x14ac:dyDescent="0.25">
      <c r="A7" s="11">
        <v>45201</v>
      </c>
      <c r="B7" t="s">
        <v>173</v>
      </c>
      <c r="C7" t="s">
        <v>35</v>
      </c>
      <c r="D7" s="1">
        <v>4045025</v>
      </c>
      <c r="E7" s="1">
        <v>1160875</v>
      </c>
      <c r="F7" s="3">
        <v>0.28770000000000001</v>
      </c>
      <c r="G7" s="1">
        <v>12080</v>
      </c>
      <c r="H7" s="3">
        <v>1.04E-2</v>
      </c>
      <c r="I7" s="2">
        <v>3.0000000000000001E-3</v>
      </c>
    </row>
    <row r="8" spans="1:9" x14ac:dyDescent="0.25">
      <c r="A8" s="11">
        <v>45201</v>
      </c>
      <c r="B8" t="s">
        <v>174</v>
      </c>
      <c r="C8" t="s">
        <v>32</v>
      </c>
      <c r="D8" s="1">
        <v>32528</v>
      </c>
      <c r="E8" s="1">
        <v>17929</v>
      </c>
      <c r="F8" s="2">
        <v>0.55118666994589305</v>
      </c>
      <c r="G8" s="1">
        <v>1823</v>
      </c>
      <c r="H8" s="2">
        <v>0.10167884433041401</v>
      </c>
      <c r="I8" s="2">
        <v>5.6044023610427901E-2</v>
      </c>
    </row>
    <row r="9" spans="1:9" x14ac:dyDescent="0.25">
      <c r="A9" s="11">
        <v>45201</v>
      </c>
      <c r="B9" t="s">
        <v>175</v>
      </c>
      <c r="C9" t="s">
        <v>32</v>
      </c>
      <c r="D9" s="1">
        <v>88456</v>
      </c>
      <c r="E9" s="1">
        <v>30785</v>
      </c>
      <c r="F9" s="2">
        <v>0.34802613728859499</v>
      </c>
      <c r="G9" s="1">
        <v>3209</v>
      </c>
      <c r="H9" s="2">
        <v>0.104239077472795</v>
      </c>
      <c r="I9" s="2">
        <v>3.6277923487383602E-2</v>
      </c>
    </row>
    <row r="10" spans="1:9" x14ac:dyDescent="0.25">
      <c r="A10" s="11">
        <v>45202</v>
      </c>
      <c r="B10" t="s">
        <v>176</v>
      </c>
      <c r="C10" t="s">
        <v>32</v>
      </c>
      <c r="D10" s="1">
        <v>1101158</v>
      </c>
      <c r="E10" s="1">
        <v>367672</v>
      </c>
      <c r="F10" s="2">
        <v>0.33389577154232197</v>
      </c>
      <c r="G10" s="1">
        <v>7106</v>
      </c>
      <c r="H10" s="2">
        <v>1.93270088557192E-2</v>
      </c>
      <c r="I10" s="2">
        <v>6.4532065334856597E-3</v>
      </c>
    </row>
    <row r="11" spans="1:9" x14ac:dyDescent="0.25">
      <c r="A11" s="11">
        <v>45202</v>
      </c>
      <c r="B11" t="s">
        <v>176</v>
      </c>
      <c r="C11" t="s">
        <v>33</v>
      </c>
      <c r="D11" s="1">
        <v>84096</v>
      </c>
      <c r="E11" s="1">
        <v>23310</v>
      </c>
      <c r="F11" s="2">
        <v>0.27718321917808197</v>
      </c>
      <c r="G11" s="1">
        <v>627</v>
      </c>
      <c r="H11" s="2">
        <v>2.6898326898326899E-2</v>
      </c>
      <c r="I11" s="2">
        <v>7.4557648401826502E-3</v>
      </c>
    </row>
    <row r="12" spans="1:9" x14ac:dyDescent="0.25">
      <c r="A12" s="11">
        <v>45203</v>
      </c>
      <c r="B12" t="s">
        <v>177</v>
      </c>
      <c r="C12" t="s">
        <v>32</v>
      </c>
      <c r="D12" s="1">
        <v>204107</v>
      </c>
      <c r="E12" s="1">
        <v>83204</v>
      </c>
      <c r="F12" s="2">
        <v>0.40764892923809598</v>
      </c>
      <c r="G12" s="1">
        <v>1131</v>
      </c>
      <c r="H12" s="2">
        <v>1.3593096485745901E-2</v>
      </c>
      <c r="I12" s="2">
        <v>5.5412112274444304E-3</v>
      </c>
    </row>
    <row r="13" spans="1:9" x14ac:dyDescent="0.25">
      <c r="A13" s="11">
        <v>45203</v>
      </c>
      <c r="B13" t="s">
        <v>177</v>
      </c>
      <c r="C13" t="s">
        <v>33</v>
      </c>
      <c r="D13" s="1">
        <v>12122</v>
      </c>
      <c r="E13" s="1">
        <v>4694</v>
      </c>
      <c r="F13" s="2">
        <v>0.387229830061046</v>
      </c>
      <c r="G13" s="1">
        <v>92</v>
      </c>
      <c r="H13" s="2">
        <v>1.9599488708990202E-2</v>
      </c>
      <c r="I13" s="2">
        <v>7.5895066820656698E-3</v>
      </c>
    </row>
    <row r="14" spans="1:9" x14ac:dyDescent="0.25">
      <c r="A14" s="11">
        <v>45204</v>
      </c>
      <c r="B14" t="s">
        <v>178</v>
      </c>
      <c r="C14" t="s">
        <v>179</v>
      </c>
      <c r="D14" s="1">
        <v>4843</v>
      </c>
      <c r="E14" s="1">
        <v>1912</v>
      </c>
      <c r="F14" s="2">
        <v>0.39479661366921298</v>
      </c>
      <c r="G14" s="1">
        <v>91</v>
      </c>
      <c r="H14" s="2">
        <v>4.7594142259414197E-2</v>
      </c>
      <c r="I14" s="2">
        <v>1.8790006194507498E-2</v>
      </c>
    </row>
    <row r="15" spans="1:9" x14ac:dyDescent="0.25">
      <c r="A15" s="11">
        <v>45204</v>
      </c>
      <c r="B15" t="s">
        <v>178</v>
      </c>
      <c r="C15" t="s">
        <v>180</v>
      </c>
      <c r="D15" s="1">
        <v>1770</v>
      </c>
      <c r="E15" s="1">
        <v>622</v>
      </c>
      <c r="F15" s="2">
        <v>0.35141242937853101</v>
      </c>
      <c r="G15" s="1">
        <v>18</v>
      </c>
      <c r="H15" s="2">
        <v>2.8938906752411599E-2</v>
      </c>
      <c r="I15" s="2">
        <v>1.01694915254237E-2</v>
      </c>
    </row>
    <row r="16" spans="1:9" x14ac:dyDescent="0.25">
      <c r="A16" s="11">
        <v>45204</v>
      </c>
      <c r="B16" t="s">
        <v>178</v>
      </c>
      <c r="C16" t="s">
        <v>181</v>
      </c>
      <c r="D16" s="1">
        <v>20936</v>
      </c>
      <c r="E16" s="1">
        <v>8372</v>
      </c>
      <c r="F16" s="2">
        <v>0.39988536492166599</v>
      </c>
      <c r="G16" s="1">
        <v>379</v>
      </c>
      <c r="H16" s="2">
        <v>4.5269947443860502E-2</v>
      </c>
      <c r="I16" s="2">
        <v>1.8102789453572798E-2</v>
      </c>
    </row>
    <row r="17" spans="1:9" x14ac:dyDescent="0.25">
      <c r="A17" s="11">
        <v>45204</v>
      </c>
      <c r="B17" t="s">
        <v>178</v>
      </c>
      <c r="C17" t="s">
        <v>182</v>
      </c>
      <c r="D17" s="1">
        <v>12145</v>
      </c>
      <c r="E17" s="1">
        <v>5061</v>
      </c>
      <c r="F17" s="2">
        <v>0.41671469740633998</v>
      </c>
      <c r="G17" s="1">
        <v>202</v>
      </c>
      <c r="H17" s="2">
        <v>3.9913060659948603E-2</v>
      </c>
      <c r="I17" s="2">
        <v>1.66323589954714E-2</v>
      </c>
    </row>
    <row r="18" spans="1:9" x14ac:dyDescent="0.25">
      <c r="A18" s="11">
        <v>45204</v>
      </c>
      <c r="B18" t="s">
        <v>166</v>
      </c>
      <c r="C18" t="s">
        <v>32</v>
      </c>
      <c r="D18" s="1">
        <v>218332</v>
      </c>
      <c r="E18" s="1">
        <v>63389</v>
      </c>
      <c r="F18" s="3">
        <v>0.2903</v>
      </c>
      <c r="G18">
        <v>377</v>
      </c>
      <c r="H18" s="3">
        <v>5.8999999999999999E-3</v>
      </c>
      <c r="I18" s="3">
        <v>1.6999999999999999E-3</v>
      </c>
    </row>
    <row r="19" spans="1:9" x14ac:dyDescent="0.25">
      <c r="A19" s="11">
        <v>45204</v>
      </c>
      <c r="B19" t="s">
        <v>167</v>
      </c>
      <c r="C19" t="s">
        <v>33</v>
      </c>
      <c r="D19" s="1">
        <v>16986</v>
      </c>
      <c r="E19" s="1">
        <v>3925</v>
      </c>
      <c r="F19" s="3">
        <v>0.2311</v>
      </c>
      <c r="G19">
        <v>38</v>
      </c>
      <c r="H19" s="3">
        <v>9.7000000000000003E-3</v>
      </c>
      <c r="I19" s="3">
        <v>2.2000000000000001E-3</v>
      </c>
    </row>
    <row r="20" spans="1:9" x14ac:dyDescent="0.25">
      <c r="A20" s="11">
        <v>45204</v>
      </c>
      <c r="B20" t="s">
        <v>183</v>
      </c>
      <c r="C20" t="s">
        <v>32</v>
      </c>
      <c r="D20" s="1">
        <v>236260</v>
      </c>
      <c r="E20" s="1">
        <v>66690</v>
      </c>
      <c r="F20" s="3">
        <v>0.2823</v>
      </c>
      <c r="G20">
        <v>764</v>
      </c>
      <c r="H20" s="3">
        <v>1.15E-2</v>
      </c>
      <c r="I20" s="3">
        <v>3.2000000000000002E-3</v>
      </c>
    </row>
    <row r="21" spans="1:9" x14ac:dyDescent="0.25">
      <c r="A21" s="11">
        <v>45204</v>
      </c>
      <c r="B21" t="s">
        <v>184</v>
      </c>
      <c r="C21" t="s">
        <v>33</v>
      </c>
      <c r="D21" s="1">
        <v>17982</v>
      </c>
      <c r="E21" s="1">
        <v>3976</v>
      </c>
      <c r="F21" s="3">
        <v>0.22109999999999999</v>
      </c>
      <c r="G21">
        <v>80</v>
      </c>
      <c r="H21" s="3">
        <v>2.01E-2</v>
      </c>
      <c r="I21" s="3">
        <v>4.4000000000000003E-3</v>
      </c>
    </row>
    <row r="22" spans="1:9" x14ac:dyDescent="0.25">
      <c r="A22" s="11">
        <v>45204</v>
      </c>
      <c r="B22" t="s">
        <v>185</v>
      </c>
      <c r="C22" t="s">
        <v>186</v>
      </c>
      <c r="D22" s="1">
        <v>182701</v>
      </c>
      <c r="E22" s="1">
        <v>55773</v>
      </c>
      <c r="F22" s="3">
        <v>0.30530000000000002</v>
      </c>
      <c r="G22">
        <v>339</v>
      </c>
      <c r="H22" s="3">
        <v>6.1000000000000004E-3</v>
      </c>
      <c r="I22" s="3">
        <v>1.9E-3</v>
      </c>
    </row>
    <row r="23" spans="1:9" x14ac:dyDescent="0.25">
      <c r="A23" s="11">
        <v>45204</v>
      </c>
      <c r="B23" t="s">
        <v>187</v>
      </c>
      <c r="C23" t="s">
        <v>188</v>
      </c>
      <c r="D23" s="1">
        <v>9254</v>
      </c>
      <c r="E23" s="1">
        <v>2047</v>
      </c>
      <c r="F23" s="3">
        <v>0.22120000000000001</v>
      </c>
      <c r="G23">
        <v>30</v>
      </c>
      <c r="H23" s="3">
        <v>1.47E-2</v>
      </c>
      <c r="I23" s="3">
        <v>3.2000000000000002E-3</v>
      </c>
    </row>
    <row r="24" spans="1:9" x14ac:dyDescent="0.25">
      <c r="A24" s="11">
        <v>45204</v>
      </c>
      <c r="B24" t="s">
        <v>189</v>
      </c>
      <c r="C24" t="s">
        <v>190</v>
      </c>
      <c r="D24" s="1">
        <v>507833</v>
      </c>
      <c r="E24" s="1">
        <v>176818</v>
      </c>
      <c r="F24" s="3">
        <v>0.34820000000000001</v>
      </c>
      <c r="G24" s="1">
        <v>1964</v>
      </c>
      <c r="H24" s="3">
        <v>1.11E-2</v>
      </c>
      <c r="I24" s="3">
        <v>3.8999999999999998E-3</v>
      </c>
    </row>
    <row r="25" spans="1:9" x14ac:dyDescent="0.25">
      <c r="A25" s="11">
        <v>45204</v>
      </c>
      <c r="B25" t="s">
        <v>191</v>
      </c>
      <c r="C25" t="s">
        <v>192</v>
      </c>
      <c r="D25" s="1">
        <v>33456</v>
      </c>
      <c r="E25" s="1">
        <v>10042</v>
      </c>
      <c r="F25" s="3">
        <v>0.30020000000000002</v>
      </c>
      <c r="G25">
        <v>198</v>
      </c>
      <c r="H25" s="3">
        <v>1.9699999999999999E-2</v>
      </c>
      <c r="I25" s="3">
        <v>5.8999999999999999E-3</v>
      </c>
    </row>
    <row r="26" spans="1:9" x14ac:dyDescent="0.25">
      <c r="A26" s="27" t="s">
        <v>427</v>
      </c>
      <c r="D26" s="14">
        <f>SUM(D2:D25)</f>
        <v>10489321</v>
      </c>
      <c r="E26" s="14">
        <f>SUM(E2:E25)</f>
        <v>3224668</v>
      </c>
      <c r="F26" s="15">
        <f>SUM(E26/D26)</f>
        <v>0.30742390284366355</v>
      </c>
      <c r="G26" s="14">
        <f>SUM(G2:G25)</f>
        <v>46477</v>
      </c>
      <c r="H26" s="15">
        <f>SUM(G26/E26)</f>
        <v>1.441295662065056E-2</v>
      </c>
      <c r="I26" s="15">
        <f>SUM(G26/D26)</f>
        <v>4.4308873758368153E-3</v>
      </c>
    </row>
    <row r="27" spans="1:9" ht="15.75" thickBot="1" x14ac:dyDescent="0.3">
      <c r="A27" s="135"/>
      <c r="B27" s="135"/>
      <c r="C27" s="135"/>
      <c r="D27" s="135"/>
      <c r="E27" s="135"/>
      <c r="F27" s="135"/>
      <c r="G27" s="135"/>
      <c r="H27" s="135"/>
      <c r="I27" s="135"/>
    </row>
    <row r="28" spans="1:9" ht="20.45" customHeight="1" x14ac:dyDescent="0.25">
      <c r="A28" s="5" t="s">
        <v>0</v>
      </c>
      <c r="B28" s="6" t="s">
        <v>1</v>
      </c>
      <c r="C28" s="6" t="s">
        <v>796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7" t="s">
        <v>8</v>
      </c>
    </row>
    <row r="29" spans="1:9" x14ac:dyDescent="0.25">
      <c r="A29" s="8" t="s">
        <v>790</v>
      </c>
      <c r="B29" s="9"/>
      <c r="C29" s="9"/>
      <c r="D29" s="9"/>
      <c r="E29" s="9"/>
      <c r="F29" s="9"/>
      <c r="G29" s="9"/>
      <c r="H29" s="9"/>
      <c r="I29" s="10"/>
    </row>
    <row r="30" spans="1:9" x14ac:dyDescent="0.25">
      <c r="A30" s="11">
        <v>45198</v>
      </c>
      <c r="B30" t="s">
        <v>170</v>
      </c>
      <c r="C30" t="s">
        <v>32</v>
      </c>
      <c r="D30" s="1">
        <v>3032310</v>
      </c>
      <c r="E30" s="1">
        <v>945956</v>
      </c>
      <c r="F30" s="2">
        <v>0.31195886964063702</v>
      </c>
      <c r="G30" s="1">
        <v>12848</v>
      </c>
      <c r="H30" s="2">
        <v>1.35820270710266E-2</v>
      </c>
      <c r="I30" s="12">
        <v>4.2370338125059803E-3</v>
      </c>
    </row>
    <row r="31" spans="1:9" x14ac:dyDescent="0.25">
      <c r="A31" s="11">
        <v>45198</v>
      </c>
      <c r="B31" t="s">
        <v>170</v>
      </c>
      <c r="C31" t="s">
        <v>33</v>
      </c>
      <c r="D31" s="1">
        <v>207100</v>
      </c>
      <c r="E31" s="1">
        <v>50082</v>
      </c>
      <c r="F31" s="2">
        <v>0.241825205214872</v>
      </c>
      <c r="G31" s="1">
        <v>922</v>
      </c>
      <c r="H31" s="2">
        <v>1.8409807915019401E-2</v>
      </c>
      <c r="I31" s="12">
        <v>4.4519555770159303E-3</v>
      </c>
    </row>
    <row r="32" spans="1:9" x14ac:dyDescent="0.25">
      <c r="A32" s="11">
        <v>45198</v>
      </c>
      <c r="B32" t="s">
        <v>171</v>
      </c>
      <c r="C32" t="s">
        <v>32</v>
      </c>
      <c r="D32" s="1">
        <v>323327</v>
      </c>
      <c r="E32" s="1">
        <v>101607</v>
      </c>
      <c r="F32" s="2">
        <v>0.31425460911089997</v>
      </c>
      <c r="G32" s="1">
        <v>1598</v>
      </c>
      <c r="H32" s="2">
        <v>1.5727262885431099E-2</v>
      </c>
      <c r="I32" s="12">
        <v>4.9423648504455199E-3</v>
      </c>
    </row>
    <row r="33" spans="1:9" x14ac:dyDescent="0.25">
      <c r="A33" s="11">
        <v>45198</v>
      </c>
      <c r="B33" t="s">
        <v>171</v>
      </c>
      <c r="C33" t="s">
        <v>33</v>
      </c>
      <c r="D33" s="1">
        <v>17492</v>
      </c>
      <c r="E33" s="1">
        <v>5202</v>
      </c>
      <c r="F33" s="2">
        <v>0.29739309398582198</v>
      </c>
      <c r="G33" s="1">
        <v>166</v>
      </c>
      <c r="H33" s="2">
        <v>3.1910803537101101E-2</v>
      </c>
      <c r="I33" s="12">
        <v>9.4900525954722207E-3</v>
      </c>
    </row>
    <row r="34" spans="1:9" x14ac:dyDescent="0.25">
      <c r="A34" s="11">
        <v>45202</v>
      </c>
      <c r="B34" t="s">
        <v>176</v>
      </c>
      <c r="C34" t="s">
        <v>32</v>
      </c>
      <c r="D34" s="1">
        <v>1101158</v>
      </c>
      <c r="E34" s="1">
        <v>367672</v>
      </c>
      <c r="F34" s="2">
        <v>0.33389577154232197</v>
      </c>
      <c r="G34" s="1">
        <v>7106</v>
      </c>
      <c r="H34" s="2">
        <v>1.93270088557192E-2</v>
      </c>
      <c r="I34" s="12">
        <v>6.4532065334856597E-3</v>
      </c>
    </row>
    <row r="35" spans="1:9" x14ac:dyDescent="0.25">
      <c r="A35" s="11">
        <v>45202</v>
      </c>
      <c r="B35" t="s">
        <v>176</v>
      </c>
      <c r="C35" t="s">
        <v>33</v>
      </c>
      <c r="D35" s="1">
        <v>84096</v>
      </c>
      <c r="E35" s="1">
        <v>23310</v>
      </c>
      <c r="F35" s="2">
        <v>0.27718321917808197</v>
      </c>
      <c r="G35" s="1">
        <v>627</v>
      </c>
      <c r="H35" s="2">
        <v>2.6898326898326899E-2</v>
      </c>
      <c r="I35" s="12">
        <v>7.4557648401826502E-3</v>
      </c>
    </row>
    <row r="36" spans="1:9" ht="15.75" thickBot="1" x14ac:dyDescent="0.3">
      <c r="A36" s="17" t="s">
        <v>427</v>
      </c>
      <c r="B36" s="4"/>
      <c r="C36" s="4"/>
      <c r="D36" s="18">
        <f>SUM(D30:D35)</f>
        <v>4765483</v>
      </c>
      <c r="E36" s="18">
        <f>SUM(E30:E35)</f>
        <v>1493829</v>
      </c>
      <c r="F36" s="19">
        <f>SUM(E36/D36)</f>
        <v>0.31346854033473626</v>
      </c>
      <c r="G36" s="18">
        <f>SUM(G30:G35)</f>
        <v>23267</v>
      </c>
      <c r="H36" s="19">
        <f>SUM(G36/E36)</f>
        <v>1.5575410572428304E-2</v>
      </c>
      <c r="I36" s="21">
        <f>SUM(G36/D36)</f>
        <v>4.8824012172533193E-3</v>
      </c>
    </row>
    <row r="37" spans="1:9" ht="3" customHeight="1" thickBot="1" x14ac:dyDescent="0.3">
      <c r="A37" s="138"/>
      <c r="B37" s="136"/>
      <c r="C37" s="136"/>
      <c r="D37" s="136"/>
      <c r="E37" s="136"/>
      <c r="F37" s="136"/>
      <c r="G37" s="136"/>
      <c r="H37" s="136"/>
      <c r="I37" s="139"/>
    </row>
    <row r="38" spans="1:9" x14ac:dyDescent="0.25">
      <c r="A38" s="22" t="s">
        <v>795</v>
      </c>
      <c r="B38" s="23"/>
      <c r="C38" s="23"/>
      <c r="D38" s="23"/>
      <c r="E38" s="23"/>
      <c r="F38" s="23"/>
      <c r="G38" s="23"/>
      <c r="H38" s="23"/>
      <c r="I38" s="24"/>
    </row>
    <row r="39" spans="1:9" x14ac:dyDescent="0.25">
      <c r="A39" s="11">
        <v>45198</v>
      </c>
      <c r="B39" t="s">
        <v>172</v>
      </c>
      <c r="C39" t="s">
        <v>32</v>
      </c>
      <c r="D39" s="1">
        <v>79102</v>
      </c>
      <c r="E39" s="1">
        <v>34725</v>
      </c>
      <c r="F39" s="2">
        <v>0.43899016459760798</v>
      </c>
      <c r="G39" s="1">
        <v>395</v>
      </c>
      <c r="H39" s="2">
        <v>1.13750899928006E-2</v>
      </c>
      <c r="I39" s="12">
        <v>4.9935526282521301E-3</v>
      </c>
    </row>
    <row r="40" spans="1:9" x14ac:dyDescent="0.25">
      <c r="A40" s="11">
        <v>45201</v>
      </c>
      <c r="B40" t="s">
        <v>174</v>
      </c>
      <c r="C40" t="s">
        <v>32</v>
      </c>
      <c r="D40" s="1">
        <v>32528</v>
      </c>
      <c r="E40" s="1">
        <v>17929</v>
      </c>
      <c r="F40" s="2">
        <v>0.55118666994589305</v>
      </c>
      <c r="G40" s="1">
        <v>1823</v>
      </c>
      <c r="H40" s="2">
        <v>0.10167884433041401</v>
      </c>
      <c r="I40" s="12">
        <v>5.6044023610427901E-2</v>
      </c>
    </row>
    <row r="41" spans="1:9" x14ac:dyDescent="0.25">
      <c r="A41" s="11">
        <v>45201</v>
      </c>
      <c r="B41" t="s">
        <v>175</v>
      </c>
      <c r="C41" t="s">
        <v>32</v>
      </c>
      <c r="D41" s="1">
        <v>88456</v>
      </c>
      <c r="E41" s="1">
        <v>30785</v>
      </c>
      <c r="F41" s="2">
        <v>0.34802613728859499</v>
      </c>
      <c r="G41" s="1">
        <v>3209</v>
      </c>
      <c r="H41" s="2">
        <v>0.104239077472795</v>
      </c>
      <c r="I41" s="12">
        <v>3.6277923487383602E-2</v>
      </c>
    </row>
    <row r="42" spans="1:9" x14ac:dyDescent="0.25">
      <c r="A42" s="11">
        <v>45203</v>
      </c>
      <c r="B42" t="s">
        <v>177</v>
      </c>
      <c r="C42" t="s">
        <v>32</v>
      </c>
      <c r="D42" s="1">
        <v>204107</v>
      </c>
      <c r="E42" s="1">
        <v>83204</v>
      </c>
      <c r="F42" s="2">
        <v>0.40764892923809598</v>
      </c>
      <c r="G42" s="1">
        <v>1131</v>
      </c>
      <c r="H42" s="2">
        <v>1.3593096485745901E-2</v>
      </c>
      <c r="I42" s="12">
        <v>5.5412112274444304E-3</v>
      </c>
    </row>
    <row r="43" spans="1:9" x14ac:dyDescent="0.25">
      <c r="A43" s="11">
        <v>45203</v>
      </c>
      <c r="B43" t="s">
        <v>177</v>
      </c>
      <c r="C43" t="s">
        <v>33</v>
      </c>
      <c r="D43" s="1">
        <v>12122</v>
      </c>
      <c r="E43" s="1">
        <v>4694</v>
      </c>
      <c r="F43" s="2">
        <v>0.387229830061046</v>
      </c>
      <c r="G43" s="1">
        <v>92</v>
      </c>
      <c r="H43" s="2">
        <v>1.9599488708990202E-2</v>
      </c>
      <c r="I43" s="12">
        <v>7.5895066820656698E-3</v>
      </c>
    </row>
    <row r="44" spans="1:9" x14ac:dyDescent="0.25">
      <c r="A44" s="11">
        <v>45204</v>
      </c>
      <c r="B44" t="s">
        <v>178</v>
      </c>
      <c r="C44" t="s">
        <v>179</v>
      </c>
      <c r="D44" s="1">
        <v>4843</v>
      </c>
      <c r="E44" s="1">
        <v>1912</v>
      </c>
      <c r="F44" s="2">
        <v>0.39479661366921298</v>
      </c>
      <c r="G44" s="1">
        <v>91</v>
      </c>
      <c r="H44" s="2">
        <v>4.7594142259414197E-2</v>
      </c>
      <c r="I44" s="12">
        <v>1.8790006194507498E-2</v>
      </c>
    </row>
    <row r="45" spans="1:9" x14ac:dyDescent="0.25">
      <c r="A45" s="11">
        <v>45204</v>
      </c>
      <c r="B45" t="s">
        <v>178</v>
      </c>
      <c r="C45" t="s">
        <v>180</v>
      </c>
      <c r="D45" s="1">
        <v>1770</v>
      </c>
      <c r="E45" s="1">
        <v>622</v>
      </c>
      <c r="F45" s="2">
        <v>0.35141242937853101</v>
      </c>
      <c r="G45" s="1">
        <v>18</v>
      </c>
      <c r="H45" s="2">
        <v>2.8938906752411599E-2</v>
      </c>
      <c r="I45" s="12">
        <v>1.01694915254237E-2</v>
      </c>
    </row>
    <row r="46" spans="1:9" x14ac:dyDescent="0.25">
      <c r="A46" s="11">
        <v>45204</v>
      </c>
      <c r="B46" t="s">
        <v>178</v>
      </c>
      <c r="C46" t="s">
        <v>181</v>
      </c>
      <c r="D46" s="1">
        <v>20936</v>
      </c>
      <c r="E46" s="1">
        <v>8372</v>
      </c>
      <c r="F46" s="2">
        <v>0.39988536492166599</v>
      </c>
      <c r="G46" s="1">
        <v>379</v>
      </c>
      <c r="H46" s="2">
        <v>4.5269947443860502E-2</v>
      </c>
      <c r="I46" s="12">
        <v>1.8102789453572798E-2</v>
      </c>
    </row>
    <row r="47" spans="1:9" x14ac:dyDescent="0.25">
      <c r="A47" s="11">
        <v>45204</v>
      </c>
      <c r="B47" t="s">
        <v>178</v>
      </c>
      <c r="C47" t="s">
        <v>182</v>
      </c>
      <c r="D47" s="1">
        <v>12145</v>
      </c>
      <c r="E47" s="1">
        <v>5061</v>
      </c>
      <c r="F47" s="2">
        <v>0.41671469740633998</v>
      </c>
      <c r="G47" s="1">
        <v>202</v>
      </c>
      <c r="H47" s="2">
        <v>3.9913060659948603E-2</v>
      </c>
      <c r="I47" s="12">
        <v>1.66323589954714E-2</v>
      </c>
    </row>
    <row r="48" spans="1:9" x14ac:dyDescent="0.25">
      <c r="A48" s="11">
        <v>45201</v>
      </c>
      <c r="B48" t="s">
        <v>173</v>
      </c>
      <c r="C48" t="s">
        <v>35</v>
      </c>
      <c r="D48" s="1">
        <v>4045025</v>
      </c>
      <c r="E48" s="1">
        <v>1160875</v>
      </c>
      <c r="F48" s="3">
        <v>0.28770000000000001</v>
      </c>
      <c r="G48" s="1">
        <v>12080</v>
      </c>
      <c r="H48" s="3">
        <v>1.04E-2</v>
      </c>
      <c r="I48" s="12">
        <v>3.0000000000000001E-3</v>
      </c>
    </row>
    <row r="49" spans="1:9" ht="15.75" thickBot="1" x14ac:dyDescent="0.3">
      <c r="A49" s="17" t="s">
        <v>427</v>
      </c>
      <c r="B49" s="4"/>
      <c r="C49" s="4"/>
      <c r="D49" s="18">
        <f>SUM(D39:D48)</f>
        <v>4501034</v>
      </c>
      <c r="E49" s="18">
        <f>SUM(E39:E48)</f>
        <v>1348179</v>
      </c>
      <c r="F49" s="19">
        <f>SUM(E49/D49)</f>
        <v>0.29952650879775627</v>
      </c>
      <c r="G49" s="18">
        <f>SUM(G39:G48)</f>
        <v>19420</v>
      </c>
      <c r="H49" s="19">
        <f>SUM(G49/E49)</f>
        <v>1.4404615410861615E-2</v>
      </c>
      <c r="I49" s="21">
        <f>SUM(G49/D49)</f>
        <v>4.3145641645897367E-3</v>
      </c>
    </row>
    <row r="50" spans="1:9" ht="3" customHeight="1" thickBot="1" x14ac:dyDescent="0.3">
      <c r="A50" s="141"/>
      <c r="B50" s="137"/>
      <c r="C50" s="137"/>
      <c r="D50" s="137"/>
      <c r="E50" s="137"/>
      <c r="F50" s="137"/>
      <c r="G50" s="137"/>
      <c r="H50" s="137"/>
      <c r="I50" s="142"/>
    </row>
    <row r="51" spans="1:9" x14ac:dyDescent="0.25">
      <c r="A51" s="22" t="s">
        <v>792</v>
      </c>
      <c r="B51" s="23"/>
      <c r="C51" s="23"/>
      <c r="D51" s="23"/>
      <c r="E51" s="23"/>
      <c r="F51" s="23"/>
      <c r="G51" s="23"/>
      <c r="H51" s="23"/>
      <c r="I51" s="24"/>
    </row>
    <row r="52" spans="1:9" x14ac:dyDescent="0.25">
      <c r="A52" s="11">
        <v>45204</v>
      </c>
      <c r="B52" t="s">
        <v>166</v>
      </c>
      <c r="C52" t="s">
        <v>32</v>
      </c>
      <c r="D52" s="1">
        <v>218332</v>
      </c>
      <c r="E52" s="1">
        <v>63389</v>
      </c>
      <c r="F52" s="3">
        <v>0.2903</v>
      </c>
      <c r="G52">
        <v>377</v>
      </c>
      <c r="H52" s="3">
        <v>5.8999999999999999E-3</v>
      </c>
      <c r="I52" s="16">
        <v>1.6999999999999999E-3</v>
      </c>
    </row>
    <row r="53" spans="1:9" x14ac:dyDescent="0.25">
      <c r="A53" s="11">
        <v>45204</v>
      </c>
      <c r="B53" t="s">
        <v>167</v>
      </c>
      <c r="C53" t="s">
        <v>33</v>
      </c>
      <c r="D53" s="1">
        <v>16986</v>
      </c>
      <c r="E53" s="1">
        <v>3925</v>
      </c>
      <c r="F53" s="3">
        <v>0.2311</v>
      </c>
      <c r="G53">
        <v>38</v>
      </c>
      <c r="H53" s="3">
        <v>9.7000000000000003E-3</v>
      </c>
      <c r="I53" s="16">
        <v>2.2000000000000001E-3</v>
      </c>
    </row>
    <row r="54" spans="1:9" x14ac:dyDescent="0.25">
      <c r="A54" s="11">
        <v>45204</v>
      </c>
      <c r="B54" t="s">
        <v>183</v>
      </c>
      <c r="C54" t="s">
        <v>32</v>
      </c>
      <c r="D54" s="1">
        <v>236260</v>
      </c>
      <c r="E54" s="1">
        <v>66690</v>
      </c>
      <c r="F54" s="3">
        <v>0.2823</v>
      </c>
      <c r="G54">
        <v>764</v>
      </c>
      <c r="H54" s="3">
        <v>1.15E-2</v>
      </c>
      <c r="I54" s="16">
        <v>3.2000000000000002E-3</v>
      </c>
    </row>
    <row r="55" spans="1:9" x14ac:dyDescent="0.25">
      <c r="A55" s="11">
        <v>45204</v>
      </c>
      <c r="B55" t="s">
        <v>184</v>
      </c>
      <c r="C55" t="s">
        <v>33</v>
      </c>
      <c r="D55" s="1">
        <v>17982</v>
      </c>
      <c r="E55" s="1">
        <v>3976</v>
      </c>
      <c r="F55" s="3">
        <v>0.22109999999999999</v>
      </c>
      <c r="G55">
        <v>80</v>
      </c>
      <c r="H55" s="3">
        <v>2.01E-2</v>
      </c>
      <c r="I55" s="16">
        <v>4.4000000000000003E-3</v>
      </c>
    </row>
    <row r="56" spans="1:9" x14ac:dyDescent="0.25">
      <c r="A56" s="11">
        <v>45204</v>
      </c>
      <c r="B56" t="s">
        <v>185</v>
      </c>
      <c r="C56" t="s">
        <v>186</v>
      </c>
      <c r="D56" s="1">
        <v>182701</v>
      </c>
      <c r="E56" s="1">
        <v>55773</v>
      </c>
      <c r="F56" s="3">
        <v>0.30530000000000002</v>
      </c>
      <c r="G56">
        <v>339</v>
      </c>
      <c r="H56" s="3">
        <v>6.1000000000000004E-3</v>
      </c>
      <c r="I56" s="16">
        <v>1.9E-3</v>
      </c>
    </row>
    <row r="57" spans="1:9" x14ac:dyDescent="0.25">
      <c r="A57" s="11">
        <v>45204</v>
      </c>
      <c r="B57" t="s">
        <v>187</v>
      </c>
      <c r="C57" t="s">
        <v>188</v>
      </c>
      <c r="D57" s="1">
        <v>9254</v>
      </c>
      <c r="E57" s="1">
        <v>2047</v>
      </c>
      <c r="F57" s="3">
        <v>0.22120000000000001</v>
      </c>
      <c r="G57">
        <v>30</v>
      </c>
      <c r="H57" s="3">
        <v>1.47E-2</v>
      </c>
      <c r="I57" s="16">
        <v>3.2000000000000002E-3</v>
      </c>
    </row>
    <row r="58" spans="1:9" x14ac:dyDescent="0.25">
      <c r="A58" s="11">
        <v>45204</v>
      </c>
      <c r="B58" t="s">
        <v>189</v>
      </c>
      <c r="C58" t="s">
        <v>808</v>
      </c>
      <c r="D58" s="1">
        <v>507833</v>
      </c>
      <c r="E58" s="1">
        <v>176818</v>
      </c>
      <c r="F58" s="3">
        <v>0.34820000000000001</v>
      </c>
      <c r="G58" s="1">
        <v>1964</v>
      </c>
      <c r="H58" s="3">
        <v>1.11E-2</v>
      </c>
      <c r="I58" s="16">
        <v>3.8999999999999998E-3</v>
      </c>
    </row>
    <row r="59" spans="1:9" x14ac:dyDescent="0.25">
      <c r="A59" s="11">
        <v>45204</v>
      </c>
      <c r="B59" t="s">
        <v>191</v>
      </c>
      <c r="C59" t="s">
        <v>809</v>
      </c>
      <c r="D59" s="1">
        <v>33456</v>
      </c>
      <c r="E59" s="1">
        <v>10042</v>
      </c>
      <c r="F59" s="3">
        <v>0.30020000000000002</v>
      </c>
      <c r="G59">
        <v>198</v>
      </c>
      <c r="H59" s="3">
        <v>1.9699999999999999E-2</v>
      </c>
      <c r="I59" s="16">
        <v>5.8999999999999999E-3</v>
      </c>
    </row>
    <row r="60" spans="1:9" ht="15.75" thickBot="1" x14ac:dyDescent="0.3">
      <c r="A60" s="17" t="s">
        <v>427</v>
      </c>
      <c r="B60" s="4"/>
      <c r="C60" s="4"/>
      <c r="D60" s="18">
        <f>SUM(D52:D59)</f>
        <v>1222804</v>
      </c>
      <c r="E60" s="18">
        <f>SUM(E52:E59)</f>
        <v>382660</v>
      </c>
      <c r="F60" s="19">
        <f>SUM(E60/D60)</f>
        <v>0.31293649677299062</v>
      </c>
      <c r="G60" s="18">
        <f>SUM(G51:G59)</f>
        <v>3790</v>
      </c>
      <c r="H60" s="19">
        <f>SUM(G60/E60)</f>
        <v>9.904353734385616E-3</v>
      </c>
      <c r="I60" s="21">
        <f>SUM(G60/D60)</f>
        <v>3.0994337604391218E-3</v>
      </c>
    </row>
  </sheetData>
  <mergeCells count="3">
    <mergeCell ref="A27:I27"/>
    <mergeCell ref="A37:I37"/>
    <mergeCell ref="A50:I50"/>
  </mergeCells>
  <pageMargins left="0.7" right="0.7" top="0.75" bottom="0.75" header="0.3" footer="0.3"/>
  <pageSetup orientation="portrait" r:id="rId1"/>
  <ignoredErrors>
    <ignoredError sqref="F26 F36 F49" formula="1"/>
  </ignoredError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98DC-5FB1-4E1E-A039-2F764542592F}">
  <dimension ref="A1:I58"/>
  <sheetViews>
    <sheetView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18.140625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11">
        <v>45205</v>
      </c>
      <c r="B2" t="s">
        <v>193</v>
      </c>
      <c r="C2" t="s">
        <v>32</v>
      </c>
      <c r="D2" s="1">
        <v>2980755</v>
      </c>
      <c r="E2" s="1">
        <v>933750</v>
      </c>
      <c r="F2" s="2">
        <v>0.31325956007790001</v>
      </c>
      <c r="G2" s="1">
        <v>9315</v>
      </c>
      <c r="H2" s="2">
        <v>9.9759036144578296E-3</v>
      </c>
      <c r="I2" s="2">
        <v>3.1250471776445902E-3</v>
      </c>
    </row>
    <row r="3" spans="1:9" x14ac:dyDescent="0.25">
      <c r="A3" s="11">
        <v>45205</v>
      </c>
      <c r="B3" t="s">
        <v>193</v>
      </c>
      <c r="C3" t="s">
        <v>33</v>
      </c>
      <c r="D3" s="1">
        <v>204735</v>
      </c>
      <c r="E3" s="1">
        <v>51464</v>
      </c>
      <c r="F3" s="2">
        <v>0.251368842650255</v>
      </c>
      <c r="G3" s="1">
        <v>1081</v>
      </c>
      <c r="H3" s="2">
        <v>2.1004974351002601E-2</v>
      </c>
      <c r="I3" s="2">
        <v>5.27999609250983E-3</v>
      </c>
    </row>
    <row r="4" spans="1:9" x14ac:dyDescent="0.25">
      <c r="A4" s="11">
        <v>45205</v>
      </c>
      <c r="B4" t="s">
        <v>194</v>
      </c>
      <c r="C4" t="s">
        <v>32</v>
      </c>
      <c r="D4" s="1">
        <v>320980</v>
      </c>
      <c r="E4" s="1">
        <v>99686</v>
      </c>
      <c r="F4" s="2">
        <v>0.31056763661287301</v>
      </c>
      <c r="G4" s="1">
        <v>1212</v>
      </c>
      <c r="H4" s="2">
        <v>1.21581766747587E-2</v>
      </c>
      <c r="I4" s="2">
        <v>3.77593619540158E-3</v>
      </c>
    </row>
    <row r="5" spans="1:9" x14ac:dyDescent="0.25">
      <c r="A5" s="11">
        <v>45206</v>
      </c>
      <c r="B5" t="s">
        <v>195</v>
      </c>
      <c r="C5" t="s">
        <v>32</v>
      </c>
      <c r="D5" s="1">
        <v>42686</v>
      </c>
      <c r="E5" s="1">
        <v>17006</v>
      </c>
      <c r="F5" s="3">
        <v>0.39839999999999998</v>
      </c>
      <c r="G5" s="1">
        <v>1163</v>
      </c>
      <c r="H5" s="3">
        <v>6.8400000000000002E-2</v>
      </c>
      <c r="I5" s="3">
        <v>2.7199999999999998E-2</v>
      </c>
    </row>
    <row r="6" spans="1:9" x14ac:dyDescent="0.25">
      <c r="A6" s="11">
        <v>45206</v>
      </c>
      <c r="B6" t="s">
        <v>195</v>
      </c>
      <c r="C6" t="s">
        <v>33</v>
      </c>
      <c r="D6" s="1">
        <v>3870</v>
      </c>
      <c r="E6" s="1">
        <v>1510</v>
      </c>
      <c r="F6" s="3">
        <v>0.39019999999999999</v>
      </c>
      <c r="G6">
        <v>161</v>
      </c>
      <c r="H6" s="3">
        <v>0.1066</v>
      </c>
      <c r="I6" s="3">
        <v>4.1599999999999998E-2</v>
      </c>
    </row>
    <row r="7" spans="1:9" x14ac:dyDescent="0.25">
      <c r="A7" s="11">
        <v>45209</v>
      </c>
      <c r="B7" t="s">
        <v>196</v>
      </c>
      <c r="C7" t="s">
        <v>32</v>
      </c>
      <c r="D7" s="1">
        <v>1085292</v>
      </c>
      <c r="E7" s="1">
        <v>345054</v>
      </c>
      <c r="F7" s="2">
        <v>0.31793655532336002</v>
      </c>
      <c r="G7" s="1">
        <v>4362</v>
      </c>
      <c r="H7" s="2">
        <v>1.26414995913683E-2</v>
      </c>
      <c r="I7" s="2">
        <v>4.0191948342013003E-3</v>
      </c>
    </row>
    <row r="8" spans="1:9" x14ac:dyDescent="0.25">
      <c r="A8" s="11">
        <v>45209</v>
      </c>
      <c r="B8" t="s">
        <v>196</v>
      </c>
      <c r="C8" t="s">
        <v>33</v>
      </c>
      <c r="D8" s="1">
        <v>83175</v>
      </c>
      <c r="E8" s="1">
        <v>22781</v>
      </c>
      <c r="F8" s="2">
        <v>0.27389239555154798</v>
      </c>
      <c r="G8" s="1">
        <v>606</v>
      </c>
      <c r="H8" s="2">
        <v>2.6601114964224602E-2</v>
      </c>
      <c r="I8" s="2">
        <v>7.2858431018935996E-3</v>
      </c>
    </row>
    <row r="9" spans="1:9" x14ac:dyDescent="0.25">
      <c r="A9" s="11">
        <v>45210</v>
      </c>
      <c r="B9" t="s">
        <v>197</v>
      </c>
      <c r="C9" t="s">
        <v>32</v>
      </c>
      <c r="D9" s="1">
        <v>747453</v>
      </c>
      <c r="E9" s="1">
        <v>309240</v>
      </c>
      <c r="F9" s="2">
        <v>0.41372501013441598</v>
      </c>
      <c r="G9" s="1">
        <v>2405</v>
      </c>
      <c r="H9" s="2">
        <v>7.7771310309144998E-3</v>
      </c>
      <c r="I9" s="2">
        <v>3.2175936145817899E-3</v>
      </c>
    </row>
    <row r="10" spans="1:9" x14ac:dyDescent="0.25">
      <c r="A10" s="11">
        <v>45210</v>
      </c>
      <c r="B10" t="s">
        <v>197</v>
      </c>
      <c r="C10" t="s">
        <v>33</v>
      </c>
      <c r="D10" s="1">
        <v>53558</v>
      </c>
      <c r="E10" s="1">
        <v>15243</v>
      </c>
      <c r="F10" s="2">
        <v>0.284607341573621</v>
      </c>
      <c r="G10" s="1">
        <v>252</v>
      </c>
      <c r="H10" s="2">
        <v>1.6532178704979299E-2</v>
      </c>
      <c r="I10" s="2">
        <v>4.7051794316441999E-3</v>
      </c>
    </row>
    <row r="11" spans="1:9" x14ac:dyDescent="0.25">
      <c r="A11" s="11">
        <v>45210</v>
      </c>
      <c r="B11" t="s">
        <v>198</v>
      </c>
      <c r="C11" t="s">
        <v>32</v>
      </c>
      <c r="D11" s="1">
        <v>243300</v>
      </c>
      <c r="E11" s="1">
        <v>125352</v>
      </c>
      <c r="F11" s="2">
        <v>0.51521578298396997</v>
      </c>
      <c r="G11" s="1">
        <v>1296</v>
      </c>
      <c r="H11" s="2">
        <v>1.03388856978748E-2</v>
      </c>
      <c r="I11" s="2">
        <v>5.3267570900123297E-3</v>
      </c>
    </row>
    <row r="12" spans="1:9" x14ac:dyDescent="0.25">
      <c r="A12" s="11">
        <v>45210</v>
      </c>
      <c r="B12" t="s">
        <v>198</v>
      </c>
      <c r="C12" t="s">
        <v>33</v>
      </c>
      <c r="D12" s="1">
        <v>19869</v>
      </c>
      <c r="E12" s="1">
        <v>7897</v>
      </c>
      <c r="F12" s="2">
        <v>0.397453319241029</v>
      </c>
      <c r="G12" s="1">
        <v>124</v>
      </c>
      <c r="H12" s="2">
        <v>1.57021653792579E-2</v>
      </c>
      <c r="I12" s="2">
        <v>6.24087774925764E-3</v>
      </c>
    </row>
    <row r="13" spans="1:9" x14ac:dyDescent="0.25">
      <c r="A13" s="11">
        <v>45211</v>
      </c>
      <c r="B13" t="s">
        <v>199</v>
      </c>
      <c r="C13" t="s">
        <v>32</v>
      </c>
      <c r="D13" s="1">
        <v>118843</v>
      </c>
      <c r="E13" s="1">
        <v>37084</v>
      </c>
      <c r="F13" s="2">
        <v>0.31240000000000001</v>
      </c>
      <c r="G13" s="1">
        <v>902</v>
      </c>
      <c r="H13" s="2">
        <v>7.6E-3</v>
      </c>
      <c r="I13" s="2">
        <v>2.4299999999999999E-2</v>
      </c>
    </row>
    <row r="14" spans="1:9" x14ac:dyDescent="0.25">
      <c r="A14" s="11">
        <v>45211</v>
      </c>
      <c r="B14" t="s">
        <v>200</v>
      </c>
      <c r="C14" t="s">
        <v>32</v>
      </c>
      <c r="D14" s="1">
        <v>98696</v>
      </c>
      <c r="E14" s="1">
        <v>31862</v>
      </c>
      <c r="F14" s="2">
        <v>0.32282969927859301</v>
      </c>
      <c r="G14" s="1">
        <v>254</v>
      </c>
      <c r="H14" s="2">
        <v>7.9718787270102297E-3</v>
      </c>
      <c r="I14" s="2">
        <v>2.5735592121261201E-3</v>
      </c>
    </row>
    <row r="15" spans="1:9" x14ac:dyDescent="0.25">
      <c r="A15" s="11">
        <v>45211</v>
      </c>
      <c r="B15" t="s">
        <v>166</v>
      </c>
      <c r="C15" t="s">
        <v>32</v>
      </c>
      <c r="D15" s="1">
        <v>214130</v>
      </c>
      <c r="E15" s="1">
        <v>65110</v>
      </c>
      <c r="F15" s="3">
        <v>0.30409999999999998</v>
      </c>
      <c r="G15">
        <v>437</v>
      </c>
      <c r="H15" s="3">
        <v>6.7000000000000002E-3</v>
      </c>
      <c r="I15" s="3">
        <v>2E-3</v>
      </c>
    </row>
    <row r="16" spans="1:9" x14ac:dyDescent="0.25">
      <c r="A16" s="11">
        <v>45211</v>
      </c>
      <c r="B16" t="s">
        <v>167</v>
      </c>
      <c r="C16" t="s">
        <v>33</v>
      </c>
      <c r="D16" s="1">
        <v>16729</v>
      </c>
      <c r="E16" s="1">
        <v>3959</v>
      </c>
      <c r="F16" s="3">
        <v>0.23669999999999999</v>
      </c>
      <c r="G16">
        <v>47</v>
      </c>
      <c r="H16" s="3">
        <v>1.1900000000000001E-2</v>
      </c>
      <c r="I16" s="3">
        <v>2.8E-3</v>
      </c>
    </row>
    <row r="17" spans="1:9" x14ac:dyDescent="0.25">
      <c r="A17" s="11">
        <v>45211</v>
      </c>
      <c r="B17" t="s">
        <v>183</v>
      </c>
      <c r="C17" t="s">
        <v>32</v>
      </c>
      <c r="D17" s="1">
        <v>197148</v>
      </c>
      <c r="E17" s="1">
        <v>57534</v>
      </c>
      <c r="F17" s="3">
        <v>0.2918</v>
      </c>
      <c r="G17">
        <v>474</v>
      </c>
      <c r="H17" s="3">
        <v>8.2000000000000007E-3</v>
      </c>
      <c r="I17" s="3">
        <v>2.3999999999999998E-3</v>
      </c>
    </row>
    <row r="18" spans="1:9" x14ac:dyDescent="0.25">
      <c r="A18" s="11">
        <v>45211</v>
      </c>
      <c r="B18" t="s">
        <v>184</v>
      </c>
      <c r="C18" t="s">
        <v>33</v>
      </c>
      <c r="D18" s="1">
        <v>15660</v>
      </c>
      <c r="E18" s="1">
        <v>3410</v>
      </c>
      <c r="F18" s="3">
        <v>0.21779999999999999</v>
      </c>
      <c r="G18">
        <v>43</v>
      </c>
      <c r="H18" s="3">
        <v>1.26E-2</v>
      </c>
      <c r="I18" s="3">
        <v>2.7000000000000001E-3</v>
      </c>
    </row>
    <row r="19" spans="1:9" x14ac:dyDescent="0.25">
      <c r="A19" s="11">
        <v>45211</v>
      </c>
      <c r="B19" t="s">
        <v>185</v>
      </c>
      <c r="C19" t="s">
        <v>32</v>
      </c>
      <c r="D19" s="1">
        <v>148642</v>
      </c>
      <c r="E19" s="1">
        <v>45454</v>
      </c>
      <c r="F19" s="3">
        <v>0.30580000000000002</v>
      </c>
      <c r="G19">
        <v>198</v>
      </c>
      <c r="H19" s="3">
        <v>4.4000000000000003E-3</v>
      </c>
      <c r="I19" s="3">
        <v>1.2999999999999999E-3</v>
      </c>
    </row>
    <row r="20" spans="1:9" x14ac:dyDescent="0.25">
      <c r="A20" s="11">
        <v>45211</v>
      </c>
      <c r="B20" t="s">
        <v>187</v>
      </c>
      <c r="C20" t="s">
        <v>33</v>
      </c>
      <c r="D20" s="1">
        <v>7747</v>
      </c>
      <c r="E20" s="1">
        <v>1692</v>
      </c>
      <c r="F20" s="3">
        <v>0.21840000000000001</v>
      </c>
      <c r="G20">
        <v>18</v>
      </c>
      <c r="H20" s="3">
        <v>1.06E-2</v>
      </c>
      <c r="I20" s="3">
        <v>2.3E-3</v>
      </c>
    </row>
    <row r="21" spans="1:9" x14ac:dyDescent="0.25">
      <c r="A21" s="11">
        <v>45211</v>
      </c>
      <c r="B21" t="s">
        <v>189</v>
      </c>
      <c r="C21" t="s">
        <v>32</v>
      </c>
      <c r="D21" s="1">
        <v>425619</v>
      </c>
      <c r="E21" s="1">
        <v>151329</v>
      </c>
      <c r="F21" s="3">
        <v>0.35560000000000003</v>
      </c>
      <c r="G21" s="1">
        <v>1169</v>
      </c>
      <c r="H21" s="3">
        <v>7.7000000000000002E-3</v>
      </c>
      <c r="I21" s="3">
        <v>2.7000000000000001E-3</v>
      </c>
    </row>
    <row r="22" spans="1:9" x14ac:dyDescent="0.25">
      <c r="A22" s="11">
        <v>45211</v>
      </c>
      <c r="B22" t="s">
        <v>191</v>
      </c>
      <c r="C22" t="s">
        <v>33</v>
      </c>
      <c r="D22" s="1">
        <v>29237</v>
      </c>
      <c r="E22" s="1">
        <v>9009</v>
      </c>
      <c r="F22" s="3">
        <v>0.30809999999999998</v>
      </c>
      <c r="G22">
        <v>124</v>
      </c>
      <c r="H22" s="3">
        <v>1.38E-2</v>
      </c>
      <c r="I22" s="3">
        <v>4.1999999999999997E-3</v>
      </c>
    </row>
    <row r="23" spans="1:9" x14ac:dyDescent="0.25">
      <c r="A23" s="11">
        <v>45211</v>
      </c>
      <c r="B23" t="s">
        <v>201</v>
      </c>
      <c r="C23" t="s">
        <v>32</v>
      </c>
      <c r="D23" s="1">
        <v>210867</v>
      </c>
      <c r="E23" s="1">
        <v>66577</v>
      </c>
      <c r="F23" s="3">
        <v>0.31569999999999998</v>
      </c>
      <c r="G23">
        <v>394</v>
      </c>
      <c r="H23" s="3">
        <v>5.8999999999999999E-3</v>
      </c>
      <c r="I23" s="3">
        <v>1.9E-3</v>
      </c>
    </row>
    <row r="24" spans="1:9" x14ac:dyDescent="0.25">
      <c r="A24" s="11">
        <v>45211</v>
      </c>
      <c r="B24" t="s">
        <v>202</v>
      </c>
      <c r="C24" t="s">
        <v>33</v>
      </c>
      <c r="D24" s="1">
        <v>12087</v>
      </c>
      <c r="E24" s="1">
        <v>2990</v>
      </c>
      <c r="F24" s="3">
        <v>0.24740000000000001</v>
      </c>
      <c r="G24">
        <v>42</v>
      </c>
      <c r="H24" s="3">
        <v>1.4E-2</v>
      </c>
      <c r="I24" s="3">
        <v>3.5000000000000001E-3</v>
      </c>
    </row>
    <row r="25" spans="1:9" x14ac:dyDescent="0.25">
      <c r="A25" s="27" t="s">
        <v>427</v>
      </c>
      <c r="D25" s="14">
        <f>SUM(D2:D24)</f>
        <v>7281078</v>
      </c>
      <c r="E25" s="14">
        <f>SUM(E2:E24)</f>
        <v>2404993</v>
      </c>
      <c r="F25" s="15">
        <f>AVERAGE(F2:F24)</f>
        <v>0.31753287580119843</v>
      </c>
      <c r="G25" s="14">
        <f>SUM(G2:G24)</f>
        <v>26079</v>
      </c>
      <c r="H25" s="15">
        <f>AVERAGE(H2:H24)</f>
        <v>1.8221909075471682E-2</v>
      </c>
      <c r="I25" s="15">
        <f>AVERAGE(I2:I24)</f>
        <v>7.1499993260553483E-3</v>
      </c>
    </row>
    <row r="26" spans="1:9" ht="15.75" thickBot="1" x14ac:dyDescent="0.3">
      <c r="A26" s="140"/>
      <c r="B26" s="140"/>
      <c r="C26" s="140"/>
      <c r="D26" s="140"/>
      <c r="E26" s="140"/>
      <c r="F26" s="140"/>
      <c r="G26" s="140"/>
      <c r="H26" s="140"/>
      <c r="I26" s="140"/>
    </row>
    <row r="27" spans="1:9" ht="20.45" customHeight="1" x14ac:dyDescent="0.25">
      <c r="A27" s="76" t="s">
        <v>0</v>
      </c>
      <c r="B27" s="77" t="s">
        <v>1</v>
      </c>
      <c r="C27" s="77" t="s">
        <v>796</v>
      </c>
      <c r="D27" s="77" t="s">
        <v>3</v>
      </c>
      <c r="E27" s="77" t="s">
        <v>4</v>
      </c>
      <c r="F27" s="77" t="s">
        <v>5</v>
      </c>
      <c r="G27" s="77" t="s">
        <v>6</v>
      </c>
      <c r="H27" s="77" t="s">
        <v>7</v>
      </c>
      <c r="I27" s="78" t="s">
        <v>8</v>
      </c>
    </row>
    <row r="28" spans="1:9" x14ac:dyDescent="0.25">
      <c r="A28" s="8" t="s">
        <v>790</v>
      </c>
      <c r="B28" s="9"/>
      <c r="C28" s="9"/>
      <c r="D28" s="9"/>
      <c r="E28" s="9"/>
      <c r="F28" s="9"/>
      <c r="G28" s="9"/>
      <c r="H28" s="9"/>
      <c r="I28" s="10"/>
    </row>
    <row r="29" spans="1:9" x14ac:dyDescent="0.25">
      <c r="A29" s="11">
        <v>45205</v>
      </c>
      <c r="B29" t="s">
        <v>193</v>
      </c>
      <c r="C29" t="s">
        <v>32</v>
      </c>
      <c r="D29" s="1">
        <v>2980755</v>
      </c>
      <c r="E29" s="1">
        <v>933750</v>
      </c>
      <c r="F29" s="2">
        <v>0.31325956007790001</v>
      </c>
      <c r="G29" s="1">
        <v>9315</v>
      </c>
      <c r="H29" s="2">
        <v>9.9759036144578296E-3</v>
      </c>
      <c r="I29" s="12">
        <v>3.1250471776445902E-3</v>
      </c>
    </row>
    <row r="30" spans="1:9" x14ac:dyDescent="0.25">
      <c r="A30" s="11">
        <v>45205</v>
      </c>
      <c r="B30" t="s">
        <v>193</v>
      </c>
      <c r="C30" t="s">
        <v>33</v>
      </c>
      <c r="D30" s="1">
        <v>204735</v>
      </c>
      <c r="E30" s="1">
        <v>51464</v>
      </c>
      <c r="F30" s="2">
        <v>0.251368842650255</v>
      </c>
      <c r="G30" s="1">
        <v>1081</v>
      </c>
      <c r="H30" s="2">
        <v>2.1004974351002601E-2</v>
      </c>
      <c r="I30" s="12">
        <v>5.27999609250983E-3</v>
      </c>
    </row>
    <row r="31" spans="1:9" x14ac:dyDescent="0.25">
      <c r="A31" s="11">
        <v>45205</v>
      </c>
      <c r="B31" t="s">
        <v>194</v>
      </c>
      <c r="C31" t="s">
        <v>32</v>
      </c>
      <c r="D31" s="1">
        <v>320980</v>
      </c>
      <c r="E31" s="1">
        <v>99686</v>
      </c>
      <c r="F31" s="2">
        <v>0.31056763661287301</v>
      </c>
      <c r="G31" s="1">
        <v>1212</v>
      </c>
      <c r="H31" s="2">
        <v>1.21581766747587E-2</v>
      </c>
      <c r="I31" s="12">
        <v>3.77593619540158E-3</v>
      </c>
    </row>
    <row r="32" spans="1:9" x14ac:dyDescent="0.25">
      <c r="A32" s="11">
        <v>45209</v>
      </c>
      <c r="B32" t="s">
        <v>196</v>
      </c>
      <c r="C32" t="s">
        <v>32</v>
      </c>
      <c r="D32" s="1">
        <v>1085292</v>
      </c>
      <c r="E32" s="1">
        <v>345054</v>
      </c>
      <c r="F32" s="2">
        <v>0.31793655532336002</v>
      </c>
      <c r="G32" s="1">
        <v>4362</v>
      </c>
      <c r="H32" s="2">
        <v>1.26414995913683E-2</v>
      </c>
      <c r="I32" s="12">
        <v>4.0191948342013003E-3</v>
      </c>
    </row>
    <row r="33" spans="1:9" x14ac:dyDescent="0.25">
      <c r="A33" s="11">
        <v>45209</v>
      </c>
      <c r="B33" t="s">
        <v>196</v>
      </c>
      <c r="C33" t="s">
        <v>33</v>
      </c>
      <c r="D33" s="1">
        <v>83175</v>
      </c>
      <c r="E33" s="1">
        <v>22781</v>
      </c>
      <c r="F33" s="2">
        <v>0.27389239555154798</v>
      </c>
      <c r="G33" s="1">
        <v>606</v>
      </c>
      <c r="H33" s="2">
        <v>2.6601114964224602E-2</v>
      </c>
      <c r="I33" s="12">
        <v>7.2858431018935996E-3</v>
      </c>
    </row>
    <row r="34" spans="1:9" ht="15.75" thickBot="1" x14ac:dyDescent="0.3">
      <c r="A34" s="17" t="s">
        <v>427</v>
      </c>
      <c r="B34" s="4"/>
      <c r="C34" s="4"/>
      <c r="D34" s="18">
        <f>SUM(D29:D33)</f>
        <v>4674937</v>
      </c>
      <c r="E34" s="18">
        <f>SUM(E29:E33)</f>
        <v>1452735</v>
      </c>
      <c r="F34" s="19">
        <f>AVERAGE(F29:F33)</f>
        <v>0.2934049980431872</v>
      </c>
      <c r="G34" s="18">
        <f>SUM(G29:G33)</f>
        <v>16576</v>
      </c>
      <c r="H34" s="19">
        <f>AVERAGE(H11:H33)</f>
        <v>1.1900825403771333E-2</v>
      </c>
      <c r="I34" s="21">
        <f>AVERAGE(I29:I33)</f>
        <v>4.6972034803301798E-3</v>
      </c>
    </row>
    <row r="35" spans="1:9" ht="3" customHeight="1" thickBot="1" x14ac:dyDescent="0.3">
      <c r="A35" s="143"/>
      <c r="B35" s="140"/>
      <c r="C35" s="140"/>
      <c r="D35" s="140"/>
      <c r="E35" s="140"/>
      <c r="F35" s="140"/>
      <c r="G35" s="140"/>
      <c r="H35" s="140"/>
      <c r="I35" s="144"/>
    </row>
    <row r="36" spans="1:9" x14ac:dyDescent="0.25">
      <c r="A36" s="22" t="s">
        <v>795</v>
      </c>
      <c r="B36" s="23"/>
      <c r="C36" s="23"/>
      <c r="D36" s="23"/>
      <c r="E36" s="23"/>
      <c r="F36" s="23"/>
      <c r="G36" s="23"/>
      <c r="H36" s="23"/>
      <c r="I36" s="24"/>
    </row>
    <row r="37" spans="1:9" x14ac:dyDescent="0.25">
      <c r="A37" s="11">
        <v>45206</v>
      </c>
      <c r="B37" t="s">
        <v>195</v>
      </c>
      <c r="C37" t="s">
        <v>32</v>
      </c>
      <c r="D37" s="1">
        <v>42686</v>
      </c>
      <c r="E37" s="1">
        <v>17006</v>
      </c>
      <c r="F37" s="3">
        <v>0.39839999999999998</v>
      </c>
      <c r="G37" s="1">
        <v>1163</v>
      </c>
      <c r="H37" s="3">
        <v>6.8400000000000002E-2</v>
      </c>
      <c r="I37" s="16">
        <v>2.7199999999999998E-2</v>
      </c>
    </row>
    <row r="38" spans="1:9" x14ac:dyDescent="0.25">
      <c r="A38" s="11">
        <v>45206</v>
      </c>
      <c r="B38" t="s">
        <v>195</v>
      </c>
      <c r="C38" t="s">
        <v>33</v>
      </c>
      <c r="D38" s="1">
        <v>3870</v>
      </c>
      <c r="E38" s="1">
        <v>1510</v>
      </c>
      <c r="F38" s="3">
        <v>0.39019999999999999</v>
      </c>
      <c r="G38">
        <v>161</v>
      </c>
      <c r="H38" s="3">
        <v>0.1066</v>
      </c>
      <c r="I38" s="16">
        <v>4.1599999999999998E-2</v>
      </c>
    </row>
    <row r="39" spans="1:9" x14ac:dyDescent="0.25">
      <c r="A39" s="11">
        <v>45210</v>
      </c>
      <c r="B39" t="s">
        <v>197</v>
      </c>
      <c r="C39" t="s">
        <v>32</v>
      </c>
      <c r="D39" s="1">
        <v>747453</v>
      </c>
      <c r="E39" s="1">
        <v>309240</v>
      </c>
      <c r="F39" s="2">
        <v>0.41372501013441598</v>
      </c>
      <c r="G39" s="1">
        <v>2405</v>
      </c>
      <c r="H39" s="2">
        <v>7.7771310309144998E-3</v>
      </c>
      <c r="I39" s="12">
        <v>3.2175936145817899E-3</v>
      </c>
    </row>
    <row r="40" spans="1:9" x14ac:dyDescent="0.25">
      <c r="A40" s="11">
        <v>45210</v>
      </c>
      <c r="B40" t="s">
        <v>197</v>
      </c>
      <c r="C40" t="s">
        <v>33</v>
      </c>
      <c r="D40" s="1">
        <v>53558</v>
      </c>
      <c r="E40" s="1">
        <v>15243</v>
      </c>
      <c r="F40" s="2">
        <v>0.284607341573621</v>
      </c>
      <c r="G40" s="1">
        <v>252</v>
      </c>
      <c r="H40" s="2">
        <v>1.6532178704979299E-2</v>
      </c>
      <c r="I40" s="12">
        <v>4.7051794316441999E-3</v>
      </c>
    </row>
    <row r="41" spans="1:9" x14ac:dyDescent="0.25">
      <c r="A41" s="11">
        <v>45210</v>
      </c>
      <c r="B41" t="s">
        <v>198</v>
      </c>
      <c r="C41" t="s">
        <v>32</v>
      </c>
      <c r="D41" s="1">
        <v>243300</v>
      </c>
      <c r="E41" s="1">
        <v>125352</v>
      </c>
      <c r="F41" s="2">
        <v>0.51521578298396997</v>
      </c>
      <c r="G41" s="1">
        <v>1296</v>
      </c>
      <c r="H41" s="2">
        <v>1.03388856978748E-2</v>
      </c>
      <c r="I41" s="12">
        <v>5.3267570900123297E-3</v>
      </c>
    </row>
    <row r="42" spans="1:9" x14ac:dyDescent="0.25">
      <c r="A42" s="11">
        <v>45210</v>
      </c>
      <c r="B42" t="s">
        <v>198</v>
      </c>
      <c r="C42" t="s">
        <v>33</v>
      </c>
      <c r="D42" s="1">
        <v>19869</v>
      </c>
      <c r="E42" s="1">
        <v>7897</v>
      </c>
      <c r="F42" s="2">
        <v>0.397453319241029</v>
      </c>
      <c r="G42" s="1">
        <v>124</v>
      </c>
      <c r="H42" s="2">
        <v>1.57021653792579E-2</v>
      </c>
      <c r="I42" s="12">
        <v>6.24087774925764E-3</v>
      </c>
    </row>
    <row r="43" spans="1:9" x14ac:dyDescent="0.25">
      <c r="A43" s="11">
        <v>45211</v>
      </c>
      <c r="B43" t="s">
        <v>199</v>
      </c>
      <c r="C43" t="s">
        <v>32</v>
      </c>
      <c r="D43" s="1">
        <v>118843</v>
      </c>
      <c r="E43" s="1">
        <v>37084</v>
      </c>
      <c r="F43" s="2">
        <v>0.31240000000000001</v>
      </c>
      <c r="G43" s="1">
        <v>902</v>
      </c>
      <c r="H43" s="2">
        <v>7.6E-3</v>
      </c>
      <c r="I43" s="12">
        <v>2.4299999999999999E-2</v>
      </c>
    </row>
    <row r="44" spans="1:9" x14ac:dyDescent="0.25">
      <c r="A44" s="11">
        <v>45211</v>
      </c>
      <c r="B44" t="s">
        <v>200</v>
      </c>
      <c r="C44" t="s">
        <v>32</v>
      </c>
      <c r="D44" s="1">
        <v>98696</v>
      </c>
      <c r="E44" s="1">
        <v>31862</v>
      </c>
      <c r="F44" s="2">
        <v>0.32282969927859301</v>
      </c>
      <c r="G44" s="1">
        <v>254</v>
      </c>
      <c r="H44" s="2">
        <v>7.9718787270102297E-3</v>
      </c>
      <c r="I44" s="12">
        <v>2.5735592121261201E-3</v>
      </c>
    </row>
    <row r="45" spans="1:9" ht="15.75" thickBot="1" x14ac:dyDescent="0.3">
      <c r="A45" s="17" t="s">
        <v>427</v>
      </c>
      <c r="B45" s="4"/>
      <c r="C45" s="4"/>
      <c r="D45" s="18">
        <f>SUM(D37:D44)</f>
        <v>1328275</v>
      </c>
      <c r="E45" s="18">
        <f>SUM(E37:E44)</f>
        <v>545194</v>
      </c>
      <c r="F45" s="19">
        <f>AVERAGE(F37:F44)</f>
        <v>0.3793538941514536</v>
      </c>
      <c r="G45" s="18">
        <f>SUM(G37:G44)</f>
        <v>6557</v>
      </c>
      <c r="H45" s="19">
        <f>AVERAGE(H37:H44)</f>
        <v>3.0115279942504587E-2</v>
      </c>
      <c r="I45" s="21">
        <f>AVERAGE(I37:I44)</f>
        <v>1.439549588720276E-2</v>
      </c>
    </row>
    <row r="46" spans="1:9" ht="3" customHeight="1" thickBot="1" x14ac:dyDescent="0.3">
      <c r="A46" s="143"/>
      <c r="B46" s="140"/>
      <c r="C46" s="140"/>
      <c r="D46" s="140"/>
      <c r="E46" s="140"/>
      <c r="F46" s="140"/>
      <c r="G46" s="140"/>
      <c r="H46" s="140"/>
      <c r="I46" s="144"/>
    </row>
    <row r="47" spans="1:9" x14ac:dyDescent="0.25">
      <c r="A47" s="22" t="s">
        <v>792</v>
      </c>
      <c r="B47" s="23"/>
      <c r="C47" s="23"/>
      <c r="D47" s="23"/>
      <c r="E47" s="23"/>
      <c r="F47" s="23"/>
      <c r="G47" s="23"/>
      <c r="H47" s="23"/>
      <c r="I47" s="24"/>
    </row>
    <row r="48" spans="1:9" x14ac:dyDescent="0.25">
      <c r="A48" s="11">
        <v>45211</v>
      </c>
      <c r="B48" t="s">
        <v>166</v>
      </c>
      <c r="C48" t="s">
        <v>32</v>
      </c>
      <c r="D48" s="1">
        <v>214130</v>
      </c>
      <c r="E48" s="1">
        <v>65110</v>
      </c>
      <c r="F48" s="3">
        <v>0.30409999999999998</v>
      </c>
      <c r="G48">
        <v>437</v>
      </c>
      <c r="H48" s="3">
        <v>6.7000000000000002E-3</v>
      </c>
      <c r="I48" s="16">
        <v>2E-3</v>
      </c>
    </row>
    <row r="49" spans="1:9" x14ac:dyDescent="0.25">
      <c r="A49" s="11">
        <v>45211</v>
      </c>
      <c r="B49" t="s">
        <v>167</v>
      </c>
      <c r="C49" t="s">
        <v>33</v>
      </c>
      <c r="D49" s="1">
        <v>16729</v>
      </c>
      <c r="E49" s="1">
        <v>3959</v>
      </c>
      <c r="F49" s="3">
        <v>0.23669999999999999</v>
      </c>
      <c r="G49">
        <v>47</v>
      </c>
      <c r="H49" s="3">
        <v>1.1900000000000001E-2</v>
      </c>
      <c r="I49" s="16">
        <v>2.8E-3</v>
      </c>
    </row>
    <row r="50" spans="1:9" x14ac:dyDescent="0.25">
      <c r="A50" s="11">
        <v>45211</v>
      </c>
      <c r="B50" t="s">
        <v>183</v>
      </c>
      <c r="C50" t="s">
        <v>32</v>
      </c>
      <c r="D50" s="1">
        <v>197148</v>
      </c>
      <c r="E50" s="1">
        <v>57534</v>
      </c>
      <c r="F50" s="3">
        <v>0.2918</v>
      </c>
      <c r="G50">
        <v>474</v>
      </c>
      <c r="H50" s="3">
        <v>8.2000000000000007E-3</v>
      </c>
      <c r="I50" s="16">
        <v>2.3999999999999998E-3</v>
      </c>
    </row>
    <row r="51" spans="1:9" x14ac:dyDescent="0.25">
      <c r="A51" s="11">
        <v>45211</v>
      </c>
      <c r="B51" t="s">
        <v>184</v>
      </c>
      <c r="C51" t="s">
        <v>33</v>
      </c>
      <c r="D51" s="1">
        <v>15660</v>
      </c>
      <c r="E51" s="1">
        <v>3410</v>
      </c>
      <c r="F51" s="3">
        <v>0.21779999999999999</v>
      </c>
      <c r="G51">
        <v>43</v>
      </c>
      <c r="H51" s="3">
        <v>1.26E-2</v>
      </c>
      <c r="I51" s="16">
        <v>2.7000000000000001E-3</v>
      </c>
    </row>
    <row r="52" spans="1:9" x14ac:dyDescent="0.25">
      <c r="A52" s="11">
        <v>45211</v>
      </c>
      <c r="B52" t="s">
        <v>185</v>
      </c>
      <c r="C52" t="s">
        <v>32</v>
      </c>
      <c r="D52" s="1">
        <v>148642</v>
      </c>
      <c r="E52" s="1">
        <v>45454</v>
      </c>
      <c r="F52" s="3">
        <v>0.30580000000000002</v>
      </c>
      <c r="G52">
        <v>198</v>
      </c>
      <c r="H52" s="3">
        <v>4.4000000000000003E-3</v>
      </c>
      <c r="I52" s="16">
        <v>1.2999999999999999E-3</v>
      </c>
    </row>
    <row r="53" spans="1:9" x14ac:dyDescent="0.25">
      <c r="A53" s="11">
        <v>45211</v>
      </c>
      <c r="B53" t="s">
        <v>187</v>
      </c>
      <c r="C53" t="s">
        <v>33</v>
      </c>
      <c r="D53" s="1">
        <v>7747</v>
      </c>
      <c r="E53" s="1">
        <v>1692</v>
      </c>
      <c r="F53" s="3">
        <v>0.21840000000000001</v>
      </c>
      <c r="G53">
        <v>18</v>
      </c>
      <c r="H53" s="3">
        <v>1.06E-2</v>
      </c>
      <c r="I53" s="16">
        <v>2.3E-3</v>
      </c>
    </row>
    <row r="54" spans="1:9" x14ac:dyDescent="0.25">
      <c r="A54" s="11">
        <v>45211</v>
      </c>
      <c r="B54" t="s">
        <v>189</v>
      </c>
      <c r="C54" t="s">
        <v>32</v>
      </c>
      <c r="D54" s="1">
        <v>425619</v>
      </c>
      <c r="E54" s="1">
        <v>151329</v>
      </c>
      <c r="F54" s="3">
        <v>0.35560000000000003</v>
      </c>
      <c r="G54" s="1">
        <v>1169</v>
      </c>
      <c r="H54" s="3">
        <v>7.7000000000000002E-3</v>
      </c>
      <c r="I54" s="16">
        <v>2.7000000000000001E-3</v>
      </c>
    </row>
    <row r="55" spans="1:9" x14ac:dyDescent="0.25">
      <c r="A55" s="11">
        <v>45211</v>
      </c>
      <c r="B55" t="s">
        <v>191</v>
      </c>
      <c r="C55" t="s">
        <v>33</v>
      </c>
      <c r="D55" s="1">
        <v>29237</v>
      </c>
      <c r="E55" s="1">
        <v>9009</v>
      </c>
      <c r="F55" s="3">
        <v>0.30809999999999998</v>
      </c>
      <c r="G55">
        <v>124</v>
      </c>
      <c r="H55" s="3">
        <v>1.38E-2</v>
      </c>
      <c r="I55" s="16">
        <v>4.1999999999999997E-3</v>
      </c>
    </row>
    <row r="56" spans="1:9" x14ac:dyDescent="0.25">
      <c r="A56" s="11">
        <v>45211</v>
      </c>
      <c r="B56" t="s">
        <v>201</v>
      </c>
      <c r="C56" t="s">
        <v>32</v>
      </c>
      <c r="D56" s="1">
        <v>210867</v>
      </c>
      <c r="E56" s="1">
        <v>66577</v>
      </c>
      <c r="F56" s="3">
        <v>0.31569999999999998</v>
      </c>
      <c r="G56">
        <v>394</v>
      </c>
      <c r="H56" s="3">
        <v>5.8999999999999999E-3</v>
      </c>
      <c r="I56" s="16">
        <v>1.9E-3</v>
      </c>
    </row>
    <row r="57" spans="1:9" x14ac:dyDescent="0.25">
      <c r="A57" s="11">
        <v>45211</v>
      </c>
      <c r="B57" t="s">
        <v>202</v>
      </c>
      <c r="C57" t="s">
        <v>33</v>
      </c>
      <c r="D57" s="1">
        <v>12087</v>
      </c>
      <c r="E57" s="1">
        <v>2990</v>
      </c>
      <c r="F57" s="3">
        <v>0.24740000000000001</v>
      </c>
      <c r="G57">
        <v>42</v>
      </c>
      <c r="H57" s="3">
        <v>1.4E-2</v>
      </c>
      <c r="I57" s="16">
        <v>3.5000000000000001E-3</v>
      </c>
    </row>
    <row r="58" spans="1:9" ht="15.75" thickBot="1" x14ac:dyDescent="0.3">
      <c r="A58" s="17" t="s">
        <v>427</v>
      </c>
      <c r="B58" s="4"/>
      <c r="C58" s="4"/>
      <c r="D58" s="18">
        <f>SUM(D48:D57)</f>
        <v>1277866</v>
      </c>
      <c r="E58" s="18">
        <f>SUM(E48:E57)</f>
        <v>407064</v>
      </c>
      <c r="F58" s="19">
        <f>AVERAGE(F48:F57)</f>
        <v>0.28014</v>
      </c>
      <c r="G58" s="18">
        <f>SUM(G47:G57)</f>
        <v>2946</v>
      </c>
      <c r="H58" s="19">
        <f>AVERAGE(H48:H57)</f>
        <v>9.58E-3</v>
      </c>
      <c r="I58" s="21">
        <f>AVERAGE(I48:I57)</f>
        <v>2.5799999999999998E-3</v>
      </c>
    </row>
  </sheetData>
  <mergeCells count="3">
    <mergeCell ref="A26:I26"/>
    <mergeCell ref="A35:I35"/>
    <mergeCell ref="A46:I46"/>
  </mergeCells>
  <pageMargins left="0.7" right="0.7" top="0.75" bottom="0.75" header="0.3" footer="0.3"/>
  <ignoredErrors>
    <ignoredError sqref="F25:G25 F34:G34 F45:G45 G58" formula="1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F7C2-726B-460E-8BE4-4740A06BCAB9}">
  <dimension ref="A1:I74"/>
  <sheetViews>
    <sheetView zoomScaleNormal="100"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21.5703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104">
        <v>45212</v>
      </c>
      <c r="B2" s="105" t="s">
        <v>203</v>
      </c>
      <c r="C2" s="105" t="s">
        <v>204</v>
      </c>
      <c r="D2" s="25">
        <v>1037</v>
      </c>
      <c r="E2" s="25">
        <v>554</v>
      </c>
      <c r="F2" s="106">
        <v>0.53423336547733802</v>
      </c>
      <c r="G2" s="25">
        <v>19</v>
      </c>
      <c r="H2" s="106">
        <v>3.42960288808664E-2</v>
      </c>
      <c r="I2" s="108">
        <v>1.8322082931533298E-2</v>
      </c>
    </row>
    <row r="3" spans="1:9" x14ac:dyDescent="0.25">
      <c r="A3" s="104">
        <v>45212</v>
      </c>
      <c r="B3" s="105" t="s">
        <v>203</v>
      </c>
      <c r="C3" s="105" t="s">
        <v>205</v>
      </c>
      <c r="D3" s="25">
        <v>28740</v>
      </c>
      <c r="E3" s="25">
        <v>20650</v>
      </c>
      <c r="F3" s="106">
        <v>0.71851078636047305</v>
      </c>
      <c r="G3" s="25">
        <v>443</v>
      </c>
      <c r="H3" s="106">
        <v>2.1452784503632E-2</v>
      </c>
      <c r="I3" s="108">
        <v>1.54140570633264E-2</v>
      </c>
    </row>
    <row r="4" spans="1:9" x14ac:dyDescent="0.25">
      <c r="A4" s="104">
        <v>45212</v>
      </c>
      <c r="B4" s="105" t="s">
        <v>203</v>
      </c>
      <c r="C4" s="105" t="s">
        <v>206</v>
      </c>
      <c r="D4" s="25">
        <v>3134</v>
      </c>
      <c r="E4" s="25">
        <v>2137</v>
      </c>
      <c r="F4" s="106">
        <v>0.68187619655392495</v>
      </c>
      <c r="G4" s="25">
        <v>45</v>
      </c>
      <c r="H4" s="106">
        <v>2.10575573233505E-2</v>
      </c>
      <c r="I4" s="108">
        <v>1.43586470963625E-2</v>
      </c>
    </row>
    <row r="5" spans="1:9" x14ac:dyDescent="0.25">
      <c r="A5" s="104">
        <v>45212</v>
      </c>
      <c r="B5" s="105" t="s">
        <v>207</v>
      </c>
      <c r="C5" s="105" t="s">
        <v>32</v>
      </c>
      <c r="D5" s="25">
        <v>2813462</v>
      </c>
      <c r="E5" s="25">
        <v>955005</v>
      </c>
      <c r="F5" s="106">
        <v>0.33944122934662002</v>
      </c>
      <c r="G5" s="25">
        <v>13593</v>
      </c>
      <c r="H5" s="106">
        <v>1.4233433332809801E-2</v>
      </c>
      <c r="I5" s="108">
        <v>4.8314141083121102E-3</v>
      </c>
    </row>
    <row r="6" spans="1:9" x14ac:dyDescent="0.25">
      <c r="A6" s="104">
        <v>45212</v>
      </c>
      <c r="B6" s="105" t="s">
        <v>207</v>
      </c>
      <c r="C6" s="105" t="s">
        <v>33</v>
      </c>
      <c r="D6" s="25">
        <v>186288</v>
      </c>
      <c r="E6" s="25">
        <v>51399</v>
      </c>
      <c r="F6" s="106">
        <v>0.27591149188353498</v>
      </c>
      <c r="G6" s="25">
        <v>933</v>
      </c>
      <c r="H6" s="106">
        <v>1.8152104126539399E-2</v>
      </c>
      <c r="I6" s="108">
        <v>5.0083741303787697E-3</v>
      </c>
    </row>
    <row r="7" spans="1:9" x14ac:dyDescent="0.25">
      <c r="A7" s="104">
        <v>45212</v>
      </c>
      <c r="B7" s="105" t="s">
        <v>208</v>
      </c>
      <c r="C7" s="105" t="s">
        <v>32</v>
      </c>
      <c r="D7" s="25">
        <v>309073</v>
      </c>
      <c r="E7" s="25">
        <v>115609</v>
      </c>
      <c r="F7" s="106">
        <v>0.37405079058992502</v>
      </c>
      <c r="G7" s="25">
        <v>2030</v>
      </c>
      <c r="H7" s="106">
        <v>1.7559186568519802E-2</v>
      </c>
      <c r="I7" s="108">
        <v>6.5680276180708104E-3</v>
      </c>
    </row>
    <row r="8" spans="1:9" x14ac:dyDescent="0.25">
      <c r="A8" s="104">
        <v>45212</v>
      </c>
      <c r="B8" s="105" t="s">
        <v>208</v>
      </c>
      <c r="C8" s="105" t="s">
        <v>33</v>
      </c>
      <c r="D8" s="25">
        <v>16950</v>
      </c>
      <c r="E8" s="25">
        <v>5799</v>
      </c>
      <c r="F8" s="106">
        <v>0.34212389380531</v>
      </c>
      <c r="G8" s="25">
        <v>189</v>
      </c>
      <c r="H8" s="106">
        <v>3.2591826176927102E-2</v>
      </c>
      <c r="I8" s="108">
        <v>1.11504424778761E-2</v>
      </c>
    </row>
    <row r="9" spans="1:9" x14ac:dyDescent="0.25">
      <c r="A9" s="104">
        <v>45213</v>
      </c>
      <c r="B9" s="105" t="s">
        <v>209</v>
      </c>
      <c r="C9" s="105" t="s">
        <v>32</v>
      </c>
      <c r="D9" s="25">
        <v>160537</v>
      </c>
      <c r="E9" s="25">
        <v>79246</v>
      </c>
      <c r="F9" s="106">
        <v>0.49363075178930699</v>
      </c>
      <c r="G9" s="25">
        <v>1845</v>
      </c>
      <c r="H9" s="106">
        <v>2.3281932211089498E-2</v>
      </c>
      <c r="I9" s="108">
        <v>1.14926777004678E-2</v>
      </c>
    </row>
    <row r="10" spans="1:9" x14ac:dyDescent="0.25">
      <c r="A10" s="104">
        <v>45215</v>
      </c>
      <c r="B10" s="105" t="s">
        <v>210</v>
      </c>
      <c r="C10" s="105" t="s">
        <v>32</v>
      </c>
      <c r="D10" s="25">
        <v>134756</v>
      </c>
      <c r="E10" s="25">
        <v>45482</v>
      </c>
      <c r="F10" s="106">
        <v>0.33750000000000002</v>
      </c>
      <c r="G10" s="25">
        <v>1147</v>
      </c>
      <c r="H10" s="106">
        <v>2.52E-2</v>
      </c>
      <c r="I10" s="107">
        <v>8.5000000000000006E-3</v>
      </c>
    </row>
    <row r="11" spans="1:9" x14ac:dyDescent="0.25">
      <c r="A11" s="104">
        <v>45215</v>
      </c>
      <c r="B11" s="105" t="s">
        <v>211</v>
      </c>
      <c r="C11" s="105" t="s">
        <v>32</v>
      </c>
      <c r="D11" s="25">
        <v>4216353</v>
      </c>
      <c r="E11" s="25">
        <v>1391186</v>
      </c>
      <c r="F11" s="106">
        <v>0.32995007770933799</v>
      </c>
      <c r="G11" s="25">
        <v>10846</v>
      </c>
      <c r="H11" s="106">
        <v>7.7962256664457497E-3</v>
      </c>
      <c r="I11" s="108">
        <v>2.5723652644833099E-3</v>
      </c>
    </row>
    <row r="12" spans="1:9" x14ac:dyDescent="0.25">
      <c r="A12" s="104">
        <v>45215</v>
      </c>
      <c r="B12" s="105" t="s">
        <v>211</v>
      </c>
      <c r="C12" s="105" t="s">
        <v>33</v>
      </c>
      <c r="D12" s="25">
        <v>294807</v>
      </c>
      <c r="E12" s="25">
        <v>79151</v>
      </c>
      <c r="F12" s="106">
        <v>0.26848412690336398</v>
      </c>
      <c r="G12" s="25">
        <v>724</v>
      </c>
      <c r="H12" s="106">
        <v>9.1470733155614003E-3</v>
      </c>
      <c r="I12" s="108">
        <v>2.45584399284956E-3</v>
      </c>
    </row>
    <row r="13" spans="1:9" x14ac:dyDescent="0.25">
      <c r="A13" s="104">
        <v>45215</v>
      </c>
      <c r="B13" s="105" t="s">
        <v>212</v>
      </c>
      <c r="C13" s="105" t="s">
        <v>32</v>
      </c>
      <c r="D13" s="25">
        <v>1895433</v>
      </c>
      <c r="E13" s="25">
        <v>635348</v>
      </c>
      <c r="F13" s="106">
        <v>0.33519939771017998</v>
      </c>
      <c r="G13" s="25">
        <v>3076</v>
      </c>
      <c r="H13" s="106">
        <v>4.8414412259108397E-3</v>
      </c>
      <c r="I13" s="108">
        <v>1.6228481829745501E-3</v>
      </c>
    </row>
    <row r="14" spans="1:9" x14ac:dyDescent="0.25">
      <c r="A14" s="104">
        <v>45215</v>
      </c>
      <c r="B14" s="105" t="s">
        <v>212</v>
      </c>
      <c r="C14" s="105" t="s">
        <v>33</v>
      </c>
      <c r="D14" s="25">
        <v>121703</v>
      </c>
      <c r="E14" s="25">
        <v>28042</v>
      </c>
      <c r="F14" s="106">
        <v>0.23041338340057399</v>
      </c>
      <c r="G14" s="25">
        <v>234</v>
      </c>
      <c r="H14" s="106">
        <v>8.3446259182654598E-3</v>
      </c>
      <c r="I14" s="108">
        <v>1.92271349103966E-3</v>
      </c>
    </row>
    <row r="15" spans="1:9" x14ac:dyDescent="0.25">
      <c r="A15" s="104">
        <v>45216</v>
      </c>
      <c r="B15" s="105" t="s">
        <v>213</v>
      </c>
      <c r="C15" s="105" t="s">
        <v>32</v>
      </c>
      <c r="D15" s="25">
        <v>1073993</v>
      </c>
      <c r="E15" s="25">
        <v>356075</v>
      </c>
      <c r="F15" s="106">
        <v>0.331543129238273</v>
      </c>
      <c r="G15" s="25">
        <v>5248</v>
      </c>
      <c r="H15" s="106">
        <v>1.47384680193779E-2</v>
      </c>
      <c r="I15" s="108">
        <v>4.8864378073227698E-3</v>
      </c>
    </row>
    <row r="16" spans="1:9" x14ac:dyDescent="0.25">
      <c r="A16" s="104">
        <v>45216</v>
      </c>
      <c r="B16" s="105" t="s">
        <v>213</v>
      </c>
      <c r="C16" s="105" t="s">
        <v>33</v>
      </c>
      <c r="D16" s="25">
        <v>82539</v>
      </c>
      <c r="E16" s="25">
        <v>24855</v>
      </c>
      <c r="F16" s="106">
        <v>0.30113037473194498</v>
      </c>
      <c r="G16" s="25">
        <v>581</v>
      </c>
      <c r="H16" s="106">
        <v>2.3375578354455799E-2</v>
      </c>
      <c r="I16" s="108">
        <v>7.0390966694532297E-3</v>
      </c>
    </row>
    <row r="17" spans="1:9" x14ac:dyDescent="0.25">
      <c r="A17" s="104">
        <v>45216</v>
      </c>
      <c r="B17" s="105" t="s">
        <v>214</v>
      </c>
      <c r="C17" s="105" t="s">
        <v>32</v>
      </c>
      <c r="D17" s="25">
        <v>4213521</v>
      </c>
      <c r="E17" s="25">
        <v>1432833</v>
      </c>
      <c r="F17" s="106">
        <v>0.34005597693710299</v>
      </c>
      <c r="G17" s="25">
        <v>13361</v>
      </c>
      <c r="H17" s="106">
        <v>9.3248829416966196E-3</v>
      </c>
      <c r="I17" s="108">
        <v>3.1709821785627702E-3</v>
      </c>
    </row>
    <row r="18" spans="1:9" x14ac:dyDescent="0.25">
      <c r="A18" s="104">
        <v>45216</v>
      </c>
      <c r="B18" s="105" t="s">
        <v>214</v>
      </c>
      <c r="C18" s="105" t="s">
        <v>33</v>
      </c>
      <c r="D18" s="25">
        <v>294595</v>
      </c>
      <c r="E18" s="25">
        <v>86679</v>
      </c>
      <c r="F18" s="106">
        <v>0.29423106298477603</v>
      </c>
      <c r="G18" s="25">
        <v>1096</v>
      </c>
      <c r="H18" s="106">
        <v>1.26443544572503E-2</v>
      </c>
      <c r="I18" s="108">
        <v>3.7203618527130501E-3</v>
      </c>
    </row>
    <row r="19" spans="1:9" x14ac:dyDescent="0.25">
      <c r="A19" s="104">
        <v>45216</v>
      </c>
      <c r="B19" s="105" t="s">
        <v>215</v>
      </c>
      <c r="C19" s="105" t="s">
        <v>32</v>
      </c>
      <c r="D19" s="25">
        <v>31706</v>
      </c>
      <c r="E19" s="25">
        <v>16492</v>
      </c>
      <c r="F19" s="106">
        <v>0.52015391408566203</v>
      </c>
      <c r="G19" s="25">
        <v>176</v>
      </c>
      <c r="H19" s="106">
        <v>1.0671840892554E-2</v>
      </c>
      <c r="I19" s="108">
        <v>5.5509998107613704E-3</v>
      </c>
    </row>
    <row r="20" spans="1:9" x14ac:dyDescent="0.25">
      <c r="A20" s="104">
        <v>45217</v>
      </c>
      <c r="B20" s="105" t="s">
        <v>216</v>
      </c>
      <c r="C20" s="105" t="s">
        <v>32</v>
      </c>
      <c r="D20" s="25">
        <v>160721</v>
      </c>
      <c r="E20" s="25">
        <v>80972</v>
      </c>
      <c r="F20" s="106">
        <v>0.503804729935727</v>
      </c>
      <c r="G20" s="25">
        <v>1253</v>
      </c>
      <c r="H20" s="106">
        <v>1.5474485007163001E-2</v>
      </c>
      <c r="I20" s="108">
        <v>7.7961187399281998E-3</v>
      </c>
    </row>
    <row r="21" spans="1:9" x14ac:dyDescent="0.25">
      <c r="A21" s="104">
        <v>45217</v>
      </c>
      <c r="B21" s="105" t="s">
        <v>217</v>
      </c>
      <c r="C21" s="105" t="s">
        <v>32</v>
      </c>
      <c r="D21" s="25">
        <v>687268</v>
      </c>
      <c r="E21" s="25">
        <v>292378</v>
      </c>
      <c r="F21" s="106">
        <v>0.425420651041515</v>
      </c>
      <c r="G21" s="25">
        <v>5507</v>
      </c>
      <c r="H21" s="106">
        <v>1.88352064792837E-2</v>
      </c>
      <c r="I21" s="108">
        <v>8.0128858029182206E-3</v>
      </c>
    </row>
    <row r="22" spans="1:9" x14ac:dyDescent="0.25">
      <c r="A22" s="104">
        <v>45217</v>
      </c>
      <c r="B22" s="105" t="s">
        <v>217</v>
      </c>
      <c r="C22" s="105" t="s">
        <v>33</v>
      </c>
      <c r="D22" s="25">
        <v>35036</v>
      </c>
      <c r="E22" s="25">
        <v>12878</v>
      </c>
      <c r="F22" s="106">
        <v>0.367564790501199</v>
      </c>
      <c r="G22" s="25">
        <v>368</v>
      </c>
      <c r="H22" s="106">
        <v>2.8575865817673601E-2</v>
      </c>
      <c r="I22" s="108">
        <v>1.05034821326635E-2</v>
      </c>
    </row>
    <row r="23" spans="1:9" x14ac:dyDescent="0.25">
      <c r="A23" s="104">
        <v>45218</v>
      </c>
      <c r="B23" s="105" t="s">
        <v>218</v>
      </c>
      <c r="C23" s="105" t="s">
        <v>32</v>
      </c>
      <c r="D23" s="25">
        <v>1348317</v>
      </c>
      <c r="E23" s="25">
        <v>508136</v>
      </c>
      <c r="F23" s="106">
        <v>0.376866864394649</v>
      </c>
      <c r="G23" s="25">
        <v>24412</v>
      </c>
      <c r="H23" s="106">
        <v>4.8042256403797397E-2</v>
      </c>
      <c r="I23" s="108">
        <v>1.8105534529342899E-2</v>
      </c>
    </row>
    <row r="24" spans="1:9" x14ac:dyDescent="0.25">
      <c r="A24" s="104">
        <v>45218</v>
      </c>
      <c r="B24" s="105" t="s">
        <v>218</v>
      </c>
      <c r="C24" s="105" t="s">
        <v>33</v>
      </c>
      <c r="D24" s="25">
        <v>104937</v>
      </c>
      <c r="E24" s="25">
        <v>33899</v>
      </c>
      <c r="F24" s="106">
        <v>0.323041443913967</v>
      </c>
      <c r="G24" s="25">
        <v>1703</v>
      </c>
      <c r="H24" s="106">
        <v>5.0237470131862298E-2</v>
      </c>
      <c r="I24" s="108">
        <v>1.6228784889981598E-2</v>
      </c>
    </row>
    <row r="25" spans="1:9" x14ac:dyDescent="0.25">
      <c r="A25" s="104">
        <v>45218</v>
      </c>
      <c r="B25" s="105" t="s">
        <v>183</v>
      </c>
      <c r="C25" s="105" t="s">
        <v>32</v>
      </c>
      <c r="D25" s="25">
        <v>196031</v>
      </c>
      <c r="E25" s="25">
        <v>59759</v>
      </c>
      <c r="F25" s="106">
        <v>0.30480000000000002</v>
      </c>
      <c r="G25" s="25">
        <v>545</v>
      </c>
      <c r="H25" s="106">
        <v>9.1000000000000004E-3</v>
      </c>
      <c r="I25" s="107">
        <v>2.8E-3</v>
      </c>
    </row>
    <row r="26" spans="1:9" x14ac:dyDescent="0.25">
      <c r="A26" s="104">
        <v>45218</v>
      </c>
      <c r="B26" s="105" t="s">
        <v>184</v>
      </c>
      <c r="C26" s="105" t="s">
        <v>33</v>
      </c>
      <c r="D26" s="25">
        <v>15565</v>
      </c>
      <c r="E26" s="25">
        <v>3826</v>
      </c>
      <c r="F26" s="106">
        <v>0.24579999999999999</v>
      </c>
      <c r="G26" s="25">
        <v>37</v>
      </c>
      <c r="H26" s="106">
        <v>9.7000000000000003E-3</v>
      </c>
      <c r="I26" s="107">
        <v>2.3999999999999998E-3</v>
      </c>
    </row>
    <row r="27" spans="1:9" x14ac:dyDescent="0.25">
      <c r="A27" s="104">
        <v>45218</v>
      </c>
      <c r="B27" s="105" t="s">
        <v>185</v>
      </c>
      <c r="C27" s="105" t="s">
        <v>32</v>
      </c>
      <c r="D27" s="25">
        <v>147780</v>
      </c>
      <c r="E27" s="25">
        <v>47304</v>
      </c>
      <c r="F27" s="106">
        <v>0.3201</v>
      </c>
      <c r="G27" s="25">
        <v>234</v>
      </c>
      <c r="H27" s="106">
        <v>4.8999999999999998E-3</v>
      </c>
      <c r="I27" s="107">
        <v>1.6000000000000001E-3</v>
      </c>
    </row>
    <row r="28" spans="1:9" x14ac:dyDescent="0.25">
      <c r="A28" s="104">
        <v>45218</v>
      </c>
      <c r="B28" s="105" t="s">
        <v>187</v>
      </c>
      <c r="C28" s="105" t="s">
        <v>33</v>
      </c>
      <c r="D28" s="25">
        <v>7662</v>
      </c>
      <c r="E28" s="25">
        <v>1858</v>
      </c>
      <c r="F28" s="106">
        <v>0.24249999999999999</v>
      </c>
      <c r="G28" s="25">
        <v>27</v>
      </c>
      <c r="H28" s="106">
        <v>1.4500000000000001E-2</v>
      </c>
      <c r="I28" s="107">
        <v>3.5000000000000001E-3</v>
      </c>
    </row>
    <row r="29" spans="1:9" x14ac:dyDescent="0.25">
      <c r="A29" s="104">
        <v>45218</v>
      </c>
      <c r="B29" s="105" t="s">
        <v>189</v>
      </c>
      <c r="C29" s="105" t="s">
        <v>32</v>
      </c>
      <c r="D29" s="25">
        <v>423722</v>
      </c>
      <c r="E29" s="25">
        <v>153677</v>
      </c>
      <c r="F29" s="106">
        <v>0.36270000000000002</v>
      </c>
      <c r="G29" s="25">
        <v>1486</v>
      </c>
      <c r="H29" s="106">
        <v>9.7000000000000003E-3</v>
      </c>
      <c r="I29" s="107">
        <v>3.5000000000000001E-3</v>
      </c>
    </row>
    <row r="30" spans="1:9" x14ac:dyDescent="0.25">
      <c r="A30" s="104">
        <v>45218</v>
      </c>
      <c r="B30" s="105" t="s">
        <v>191</v>
      </c>
      <c r="C30" s="105" t="s">
        <v>33</v>
      </c>
      <c r="D30" s="25">
        <v>29006</v>
      </c>
      <c r="E30" s="25">
        <v>9436</v>
      </c>
      <c r="F30" s="106">
        <v>0.32529999999999998</v>
      </c>
      <c r="G30" s="25">
        <v>152</v>
      </c>
      <c r="H30" s="106">
        <v>1.61E-2</v>
      </c>
      <c r="I30" s="107">
        <v>5.1999999999999998E-3</v>
      </c>
    </row>
    <row r="31" spans="1:9" x14ac:dyDescent="0.25">
      <c r="A31" s="104">
        <v>45218</v>
      </c>
      <c r="B31" s="105" t="s">
        <v>201</v>
      </c>
      <c r="C31" s="105" t="s">
        <v>32</v>
      </c>
      <c r="D31" s="25">
        <v>174562</v>
      </c>
      <c r="E31" s="25">
        <v>61121</v>
      </c>
      <c r="F31" s="106">
        <v>0.35010000000000002</v>
      </c>
      <c r="G31" s="25">
        <v>400</v>
      </c>
      <c r="H31" s="106">
        <v>6.4999999999999997E-3</v>
      </c>
      <c r="I31" s="107">
        <v>2.3E-3</v>
      </c>
    </row>
    <row r="32" spans="1:9" x14ac:dyDescent="0.25">
      <c r="A32" s="104">
        <v>45218</v>
      </c>
      <c r="B32" s="105" t="s">
        <v>202</v>
      </c>
      <c r="C32" s="105" t="s">
        <v>33</v>
      </c>
      <c r="D32" s="25">
        <v>10185</v>
      </c>
      <c r="E32" s="25">
        <v>3080</v>
      </c>
      <c r="F32" s="106">
        <v>0.3024</v>
      </c>
      <c r="G32" s="25">
        <v>47</v>
      </c>
      <c r="H32" s="106">
        <v>1.5299999999999999E-2</v>
      </c>
      <c r="I32" s="107">
        <v>4.5999999999999999E-3</v>
      </c>
    </row>
    <row r="33" spans="1:9" ht="15.75" thickBot="1" x14ac:dyDescent="0.3">
      <c r="A33" s="27" t="s">
        <v>427</v>
      </c>
      <c r="D33" s="14">
        <f>SUM(D2:D32)</f>
        <v>19219419</v>
      </c>
      <c r="E33" s="14">
        <f>SUM(E2:E32)</f>
        <v>6594866</v>
      </c>
      <c r="F33" s="111">
        <f>AVERAGE(F2:F32)</f>
        <v>0.37093027191273242</v>
      </c>
      <c r="G33" s="14">
        <f>SUM(G2:G32)</f>
        <v>91757</v>
      </c>
      <c r="H33" s="111">
        <f>AVERAGE(H2:H32)</f>
        <v>1.7924987992097824E-2</v>
      </c>
      <c r="I33" s="111">
        <f>AVERAGE(I2:I32)</f>
        <v>6.9398122087523375E-3</v>
      </c>
    </row>
    <row r="34" spans="1:9" ht="15.75" thickBot="1" x14ac:dyDescent="0.3">
      <c r="A34" s="140"/>
      <c r="B34" s="140"/>
      <c r="C34" s="140"/>
      <c r="D34" s="140"/>
      <c r="E34" s="140"/>
      <c r="F34" s="140"/>
      <c r="G34" s="140"/>
      <c r="H34" s="140"/>
      <c r="I34" s="140"/>
    </row>
    <row r="35" spans="1:9" ht="20.45" customHeight="1" x14ac:dyDescent="0.25">
      <c r="A35" s="76" t="s">
        <v>0</v>
      </c>
      <c r="B35" s="77" t="s">
        <v>1</v>
      </c>
      <c r="C35" s="77" t="s">
        <v>796</v>
      </c>
      <c r="D35" s="77" t="s">
        <v>3</v>
      </c>
      <c r="E35" s="77" t="s">
        <v>4</v>
      </c>
      <c r="F35" s="77" t="s">
        <v>5</v>
      </c>
      <c r="G35" s="77" t="s">
        <v>6</v>
      </c>
      <c r="H35" s="77" t="s">
        <v>7</v>
      </c>
      <c r="I35" s="78" t="s">
        <v>8</v>
      </c>
    </row>
    <row r="36" spans="1:9" x14ac:dyDescent="0.25">
      <c r="A36" s="8" t="s">
        <v>790</v>
      </c>
      <c r="B36" s="9"/>
      <c r="C36" s="9"/>
      <c r="D36" s="9"/>
      <c r="E36" s="9"/>
      <c r="F36" s="9"/>
      <c r="G36" s="9"/>
      <c r="H36" s="9"/>
      <c r="I36" s="10"/>
    </row>
    <row r="37" spans="1:9" x14ac:dyDescent="0.25">
      <c r="A37" s="104">
        <v>45212</v>
      </c>
      <c r="B37" s="105" t="s">
        <v>207</v>
      </c>
      <c r="C37" s="105" t="s">
        <v>32</v>
      </c>
      <c r="D37" s="25">
        <v>2813462</v>
      </c>
      <c r="E37" s="25">
        <v>955005</v>
      </c>
      <c r="F37" s="106">
        <v>0.33944122934662002</v>
      </c>
      <c r="G37" s="25">
        <v>13593</v>
      </c>
      <c r="H37" s="106">
        <v>1.4233433332809801E-2</v>
      </c>
      <c r="I37" s="110">
        <v>4.8314141083121102E-3</v>
      </c>
    </row>
    <row r="38" spans="1:9" x14ac:dyDescent="0.25">
      <c r="A38" s="104">
        <v>45212</v>
      </c>
      <c r="B38" s="105" t="s">
        <v>207</v>
      </c>
      <c r="C38" s="105" t="s">
        <v>33</v>
      </c>
      <c r="D38" s="25">
        <v>186288</v>
      </c>
      <c r="E38" s="25">
        <v>51399</v>
      </c>
      <c r="F38" s="106">
        <v>0.27591149188353498</v>
      </c>
      <c r="G38" s="25">
        <v>933</v>
      </c>
      <c r="H38" s="106">
        <v>1.8152104126539399E-2</v>
      </c>
      <c r="I38" s="110">
        <v>5.0083741303787697E-3</v>
      </c>
    </row>
    <row r="39" spans="1:9" x14ac:dyDescent="0.25">
      <c r="A39" s="104">
        <v>45212</v>
      </c>
      <c r="B39" s="105" t="s">
        <v>208</v>
      </c>
      <c r="C39" s="105" t="s">
        <v>32</v>
      </c>
      <c r="D39" s="25">
        <v>309073</v>
      </c>
      <c r="E39" s="25">
        <v>115609</v>
      </c>
      <c r="F39" s="106">
        <v>0.37405079058992502</v>
      </c>
      <c r="G39" s="25">
        <v>2030</v>
      </c>
      <c r="H39" s="106">
        <v>1.7559186568519802E-2</v>
      </c>
      <c r="I39" s="110">
        <v>6.5680276180708104E-3</v>
      </c>
    </row>
    <row r="40" spans="1:9" x14ac:dyDescent="0.25">
      <c r="A40" s="104">
        <v>45212</v>
      </c>
      <c r="B40" s="105" t="s">
        <v>208</v>
      </c>
      <c r="C40" s="105" t="s">
        <v>33</v>
      </c>
      <c r="D40" s="25">
        <v>16950</v>
      </c>
      <c r="E40" s="25">
        <v>5799</v>
      </c>
      <c r="F40" s="106">
        <v>0.34212389380531</v>
      </c>
      <c r="G40" s="25">
        <v>189</v>
      </c>
      <c r="H40" s="106">
        <v>3.2591826176927102E-2</v>
      </c>
      <c r="I40" s="110">
        <v>1.11504424778761E-2</v>
      </c>
    </row>
    <row r="41" spans="1:9" x14ac:dyDescent="0.25">
      <c r="A41" s="104">
        <v>45216</v>
      </c>
      <c r="B41" s="105" t="s">
        <v>213</v>
      </c>
      <c r="C41" s="105" t="s">
        <v>32</v>
      </c>
      <c r="D41" s="25">
        <v>1073993</v>
      </c>
      <c r="E41" s="25">
        <v>356075</v>
      </c>
      <c r="F41" s="106">
        <v>0.331543129238273</v>
      </c>
      <c r="G41" s="25">
        <v>5248</v>
      </c>
      <c r="H41" s="106">
        <v>1.47384680193779E-2</v>
      </c>
      <c r="I41" s="110">
        <v>4.8864378073227698E-3</v>
      </c>
    </row>
    <row r="42" spans="1:9" x14ac:dyDescent="0.25">
      <c r="A42" s="104">
        <v>45216</v>
      </c>
      <c r="B42" s="105" t="s">
        <v>213</v>
      </c>
      <c r="C42" s="105" t="s">
        <v>33</v>
      </c>
      <c r="D42" s="25">
        <v>82539</v>
      </c>
      <c r="E42" s="25">
        <v>24855</v>
      </c>
      <c r="F42" s="106">
        <v>0.30113037473194498</v>
      </c>
      <c r="G42" s="25">
        <v>581</v>
      </c>
      <c r="H42" s="106">
        <v>2.3375578354455799E-2</v>
      </c>
      <c r="I42" s="110">
        <v>7.0390966694532297E-3</v>
      </c>
    </row>
    <row r="43" spans="1:9" ht="15.75" thickBot="1" x14ac:dyDescent="0.3">
      <c r="A43" s="17" t="s">
        <v>427</v>
      </c>
      <c r="B43" s="4"/>
      <c r="C43" s="4"/>
      <c r="D43" s="18">
        <f>SUM(D37:D42)</f>
        <v>4482305</v>
      </c>
      <c r="E43" s="18">
        <f>SUM(E37:E42)</f>
        <v>1508742</v>
      </c>
      <c r="F43" s="19">
        <f>AVERAGE(F37:F42)</f>
        <v>0.32736681826593467</v>
      </c>
      <c r="G43" s="18">
        <f>SUM(G37:G42)</f>
        <v>22574</v>
      </c>
      <c r="H43" s="19">
        <f>AVERAGE(H37:H42)</f>
        <v>2.0108432763104967E-2</v>
      </c>
      <c r="I43" s="21">
        <f>AVERAGE(I37:I42)</f>
        <v>6.5806321352356312E-3</v>
      </c>
    </row>
    <row r="44" spans="1:9" ht="3" customHeight="1" thickBot="1" x14ac:dyDescent="0.3">
      <c r="A44" s="143"/>
      <c r="B44" s="140"/>
      <c r="C44" s="140"/>
      <c r="D44" s="140"/>
      <c r="E44" s="140"/>
      <c r="F44" s="140"/>
      <c r="G44" s="140"/>
      <c r="H44" s="140"/>
      <c r="I44" s="144"/>
    </row>
    <row r="45" spans="1:9" x14ac:dyDescent="0.25">
      <c r="A45" s="22" t="s">
        <v>795</v>
      </c>
      <c r="B45" s="23"/>
      <c r="C45" s="23"/>
      <c r="D45" s="23"/>
      <c r="E45" s="23"/>
      <c r="F45" s="23"/>
      <c r="G45" s="23"/>
      <c r="H45" s="23"/>
      <c r="I45" s="24"/>
    </row>
    <row r="46" spans="1:9" x14ac:dyDescent="0.25">
      <c r="A46" s="104">
        <v>45212</v>
      </c>
      <c r="B46" s="105" t="s">
        <v>203</v>
      </c>
      <c r="C46" s="105" t="s">
        <v>204</v>
      </c>
      <c r="D46" s="25">
        <v>1037</v>
      </c>
      <c r="E46" s="25">
        <v>554</v>
      </c>
      <c r="F46" s="106">
        <v>0.53423336547733802</v>
      </c>
      <c r="G46" s="25">
        <v>19</v>
      </c>
      <c r="H46" s="106">
        <v>3.42960288808664E-2</v>
      </c>
      <c r="I46" s="110">
        <v>1.8322082931533298E-2</v>
      </c>
    </row>
    <row r="47" spans="1:9" x14ac:dyDescent="0.25">
      <c r="A47" s="104">
        <v>45212</v>
      </c>
      <c r="B47" s="105" t="s">
        <v>203</v>
      </c>
      <c r="C47" s="105" t="s">
        <v>205</v>
      </c>
      <c r="D47" s="25">
        <v>28740</v>
      </c>
      <c r="E47" s="25">
        <v>20650</v>
      </c>
      <c r="F47" s="106">
        <v>0.71851078636047305</v>
      </c>
      <c r="G47" s="25">
        <v>443</v>
      </c>
      <c r="H47" s="106">
        <v>2.1452784503632E-2</v>
      </c>
      <c r="I47" s="110">
        <v>1.54140570633264E-2</v>
      </c>
    </row>
    <row r="48" spans="1:9" x14ac:dyDescent="0.25">
      <c r="A48" s="104">
        <v>45212</v>
      </c>
      <c r="B48" s="105" t="s">
        <v>203</v>
      </c>
      <c r="C48" s="105" t="s">
        <v>206</v>
      </c>
      <c r="D48" s="25">
        <v>3134</v>
      </c>
      <c r="E48" s="25">
        <v>2137</v>
      </c>
      <c r="F48" s="106">
        <v>0.68187619655392495</v>
      </c>
      <c r="G48" s="25">
        <v>45</v>
      </c>
      <c r="H48" s="106">
        <v>2.10575573233505E-2</v>
      </c>
      <c r="I48" s="110">
        <v>1.43586470963625E-2</v>
      </c>
    </row>
    <row r="49" spans="1:9" x14ac:dyDescent="0.25">
      <c r="A49" s="104">
        <v>45213</v>
      </c>
      <c r="B49" s="105" t="s">
        <v>209</v>
      </c>
      <c r="C49" s="105" t="s">
        <v>32</v>
      </c>
      <c r="D49" s="25">
        <v>160537</v>
      </c>
      <c r="E49" s="25">
        <v>79246</v>
      </c>
      <c r="F49" s="106">
        <v>0.49363075178930699</v>
      </c>
      <c r="G49" s="25">
        <v>1845</v>
      </c>
      <c r="H49" s="106">
        <v>2.3281932211089498E-2</v>
      </c>
      <c r="I49" s="110">
        <v>1.14926777004678E-2</v>
      </c>
    </row>
    <row r="50" spans="1:9" x14ac:dyDescent="0.25">
      <c r="A50" s="104">
        <v>45215</v>
      </c>
      <c r="B50" s="105" t="s">
        <v>210</v>
      </c>
      <c r="C50" s="105" t="s">
        <v>32</v>
      </c>
      <c r="D50" s="25">
        <v>134756</v>
      </c>
      <c r="E50" s="25">
        <v>45482</v>
      </c>
      <c r="F50" s="106">
        <v>0.33750000000000002</v>
      </c>
      <c r="G50" s="25">
        <v>1147</v>
      </c>
      <c r="H50" s="106">
        <v>2.52E-2</v>
      </c>
      <c r="I50" s="109">
        <v>8.5000000000000006E-3</v>
      </c>
    </row>
    <row r="51" spans="1:9" x14ac:dyDescent="0.25">
      <c r="A51" s="104">
        <v>45215</v>
      </c>
      <c r="B51" s="105" t="s">
        <v>211</v>
      </c>
      <c r="C51" s="105" t="s">
        <v>32</v>
      </c>
      <c r="D51" s="25">
        <v>4216353</v>
      </c>
      <c r="E51" s="25">
        <v>1391186</v>
      </c>
      <c r="F51" s="106">
        <v>0.32995007770933799</v>
      </c>
      <c r="G51" s="25">
        <v>10846</v>
      </c>
      <c r="H51" s="106">
        <v>7.7962256664457497E-3</v>
      </c>
      <c r="I51" s="110">
        <v>2.5723652644833099E-3</v>
      </c>
    </row>
    <row r="52" spans="1:9" x14ac:dyDescent="0.25">
      <c r="A52" s="104">
        <v>45215</v>
      </c>
      <c r="B52" s="105" t="s">
        <v>211</v>
      </c>
      <c r="C52" s="105" t="s">
        <v>33</v>
      </c>
      <c r="D52" s="25">
        <v>294807</v>
      </c>
      <c r="E52" s="25">
        <v>79151</v>
      </c>
      <c r="F52" s="106">
        <v>0.26848412690336398</v>
      </c>
      <c r="G52" s="25">
        <v>724</v>
      </c>
      <c r="H52" s="106">
        <v>9.1470733155614003E-3</v>
      </c>
      <c r="I52" s="110">
        <v>2.45584399284956E-3</v>
      </c>
    </row>
    <row r="53" spans="1:9" x14ac:dyDescent="0.25">
      <c r="A53" s="104">
        <v>45215</v>
      </c>
      <c r="B53" s="105" t="s">
        <v>212</v>
      </c>
      <c r="C53" s="105" t="s">
        <v>32</v>
      </c>
      <c r="D53" s="25">
        <v>1895433</v>
      </c>
      <c r="E53" s="25">
        <v>635348</v>
      </c>
      <c r="F53" s="106">
        <v>0.33519939771017998</v>
      </c>
      <c r="G53" s="25">
        <v>3076</v>
      </c>
      <c r="H53" s="106">
        <v>4.8414412259108397E-3</v>
      </c>
      <c r="I53" s="110">
        <v>1.6228481829745501E-3</v>
      </c>
    </row>
    <row r="54" spans="1:9" x14ac:dyDescent="0.25">
      <c r="A54" s="104">
        <v>45215</v>
      </c>
      <c r="B54" s="105" t="s">
        <v>212</v>
      </c>
      <c r="C54" s="105" t="s">
        <v>33</v>
      </c>
      <c r="D54" s="25">
        <v>121703</v>
      </c>
      <c r="E54" s="25">
        <v>28042</v>
      </c>
      <c r="F54" s="106">
        <v>0.23041338340057399</v>
      </c>
      <c r="G54" s="25">
        <v>234</v>
      </c>
      <c r="H54" s="106">
        <v>8.3446259182654598E-3</v>
      </c>
      <c r="I54" s="110">
        <v>1.92271349103966E-3</v>
      </c>
    </row>
    <row r="55" spans="1:9" x14ac:dyDescent="0.25">
      <c r="A55" s="104">
        <v>45216</v>
      </c>
      <c r="B55" s="105" t="s">
        <v>214</v>
      </c>
      <c r="C55" s="105" t="s">
        <v>32</v>
      </c>
      <c r="D55" s="25">
        <v>4213521</v>
      </c>
      <c r="E55" s="25">
        <v>1432833</v>
      </c>
      <c r="F55" s="106">
        <v>0.34005597693710299</v>
      </c>
      <c r="G55" s="25">
        <v>13361</v>
      </c>
      <c r="H55" s="106">
        <v>9.3248829416966196E-3</v>
      </c>
      <c r="I55" s="110">
        <v>3.1709821785627702E-3</v>
      </c>
    </row>
    <row r="56" spans="1:9" x14ac:dyDescent="0.25">
      <c r="A56" s="104">
        <v>45216</v>
      </c>
      <c r="B56" s="105" t="s">
        <v>214</v>
      </c>
      <c r="C56" s="105" t="s">
        <v>33</v>
      </c>
      <c r="D56" s="25">
        <v>294595</v>
      </c>
      <c r="E56" s="25">
        <v>86679</v>
      </c>
      <c r="F56" s="106">
        <v>0.29423106298477603</v>
      </c>
      <c r="G56" s="25">
        <v>1096</v>
      </c>
      <c r="H56" s="106">
        <v>1.26443544572503E-2</v>
      </c>
      <c r="I56" s="110">
        <v>3.7203618527130501E-3</v>
      </c>
    </row>
    <row r="57" spans="1:9" x14ac:dyDescent="0.25">
      <c r="A57" s="104">
        <v>45216</v>
      </c>
      <c r="B57" s="105" t="s">
        <v>215</v>
      </c>
      <c r="C57" s="105" t="s">
        <v>32</v>
      </c>
      <c r="D57" s="25">
        <v>31706</v>
      </c>
      <c r="E57" s="25">
        <v>16492</v>
      </c>
      <c r="F57" s="106">
        <v>0.52015391408566203</v>
      </c>
      <c r="G57" s="25">
        <v>176</v>
      </c>
      <c r="H57" s="106">
        <v>1.0671840892554E-2</v>
      </c>
      <c r="I57" s="110">
        <v>5.5509998107613704E-3</v>
      </c>
    </row>
    <row r="58" spans="1:9" x14ac:dyDescent="0.25">
      <c r="A58" s="104">
        <v>45217</v>
      </c>
      <c r="B58" s="105" t="s">
        <v>216</v>
      </c>
      <c r="C58" s="105" t="s">
        <v>32</v>
      </c>
      <c r="D58" s="25">
        <v>160721</v>
      </c>
      <c r="E58" s="25">
        <v>80972</v>
      </c>
      <c r="F58" s="106">
        <v>0.503804729935727</v>
      </c>
      <c r="G58" s="25">
        <v>1253</v>
      </c>
      <c r="H58" s="106">
        <v>1.5474485007163001E-2</v>
      </c>
      <c r="I58" s="110">
        <v>7.7961187399281998E-3</v>
      </c>
    </row>
    <row r="59" spans="1:9" x14ac:dyDescent="0.25">
      <c r="A59" s="104">
        <v>45217</v>
      </c>
      <c r="B59" s="105" t="s">
        <v>217</v>
      </c>
      <c r="C59" s="105" t="s">
        <v>32</v>
      </c>
      <c r="D59" s="25">
        <v>687268</v>
      </c>
      <c r="E59" s="25">
        <v>292378</v>
      </c>
      <c r="F59" s="106">
        <v>0.425420651041515</v>
      </c>
      <c r="G59" s="25">
        <v>5507</v>
      </c>
      <c r="H59" s="106">
        <v>1.88352064792837E-2</v>
      </c>
      <c r="I59" s="110">
        <v>8.0128858029182206E-3</v>
      </c>
    </row>
    <row r="60" spans="1:9" x14ac:dyDescent="0.25">
      <c r="A60" s="104">
        <v>45217</v>
      </c>
      <c r="B60" s="105" t="s">
        <v>217</v>
      </c>
      <c r="C60" s="105" t="s">
        <v>33</v>
      </c>
      <c r="D60" s="25">
        <v>35036</v>
      </c>
      <c r="E60" s="25">
        <v>12878</v>
      </c>
      <c r="F60" s="106">
        <v>0.367564790501199</v>
      </c>
      <c r="G60" s="25">
        <v>368</v>
      </c>
      <c r="H60" s="106">
        <v>2.8575865817673601E-2</v>
      </c>
      <c r="I60" s="110">
        <v>1.05034821326635E-2</v>
      </c>
    </row>
    <row r="61" spans="1:9" x14ac:dyDescent="0.25">
      <c r="A61" s="104">
        <v>45218</v>
      </c>
      <c r="B61" s="105" t="s">
        <v>218</v>
      </c>
      <c r="C61" s="105" t="s">
        <v>32</v>
      </c>
      <c r="D61" s="25">
        <v>1348317</v>
      </c>
      <c r="E61" s="25">
        <v>508136</v>
      </c>
      <c r="F61" s="106">
        <v>0.376866864394649</v>
      </c>
      <c r="G61" s="25">
        <v>24412</v>
      </c>
      <c r="H61" s="106">
        <v>4.8042256403797397E-2</v>
      </c>
      <c r="I61" s="110">
        <v>1.8105534529342899E-2</v>
      </c>
    </row>
    <row r="62" spans="1:9" x14ac:dyDescent="0.25">
      <c r="A62" s="104">
        <v>45218</v>
      </c>
      <c r="B62" s="105" t="s">
        <v>218</v>
      </c>
      <c r="C62" s="105" t="s">
        <v>33</v>
      </c>
      <c r="D62" s="25">
        <v>104937</v>
      </c>
      <c r="E62" s="25">
        <v>33899</v>
      </c>
      <c r="F62" s="106">
        <v>0.323041443913967</v>
      </c>
      <c r="G62" s="25">
        <v>1703</v>
      </c>
      <c r="H62" s="106">
        <v>5.0237470131862298E-2</v>
      </c>
      <c r="I62" s="110">
        <v>1.6228784889981598E-2</v>
      </c>
    </row>
    <row r="63" spans="1:9" ht="15.75" thickBot="1" x14ac:dyDescent="0.3">
      <c r="A63" s="17" t="s">
        <v>427</v>
      </c>
      <c r="B63" s="4"/>
      <c r="C63" s="4"/>
      <c r="D63" s="18">
        <f>SUM(D46:D62)</f>
        <v>13732601</v>
      </c>
      <c r="E63" s="18">
        <f>SUM(E46:E62)</f>
        <v>4746063</v>
      </c>
      <c r="F63" s="19">
        <f>AVERAGE(F46:F62)</f>
        <v>0.41652573645288804</v>
      </c>
      <c r="G63" s="18">
        <f>SUM(G46:G62)</f>
        <v>66255</v>
      </c>
      <c r="H63" s="19">
        <f>AVERAGE(H46:H62)</f>
        <v>2.0542590069200159E-2</v>
      </c>
      <c r="I63" s="21">
        <f>AVERAGE(I46:I62)</f>
        <v>8.8088462152887455E-3</v>
      </c>
    </row>
    <row r="64" spans="1:9" ht="3" customHeight="1" thickBot="1" x14ac:dyDescent="0.3">
      <c r="A64" s="143"/>
      <c r="B64" s="140"/>
      <c r="C64" s="140"/>
      <c r="D64" s="140"/>
      <c r="E64" s="140"/>
      <c r="F64" s="140"/>
      <c r="G64" s="140"/>
      <c r="H64" s="140"/>
      <c r="I64" s="144"/>
    </row>
    <row r="65" spans="1:9" x14ac:dyDescent="0.25">
      <c r="A65" s="22" t="s">
        <v>792</v>
      </c>
      <c r="B65" s="23"/>
      <c r="C65" s="23"/>
      <c r="D65" s="23"/>
      <c r="E65" s="23"/>
      <c r="F65" s="23"/>
      <c r="G65" s="23"/>
      <c r="H65" s="23"/>
      <c r="I65" s="24"/>
    </row>
    <row r="66" spans="1:9" x14ac:dyDescent="0.25">
      <c r="A66" s="104">
        <v>45218</v>
      </c>
      <c r="B66" s="105" t="s">
        <v>183</v>
      </c>
      <c r="C66" s="105" t="s">
        <v>32</v>
      </c>
      <c r="D66" s="25">
        <v>196031</v>
      </c>
      <c r="E66" s="25">
        <v>59759</v>
      </c>
      <c r="F66" s="106">
        <v>0.30480000000000002</v>
      </c>
      <c r="G66" s="25">
        <v>545</v>
      </c>
      <c r="H66" s="106">
        <v>9.1000000000000004E-3</v>
      </c>
      <c r="I66" s="109">
        <v>2.8E-3</v>
      </c>
    </row>
    <row r="67" spans="1:9" x14ac:dyDescent="0.25">
      <c r="A67" s="104">
        <v>45218</v>
      </c>
      <c r="B67" s="105" t="s">
        <v>184</v>
      </c>
      <c r="C67" s="105" t="s">
        <v>33</v>
      </c>
      <c r="D67" s="25">
        <v>15565</v>
      </c>
      <c r="E67" s="25">
        <v>3826</v>
      </c>
      <c r="F67" s="106">
        <v>0.24579999999999999</v>
      </c>
      <c r="G67" s="25">
        <v>37</v>
      </c>
      <c r="H67" s="106">
        <v>9.7000000000000003E-3</v>
      </c>
      <c r="I67" s="109">
        <v>2.3999999999999998E-3</v>
      </c>
    </row>
    <row r="68" spans="1:9" x14ac:dyDescent="0.25">
      <c r="A68" s="104">
        <v>45218</v>
      </c>
      <c r="B68" s="105" t="s">
        <v>185</v>
      </c>
      <c r="C68" s="105" t="s">
        <v>32</v>
      </c>
      <c r="D68" s="25">
        <v>147780</v>
      </c>
      <c r="E68" s="25">
        <v>47304</v>
      </c>
      <c r="F68" s="106">
        <v>0.3201</v>
      </c>
      <c r="G68" s="25">
        <v>234</v>
      </c>
      <c r="H68" s="106">
        <v>4.8999999999999998E-3</v>
      </c>
      <c r="I68" s="109">
        <v>1.6000000000000001E-3</v>
      </c>
    </row>
    <row r="69" spans="1:9" x14ac:dyDescent="0.25">
      <c r="A69" s="104">
        <v>45218</v>
      </c>
      <c r="B69" s="105" t="s">
        <v>187</v>
      </c>
      <c r="C69" s="105" t="s">
        <v>33</v>
      </c>
      <c r="D69" s="25">
        <v>7662</v>
      </c>
      <c r="E69" s="25">
        <v>1858</v>
      </c>
      <c r="F69" s="106">
        <v>0.24249999999999999</v>
      </c>
      <c r="G69" s="25">
        <v>27</v>
      </c>
      <c r="H69" s="106">
        <v>1.4500000000000001E-2</v>
      </c>
      <c r="I69" s="109">
        <v>3.5000000000000001E-3</v>
      </c>
    </row>
    <row r="70" spans="1:9" x14ac:dyDescent="0.25">
      <c r="A70" s="104">
        <v>45218</v>
      </c>
      <c r="B70" s="105" t="s">
        <v>189</v>
      </c>
      <c r="C70" s="105" t="s">
        <v>32</v>
      </c>
      <c r="D70" s="25">
        <v>423722</v>
      </c>
      <c r="E70" s="25">
        <v>153677</v>
      </c>
      <c r="F70" s="106">
        <v>0.36270000000000002</v>
      </c>
      <c r="G70" s="25">
        <v>1486</v>
      </c>
      <c r="H70" s="106">
        <v>9.7000000000000003E-3</v>
      </c>
      <c r="I70" s="109">
        <v>3.5000000000000001E-3</v>
      </c>
    </row>
    <row r="71" spans="1:9" x14ac:dyDescent="0.25">
      <c r="A71" s="104">
        <v>45218</v>
      </c>
      <c r="B71" s="105" t="s">
        <v>191</v>
      </c>
      <c r="C71" s="105" t="s">
        <v>33</v>
      </c>
      <c r="D71" s="25">
        <v>29006</v>
      </c>
      <c r="E71" s="25">
        <v>9436</v>
      </c>
      <c r="F71" s="106">
        <v>0.32529999999999998</v>
      </c>
      <c r="G71" s="25">
        <v>152</v>
      </c>
      <c r="H71" s="106">
        <v>1.61E-2</v>
      </c>
      <c r="I71" s="109">
        <v>5.1999999999999998E-3</v>
      </c>
    </row>
    <row r="72" spans="1:9" x14ac:dyDescent="0.25">
      <c r="A72" s="104">
        <v>45218</v>
      </c>
      <c r="B72" s="105" t="s">
        <v>201</v>
      </c>
      <c r="C72" s="105" t="s">
        <v>32</v>
      </c>
      <c r="D72" s="25">
        <v>174562</v>
      </c>
      <c r="E72" s="25">
        <v>61121</v>
      </c>
      <c r="F72" s="106">
        <v>0.35010000000000002</v>
      </c>
      <c r="G72" s="25">
        <v>400</v>
      </c>
      <c r="H72" s="106">
        <v>6.4999999999999997E-3</v>
      </c>
      <c r="I72" s="109">
        <v>2.3E-3</v>
      </c>
    </row>
    <row r="73" spans="1:9" x14ac:dyDescent="0.25">
      <c r="A73" s="104">
        <v>45218</v>
      </c>
      <c r="B73" s="105" t="s">
        <v>202</v>
      </c>
      <c r="C73" s="105" t="s">
        <v>33</v>
      </c>
      <c r="D73" s="25">
        <v>10185</v>
      </c>
      <c r="E73" s="25">
        <v>3080</v>
      </c>
      <c r="F73" s="106">
        <v>0.3024</v>
      </c>
      <c r="G73" s="25">
        <v>47</v>
      </c>
      <c r="H73" s="106">
        <v>1.5299999999999999E-2</v>
      </c>
      <c r="I73" s="109">
        <v>4.5999999999999999E-3</v>
      </c>
    </row>
    <row r="74" spans="1:9" ht="15.75" thickBot="1" x14ac:dyDescent="0.3">
      <c r="A74" s="17" t="s">
        <v>427</v>
      </c>
      <c r="B74" s="4"/>
      <c r="C74" s="4"/>
      <c r="D74" s="18">
        <f>SUM(D66:D73)</f>
        <v>1004513</v>
      </c>
      <c r="E74" s="18">
        <f>SUM(E66:E73)</f>
        <v>340061</v>
      </c>
      <c r="F74" s="19">
        <f>AVERAGE(F66:F73)</f>
        <v>0.3067125</v>
      </c>
      <c r="G74" s="18">
        <f>SUM(G66:G73)</f>
        <v>2928</v>
      </c>
      <c r="H74" s="19">
        <f>AVERAGE(H66:H73)</f>
        <v>1.0725E-2</v>
      </c>
      <c r="I74" s="21">
        <f>AVERAGE(I66:I73)</f>
        <v>3.2374999999999999E-3</v>
      </c>
    </row>
  </sheetData>
  <mergeCells count="3">
    <mergeCell ref="A34:I34"/>
    <mergeCell ref="A44:I44"/>
    <mergeCell ref="A64:I64"/>
  </mergeCells>
  <pageMargins left="0.7" right="0.7" top="0.75" bottom="0.75" header="0.3" footer="0.3"/>
  <ignoredErrors>
    <ignoredError sqref="F63:G63 F43:G43 F74:G74 F33" formula="1"/>
  </ignoredErrors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68A2-FFCA-437A-BD73-9674BE0C70D1}">
  <dimension ref="A1:I62"/>
  <sheetViews>
    <sheetView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21.5703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45219</v>
      </c>
      <c r="B2" t="s">
        <v>219</v>
      </c>
      <c r="C2" t="s">
        <v>32</v>
      </c>
      <c r="D2" s="1">
        <v>2914297</v>
      </c>
      <c r="E2" s="1">
        <v>1036778</v>
      </c>
      <c r="F2" s="3">
        <v>0.35580000000000001</v>
      </c>
      <c r="G2" s="1">
        <v>12468</v>
      </c>
      <c r="H2" s="3">
        <v>1.2E-2</v>
      </c>
      <c r="I2" s="3">
        <v>4.3E-3</v>
      </c>
    </row>
    <row r="3" spans="1:9" x14ac:dyDescent="0.25">
      <c r="A3" s="26">
        <v>45219</v>
      </c>
      <c r="B3" t="s">
        <v>219</v>
      </c>
      <c r="C3" t="s">
        <v>33</v>
      </c>
      <c r="D3" s="1">
        <v>200026</v>
      </c>
      <c r="E3" s="1">
        <v>63824</v>
      </c>
      <c r="F3" s="3">
        <v>0.31909999999999999</v>
      </c>
      <c r="G3" s="1">
        <v>1356</v>
      </c>
      <c r="H3" s="3">
        <v>2.12E-2</v>
      </c>
      <c r="I3" s="3">
        <v>6.7999999999999996E-3</v>
      </c>
    </row>
    <row r="4" spans="1:9" x14ac:dyDescent="0.25">
      <c r="A4" s="26">
        <v>45219</v>
      </c>
      <c r="B4" t="s">
        <v>220</v>
      </c>
      <c r="C4" t="s">
        <v>32</v>
      </c>
      <c r="D4" s="1">
        <v>8373</v>
      </c>
      <c r="E4" s="1">
        <v>2545</v>
      </c>
      <c r="F4" s="3">
        <v>0.30399999999999999</v>
      </c>
      <c r="G4">
        <v>307</v>
      </c>
      <c r="H4" s="3">
        <v>0.1206</v>
      </c>
      <c r="I4" s="3">
        <v>3.6700000000000003E-2</v>
      </c>
    </row>
    <row r="5" spans="1:9" x14ac:dyDescent="0.25">
      <c r="A5" s="26">
        <v>45219</v>
      </c>
      <c r="B5" t="s">
        <v>221</v>
      </c>
      <c r="C5" t="s">
        <v>33</v>
      </c>
      <c r="D5">
        <v>849</v>
      </c>
      <c r="E5">
        <v>223</v>
      </c>
      <c r="F5" s="3">
        <v>0.26269999999999999</v>
      </c>
      <c r="G5">
        <v>16</v>
      </c>
      <c r="H5" s="3">
        <v>7.17E-2</v>
      </c>
      <c r="I5" s="3">
        <v>1.8800000000000001E-2</v>
      </c>
    </row>
    <row r="6" spans="1:9" x14ac:dyDescent="0.25">
      <c r="A6" s="26">
        <v>45219</v>
      </c>
      <c r="B6" t="s">
        <v>222</v>
      </c>
      <c r="C6" t="s">
        <v>32</v>
      </c>
      <c r="D6" s="1">
        <v>308247</v>
      </c>
      <c r="E6" s="1">
        <v>119171</v>
      </c>
      <c r="F6" s="3">
        <v>0.3866</v>
      </c>
      <c r="G6" s="1">
        <v>1612</v>
      </c>
      <c r="H6" s="3">
        <v>1.35E-2</v>
      </c>
      <c r="I6" s="3">
        <v>5.1999999999999998E-3</v>
      </c>
    </row>
    <row r="7" spans="1:9" x14ac:dyDescent="0.25">
      <c r="A7" s="26">
        <v>45219</v>
      </c>
      <c r="B7" t="s">
        <v>223</v>
      </c>
      <c r="C7" t="s">
        <v>32</v>
      </c>
      <c r="D7" s="1">
        <v>58697</v>
      </c>
      <c r="E7" s="1">
        <v>25534</v>
      </c>
      <c r="F7" s="3">
        <v>0.435</v>
      </c>
      <c r="G7">
        <v>372</v>
      </c>
      <c r="H7" s="3">
        <v>1.46E-2</v>
      </c>
      <c r="I7" s="3">
        <v>6.3E-3</v>
      </c>
    </row>
    <row r="8" spans="1:9" x14ac:dyDescent="0.25">
      <c r="A8" s="26">
        <v>45220</v>
      </c>
      <c r="B8" t="s">
        <v>224</v>
      </c>
      <c r="C8" t="s">
        <v>32</v>
      </c>
      <c r="D8" s="1">
        <v>1039095</v>
      </c>
      <c r="E8" s="1">
        <v>340517</v>
      </c>
      <c r="F8" s="3">
        <v>0.32769999999999999</v>
      </c>
      <c r="G8" s="1">
        <v>7758</v>
      </c>
      <c r="H8" s="3">
        <v>2.2800000000000001E-2</v>
      </c>
      <c r="I8" s="3">
        <v>7.4999999999999997E-3</v>
      </c>
    </row>
    <row r="9" spans="1:9" x14ac:dyDescent="0.25">
      <c r="A9" s="26">
        <v>45220</v>
      </c>
      <c r="B9" t="s">
        <v>224</v>
      </c>
      <c r="C9" t="s">
        <v>33</v>
      </c>
      <c r="D9" s="1">
        <v>86959</v>
      </c>
      <c r="E9" s="1">
        <v>25018</v>
      </c>
      <c r="F9" s="3">
        <v>0.28770000000000001</v>
      </c>
      <c r="G9">
        <v>711</v>
      </c>
      <c r="H9" s="3">
        <v>2.8400000000000002E-2</v>
      </c>
      <c r="I9" s="3">
        <v>8.2000000000000007E-3</v>
      </c>
    </row>
    <row r="10" spans="1:9" x14ac:dyDescent="0.25">
      <c r="A10" s="26">
        <v>45222</v>
      </c>
      <c r="B10" t="s">
        <v>225</v>
      </c>
      <c r="C10" t="s">
        <v>32</v>
      </c>
      <c r="D10" s="1">
        <v>1880936</v>
      </c>
      <c r="E10" s="1">
        <v>689640</v>
      </c>
      <c r="F10" s="3">
        <v>0.36659999999999998</v>
      </c>
      <c r="G10" s="1">
        <v>3521</v>
      </c>
      <c r="H10" s="3">
        <v>5.1000000000000004E-3</v>
      </c>
      <c r="I10" s="3">
        <v>1.9E-3</v>
      </c>
    </row>
    <row r="11" spans="1:9" x14ac:dyDescent="0.25">
      <c r="A11" s="26">
        <v>45222</v>
      </c>
      <c r="B11" t="s">
        <v>225</v>
      </c>
      <c r="C11" t="s">
        <v>33</v>
      </c>
      <c r="D11" s="1">
        <v>120840</v>
      </c>
      <c r="E11" s="1">
        <v>38372</v>
      </c>
      <c r="F11" s="3">
        <v>0.3175</v>
      </c>
      <c r="G11">
        <v>438</v>
      </c>
      <c r="H11" s="3">
        <v>1.14E-2</v>
      </c>
      <c r="I11" s="3">
        <v>3.5999999999999999E-3</v>
      </c>
    </row>
    <row r="12" spans="1:9" x14ac:dyDescent="0.25">
      <c r="A12" s="26">
        <v>45222</v>
      </c>
      <c r="B12" t="s">
        <v>226</v>
      </c>
      <c r="C12" t="s">
        <v>32</v>
      </c>
      <c r="D12" s="1">
        <v>54533</v>
      </c>
      <c r="E12" s="1">
        <v>18249</v>
      </c>
      <c r="F12" s="3">
        <v>0.33460000000000001</v>
      </c>
      <c r="G12">
        <v>171</v>
      </c>
      <c r="H12" s="3">
        <v>9.4000000000000004E-3</v>
      </c>
      <c r="I12" s="3">
        <v>3.0999999999999999E-3</v>
      </c>
    </row>
    <row r="13" spans="1:9" x14ac:dyDescent="0.25">
      <c r="A13" s="26">
        <v>45222</v>
      </c>
      <c r="B13" t="s">
        <v>226</v>
      </c>
      <c r="C13" t="s">
        <v>33</v>
      </c>
      <c r="D13" s="1">
        <v>2688</v>
      </c>
      <c r="E13">
        <v>823</v>
      </c>
      <c r="F13" s="3">
        <v>0.30620000000000003</v>
      </c>
      <c r="G13">
        <v>10</v>
      </c>
      <c r="H13" s="3">
        <v>1.2200000000000001E-2</v>
      </c>
      <c r="I13" s="3">
        <v>3.7000000000000002E-3</v>
      </c>
    </row>
    <row r="14" spans="1:9" x14ac:dyDescent="0.25">
      <c r="A14" s="26">
        <v>45223</v>
      </c>
      <c r="B14" t="s">
        <v>227</v>
      </c>
      <c r="C14" t="s">
        <v>32</v>
      </c>
      <c r="D14" s="1">
        <v>1068510</v>
      </c>
      <c r="E14" s="1">
        <v>399691</v>
      </c>
      <c r="F14" s="3">
        <v>0.37409999999999999</v>
      </c>
      <c r="G14" s="1">
        <v>7385</v>
      </c>
      <c r="H14" s="3">
        <v>1.8499999999999999E-2</v>
      </c>
      <c r="I14" s="3">
        <v>6.8999999999999999E-3</v>
      </c>
    </row>
    <row r="15" spans="1:9" x14ac:dyDescent="0.25">
      <c r="A15" s="26">
        <v>45223</v>
      </c>
      <c r="B15" t="s">
        <v>227</v>
      </c>
      <c r="C15" t="s">
        <v>33</v>
      </c>
      <c r="D15" s="1">
        <v>82265</v>
      </c>
      <c r="E15" s="1">
        <v>29366</v>
      </c>
      <c r="F15" s="3">
        <v>0.35699999999999998</v>
      </c>
      <c r="G15">
        <v>879</v>
      </c>
      <c r="H15" s="3">
        <v>2.9899999999999999E-2</v>
      </c>
      <c r="I15" s="3">
        <v>1.0699999999999999E-2</v>
      </c>
    </row>
    <row r="16" spans="1:9" x14ac:dyDescent="0.25">
      <c r="A16" s="26">
        <v>45224</v>
      </c>
      <c r="B16" t="s">
        <v>228</v>
      </c>
      <c r="C16" t="s">
        <v>32</v>
      </c>
      <c r="D16" s="1">
        <v>318214</v>
      </c>
      <c r="E16" s="1">
        <v>129574</v>
      </c>
      <c r="F16" s="3">
        <v>0.40720000000000001</v>
      </c>
      <c r="G16" s="1">
        <v>1357</v>
      </c>
      <c r="H16" s="3">
        <v>1.0500000000000001E-2</v>
      </c>
      <c r="I16" s="3">
        <v>4.3E-3</v>
      </c>
    </row>
    <row r="17" spans="1:9" x14ac:dyDescent="0.25">
      <c r="A17" s="26">
        <v>45224</v>
      </c>
      <c r="B17" t="s">
        <v>228</v>
      </c>
      <c r="C17" t="s">
        <v>33</v>
      </c>
      <c r="D17" s="1">
        <v>23798</v>
      </c>
      <c r="E17" s="1">
        <v>8324</v>
      </c>
      <c r="F17" s="3">
        <v>0.3498</v>
      </c>
      <c r="G17">
        <v>111</v>
      </c>
      <c r="H17" s="3">
        <v>1.3299999999999999E-2</v>
      </c>
      <c r="I17" s="3">
        <v>4.7000000000000002E-3</v>
      </c>
    </row>
    <row r="18" spans="1:9" x14ac:dyDescent="0.25">
      <c r="A18" s="26">
        <v>45224</v>
      </c>
      <c r="B18" t="s">
        <v>229</v>
      </c>
      <c r="C18" t="s">
        <v>32</v>
      </c>
      <c r="D18" s="1">
        <v>31609</v>
      </c>
      <c r="E18" s="1">
        <v>15703</v>
      </c>
      <c r="F18" s="3">
        <v>0.49680000000000002</v>
      </c>
      <c r="G18">
        <v>450</v>
      </c>
      <c r="H18" s="3">
        <v>2.87E-2</v>
      </c>
      <c r="I18" s="3">
        <v>1.4200000000000001E-2</v>
      </c>
    </row>
    <row r="19" spans="1:9" x14ac:dyDescent="0.25">
      <c r="A19" s="26">
        <v>45224</v>
      </c>
      <c r="B19" t="s">
        <v>230</v>
      </c>
      <c r="C19" t="s">
        <v>32</v>
      </c>
      <c r="D19" s="1">
        <v>159855</v>
      </c>
      <c r="E19" s="1">
        <v>78112</v>
      </c>
      <c r="F19" s="3">
        <v>0.48859999999999998</v>
      </c>
      <c r="G19" s="1">
        <v>2189</v>
      </c>
      <c r="H19" s="3">
        <v>2.8000000000000001E-2</v>
      </c>
      <c r="I19" s="3">
        <v>1.37E-2</v>
      </c>
    </row>
    <row r="20" spans="1:9" x14ac:dyDescent="0.25">
      <c r="A20" s="26">
        <v>45225</v>
      </c>
      <c r="B20" t="s">
        <v>231</v>
      </c>
      <c r="C20" t="s">
        <v>32</v>
      </c>
      <c r="D20" s="1">
        <v>642723</v>
      </c>
      <c r="E20" s="1">
        <v>258393</v>
      </c>
      <c r="F20" s="3">
        <v>0.40200000000000002</v>
      </c>
      <c r="G20" s="1">
        <v>2681</v>
      </c>
      <c r="H20" s="3">
        <v>1.04E-2</v>
      </c>
      <c r="I20" s="3">
        <v>4.1999999999999997E-3</v>
      </c>
    </row>
    <row r="21" spans="1:9" x14ac:dyDescent="0.25">
      <c r="A21" s="26">
        <v>45225</v>
      </c>
      <c r="B21" t="s">
        <v>231</v>
      </c>
      <c r="C21" t="s">
        <v>33</v>
      </c>
      <c r="D21" s="1">
        <v>40512</v>
      </c>
      <c r="E21" s="1">
        <v>15707</v>
      </c>
      <c r="F21" s="3">
        <v>0.38769999999999999</v>
      </c>
      <c r="G21">
        <v>224</v>
      </c>
      <c r="H21" s="3">
        <v>1.43E-2</v>
      </c>
      <c r="I21" s="3">
        <v>5.4999999999999997E-3</v>
      </c>
    </row>
    <row r="22" spans="1:9" x14ac:dyDescent="0.25">
      <c r="A22" s="26">
        <v>45225</v>
      </c>
      <c r="B22" t="s">
        <v>232</v>
      </c>
      <c r="C22" t="s">
        <v>32</v>
      </c>
      <c r="D22" s="1">
        <v>43229</v>
      </c>
      <c r="E22" s="1">
        <v>16175</v>
      </c>
      <c r="F22" s="3">
        <v>0.37419999999999998</v>
      </c>
      <c r="G22">
        <v>301</v>
      </c>
      <c r="H22" s="3">
        <v>1.8599999999999998E-2</v>
      </c>
      <c r="I22" s="3">
        <v>7.0000000000000001E-3</v>
      </c>
    </row>
    <row r="23" spans="1:9" x14ac:dyDescent="0.25">
      <c r="A23" s="26">
        <v>45225</v>
      </c>
      <c r="B23" t="s">
        <v>233</v>
      </c>
      <c r="C23" t="s">
        <v>32</v>
      </c>
      <c r="D23" s="1">
        <v>4953</v>
      </c>
      <c r="E23" s="1">
        <v>2687</v>
      </c>
      <c r="F23" s="3">
        <v>0.54249999999999998</v>
      </c>
      <c r="G23">
        <v>363</v>
      </c>
      <c r="H23" s="3">
        <v>0.1351</v>
      </c>
      <c r="I23" s="3">
        <v>7.3300000000000004E-2</v>
      </c>
    </row>
    <row r="24" spans="1:9" x14ac:dyDescent="0.25">
      <c r="A24" s="26">
        <v>45225</v>
      </c>
      <c r="B24" t="s">
        <v>234</v>
      </c>
      <c r="C24" t="s">
        <v>32</v>
      </c>
      <c r="D24" s="1">
        <v>4949</v>
      </c>
      <c r="E24" s="1">
        <v>2950</v>
      </c>
      <c r="F24" s="3">
        <v>0.59609999999999996</v>
      </c>
      <c r="G24">
        <v>504</v>
      </c>
      <c r="H24" s="3">
        <v>0.17080000000000001</v>
      </c>
      <c r="I24" s="3">
        <v>0.1018</v>
      </c>
    </row>
    <row r="25" spans="1:9" x14ac:dyDescent="0.25">
      <c r="A25" s="26">
        <v>45225</v>
      </c>
      <c r="B25" t="s">
        <v>201</v>
      </c>
      <c r="C25" t="s">
        <v>32</v>
      </c>
      <c r="D25" s="1">
        <v>172261</v>
      </c>
      <c r="E25" s="1">
        <v>56697</v>
      </c>
      <c r="F25" s="3">
        <v>0.3291</v>
      </c>
      <c r="G25">
        <v>352</v>
      </c>
      <c r="H25" s="3">
        <v>6.1999999999999998E-3</v>
      </c>
      <c r="I25" s="3">
        <v>2E-3</v>
      </c>
    </row>
    <row r="26" spans="1:9" x14ac:dyDescent="0.25">
      <c r="A26" s="26">
        <v>45225</v>
      </c>
      <c r="B26" t="s">
        <v>202</v>
      </c>
      <c r="C26" t="s">
        <v>33</v>
      </c>
      <c r="D26" s="1">
        <v>10024</v>
      </c>
      <c r="E26" s="1">
        <v>3055</v>
      </c>
      <c r="F26" s="3">
        <v>0.30480000000000002</v>
      </c>
      <c r="G26">
        <v>47</v>
      </c>
      <c r="H26" s="3">
        <v>1.54E-2</v>
      </c>
      <c r="I26" s="3">
        <v>4.7000000000000002E-3</v>
      </c>
    </row>
    <row r="27" spans="1:9" ht="15.75" thickBot="1" x14ac:dyDescent="0.3">
      <c r="A27" s="27" t="s">
        <v>427</v>
      </c>
      <c r="D27" s="14">
        <f>SUM(D2:D26)</f>
        <v>9278442</v>
      </c>
      <c r="E27" s="14">
        <f>SUM(E2:E26)</f>
        <v>3377128</v>
      </c>
      <c r="F27" s="111">
        <f>AVERAGE(F2:F26)</f>
        <v>0.37653600000000009</v>
      </c>
      <c r="G27" s="14">
        <f>SUM(G2:G26)</f>
        <v>45583</v>
      </c>
      <c r="H27" s="111">
        <f>AVERAGE(H2:H26)</f>
        <v>3.3703999999999998E-2</v>
      </c>
      <c r="I27" s="111">
        <f>AVERAGE(I2:I26)</f>
        <v>1.4364000000000002E-2</v>
      </c>
    </row>
    <row r="28" spans="1:9" ht="15.75" thickBot="1" x14ac:dyDescent="0.3">
      <c r="A28" s="140"/>
      <c r="B28" s="140"/>
      <c r="C28" s="140"/>
      <c r="D28" s="140"/>
      <c r="E28" s="140"/>
      <c r="F28" s="140"/>
      <c r="G28" s="140"/>
      <c r="H28" s="140"/>
      <c r="I28" s="140"/>
    </row>
    <row r="29" spans="1:9" ht="20.45" customHeight="1" x14ac:dyDescent="0.25">
      <c r="A29" s="76" t="s">
        <v>0</v>
      </c>
      <c r="B29" s="77" t="s">
        <v>1</v>
      </c>
      <c r="C29" s="77" t="s">
        <v>796</v>
      </c>
      <c r="D29" s="77" t="s">
        <v>3</v>
      </c>
      <c r="E29" s="77" t="s">
        <v>4</v>
      </c>
      <c r="F29" s="77" t="s">
        <v>5</v>
      </c>
      <c r="G29" s="77" t="s">
        <v>6</v>
      </c>
      <c r="H29" s="77" t="s">
        <v>7</v>
      </c>
      <c r="I29" s="78" t="s">
        <v>8</v>
      </c>
    </row>
    <row r="30" spans="1:9" x14ac:dyDescent="0.25">
      <c r="A30" s="8" t="s">
        <v>790</v>
      </c>
      <c r="B30" s="9"/>
      <c r="C30" s="9"/>
      <c r="D30" s="9"/>
      <c r="E30" s="9"/>
      <c r="F30" s="9"/>
      <c r="G30" s="9"/>
      <c r="H30" s="9"/>
      <c r="I30" s="10"/>
    </row>
    <row r="31" spans="1:9" x14ac:dyDescent="0.25">
      <c r="A31" s="11">
        <v>45219</v>
      </c>
      <c r="B31" t="s">
        <v>219</v>
      </c>
      <c r="C31" t="s">
        <v>32</v>
      </c>
      <c r="D31" s="1">
        <v>2914297</v>
      </c>
      <c r="E31" s="1">
        <v>1036778</v>
      </c>
      <c r="F31" s="3">
        <v>0.35580000000000001</v>
      </c>
      <c r="G31" s="1">
        <v>12468</v>
      </c>
      <c r="H31" s="3">
        <v>1.2E-2</v>
      </c>
      <c r="I31" s="16">
        <v>4.3E-3</v>
      </c>
    </row>
    <row r="32" spans="1:9" x14ac:dyDescent="0.25">
      <c r="A32" s="11">
        <v>45219</v>
      </c>
      <c r="B32" t="s">
        <v>219</v>
      </c>
      <c r="C32" t="s">
        <v>33</v>
      </c>
      <c r="D32" s="1">
        <v>200026</v>
      </c>
      <c r="E32" s="1">
        <v>63824</v>
      </c>
      <c r="F32" s="3">
        <v>0.31909999999999999</v>
      </c>
      <c r="G32" s="1">
        <v>1356</v>
      </c>
      <c r="H32" s="3">
        <v>2.12E-2</v>
      </c>
      <c r="I32" s="16">
        <v>6.7999999999999996E-3</v>
      </c>
    </row>
    <row r="33" spans="1:9" x14ac:dyDescent="0.25">
      <c r="A33" s="11">
        <v>45219</v>
      </c>
      <c r="B33" t="s">
        <v>222</v>
      </c>
      <c r="C33" t="s">
        <v>32</v>
      </c>
      <c r="D33" s="1">
        <v>308247</v>
      </c>
      <c r="E33" s="1">
        <v>119171</v>
      </c>
      <c r="F33" s="3">
        <v>0.3866</v>
      </c>
      <c r="G33" s="1">
        <v>1612</v>
      </c>
      <c r="H33" s="3">
        <v>1.35E-2</v>
      </c>
      <c r="I33" s="16">
        <v>5.1999999999999998E-3</v>
      </c>
    </row>
    <row r="34" spans="1:9" x14ac:dyDescent="0.25">
      <c r="A34" s="11">
        <v>45223</v>
      </c>
      <c r="B34" t="s">
        <v>227</v>
      </c>
      <c r="C34" t="s">
        <v>32</v>
      </c>
      <c r="D34" s="1">
        <v>1068510</v>
      </c>
      <c r="E34" s="1">
        <v>399691</v>
      </c>
      <c r="F34" s="3">
        <v>0.37409999999999999</v>
      </c>
      <c r="G34" s="1">
        <v>7385</v>
      </c>
      <c r="H34" s="3">
        <v>1.8499999999999999E-2</v>
      </c>
      <c r="I34" s="16">
        <v>6.8999999999999999E-3</v>
      </c>
    </row>
    <row r="35" spans="1:9" x14ac:dyDescent="0.25">
      <c r="A35" s="11">
        <v>45223</v>
      </c>
      <c r="B35" t="s">
        <v>227</v>
      </c>
      <c r="C35" t="s">
        <v>33</v>
      </c>
      <c r="D35" s="1">
        <v>82265</v>
      </c>
      <c r="E35" s="1">
        <v>29366</v>
      </c>
      <c r="F35" s="3">
        <v>0.35699999999999998</v>
      </c>
      <c r="G35">
        <v>879</v>
      </c>
      <c r="H35" s="3">
        <v>2.9899999999999999E-2</v>
      </c>
      <c r="I35" s="16">
        <v>1.0699999999999999E-2</v>
      </c>
    </row>
    <row r="36" spans="1:9" ht="15.75" thickBot="1" x14ac:dyDescent="0.3">
      <c r="A36" s="17" t="s">
        <v>427</v>
      </c>
      <c r="B36" s="4"/>
      <c r="C36" s="4"/>
      <c r="D36" s="18">
        <f>SUM(D31:D35)</f>
        <v>4573345</v>
      </c>
      <c r="E36" s="18">
        <f>SUM(E31:E35)</f>
        <v>1648830</v>
      </c>
      <c r="F36" s="19">
        <f>AVERAGE(F31:F35)</f>
        <v>0.35852000000000001</v>
      </c>
      <c r="G36" s="18">
        <f>SUM(G31:G35)</f>
        <v>23700</v>
      </c>
      <c r="H36" s="19">
        <f>AVERAGE(H31:H35)</f>
        <v>1.9019999999999999E-2</v>
      </c>
      <c r="I36" s="21">
        <f>AVERAGE(I31:I35)</f>
        <v>6.7799999999999996E-3</v>
      </c>
    </row>
    <row r="37" spans="1:9" ht="3" customHeight="1" thickBot="1" x14ac:dyDescent="0.3">
      <c r="A37" s="143"/>
      <c r="B37" s="140"/>
      <c r="C37" s="140"/>
      <c r="D37" s="140"/>
      <c r="E37" s="140"/>
      <c r="F37" s="140"/>
      <c r="G37" s="140"/>
      <c r="H37" s="140"/>
      <c r="I37" s="144"/>
    </row>
    <row r="38" spans="1:9" x14ac:dyDescent="0.25">
      <c r="A38" s="22" t="s">
        <v>795</v>
      </c>
      <c r="B38" s="23"/>
      <c r="C38" s="23"/>
      <c r="D38" s="23"/>
      <c r="E38" s="23"/>
      <c r="F38" s="23"/>
      <c r="G38" s="23"/>
      <c r="H38" s="23"/>
      <c r="I38" s="24"/>
    </row>
    <row r="39" spans="1:9" x14ac:dyDescent="0.25">
      <c r="A39" s="11">
        <v>45219</v>
      </c>
      <c r="B39" t="s">
        <v>220</v>
      </c>
      <c r="C39" t="s">
        <v>32</v>
      </c>
      <c r="D39" s="1">
        <v>8373</v>
      </c>
      <c r="E39" s="1">
        <v>2545</v>
      </c>
      <c r="F39" s="3">
        <v>0.30399999999999999</v>
      </c>
      <c r="G39">
        <v>307</v>
      </c>
      <c r="H39" s="3">
        <v>0.1206</v>
      </c>
      <c r="I39" s="16">
        <v>3.6700000000000003E-2</v>
      </c>
    </row>
    <row r="40" spans="1:9" x14ac:dyDescent="0.25">
      <c r="A40" s="11">
        <v>45219</v>
      </c>
      <c r="B40" t="s">
        <v>221</v>
      </c>
      <c r="C40" t="s">
        <v>33</v>
      </c>
      <c r="D40">
        <v>849</v>
      </c>
      <c r="E40">
        <v>223</v>
      </c>
      <c r="F40" s="3">
        <v>0.26269999999999999</v>
      </c>
      <c r="G40">
        <v>16</v>
      </c>
      <c r="H40" s="3">
        <v>7.17E-2</v>
      </c>
      <c r="I40" s="16">
        <v>1.8800000000000001E-2</v>
      </c>
    </row>
    <row r="41" spans="1:9" x14ac:dyDescent="0.25">
      <c r="A41" s="11">
        <v>45219</v>
      </c>
      <c r="B41" t="s">
        <v>223</v>
      </c>
      <c r="C41" t="s">
        <v>32</v>
      </c>
      <c r="D41" s="1">
        <v>58697</v>
      </c>
      <c r="E41" s="1">
        <v>25534</v>
      </c>
      <c r="F41" s="3">
        <v>0.435</v>
      </c>
      <c r="G41">
        <v>372</v>
      </c>
      <c r="H41" s="3">
        <v>1.46E-2</v>
      </c>
      <c r="I41" s="16">
        <v>6.3E-3</v>
      </c>
    </row>
    <row r="42" spans="1:9" x14ac:dyDescent="0.25">
      <c r="A42" s="11">
        <v>45219</v>
      </c>
      <c r="B42" t="s">
        <v>224</v>
      </c>
      <c r="C42" t="s">
        <v>32</v>
      </c>
      <c r="D42" s="1">
        <v>1039095</v>
      </c>
      <c r="E42" s="1">
        <v>340517</v>
      </c>
      <c r="F42" s="3">
        <v>0.32769999999999999</v>
      </c>
      <c r="G42" s="1">
        <v>7758</v>
      </c>
      <c r="H42" s="3">
        <v>2.2800000000000001E-2</v>
      </c>
      <c r="I42" s="16">
        <v>7.4999999999999997E-3</v>
      </c>
    </row>
    <row r="43" spans="1:9" x14ac:dyDescent="0.25">
      <c r="A43" s="11">
        <v>45219</v>
      </c>
      <c r="B43" t="s">
        <v>224</v>
      </c>
      <c r="C43" t="s">
        <v>33</v>
      </c>
      <c r="D43" s="1">
        <v>86959</v>
      </c>
      <c r="E43" s="1">
        <v>25018</v>
      </c>
      <c r="F43" s="3">
        <v>0.28770000000000001</v>
      </c>
      <c r="G43">
        <v>711</v>
      </c>
      <c r="H43" s="3">
        <v>2.8400000000000002E-2</v>
      </c>
      <c r="I43" s="16">
        <v>8.2000000000000007E-3</v>
      </c>
    </row>
    <row r="44" spans="1:9" x14ac:dyDescent="0.25">
      <c r="A44" s="11">
        <v>45219</v>
      </c>
      <c r="B44" t="s">
        <v>225</v>
      </c>
      <c r="C44" t="s">
        <v>32</v>
      </c>
      <c r="D44" s="1">
        <v>1880936</v>
      </c>
      <c r="E44" s="1">
        <v>689640</v>
      </c>
      <c r="F44" s="3">
        <v>0.36659999999999998</v>
      </c>
      <c r="G44" s="1">
        <v>3521</v>
      </c>
      <c r="H44" s="3">
        <v>5.1000000000000004E-3</v>
      </c>
      <c r="I44" s="16">
        <v>1.9E-3</v>
      </c>
    </row>
    <row r="45" spans="1:9" x14ac:dyDescent="0.25">
      <c r="A45" s="11">
        <v>45219</v>
      </c>
      <c r="B45" t="s">
        <v>225</v>
      </c>
      <c r="C45" t="s">
        <v>33</v>
      </c>
      <c r="D45" s="1">
        <v>120840</v>
      </c>
      <c r="E45" s="1">
        <v>38372</v>
      </c>
      <c r="F45" s="3">
        <v>0.3175</v>
      </c>
      <c r="G45">
        <v>438</v>
      </c>
      <c r="H45" s="3">
        <v>1.14E-2</v>
      </c>
      <c r="I45" s="16">
        <v>3.5999999999999999E-3</v>
      </c>
    </row>
    <row r="46" spans="1:9" x14ac:dyDescent="0.25">
      <c r="A46" s="11">
        <v>45219</v>
      </c>
      <c r="B46" t="s">
        <v>226</v>
      </c>
      <c r="C46" t="s">
        <v>32</v>
      </c>
      <c r="D46" s="1">
        <v>54533</v>
      </c>
      <c r="E46" s="1">
        <v>18249</v>
      </c>
      <c r="F46" s="3">
        <v>0.33460000000000001</v>
      </c>
      <c r="G46">
        <v>171</v>
      </c>
      <c r="H46" s="3">
        <v>9.4000000000000004E-3</v>
      </c>
      <c r="I46" s="16">
        <v>3.0999999999999999E-3</v>
      </c>
    </row>
    <row r="47" spans="1:9" x14ac:dyDescent="0.25">
      <c r="A47" s="11">
        <v>45219</v>
      </c>
      <c r="B47" t="s">
        <v>226</v>
      </c>
      <c r="C47" t="s">
        <v>33</v>
      </c>
      <c r="D47" s="1">
        <v>2688</v>
      </c>
      <c r="E47">
        <v>823</v>
      </c>
      <c r="F47" s="3">
        <v>0.30620000000000003</v>
      </c>
      <c r="G47">
        <v>10</v>
      </c>
      <c r="H47" s="3">
        <v>1.2200000000000001E-2</v>
      </c>
      <c r="I47" s="16">
        <v>3.7000000000000002E-3</v>
      </c>
    </row>
    <row r="48" spans="1:9" x14ac:dyDescent="0.25">
      <c r="A48" s="11">
        <v>45224</v>
      </c>
      <c r="B48" t="s">
        <v>228</v>
      </c>
      <c r="C48" t="s">
        <v>32</v>
      </c>
      <c r="D48" s="1">
        <v>318214</v>
      </c>
      <c r="E48" s="1">
        <v>129574</v>
      </c>
      <c r="F48" s="3">
        <v>0.40720000000000001</v>
      </c>
      <c r="G48" s="1">
        <v>1357</v>
      </c>
      <c r="H48" s="3">
        <v>1.0500000000000001E-2</v>
      </c>
      <c r="I48" s="16">
        <v>4.3E-3</v>
      </c>
    </row>
    <row r="49" spans="1:9" x14ac:dyDescent="0.25">
      <c r="A49" s="11">
        <v>45224</v>
      </c>
      <c r="B49" t="s">
        <v>228</v>
      </c>
      <c r="C49" t="s">
        <v>33</v>
      </c>
      <c r="D49" s="1">
        <v>23798</v>
      </c>
      <c r="E49" s="1">
        <v>8324</v>
      </c>
      <c r="F49" s="3">
        <v>0.3498</v>
      </c>
      <c r="G49">
        <v>111</v>
      </c>
      <c r="H49" s="3">
        <v>1.3299999999999999E-2</v>
      </c>
      <c r="I49" s="16">
        <v>4.7000000000000002E-3</v>
      </c>
    </row>
    <row r="50" spans="1:9" x14ac:dyDescent="0.25">
      <c r="A50" s="11">
        <v>45224</v>
      </c>
      <c r="B50" t="s">
        <v>229</v>
      </c>
      <c r="C50" t="s">
        <v>32</v>
      </c>
      <c r="D50" s="1">
        <v>31609</v>
      </c>
      <c r="E50" s="1">
        <v>15703</v>
      </c>
      <c r="F50" s="3">
        <v>0.49680000000000002</v>
      </c>
      <c r="G50">
        <v>450</v>
      </c>
      <c r="H50" s="3">
        <v>2.87E-2</v>
      </c>
      <c r="I50" s="16">
        <v>1.4200000000000001E-2</v>
      </c>
    </row>
    <row r="51" spans="1:9" x14ac:dyDescent="0.25">
      <c r="A51" s="11">
        <v>45224</v>
      </c>
      <c r="B51" t="s">
        <v>230</v>
      </c>
      <c r="C51" t="s">
        <v>32</v>
      </c>
      <c r="D51" s="1">
        <v>159855</v>
      </c>
      <c r="E51" s="1">
        <v>78112</v>
      </c>
      <c r="F51" s="3">
        <v>0.48859999999999998</v>
      </c>
      <c r="G51" s="1">
        <v>2189</v>
      </c>
      <c r="H51" s="3">
        <v>2.8000000000000001E-2</v>
      </c>
      <c r="I51" s="16">
        <v>1.37E-2</v>
      </c>
    </row>
    <row r="52" spans="1:9" x14ac:dyDescent="0.25">
      <c r="A52" s="11">
        <v>45225</v>
      </c>
      <c r="B52" t="s">
        <v>231</v>
      </c>
      <c r="C52" t="s">
        <v>32</v>
      </c>
      <c r="D52" s="1">
        <v>642723</v>
      </c>
      <c r="E52" s="1">
        <v>258393</v>
      </c>
      <c r="F52" s="3">
        <v>0.40200000000000002</v>
      </c>
      <c r="G52" s="1">
        <v>2681</v>
      </c>
      <c r="H52" s="3">
        <v>1.04E-2</v>
      </c>
      <c r="I52" s="16">
        <v>4.1999999999999997E-3</v>
      </c>
    </row>
    <row r="53" spans="1:9" x14ac:dyDescent="0.25">
      <c r="A53" s="11">
        <v>45225</v>
      </c>
      <c r="B53" t="s">
        <v>231</v>
      </c>
      <c r="C53" t="s">
        <v>33</v>
      </c>
      <c r="D53" s="1">
        <v>40512</v>
      </c>
      <c r="E53" s="1">
        <v>15707</v>
      </c>
      <c r="F53" s="3">
        <v>0.38769999999999999</v>
      </c>
      <c r="G53">
        <v>224</v>
      </c>
      <c r="H53" s="3">
        <v>1.43E-2</v>
      </c>
      <c r="I53" s="16">
        <v>5.4999999999999997E-3</v>
      </c>
    </row>
    <row r="54" spans="1:9" x14ac:dyDescent="0.25">
      <c r="A54" s="11">
        <v>45225</v>
      </c>
      <c r="B54" t="s">
        <v>232</v>
      </c>
      <c r="C54" t="s">
        <v>32</v>
      </c>
      <c r="D54" s="1">
        <v>43229</v>
      </c>
      <c r="E54" s="1">
        <v>16175</v>
      </c>
      <c r="F54" s="3">
        <v>0.37419999999999998</v>
      </c>
      <c r="G54">
        <v>301</v>
      </c>
      <c r="H54" s="3">
        <v>1.8599999999999998E-2</v>
      </c>
      <c r="I54" s="16">
        <v>7.0000000000000001E-3</v>
      </c>
    </row>
    <row r="55" spans="1:9" x14ac:dyDescent="0.25">
      <c r="A55" s="11">
        <v>45225</v>
      </c>
      <c r="B55" t="s">
        <v>233</v>
      </c>
      <c r="C55" t="s">
        <v>32</v>
      </c>
      <c r="D55" s="1">
        <v>4953</v>
      </c>
      <c r="E55" s="1">
        <v>2687</v>
      </c>
      <c r="F55" s="3">
        <v>0.54249999999999998</v>
      </c>
      <c r="G55">
        <v>363</v>
      </c>
      <c r="H55" s="3">
        <v>0.1351</v>
      </c>
      <c r="I55" s="16">
        <v>7.3300000000000004E-2</v>
      </c>
    </row>
    <row r="56" spans="1:9" x14ac:dyDescent="0.25">
      <c r="A56" s="11">
        <v>45225</v>
      </c>
      <c r="B56" t="s">
        <v>234</v>
      </c>
      <c r="C56" t="s">
        <v>32</v>
      </c>
      <c r="D56" s="1">
        <v>4949</v>
      </c>
      <c r="E56" s="1">
        <v>2950</v>
      </c>
      <c r="F56" s="3">
        <v>0.59609999999999996</v>
      </c>
      <c r="G56">
        <v>504</v>
      </c>
      <c r="H56" s="3">
        <v>0.17080000000000001</v>
      </c>
      <c r="I56" s="16">
        <v>0.1018</v>
      </c>
    </row>
    <row r="57" spans="1:9" ht="15.75" thickBot="1" x14ac:dyDescent="0.3">
      <c r="A57" s="17" t="s">
        <v>427</v>
      </c>
      <c r="B57" s="4"/>
      <c r="C57" s="4"/>
      <c r="D57" s="18">
        <f>SUM(D39:D56)</f>
        <v>4522812</v>
      </c>
      <c r="E57" s="18">
        <f>SUM(E39:E56)</f>
        <v>1668546</v>
      </c>
      <c r="F57" s="19">
        <f>AVERAGE(F39:F56)</f>
        <v>0.38816111111111112</v>
      </c>
      <c r="G57" s="18">
        <f>SUM(G39:G56)</f>
        <v>21484</v>
      </c>
      <c r="H57" s="19">
        <f>AVERAGE(H39:H56)</f>
        <v>4.0327777777777775E-2</v>
      </c>
      <c r="I57" s="21">
        <f>AVERAGE(I39:I56)</f>
        <v>1.7694444444444443E-2</v>
      </c>
    </row>
    <row r="58" spans="1:9" ht="3" customHeight="1" thickBot="1" x14ac:dyDescent="0.3">
      <c r="A58" s="143"/>
      <c r="B58" s="140"/>
      <c r="C58" s="140"/>
      <c r="D58" s="140"/>
      <c r="E58" s="140"/>
      <c r="F58" s="140"/>
      <c r="G58" s="140"/>
      <c r="H58" s="140"/>
      <c r="I58" s="144"/>
    </row>
    <row r="59" spans="1:9" x14ac:dyDescent="0.25">
      <c r="A59" s="22" t="s">
        <v>792</v>
      </c>
      <c r="B59" s="23"/>
      <c r="C59" s="23"/>
      <c r="D59" s="23"/>
      <c r="E59" s="23"/>
      <c r="F59" s="23"/>
      <c r="G59" s="23"/>
      <c r="H59" s="23"/>
      <c r="I59" s="24"/>
    </row>
    <row r="60" spans="1:9" x14ac:dyDescent="0.25">
      <c r="A60" s="11">
        <v>45225</v>
      </c>
      <c r="B60" t="s">
        <v>201</v>
      </c>
      <c r="C60" t="s">
        <v>32</v>
      </c>
      <c r="D60" s="1">
        <v>172261</v>
      </c>
      <c r="E60" s="1">
        <v>56697</v>
      </c>
      <c r="F60" s="3">
        <v>0.3291</v>
      </c>
      <c r="G60">
        <v>352</v>
      </c>
      <c r="H60" s="3">
        <v>6.1999999999999998E-3</v>
      </c>
      <c r="I60" s="16">
        <v>2E-3</v>
      </c>
    </row>
    <row r="61" spans="1:9" x14ac:dyDescent="0.25">
      <c r="A61" s="11">
        <v>45225</v>
      </c>
      <c r="B61" t="s">
        <v>202</v>
      </c>
      <c r="C61" t="s">
        <v>33</v>
      </c>
      <c r="D61" s="1">
        <v>10024</v>
      </c>
      <c r="E61" s="1">
        <v>3055</v>
      </c>
      <c r="F61" s="3">
        <v>0.30480000000000002</v>
      </c>
      <c r="G61">
        <v>47</v>
      </c>
      <c r="H61" s="3">
        <v>1.54E-2</v>
      </c>
      <c r="I61" s="16">
        <v>4.7000000000000002E-3</v>
      </c>
    </row>
    <row r="62" spans="1:9" ht="15.75" thickBot="1" x14ac:dyDescent="0.3">
      <c r="A62" s="17" t="s">
        <v>427</v>
      </c>
      <c r="B62" s="4"/>
      <c r="C62" s="4"/>
      <c r="D62" s="18">
        <f>SUM(D60:D61)</f>
        <v>182285</v>
      </c>
      <c r="E62" s="18">
        <f>SUM(E60:E61)</f>
        <v>59752</v>
      </c>
      <c r="F62" s="19">
        <f>AVERAGE(F60:F61)</f>
        <v>0.31695000000000001</v>
      </c>
      <c r="G62" s="18">
        <f>SUM(G60:G61)</f>
        <v>399</v>
      </c>
      <c r="H62" s="19">
        <f>AVERAGE(H60:H61)</f>
        <v>1.0800000000000001E-2</v>
      </c>
      <c r="I62" s="21">
        <f>AVERAGE(I60:I61)</f>
        <v>3.3500000000000001E-3</v>
      </c>
    </row>
  </sheetData>
  <mergeCells count="3">
    <mergeCell ref="A28:I28"/>
    <mergeCell ref="A37:I37"/>
    <mergeCell ref="A58:I58"/>
  </mergeCells>
  <pageMargins left="0.7" right="0.7" top="0.75" bottom="0.75" header="0.3" footer="0.3"/>
  <ignoredErrors>
    <ignoredError sqref="F27:G27 F62:G62 F57:G57 F36:G36" formula="1"/>
  </ignoredErrors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BDD2-7AFF-46ED-AFE8-4BABCF14C93E}">
  <dimension ref="A1:I70"/>
  <sheetViews>
    <sheetView zoomScale="80" zoomScaleNormal="80"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45226</v>
      </c>
      <c r="B2" t="s">
        <v>235</v>
      </c>
      <c r="C2" t="s">
        <v>32</v>
      </c>
      <c r="D2" s="1">
        <v>2887274</v>
      </c>
      <c r="E2" s="1">
        <v>1000062</v>
      </c>
      <c r="F2" s="2">
        <v>0.34636892792301699</v>
      </c>
      <c r="G2" s="1">
        <v>12404</v>
      </c>
      <c r="H2" s="2">
        <v>1.2403230999678E-2</v>
      </c>
      <c r="I2" s="2">
        <v>4.2960938241400001E-3</v>
      </c>
    </row>
    <row r="3" spans="1:9" x14ac:dyDescent="0.25">
      <c r="A3" s="26">
        <v>45226</v>
      </c>
      <c r="B3" t="s">
        <v>235</v>
      </c>
      <c r="C3" t="s">
        <v>33</v>
      </c>
      <c r="D3" s="1">
        <v>197143</v>
      </c>
      <c r="E3" s="1">
        <v>61564</v>
      </c>
      <c r="F3" s="2">
        <v>0.31228093312975902</v>
      </c>
      <c r="G3" s="1">
        <v>1017</v>
      </c>
      <c r="H3" s="2">
        <v>1.65193944513027E-2</v>
      </c>
      <c r="I3" s="2">
        <v>5.1586919139913704E-3</v>
      </c>
    </row>
    <row r="4" spans="1:9" x14ac:dyDescent="0.25">
      <c r="A4" s="26">
        <v>45226</v>
      </c>
      <c r="B4" t="s">
        <v>236</v>
      </c>
      <c r="C4" t="s">
        <v>32</v>
      </c>
      <c r="D4" s="1">
        <v>307848</v>
      </c>
      <c r="E4" s="1">
        <v>108356</v>
      </c>
      <c r="F4" s="2">
        <v>0.351978898677269</v>
      </c>
      <c r="G4" s="1">
        <v>1308</v>
      </c>
      <c r="H4" s="2">
        <v>1.20713204621802E-2</v>
      </c>
      <c r="I4" s="2">
        <v>4.24885008185858E-3</v>
      </c>
    </row>
    <row r="5" spans="1:9" x14ac:dyDescent="0.25">
      <c r="A5" s="26">
        <v>45226</v>
      </c>
      <c r="B5" t="s">
        <v>236</v>
      </c>
      <c r="C5" t="s">
        <v>33</v>
      </c>
      <c r="D5" s="1">
        <v>16947</v>
      </c>
      <c r="E5" s="1">
        <v>5788</v>
      </c>
      <c r="F5" s="2">
        <v>0.34153537499262399</v>
      </c>
      <c r="G5" s="1">
        <v>169</v>
      </c>
      <c r="H5" s="2">
        <v>2.91983413959917E-2</v>
      </c>
      <c r="I5" s="2">
        <v>9.9722664778426895E-3</v>
      </c>
    </row>
    <row r="6" spans="1:9" x14ac:dyDescent="0.25">
      <c r="A6" s="26">
        <v>45227</v>
      </c>
      <c r="B6" t="s">
        <v>237</v>
      </c>
      <c r="C6" t="s">
        <v>238</v>
      </c>
      <c r="D6" s="1">
        <v>9922</v>
      </c>
      <c r="E6" s="1">
        <v>4236</v>
      </c>
      <c r="F6" s="2">
        <v>0.42693005442451099</v>
      </c>
      <c r="G6" s="1">
        <v>658</v>
      </c>
      <c r="H6" s="2">
        <v>0.15533522190745999</v>
      </c>
      <c r="I6" s="2">
        <v>6.6317274742995397E-2</v>
      </c>
    </row>
    <row r="7" spans="1:9" x14ac:dyDescent="0.25">
      <c r="A7" s="26">
        <v>45227</v>
      </c>
      <c r="B7" t="s">
        <v>237</v>
      </c>
      <c r="C7" t="s">
        <v>239</v>
      </c>
      <c r="D7" s="1">
        <v>19888</v>
      </c>
      <c r="E7" s="1">
        <v>8850</v>
      </c>
      <c r="F7" s="2">
        <v>0.44499195494770699</v>
      </c>
      <c r="G7" s="1">
        <v>1518</v>
      </c>
      <c r="H7" s="2">
        <v>0.17152542372881399</v>
      </c>
      <c r="I7" s="2">
        <v>7.6327433628318606E-2</v>
      </c>
    </row>
    <row r="8" spans="1:9" x14ac:dyDescent="0.25">
      <c r="A8" s="26">
        <v>45230</v>
      </c>
      <c r="B8" t="s">
        <v>240</v>
      </c>
      <c r="C8" t="s">
        <v>32</v>
      </c>
      <c r="D8" s="1">
        <v>1063278</v>
      </c>
      <c r="E8" s="1">
        <v>351941</v>
      </c>
      <c r="F8" s="2">
        <v>0.33099622111997101</v>
      </c>
      <c r="G8" s="1">
        <v>4188</v>
      </c>
      <c r="H8" s="2">
        <v>1.18997218283746E-2</v>
      </c>
      <c r="I8" s="2">
        <v>3.9387629575708301E-3</v>
      </c>
    </row>
    <row r="9" spans="1:9" x14ac:dyDescent="0.25">
      <c r="A9" s="26">
        <v>45230</v>
      </c>
      <c r="B9" t="s">
        <v>240</v>
      </c>
      <c r="C9" t="s">
        <v>33</v>
      </c>
      <c r="D9" s="1">
        <v>81582</v>
      </c>
      <c r="E9" s="1">
        <v>24490</v>
      </c>
      <c r="F9" s="2">
        <v>0.30018876713000398</v>
      </c>
      <c r="G9" s="1">
        <v>442</v>
      </c>
      <c r="H9" s="2">
        <v>1.80481829318089E-2</v>
      </c>
      <c r="I9" s="2">
        <v>5.4178617832365003E-3</v>
      </c>
    </row>
    <row r="10" spans="1:9" x14ac:dyDescent="0.25">
      <c r="A10" s="26">
        <v>45230</v>
      </c>
      <c r="B10" t="s">
        <v>241</v>
      </c>
      <c r="C10" t="s">
        <v>163</v>
      </c>
      <c r="D10" s="1">
        <v>3617</v>
      </c>
      <c r="E10" s="1">
        <v>1262</v>
      </c>
      <c r="F10" s="2">
        <v>0.34890793475255699</v>
      </c>
      <c r="G10" s="1">
        <v>20</v>
      </c>
      <c r="H10" s="2">
        <v>1.5847860538827301E-2</v>
      </c>
      <c r="I10" s="2">
        <v>5.5294442908487701E-3</v>
      </c>
    </row>
    <row r="11" spans="1:9" x14ac:dyDescent="0.25">
      <c r="A11" s="26">
        <v>45230</v>
      </c>
      <c r="B11" t="s">
        <v>241</v>
      </c>
      <c r="C11" t="s">
        <v>162</v>
      </c>
      <c r="D11" s="1">
        <v>67929</v>
      </c>
      <c r="E11" s="1">
        <v>23983</v>
      </c>
      <c r="F11" s="2">
        <v>0.35305981245123602</v>
      </c>
      <c r="G11" s="1">
        <v>384</v>
      </c>
      <c r="H11" s="2">
        <v>1.6011341366801501E-2</v>
      </c>
      <c r="I11" s="2">
        <v>5.6529611800556498E-3</v>
      </c>
    </row>
    <row r="12" spans="1:9" x14ac:dyDescent="0.25">
      <c r="A12" s="26">
        <v>45230</v>
      </c>
      <c r="B12" t="s">
        <v>241</v>
      </c>
      <c r="C12" t="s">
        <v>165</v>
      </c>
      <c r="D12" s="1">
        <v>404</v>
      </c>
      <c r="E12" s="1">
        <v>108</v>
      </c>
      <c r="F12" s="2">
        <v>0.26732673267326701</v>
      </c>
      <c r="G12" s="1">
        <v>8</v>
      </c>
      <c r="H12" s="2">
        <v>7.4074074074074098E-2</v>
      </c>
      <c r="I12" s="2">
        <v>1.9801980198019799E-2</v>
      </c>
    </row>
    <row r="13" spans="1:9" x14ac:dyDescent="0.25">
      <c r="A13" s="26">
        <v>45230</v>
      </c>
      <c r="B13" t="s">
        <v>241</v>
      </c>
      <c r="C13" t="s">
        <v>164</v>
      </c>
      <c r="D13" s="1">
        <v>7694</v>
      </c>
      <c r="E13" s="1">
        <v>2190</v>
      </c>
      <c r="F13" s="2">
        <v>0.28463737977644898</v>
      </c>
      <c r="G13" s="1">
        <v>73</v>
      </c>
      <c r="H13" s="2">
        <v>3.3333333333333298E-2</v>
      </c>
      <c r="I13" s="2">
        <v>9.4879126592149702E-3</v>
      </c>
    </row>
    <row r="14" spans="1:9" x14ac:dyDescent="0.25">
      <c r="A14" s="26">
        <v>45231</v>
      </c>
      <c r="B14" t="s">
        <v>242</v>
      </c>
      <c r="C14" t="s">
        <v>32</v>
      </c>
      <c r="D14" s="1">
        <v>196670</v>
      </c>
      <c r="E14" s="1">
        <v>81039</v>
      </c>
      <c r="F14" s="2">
        <v>0.41205572786901901</v>
      </c>
      <c r="G14" s="1">
        <v>890</v>
      </c>
      <c r="H14" s="2">
        <v>1.09823665148879E-2</v>
      </c>
      <c r="I14" s="2">
        <v>4.5253470280164701E-3</v>
      </c>
    </row>
    <row r="15" spans="1:9" x14ac:dyDescent="0.25">
      <c r="A15" s="26">
        <v>45231</v>
      </c>
      <c r="B15" t="s">
        <v>243</v>
      </c>
      <c r="C15" t="s">
        <v>33</v>
      </c>
      <c r="D15" s="1">
        <v>11790</v>
      </c>
      <c r="E15" s="1">
        <v>4439</v>
      </c>
      <c r="F15" s="2">
        <v>0.37650551314673503</v>
      </c>
      <c r="G15" s="1">
        <v>65</v>
      </c>
      <c r="H15" s="2">
        <v>1.4642937598558199E-2</v>
      </c>
      <c r="I15" s="2">
        <v>5.5131467345207802E-3</v>
      </c>
    </row>
    <row r="16" spans="1:9" x14ac:dyDescent="0.25">
      <c r="A16" s="26">
        <v>45231</v>
      </c>
      <c r="B16" t="s">
        <v>244</v>
      </c>
      <c r="C16" t="s">
        <v>245</v>
      </c>
      <c r="D16" s="1">
        <v>85225</v>
      </c>
      <c r="E16" s="1">
        <v>24169</v>
      </c>
      <c r="F16" s="2">
        <v>0.28359049574655298</v>
      </c>
      <c r="G16" s="1">
        <v>311</v>
      </c>
      <c r="H16" s="2">
        <v>1.2867723116388801E-2</v>
      </c>
      <c r="I16" s="2">
        <v>3.6491639777060702E-3</v>
      </c>
    </row>
    <row r="17" spans="1:9" x14ac:dyDescent="0.25">
      <c r="A17" s="26">
        <v>45231</v>
      </c>
      <c r="B17" t="s">
        <v>244</v>
      </c>
      <c r="C17" t="s">
        <v>246</v>
      </c>
      <c r="D17" s="1">
        <v>93931</v>
      </c>
      <c r="E17" s="1">
        <v>26570</v>
      </c>
      <c r="F17" s="2">
        <v>0.28286721103788998</v>
      </c>
      <c r="G17" s="1">
        <v>559</v>
      </c>
      <c r="H17" s="2">
        <v>2.1038765525028199E-2</v>
      </c>
      <c r="I17" s="2">
        <v>5.9511769277448296E-3</v>
      </c>
    </row>
    <row r="18" spans="1:9" x14ac:dyDescent="0.25">
      <c r="A18" s="26">
        <v>45231</v>
      </c>
      <c r="B18" t="s">
        <v>244</v>
      </c>
      <c r="C18" t="s">
        <v>247</v>
      </c>
      <c r="D18" s="1">
        <v>4147623</v>
      </c>
      <c r="E18" s="1">
        <v>1366158</v>
      </c>
      <c r="F18" s="2">
        <v>0.32938336005948499</v>
      </c>
      <c r="G18" s="1">
        <v>14888</v>
      </c>
      <c r="H18" s="2">
        <v>1.08977146128047E-2</v>
      </c>
      <c r="I18" s="2">
        <v>3.5895258561349499E-3</v>
      </c>
    </row>
    <row r="19" spans="1:9" x14ac:dyDescent="0.25">
      <c r="A19" s="26">
        <v>45231</v>
      </c>
      <c r="B19" t="s">
        <v>244</v>
      </c>
      <c r="C19" t="s">
        <v>248</v>
      </c>
      <c r="D19" s="1">
        <v>13177</v>
      </c>
      <c r="E19" s="1">
        <v>3066</v>
      </c>
      <c r="F19" s="2">
        <v>0.23267815132427699</v>
      </c>
      <c r="G19" s="1">
        <v>51</v>
      </c>
      <c r="H19" s="2">
        <v>1.6634050880626201E-2</v>
      </c>
      <c r="I19" s="2">
        <v>3.8703802079380701E-3</v>
      </c>
    </row>
    <row r="20" spans="1:9" x14ac:dyDescent="0.25">
      <c r="A20" s="26">
        <v>45231</v>
      </c>
      <c r="B20" t="s">
        <v>244</v>
      </c>
      <c r="C20" t="s">
        <v>249</v>
      </c>
      <c r="D20" s="1">
        <v>5596</v>
      </c>
      <c r="E20" s="1">
        <v>1283</v>
      </c>
      <c r="F20" s="2">
        <v>0.22927090779127901</v>
      </c>
      <c r="G20" s="1">
        <v>39</v>
      </c>
      <c r="H20" s="2">
        <v>3.0397505845674199E-2</v>
      </c>
      <c r="I20" s="2">
        <v>6.96926375982845E-3</v>
      </c>
    </row>
    <row r="21" spans="1:9" x14ac:dyDescent="0.25">
      <c r="A21" s="26">
        <v>45231</v>
      </c>
      <c r="B21" t="s">
        <v>244</v>
      </c>
      <c r="C21" t="s">
        <v>250</v>
      </c>
      <c r="D21" s="1">
        <v>287800</v>
      </c>
      <c r="E21" s="1">
        <v>76436</v>
      </c>
      <c r="F21" s="2">
        <v>0.26558721334259899</v>
      </c>
      <c r="G21" s="1">
        <v>1218</v>
      </c>
      <c r="H21" s="2">
        <v>1.5934899785441398E-2</v>
      </c>
      <c r="I21" s="2">
        <v>4.2321056289089604E-3</v>
      </c>
    </row>
    <row r="22" spans="1:9" x14ac:dyDescent="0.25">
      <c r="A22" s="26">
        <v>45231</v>
      </c>
      <c r="B22" t="s">
        <v>251</v>
      </c>
      <c r="C22" t="s">
        <v>252</v>
      </c>
      <c r="D22" s="1">
        <v>94660</v>
      </c>
      <c r="E22" s="1">
        <v>25465</v>
      </c>
      <c r="F22" s="2">
        <v>0.26901542362138198</v>
      </c>
      <c r="G22" s="1">
        <v>591</v>
      </c>
      <c r="H22" s="2">
        <v>2.3208325152169602E-2</v>
      </c>
      <c r="I22" s="2">
        <v>6.2433974223536897E-3</v>
      </c>
    </row>
    <row r="23" spans="1:9" x14ac:dyDescent="0.25">
      <c r="A23" s="26">
        <v>45231</v>
      </c>
      <c r="B23" t="s">
        <v>251</v>
      </c>
      <c r="C23" t="s">
        <v>253</v>
      </c>
      <c r="D23" s="1">
        <v>4851</v>
      </c>
      <c r="E23" s="1">
        <v>986</v>
      </c>
      <c r="F23" s="2">
        <v>0.203257060399918</v>
      </c>
      <c r="G23" s="1">
        <v>33</v>
      </c>
      <c r="H23" s="2">
        <v>3.3468559837728201E-2</v>
      </c>
      <c r="I23" s="2">
        <v>6.8027210884353704E-3</v>
      </c>
    </row>
    <row r="24" spans="1:9" x14ac:dyDescent="0.25">
      <c r="A24" s="26">
        <v>45231</v>
      </c>
      <c r="B24" t="s">
        <v>254</v>
      </c>
      <c r="C24" t="s">
        <v>32</v>
      </c>
      <c r="D24" s="1">
        <v>88794</v>
      </c>
      <c r="E24" s="1">
        <v>33642</v>
      </c>
      <c r="F24" s="2">
        <v>0.37887695114534797</v>
      </c>
      <c r="G24" s="1">
        <v>3701</v>
      </c>
      <c r="H24" s="2">
        <v>0.110011295404554</v>
      </c>
      <c r="I24" s="2">
        <v>4.1680744194427501E-2</v>
      </c>
    </row>
    <row r="25" spans="1:9" x14ac:dyDescent="0.25">
      <c r="A25" s="26">
        <v>45231</v>
      </c>
      <c r="B25" t="s">
        <v>254</v>
      </c>
      <c r="C25" t="s">
        <v>33</v>
      </c>
      <c r="D25" s="1">
        <v>9883</v>
      </c>
      <c r="E25" s="1">
        <v>3583</v>
      </c>
      <c r="F25" s="2">
        <v>0.36254173833856101</v>
      </c>
      <c r="G25" s="1">
        <v>580</v>
      </c>
      <c r="H25" s="2">
        <v>0.16187552330449301</v>
      </c>
      <c r="I25" s="2">
        <v>5.8686633613275301E-2</v>
      </c>
    </row>
    <row r="26" spans="1:9" x14ac:dyDescent="0.25">
      <c r="A26" s="26">
        <v>45231</v>
      </c>
      <c r="B26" t="s">
        <v>255</v>
      </c>
      <c r="C26" t="s">
        <v>33</v>
      </c>
      <c r="D26" s="1">
        <v>4971</v>
      </c>
      <c r="E26" s="1">
        <v>2001</v>
      </c>
      <c r="F26" s="2">
        <v>0.40253470126735102</v>
      </c>
      <c r="G26" s="1">
        <v>198</v>
      </c>
      <c r="H26" s="2">
        <v>9.8950524737631204E-2</v>
      </c>
      <c r="I26" s="2">
        <v>3.9831019915510003E-2</v>
      </c>
    </row>
    <row r="27" spans="1:9" x14ac:dyDescent="0.25">
      <c r="A27" s="26">
        <v>45232</v>
      </c>
      <c r="B27" t="s">
        <v>256</v>
      </c>
      <c r="C27" t="s">
        <v>247</v>
      </c>
      <c r="D27" s="1">
        <v>392526</v>
      </c>
      <c r="E27" s="1">
        <v>117506</v>
      </c>
      <c r="F27" s="2">
        <v>0.29935851383093098</v>
      </c>
      <c r="G27" s="1">
        <v>5541</v>
      </c>
      <c r="H27" s="2">
        <v>4.7155038891631099E-2</v>
      </c>
      <c r="I27" s="2">
        <v>1.41162623622384E-2</v>
      </c>
    </row>
    <row r="28" spans="1:9" x14ac:dyDescent="0.25">
      <c r="A28" s="26">
        <v>45232</v>
      </c>
      <c r="B28" t="s">
        <v>256</v>
      </c>
      <c r="C28" t="s">
        <v>250</v>
      </c>
      <c r="D28" s="1">
        <v>89956</v>
      </c>
      <c r="E28" s="1">
        <v>22606</v>
      </c>
      <c r="F28" s="2">
        <v>0.25130063586642398</v>
      </c>
      <c r="G28" s="1">
        <v>870</v>
      </c>
      <c r="H28" s="2">
        <v>3.8485357869592098E-2</v>
      </c>
      <c r="I28" s="2">
        <v>9.6713949041753802E-3</v>
      </c>
    </row>
    <row r="29" spans="1:9" x14ac:dyDescent="0.25">
      <c r="A29" s="26">
        <v>45232</v>
      </c>
      <c r="B29" t="s">
        <v>257</v>
      </c>
      <c r="C29" t="s">
        <v>258</v>
      </c>
      <c r="D29" s="1">
        <v>192466</v>
      </c>
      <c r="E29" s="1">
        <v>62296</v>
      </c>
      <c r="F29" s="3">
        <v>0.32369999999999999</v>
      </c>
      <c r="G29">
        <v>289</v>
      </c>
      <c r="H29" s="3">
        <v>4.5999999999999999E-3</v>
      </c>
      <c r="I29" s="3">
        <v>1.5E-3</v>
      </c>
    </row>
    <row r="30" spans="1:9" x14ac:dyDescent="0.25">
      <c r="A30" s="26">
        <v>45232</v>
      </c>
      <c r="B30" t="s">
        <v>259</v>
      </c>
      <c r="C30" t="s">
        <v>260</v>
      </c>
      <c r="D30" s="1">
        <v>12093</v>
      </c>
      <c r="E30" s="1">
        <v>3405</v>
      </c>
      <c r="F30" s="3">
        <v>0.28160000000000002</v>
      </c>
      <c r="G30">
        <v>25</v>
      </c>
      <c r="H30" s="3">
        <v>7.3000000000000001E-3</v>
      </c>
      <c r="I30" s="3">
        <v>2.0999999999999999E-3</v>
      </c>
    </row>
    <row r="31" spans="1:9" ht="15.75" thickBot="1" x14ac:dyDescent="0.3">
      <c r="A31" s="27" t="s">
        <v>427</v>
      </c>
      <c r="D31" s="14">
        <f>SUM(D2:D30)</f>
        <v>10395538</v>
      </c>
      <c r="E31" s="14">
        <f>SUM(E2:E30)</f>
        <v>3447480</v>
      </c>
      <c r="F31" s="111">
        <f>AVERAGE(F2:F30)</f>
        <v>0.32045953782021108</v>
      </c>
      <c r="G31" s="14">
        <f>SUM(G2:G30)</f>
        <v>52038</v>
      </c>
      <c r="H31" s="111">
        <f>AVERAGE(H2:H30)</f>
        <v>4.2231656417098452E-2</v>
      </c>
      <c r="I31" s="111">
        <f>AVERAGE(I2:I30)</f>
        <v>1.5002821288251981E-2</v>
      </c>
    </row>
    <row r="32" spans="1:9" ht="15.75" thickBot="1" x14ac:dyDescent="0.3">
      <c r="A32" s="140"/>
      <c r="B32" s="140"/>
      <c r="C32" s="140"/>
      <c r="D32" s="140"/>
      <c r="E32" s="140"/>
      <c r="F32" s="140"/>
      <c r="G32" s="140"/>
      <c r="H32" s="140"/>
      <c r="I32" s="140"/>
    </row>
    <row r="33" spans="1:9" ht="20.45" customHeight="1" x14ac:dyDescent="0.25">
      <c r="A33" s="76" t="s">
        <v>0</v>
      </c>
      <c r="B33" s="77" t="s">
        <v>1</v>
      </c>
      <c r="C33" s="77" t="s">
        <v>796</v>
      </c>
      <c r="D33" s="77" t="s">
        <v>3</v>
      </c>
      <c r="E33" s="77" t="s">
        <v>4</v>
      </c>
      <c r="F33" s="77" t="s">
        <v>5</v>
      </c>
      <c r="G33" s="77" t="s">
        <v>6</v>
      </c>
      <c r="H33" s="77" t="s">
        <v>7</v>
      </c>
      <c r="I33" s="78" t="s">
        <v>8</v>
      </c>
    </row>
    <row r="34" spans="1:9" x14ac:dyDescent="0.25">
      <c r="A34" s="8" t="s">
        <v>790</v>
      </c>
      <c r="B34" s="9"/>
      <c r="C34" s="9"/>
      <c r="D34" s="9"/>
      <c r="E34" s="9"/>
      <c r="F34" s="9"/>
      <c r="G34" s="9"/>
      <c r="H34" s="9"/>
      <c r="I34" s="10"/>
    </row>
    <row r="35" spans="1:9" x14ac:dyDescent="0.25">
      <c r="A35" s="11">
        <v>45226</v>
      </c>
      <c r="B35" t="s">
        <v>235</v>
      </c>
      <c r="C35" t="s">
        <v>32</v>
      </c>
      <c r="D35" s="1">
        <v>2887274</v>
      </c>
      <c r="E35" s="1">
        <v>1000062</v>
      </c>
      <c r="F35" s="2">
        <v>0.34636892792301699</v>
      </c>
      <c r="G35" s="1">
        <v>12404</v>
      </c>
      <c r="H35" s="2">
        <v>1.2403230999678E-2</v>
      </c>
      <c r="I35" s="12">
        <v>4.2960938241400001E-3</v>
      </c>
    </row>
    <row r="36" spans="1:9" x14ac:dyDescent="0.25">
      <c r="A36" s="11">
        <v>45226</v>
      </c>
      <c r="B36" t="s">
        <v>235</v>
      </c>
      <c r="C36" t="s">
        <v>33</v>
      </c>
      <c r="D36" s="1">
        <v>197143</v>
      </c>
      <c r="E36" s="1">
        <v>61564</v>
      </c>
      <c r="F36" s="2">
        <v>0.31228093312975902</v>
      </c>
      <c r="G36" s="1">
        <v>1017</v>
      </c>
      <c r="H36" s="2">
        <v>1.65193944513027E-2</v>
      </c>
      <c r="I36" s="12">
        <v>5.1586919139913704E-3</v>
      </c>
    </row>
    <row r="37" spans="1:9" x14ac:dyDescent="0.25">
      <c r="A37" s="11">
        <v>45226</v>
      </c>
      <c r="B37" t="s">
        <v>236</v>
      </c>
      <c r="C37" t="s">
        <v>32</v>
      </c>
      <c r="D37" s="1">
        <v>307848</v>
      </c>
      <c r="E37" s="1">
        <v>108356</v>
      </c>
      <c r="F37" s="2">
        <v>0.351978898677269</v>
      </c>
      <c r="G37" s="1">
        <v>1308</v>
      </c>
      <c r="H37" s="2">
        <v>1.20713204621802E-2</v>
      </c>
      <c r="I37" s="12">
        <v>4.24885008185858E-3</v>
      </c>
    </row>
    <row r="38" spans="1:9" x14ac:dyDescent="0.25">
      <c r="A38" s="11">
        <v>45226</v>
      </c>
      <c r="B38" t="s">
        <v>236</v>
      </c>
      <c r="C38" t="s">
        <v>33</v>
      </c>
      <c r="D38" s="1">
        <v>16947</v>
      </c>
      <c r="E38" s="1">
        <v>5788</v>
      </c>
      <c r="F38" s="2">
        <v>0.34153537499262399</v>
      </c>
      <c r="G38" s="1">
        <v>169</v>
      </c>
      <c r="H38" s="2">
        <v>2.91983413959917E-2</v>
      </c>
      <c r="I38" s="12">
        <v>9.9722664778426895E-3</v>
      </c>
    </row>
    <row r="39" spans="1:9" x14ac:dyDescent="0.25">
      <c r="A39" s="11">
        <v>45230</v>
      </c>
      <c r="B39" t="s">
        <v>240</v>
      </c>
      <c r="C39" t="s">
        <v>32</v>
      </c>
      <c r="D39" s="1">
        <v>1063278</v>
      </c>
      <c r="E39" s="1">
        <v>351941</v>
      </c>
      <c r="F39" s="2">
        <v>0.33099622111997101</v>
      </c>
      <c r="G39" s="1">
        <v>4188</v>
      </c>
      <c r="H39" s="2">
        <v>1.18997218283746E-2</v>
      </c>
      <c r="I39" s="12">
        <v>3.9387629575708301E-3</v>
      </c>
    </row>
    <row r="40" spans="1:9" x14ac:dyDescent="0.25">
      <c r="A40" s="11">
        <v>45230</v>
      </c>
      <c r="B40" t="s">
        <v>240</v>
      </c>
      <c r="C40" t="s">
        <v>33</v>
      </c>
      <c r="D40" s="1">
        <v>81582</v>
      </c>
      <c r="E40" s="1">
        <v>24490</v>
      </c>
      <c r="F40" s="2">
        <v>0.30018876713000398</v>
      </c>
      <c r="G40" s="1">
        <v>442</v>
      </c>
      <c r="H40" s="2">
        <v>1.80481829318089E-2</v>
      </c>
      <c r="I40" s="12">
        <v>5.4178617832365003E-3</v>
      </c>
    </row>
    <row r="41" spans="1:9" ht="15.75" thickBot="1" x14ac:dyDescent="0.3">
      <c r="A41" s="17" t="s">
        <v>427</v>
      </c>
      <c r="B41" s="4"/>
      <c r="C41" s="4"/>
      <c r="D41" s="18">
        <f>SUM(D35:D40)</f>
        <v>4554072</v>
      </c>
      <c r="E41" s="18">
        <f>SUM(E35:E40)</f>
        <v>1552201</v>
      </c>
      <c r="F41" s="19">
        <f>AVERAGE(F35:F40)</f>
        <v>0.33055818716210733</v>
      </c>
      <c r="G41" s="18">
        <f>SUM(G35:G40)</f>
        <v>19528</v>
      </c>
      <c r="H41" s="19">
        <f>AVERAGE(H35:H40)</f>
        <v>1.6690032011556017E-2</v>
      </c>
      <c r="I41" s="21">
        <f>AVERAGE(I35:I40)</f>
        <v>5.5054211731066617E-3</v>
      </c>
    </row>
    <row r="42" spans="1:9" ht="3" customHeight="1" thickBot="1" x14ac:dyDescent="0.3">
      <c r="A42" s="143"/>
      <c r="B42" s="140"/>
      <c r="C42" s="140"/>
      <c r="D42" s="140"/>
      <c r="E42" s="140"/>
      <c r="F42" s="140"/>
      <c r="G42" s="140"/>
      <c r="H42" s="140"/>
      <c r="I42" s="144"/>
    </row>
    <row r="43" spans="1:9" x14ac:dyDescent="0.25">
      <c r="A43" s="22" t="s">
        <v>795</v>
      </c>
      <c r="B43" s="23"/>
      <c r="C43" s="23"/>
      <c r="D43" s="23"/>
      <c r="E43" s="23"/>
      <c r="F43" s="23"/>
      <c r="G43" s="23"/>
      <c r="H43" s="23"/>
      <c r="I43" s="24"/>
    </row>
    <row r="44" spans="1:9" x14ac:dyDescent="0.25">
      <c r="A44" s="11">
        <v>45227</v>
      </c>
      <c r="B44" t="s">
        <v>237</v>
      </c>
      <c r="C44" t="s">
        <v>238</v>
      </c>
      <c r="D44" s="1">
        <v>9922</v>
      </c>
      <c r="E44" s="1">
        <v>4236</v>
      </c>
      <c r="F44" s="2">
        <v>0.42693005442451099</v>
      </c>
      <c r="G44" s="1">
        <v>658</v>
      </c>
      <c r="H44" s="2">
        <v>0.15533522190745999</v>
      </c>
      <c r="I44" s="12">
        <v>6.6317274742995397E-2</v>
      </c>
    </row>
    <row r="45" spans="1:9" x14ac:dyDescent="0.25">
      <c r="A45" s="11">
        <v>45227</v>
      </c>
      <c r="B45" t="s">
        <v>237</v>
      </c>
      <c r="C45" t="s">
        <v>239</v>
      </c>
      <c r="D45" s="1">
        <v>19888</v>
      </c>
      <c r="E45" s="1">
        <v>8850</v>
      </c>
      <c r="F45" s="2">
        <v>0.44499195494770699</v>
      </c>
      <c r="G45" s="1">
        <v>1518</v>
      </c>
      <c r="H45" s="2">
        <v>0.17152542372881399</v>
      </c>
      <c r="I45" s="12">
        <v>7.6327433628318606E-2</v>
      </c>
    </row>
    <row r="46" spans="1:9" x14ac:dyDescent="0.25">
      <c r="A46" s="11">
        <v>45230</v>
      </c>
      <c r="B46" t="s">
        <v>241</v>
      </c>
      <c r="C46" t="s">
        <v>163</v>
      </c>
      <c r="D46" s="1">
        <v>3617</v>
      </c>
      <c r="E46" s="1">
        <v>1262</v>
      </c>
      <c r="F46" s="2">
        <v>0.34890793475255699</v>
      </c>
      <c r="G46" s="1">
        <v>20</v>
      </c>
      <c r="H46" s="2">
        <v>1.5847860538827301E-2</v>
      </c>
      <c r="I46" s="12">
        <v>5.5294442908487701E-3</v>
      </c>
    </row>
    <row r="47" spans="1:9" x14ac:dyDescent="0.25">
      <c r="A47" s="11">
        <v>45230</v>
      </c>
      <c r="B47" t="s">
        <v>241</v>
      </c>
      <c r="C47" t="s">
        <v>162</v>
      </c>
      <c r="D47" s="1">
        <v>67929</v>
      </c>
      <c r="E47" s="1">
        <v>23983</v>
      </c>
      <c r="F47" s="2">
        <v>0.35305981245123602</v>
      </c>
      <c r="G47" s="1">
        <v>384</v>
      </c>
      <c r="H47" s="2">
        <v>1.6011341366801501E-2</v>
      </c>
      <c r="I47" s="12">
        <v>5.6529611800556498E-3</v>
      </c>
    </row>
    <row r="48" spans="1:9" x14ac:dyDescent="0.25">
      <c r="A48" s="11">
        <v>45230</v>
      </c>
      <c r="B48" t="s">
        <v>241</v>
      </c>
      <c r="C48" t="s">
        <v>165</v>
      </c>
      <c r="D48" s="1">
        <v>404</v>
      </c>
      <c r="E48" s="1">
        <v>108</v>
      </c>
      <c r="F48" s="2">
        <v>0.26732673267326701</v>
      </c>
      <c r="G48" s="1">
        <v>8</v>
      </c>
      <c r="H48" s="2">
        <v>7.4074074074074098E-2</v>
      </c>
      <c r="I48" s="12">
        <v>1.9801980198019799E-2</v>
      </c>
    </row>
    <row r="49" spans="1:9" x14ac:dyDescent="0.25">
      <c r="A49" s="11">
        <v>45230</v>
      </c>
      <c r="B49" t="s">
        <v>241</v>
      </c>
      <c r="C49" t="s">
        <v>164</v>
      </c>
      <c r="D49" s="1">
        <v>7694</v>
      </c>
      <c r="E49" s="1">
        <v>2190</v>
      </c>
      <c r="F49" s="2">
        <v>0.28463737977644898</v>
      </c>
      <c r="G49" s="1">
        <v>73</v>
      </c>
      <c r="H49" s="2">
        <v>3.3333333333333298E-2</v>
      </c>
      <c r="I49" s="12">
        <v>9.4879126592149702E-3</v>
      </c>
    </row>
    <row r="50" spans="1:9" x14ac:dyDescent="0.25">
      <c r="A50" s="11">
        <v>45231</v>
      </c>
      <c r="B50" t="s">
        <v>242</v>
      </c>
      <c r="C50" t="s">
        <v>32</v>
      </c>
      <c r="D50" s="1">
        <v>196670</v>
      </c>
      <c r="E50" s="1">
        <v>81039</v>
      </c>
      <c r="F50" s="2">
        <v>0.41205572786901901</v>
      </c>
      <c r="G50" s="1">
        <v>890</v>
      </c>
      <c r="H50" s="2">
        <v>1.09823665148879E-2</v>
      </c>
      <c r="I50" s="12">
        <v>4.5253470280164701E-3</v>
      </c>
    </row>
    <row r="51" spans="1:9" x14ac:dyDescent="0.25">
      <c r="A51" s="11">
        <v>45231</v>
      </c>
      <c r="B51" t="s">
        <v>243</v>
      </c>
      <c r="C51" t="s">
        <v>33</v>
      </c>
      <c r="D51" s="1">
        <v>11790</v>
      </c>
      <c r="E51" s="1">
        <v>4439</v>
      </c>
      <c r="F51" s="2">
        <v>0.37650551314673503</v>
      </c>
      <c r="G51" s="1">
        <v>65</v>
      </c>
      <c r="H51" s="2">
        <v>1.4642937598558199E-2</v>
      </c>
      <c r="I51" s="12">
        <v>5.5131467345207802E-3</v>
      </c>
    </row>
    <row r="52" spans="1:9" x14ac:dyDescent="0.25">
      <c r="A52" s="11">
        <v>45231</v>
      </c>
      <c r="B52" t="s">
        <v>244</v>
      </c>
      <c r="C52" t="s">
        <v>245</v>
      </c>
      <c r="D52" s="1">
        <v>85225</v>
      </c>
      <c r="E52" s="1">
        <v>24169</v>
      </c>
      <c r="F52" s="2">
        <v>0.28359049574655298</v>
      </c>
      <c r="G52" s="1">
        <v>311</v>
      </c>
      <c r="H52" s="2">
        <v>1.2867723116388801E-2</v>
      </c>
      <c r="I52" s="12">
        <v>3.6491639777060702E-3</v>
      </c>
    </row>
    <row r="53" spans="1:9" x14ac:dyDescent="0.25">
      <c r="A53" s="11">
        <v>45231</v>
      </c>
      <c r="B53" t="s">
        <v>244</v>
      </c>
      <c r="C53" t="s">
        <v>246</v>
      </c>
      <c r="D53" s="1">
        <v>93931</v>
      </c>
      <c r="E53" s="1">
        <v>26570</v>
      </c>
      <c r="F53" s="2">
        <v>0.28286721103788998</v>
      </c>
      <c r="G53" s="1">
        <v>559</v>
      </c>
      <c r="H53" s="2">
        <v>2.1038765525028199E-2</v>
      </c>
      <c r="I53" s="12">
        <v>5.9511769277448296E-3</v>
      </c>
    </row>
    <row r="54" spans="1:9" x14ac:dyDescent="0.25">
      <c r="A54" s="11">
        <v>45231</v>
      </c>
      <c r="B54" t="s">
        <v>244</v>
      </c>
      <c r="C54" t="s">
        <v>247</v>
      </c>
      <c r="D54" s="1">
        <v>4147623</v>
      </c>
      <c r="E54" s="1">
        <v>1366158</v>
      </c>
      <c r="F54" s="2">
        <v>0.32938336005948499</v>
      </c>
      <c r="G54" s="1">
        <v>14888</v>
      </c>
      <c r="H54" s="2">
        <v>1.08977146128047E-2</v>
      </c>
      <c r="I54" s="12">
        <v>3.5895258561349499E-3</v>
      </c>
    </row>
    <row r="55" spans="1:9" x14ac:dyDescent="0.25">
      <c r="A55" s="11">
        <v>45231</v>
      </c>
      <c r="B55" t="s">
        <v>244</v>
      </c>
      <c r="C55" t="s">
        <v>248</v>
      </c>
      <c r="D55" s="1">
        <v>13177</v>
      </c>
      <c r="E55" s="1">
        <v>3066</v>
      </c>
      <c r="F55" s="2">
        <v>0.23267815132427699</v>
      </c>
      <c r="G55" s="1">
        <v>51</v>
      </c>
      <c r="H55" s="2">
        <v>1.6634050880626201E-2</v>
      </c>
      <c r="I55" s="12">
        <v>3.8703802079380701E-3</v>
      </c>
    </row>
    <row r="56" spans="1:9" x14ac:dyDescent="0.25">
      <c r="A56" s="11">
        <v>45231</v>
      </c>
      <c r="B56" t="s">
        <v>244</v>
      </c>
      <c r="C56" t="s">
        <v>249</v>
      </c>
      <c r="D56" s="1">
        <v>5596</v>
      </c>
      <c r="E56" s="1">
        <v>1283</v>
      </c>
      <c r="F56" s="2">
        <v>0.22927090779127901</v>
      </c>
      <c r="G56" s="1">
        <v>39</v>
      </c>
      <c r="H56" s="2">
        <v>3.0397505845674199E-2</v>
      </c>
      <c r="I56" s="12">
        <v>6.96926375982845E-3</v>
      </c>
    </row>
    <row r="57" spans="1:9" x14ac:dyDescent="0.25">
      <c r="A57" s="11">
        <v>45231</v>
      </c>
      <c r="B57" t="s">
        <v>244</v>
      </c>
      <c r="C57" t="s">
        <v>250</v>
      </c>
      <c r="D57" s="1">
        <v>287800</v>
      </c>
      <c r="E57" s="1">
        <v>76436</v>
      </c>
      <c r="F57" s="2">
        <v>0.26558721334259899</v>
      </c>
      <c r="G57" s="1">
        <v>1218</v>
      </c>
      <c r="H57" s="2">
        <v>1.5934899785441398E-2</v>
      </c>
      <c r="I57" s="12">
        <v>4.2321056289089604E-3</v>
      </c>
    </row>
    <row r="58" spans="1:9" x14ac:dyDescent="0.25">
      <c r="A58" s="11">
        <v>45231</v>
      </c>
      <c r="B58" t="s">
        <v>251</v>
      </c>
      <c r="C58" t="s">
        <v>252</v>
      </c>
      <c r="D58" s="1">
        <v>94660</v>
      </c>
      <c r="E58" s="1">
        <v>25465</v>
      </c>
      <c r="F58" s="2">
        <v>0.26901542362138198</v>
      </c>
      <c r="G58" s="1">
        <v>591</v>
      </c>
      <c r="H58" s="2">
        <v>2.3208325152169602E-2</v>
      </c>
      <c r="I58" s="12">
        <v>6.2433974223536897E-3</v>
      </c>
    </row>
    <row r="59" spans="1:9" x14ac:dyDescent="0.25">
      <c r="A59" s="11">
        <v>45231</v>
      </c>
      <c r="B59" t="s">
        <v>251</v>
      </c>
      <c r="C59" t="s">
        <v>253</v>
      </c>
      <c r="D59" s="1">
        <v>4851</v>
      </c>
      <c r="E59" s="1">
        <v>986</v>
      </c>
      <c r="F59" s="2">
        <v>0.203257060399918</v>
      </c>
      <c r="G59" s="1">
        <v>33</v>
      </c>
      <c r="H59" s="2">
        <v>3.3468559837728201E-2</v>
      </c>
      <c r="I59" s="12">
        <v>6.8027210884353704E-3</v>
      </c>
    </row>
    <row r="60" spans="1:9" x14ac:dyDescent="0.25">
      <c r="A60" s="11">
        <v>45231</v>
      </c>
      <c r="B60" t="s">
        <v>254</v>
      </c>
      <c r="C60" t="s">
        <v>32</v>
      </c>
      <c r="D60" s="1">
        <v>88794</v>
      </c>
      <c r="E60" s="1">
        <v>33642</v>
      </c>
      <c r="F60" s="2">
        <v>0.37887695114534797</v>
      </c>
      <c r="G60" s="1">
        <v>3701</v>
      </c>
      <c r="H60" s="2">
        <v>0.110011295404554</v>
      </c>
      <c r="I60" s="12">
        <v>4.1680744194427501E-2</v>
      </c>
    </row>
    <row r="61" spans="1:9" x14ac:dyDescent="0.25">
      <c r="A61" s="11">
        <v>45231</v>
      </c>
      <c r="B61" t="s">
        <v>254</v>
      </c>
      <c r="C61" t="s">
        <v>33</v>
      </c>
      <c r="D61" s="1">
        <v>9883</v>
      </c>
      <c r="E61" s="1">
        <v>3583</v>
      </c>
      <c r="F61" s="2">
        <v>0.36254173833856101</v>
      </c>
      <c r="G61" s="1">
        <v>580</v>
      </c>
      <c r="H61" s="2">
        <v>0.16187552330449301</v>
      </c>
      <c r="I61" s="12">
        <v>5.8686633613275301E-2</v>
      </c>
    </row>
    <row r="62" spans="1:9" x14ac:dyDescent="0.25">
      <c r="A62" s="11">
        <v>45231</v>
      </c>
      <c r="B62" t="s">
        <v>255</v>
      </c>
      <c r="C62" t="s">
        <v>33</v>
      </c>
      <c r="D62" s="1">
        <v>4971</v>
      </c>
      <c r="E62" s="1">
        <v>2001</v>
      </c>
      <c r="F62" s="2">
        <v>0.40253470126735102</v>
      </c>
      <c r="G62" s="1">
        <v>198</v>
      </c>
      <c r="H62" s="2">
        <v>9.8950524737631204E-2</v>
      </c>
      <c r="I62" s="12">
        <v>3.9831019915510003E-2</v>
      </c>
    </row>
    <row r="63" spans="1:9" x14ac:dyDescent="0.25">
      <c r="A63" s="11">
        <v>45232</v>
      </c>
      <c r="B63" t="s">
        <v>256</v>
      </c>
      <c r="C63" t="s">
        <v>247</v>
      </c>
      <c r="D63" s="1">
        <v>392526</v>
      </c>
      <c r="E63" s="1">
        <v>117506</v>
      </c>
      <c r="F63" s="2">
        <v>0.29935851383093098</v>
      </c>
      <c r="G63" s="1">
        <v>5541</v>
      </c>
      <c r="H63" s="2">
        <v>4.7155038891631099E-2</v>
      </c>
      <c r="I63" s="12">
        <v>1.41162623622384E-2</v>
      </c>
    </row>
    <row r="64" spans="1:9" x14ac:dyDescent="0.25">
      <c r="A64" s="11">
        <v>45232</v>
      </c>
      <c r="B64" t="s">
        <v>256</v>
      </c>
      <c r="C64" t="s">
        <v>250</v>
      </c>
      <c r="D64" s="1">
        <v>89956</v>
      </c>
      <c r="E64" s="1">
        <v>22606</v>
      </c>
      <c r="F64" s="2">
        <v>0.25130063586642398</v>
      </c>
      <c r="G64" s="1">
        <v>870</v>
      </c>
      <c r="H64" s="2">
        <v>3.8485357869592098E-2</v>
      </c>
      <c r="I64" s="12">
        <v>9.6713949041753802E-3</v>
      </c>
    </row>
    <row r="65" spans="1:9" ht="15.75" thickBot="1" x14ac:dyDescent="0.3">
      <c r="A65" s="17" t="s">
        <v>427</v>
      </c>
      <c r="B65" s="4"/>
      <c r="C65" s="4"/>
      <c r="D65" s="18">
        <f>SUM(D44:D64)</f>
        <v>5636907</v>
      </c>
      <c r="E65" s="18">
        <f>SUM(E44:E64)</f>
        <v>1829578</v>
      </c>
      <c r="F65" s="19">
        <f>AVERAGE(F44:F64)</f>
        <v>0.31927035589587999</v>
      </c>
      <c r="G65" s="18">
        <f>SUM(G44:G64)</f>
        <v>32196</v>
      </c>
      <c r="H65" s="19">
        <f>AVERAGE(H44:H64)</f>
        <v>5.2984659239358051E-2</v>
      </c>
      <c r="I65" s="21">
        <f>AVERAGE(I44:I64)</f>
        <v>1.8973775729555591E-2</v>
      </c>
    </row>
    <row r="66" spans="1:9" ht="3" customHeight="1" thickBot="1" x14ac:dyDescent="0.3">
      <c r="A66" s="143"/>
      <c r="B66" s="140"/>
      <c r="C66" s="140"/>
      <c r="D66" s="140"/>
      <c r="E66" s="140"/>
      <c r="F66" s="140"/>
      <c r="G66" s="140"/>
      <c r="H66" s="140"/>
      <c r="I66" s="144"/>
    </row>
    <row r="67" spans="1:9" x14ac:dyDescent="0.25">
      <c r="A67" s="22" t="s">
        <v>792</v>
      </c>
      <c r="B67" s="23"/>
      <c r="C67" s="23"/>
      <c r="D67" s="23"/>
      <c r="E67" s="23"/>
      <c r="F67" s="23"/>
      <c r="G67" s="23"/>
      <c r="H67" s="23"/>
      <c r="I67" s="24"/>
    </row>
    <row r="68" spans="1:9" x14ac:dyDescent="0.25">
      <c r="A68" s="11">
        <v>45232</v>
      </c>
      <c r="B68" t="s">
        <v>257</v>
      </c>
      <c r="C68" t="s">
        <v>258</v>
      </c>
      <c r="D68" s="1">
        <v>192466</v>
      </c>
      <c r="E68" s="1">
        <v>62296</v>
      </c>
      <c r="F68" s="3">
        <v>0.32369999999999999</v>
      </c>
      <c r="G68">
        <v>289</v>
      </c>
      <c r="H68" s="3">
        <v>4.5999999999999999E-3</v>
      </c>
      <c r="I68" s="16">
        <v>1.5E-3</v>
      </c>
    </row>
    <row r="69" spans="1:9" x14ac:dyDescent="0.25">
      <c r="A69" s="11">
        <v>45232</v>
      </c>
      <c r="B69" t="s">
        <v>259</v>
      </c>
      <c r="C69" t="s">
        <v>260</v>
      </c>
      <c r="D69" s="1">
        <v>12093</v>
      </c>
      <c r="E69" s="1">
        <v>3405</v>
      </c>
      <c r="F69" s="3">
        <v>0.28160000000000002</v>
      </c>
      <c r="G69">
        <v>25</v>
      </c>
      <c r="H69" s="3">
        <v>7.3000000000000001E-3</v>
      </c>
      <c r="I69" s="16">
        <v>2.0999999999999999E-3</v>
      </c>
    </row>
    <row r="70" spans="1:9" ht="15.75" thickBot="1" x14ac:dyDescent="0.3">
      <c r="A70" s="17" t="s">
        <v>427</v>
      </c>
      <c r="B70" s="4"/>
      <c r="C70" s="4"/>
      <c r="D70" s="18">
        <f>SUM(D68:D69)</f>
        <v>204559</v>
      </c>
      <c r="E70" s="18">
        <f>SUM(E68:E69)</f>
        <v>65701</v>
      </c>
      <c r="F70" s="19">
        <f>AVERAGE(F68:F69)</f>
        <v>0.30264999999999997</v>
      </c>
      <c r="G70" s="18">
        <f>SUM(G68:G69)</f>
        <v>314</v>
      </c>
      <c r="H70" s="19">
        <f>AVERAGE(H68:H69)</f>
        <v>5.9500000000000004E-3</v>
      </c>
      <c r="I70" s="21">
        <f>AVERAGE(I68:I69)</f>
        <v>1.8E-3</v>
      </c>
    </row>
  </sheetData>
  <mergeCells count="3">
    <mergeCell ref="A32:I32"/>
    <mergeCell ref="A42:I42"/>
    <mergeCell ref="A66:I66"/>
  </mergeCells>
  <pageMargins left="0.7" right="0.7" top="0.75" bottom="0.75" header="0.3" footer="0.3"/>
  <ignoredErrors>
    <ignoredError sqref="F31:G31 F41:G41 F65:G65 F70:G70" formula="1"/>
  </ignoredErrors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551B-1856-48D0-AE82-B0DD488818B6}">
  <dimension ref="A1:I58"/>
  <sheetViews>
    <sheetView zoomScaleNormal="100"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45233</v>
      </c>
      <c r="B2" t="s">
        <v>261</v>
      </c>
      <c r="C2" t="s">
        <v>33</v>
      </c>
      <c r="D2" s="1">
        <v>182528</v>
      </c>
      <c r="E2" s="1">
        <v>34346</v>
      </c>
      <c r="F2" s="2">
        <v>0.18816839060308599</v>
      </c>
      <c r="G2" s="1">
        <v>369</v>
      </c>
      <c r="H2" s="2">
        <v>1.0743609153904401E-2</v>
      </c>
      <c r="I2" s="2">
        <v>2.0216076437587702E-3</v>
      </c>
    </row>
    <row r="3" spans="1:9" x14ac:dyDescent="0.25">
      <c r="A3" s="26">
        <v>45233</v>
      </c>
      <c r="B3" t="s">
        <v>261</v>
      </c>
      <c r="C3" t="s">
        <v>32</v>
      </c>
      <c r="D3" s="1">
        <v>2773385</v>
      </c>
      <c r="E3" s="1">
        <v>673268</v>
      </c>
      <c r="F3" s="2">
        <v>0.242760381266936</v>
      </c>
      <c r="G3" s="1">
        <v>7497</v>
      </c>
      <c r="H3" s="2">
        <v>1.11352388647611E-2</v>
      </c>
      <c r="I3" s="2">
        <v>2.7031948323078098E-3</v>
      </c>
    </row>
    <row r="4" spans="1:9" x14ac:dyDescent="0.25">
      <c r="A4" s="26">
        <v>45233</v>
      </c>
      <c r="B4" t="s">
        <v>262</v>
      </c>
      <c r="C4" t="s">
        <v>32</v>
      </c>
      <c r="D4" s="1">
        <v>299800</v>
      </c>
      <c r="E4" s="1">
        <v>73400</v>
      </c>
      <c r="F4" s="2">
        <v>0.244829886591061</v>
      </c>
      <c r="G4" s="1">
        <v>739</v>
      </c>
      <c r="H4" s="2">
        <v>1.00681198910082E-2</v>
      </c>
      <c r="I4" s="2">
        <v>2.46497665110073E-3</v>
      </c>
    </row>
    <row r="5" spans="1:9" x14ac:dyDescent="0.25">
      <c r="A5" s="26">
        <v>45233</v>
      </c>
      <c r="B5" t="s">
        <v>263</v>
      </c>
      <c r="C5" t="s">
        <v>32</v>
      </c>
      <c r="D5" s="1">
        <v>1860861</v>
      </c>
      <c r="E5" s="1">
        <v>466008</v>
      </c>
      <c r="F5" s="2">
        <v>0.25042601247487101</v>
      </c>
      <c r="G5" s="1">
        <v>2065</v>
      </c>
      <c r="H5" s="2">
        <v>4.4312543990661099E-3</v>
      </c>
      <c r="I5" s="2">
        <v>1.10970136941985E-3</v>
      </c>
    </row>
    <row r="6" spans="1:9" x14ac:dyDescent="0.25">
      <c r="A6" s="26">
        <v>45233</v>
      </c>
      <c r="B6" t="s">
        <v>263</v>
      </c>
      <c r="C6" t="s">
        <v>33</v>
      </c>
      <c r="D6" s="1">
        <v>118815</v>
      </c>
      <c r="E6" s="1">
        <v>21941</v>
      </c>
      <c r="F6" s="2">
        <v>0.18466523587089201</v>
      </c>
      <c r="G6" s="1">
        <v>191</v>
      </c>
      <c r="H6" s="2">
        <v>8.7051638485027994E-3</v>
      </c>
      <c r="I6" s="2">
        <v>1.6075411353785301E-3</v>
      </c>
    </row>
    <row r="7" spans="1:9" x14ac:dyDescent="0.25">
      <c r="A7" s="26">
        <v>45233</v>
      </c>
      <c r="B7" t="s">
        <v>264</v>
      </c>
      <c r="C7" t="s">
        <v>32</v>
      </c>
      <c r="D7" s="1">
        <v>56843</v>
      </c>
      <c r="E7" s="1">
        <v>20474</v>
      </c>
      <c r="F7" s="2">
        <v>0.36018507116091703</v>
      </c>
      <c r="G7" s="1">
        <v>1082</v>
      </c>
      <c r="H7" s="2">
        <v>5.2847513920093799E-2</v>
      </c>
      <c r="I7" s="2">
        <v>1.90348855619865E-2</v>
      </c>
    </row>
    <row r="8" spans="1:9" x14ac:dyDescent="0.25">
      <c r="A8" s="26">
        <v>45234</v>
      </c>
      <c r="B8" t="s">
        <v>265</v>
      </c>
      <c r="C8" t="s">
        <v>32</v>
      </c>
      <c r="D8" s="1">
        <v>41274</v>
      </c>
      <c r="E8" s="1">
        <v>16694</v>
      </c>
      <c r="F8" s="2">
        <v>0.40539999999999998</v>
      </c>
      <c r="G8" s="1">
        <v>1600</v>
      </c>
      <c r="H8" s="2">
        <v>3.8899999999999997E-2</v>
      </c>
      <c r="I8" s="2">
        <v>9.5799999999999996E-2</v>
      </c>
    </row>
    <row r="9" spans="1:9" x14ac:dyDescent="0.25">
      <c r="A9" s="26">
        <v>45234</v>
      </c>
      <c r="B9" t="s">
        <v>265</v>
      </c>
      <c r="C9" t="s">
        <v>33</v>
      </c>
      <c r="D9" s="1">
        <v>3824</v>
      </c>
      <c r="E9" s="1">
        <v>1377</v>
      </c>
      <c r="F9" s="2">
        <v>0.36059999999999998</v>
      </c>
      <c r="G9" s="1">
        <v>156</v>
      </c>
      <c r="H9" s="2">
        <v>4.0800000000000003E-2</v>
      </c>
      <c r="I9" s="2">
        <v>0.1133</v>
      </c>
    </row>
    <row r="10" spans="1:9" x14ac:dyDescent="0.25">
      <c r="A10" s="26">
        <v>45236</v>
      </c>
      <c r="B10" t="s">
        <v>266</v>
      </c>
      <c r="C10" t="s">
        <v>32</v>
      </c>
      <c r="D10" s="1">
        <v>31829</v>
      </c>
      <c r="E10" s="1">
        <v>12212</v>
      </c>
      <c r="F10" s="2">
        <v>0.383675264695718</v>
      </c>
      <c r="G10" s="1">
        <v>243</v>
      </c>
      <c r="H10" s="2">
        <v>1.9898460530625599E-2</v>
      </c>
      <c r="I10" s="2">
        <v>7.6345471111250703E-3</v>
      </c>
    </row>
    <row r="11" spans="1:9" x14ac:dyDescent="0.25">
      <c r="A11" s="26">
        <v>45236</v>
      </c>
      <c r="B11" t="s">
        <v>267</v>
      </c>
      <c r="C11" t="s">
        <v>163</v>
      </c>
      <c r="D11" s="1">
        <v>7616</v>
      </c>
      <c r="E11" s="1">
        <v>2642</v>
      </c>
      <c r="F11" s="2">
        <v>0.346901260504202</v>
      </c>
      <c r="G11" s="1">
        <v>19</v>
      </c>
      <c r="H11" s="2">
        <v>7.1915215745647198E-3</v>
      </c>
      <c r="I11" s="2">
        <v>2.4947478991596602E-3</v>
      </c>
    </row>
    <row r="12" spans="1:9" x14ac:dyDescent="0.25">
      <c r="A12" s="26">
        <v>45236</v>
      </c>
      <c r="B12" t="s">
        <v>267</v>
      </c>
      <c r="C12" t="s">
        <v>162</v>
      </c>
      <c r="D12" s="1">
        <v>141443</v>
      </c>
      <c r="E12" s="1">
        <v>49881</v>
      </c>
      <c r="F12" s="2">
        <v>0.35265796115749798</v>
      </c>
      <c r="G12" s="1">
        <v>528</v>
      </c>
      <c r="H12" s="2">
        <v>1.0585192758765899E-2</v>
      </c>
      <c r="I12" s="2">
        <v>3.7329524967654802E-3</v>
      </c>
    </row>
    <row r="13" spans="1:9" x14ac:dyDescent="0.25">
      <c r="A13" s="26">
        <v>45236</v>
      </c>
      <c r="B13" t="s">
        <v>267</v>
      </c>
      <c r="C13" t="s">
        <v>165</v>
      </c>
      <c r="D13" s="1">
        <v>183</v>
      </c>
      <c r="E13" s="1">
        <v>53</v>
      </c>
      <c r="F13" s="2">
        <v>0.28961748633879802</v>
      </c>
      <c r="G13" s="1">
        <v>3</v>
      </c>
      <c r="H13" s="2">
        <v>5.6603773584905703E-2</v>
      </c>
      <c r="I13" s="2">
        <v>1.63934426229508E-2</v>
      </c>
    </row>
    <row r="14" spans="1:9" x14ac:dyDescent="0.25">
      <c r="A14" s="26">
        <v>45236</v>
      </c>
      <c r="B14" t="s">
        <v>267</v>
      </c>
      <c r="C14" t="s">
        <v>164</v>
      </c>
      <c r="D14" s="1">
        <v>3828</v>
      </c>
      <c r="E14" s="1">
        <v>1175</v>
      </c>
      <c r="F14" s="2">
        <v>0.30694879832810901</v>
      </c>
      <c r="G14" s="1">
        <v>21</v>
      </c>
      <c r="H14" s="2">
        <v>1.7872340425531898E-2</v>
      </c>
      <c r="I14" s="2">
        <v>5.4858934169278997E-3</v>
      </c>
    </row>
    <row r="15" spans="1:9" x14ac:dyDescent="0.25">
      <c r="A15" s="26">
        <v>45237</v>
      </c>
      <c r="B15" t="s">
        <v>268</v>
      </c>
      <c r="C15" t="s">
        <v>32</v>
      </c>
      <c r="D15" s="1">
        <v>1061091</v>
      </c>
      <c r="E15" s="1">
        <v>343994</v>
      </c>
      <c r="F15" s="2">
        <v>0.32418897153967002</v>
      </c>
      <c r="G15" s="1">
        <v>7715</v>
      </c>
      <c r="H15" s="2">
        <v>2.2427716762501701E-2</v>
      </c>
      <c r="I15" s="2">
        <v>7.27081843121843E-3</v>
      </c>
    </row>
    <row r="16" spans="1:9" x14ac:dyDescent="0.25">
      <c r="A16" s="26">
        <v>45237</v>
      </c>
      <c r="B16" t="s">
        <v>268</v>
      </c>
      <c r="C16" t="s">
        <v>33</v>
      </c>
      <c r="D16" s="1">
        <v>81037</v>
      </c>
      <c r="E16" s="1">
        <v>22542</v>
      </c>
      <c r="F16" s="2">
        <v>0.27816923133877097</v>
      </c>
      <c r="G16" s="1">
        <v>565</v>
      </c>
      <c r="H16" s="2">
        <v>2.5064324372282801E-2</v>
      </c>
      <c r="I16" s="2">
        <v>6.9721238446635503E-3</v>
      </c>
    </row>
    <row r="17" spans="1:9" x14ac:dyDescent="0.25">
      <c r="A17" s="26">
        <v>45237</v>
      </c>
      <c r="B17" t="s">
        <v>269</v>
      </c>
      <c r="C17" t="s">
        <v>32</v>
      </c>
      <c r="D17" s="1">
        <v>58255</v>
      </c>
      <c r="E17" s="1">
        <v>23437</v>
      </c>
      <c r="F17" s="2">
        <v>0.40231739764827101</v>
      </c>
      <c r="G17" s="1">
        <v>546</v>
      </c>
      <c r="H17" s="2">
        <v>2.3296496991935801E-2</v>
      </c>
      <c r="I17" s="2">
        <v>9.3725860441163794E-3</v>
      </c>
    </row>
    <row r="18" spans="1:9" x14ac:dyDescent="0.25">
      <c r="A18" s="26">
        <v>45238</v>
      </c>
      <c r="B18" t="s">
        <v>270</v>
      </c>
      <c r="C18" t="s">
        <v>32</v>
      </c>
      <c r="D18" s="1">
        <v>113489</v>
      </c>
      <c r="E18" s="1">
        <v>37423</v>
      </c>
      <c r="F18" s="2">
        <v>0.32975001982571001</v>
      </c>
      <c r="G18" s="1">
        <v>847</v>
      </c>
      <c r="H18" s="2">
        <v>2.2633140047564299E-2</v>
      </c>
      <c r="I18" s="2">
        <v>7.4632783794024099E-3</v>
      </c>
    </row>
    <row r="19" spans="1:9" x14ac:dyDescent="0.25">
      <c r="A19" s="26">
        <v>45238</v>
      </c>
      <c r="B19" t="s">
        <v>271</v>
      </c>
      <c r="C19" t="s">
        <v>32</v>
      </c>
      <c r="D19" s="1">
        <v>142310</v>
      </c>
      <c r="E19" s="1">
        <v>67958</v>
      </c>
      <c r="F19" s="2">
        <v>0.47753495889255798</v>
      </c>
      <c r="G19" s="1">
        <v>3704</v>
      </c>
      <c r="H19" s="2">
        <v>5.4504252626622299E-2</v>
      </c>
      <c r="I19" s="2">
        <v>2.6027686037523701E-2</v>
      </c>
    </row>
    <row r="20" spans="1:9" x14ac:dyDescent="0.25">
      <c r="A20" s="26">
        <v>45238</v>
      </c>
      <c r="B20" t="s">
        <v>271</v>
      </c>
      <c r="C20" t="s">
        <v>33</v>
      </c>
      <c r="D20" s="1">
        <v>5121</v>
      </c>
      <c r="E20" s="1">
        <v>1780</v>
      </c>
      <c r="F20" s="2">
        <v>0.34758836164811602</v>
      </c>
      <c r="G20" s="1">
        <v>167</v>
      </c>
      <c r="H20" s="2">
        <v>9.3820224719101106E-2</v>
      </c>
      <c r="I20" s="2">
        <v>3.2610818199570402E-2</v>
      </c>
    </row>
    <row r="21" spans="1:9" x14ac:dyDescent="0.25">
      <c r="A21" s="26">
        <v>45239</v>
      </c>
      <c r="B21" t="s">
        <v>272</v>
      </c>
      <c r="C21" t="s">
        <v>32</v>
      </c>
      <c r="D21" s="1">
        <v>508522</v>
      </c>
      <c r="E21" s="1">
        <v>190616</v>
      </c>
      <c r="F21" s="2">
        <v>0.37484317296006903</v>
      </c>
      <c r="G21" s="1">
        <v>2562</v>
      </c>
      <c r="H21" s="2">
        <v>1.3440634574222499E-2</v>
      </c>
      <c r="I21" s="2">
        <v>5.0381301103983702E-3</v>
      </c>
    </row>
    <row r="22" spans="1:9" x14ac:dyDescent="0.25">
      <c r="A22" s="26">
        <v>45239</v>
      </c>
      <c r="B22" t="s">
        <v>272</v>
      </c>
      <c r="C22" t="s">
        <v>33</v>
      </c>
      <c r="D22" s="1">
        <v>29826</v>
      </c>
      <c r="E22" s="1">
        <v>9870</v>
      </c>
      <c r="F22" s="2">
        <v>0.33091933212633301</v>
      </c>
      <c r="G22" s="1">
        <v>185</v>
      </c>
      <c r="H22" s="2">
        <v>1.87436676798379E-2</v>
      </c>
      <c r="I22" s="2">
        <v>6.2026419902098803E-3</v>
      </c>
    </row>
    <row r="23" spans="1:9" x14ac:dyDescent="0.25">
      <c r="A23" s="26">
        <v>45239</v>
      </c>
      <c r="B23" t="s">
        <v>257</v>
      </c>
      <c r="C23" t="s">
        <v>32</v>
      </c>
      <c r="D23" s="1">
        <v>154699</v>
      </c>
      <c r="E23" s="1">
        <v>44038</v>
      </c>
      <c r="F23" s="3">
        <v>0.28470000000000001</v>
      </c>
      <c r="G23">
        <v>200</v>
      </c>
      <c r="H23" s="3">
        <v>4.4999999999999997E-3</v>
      </c>
      <c r="I23" s="3">
        <v>1.2999999999999999E-3</v>
      </c>
    </row>
    <row r="24" spans="1:9" x14ac:dyDescent="0.25">
      <c r="A24" s="26">
        <v>45239</v>
      </c>
      <c r="B24" t="s">
        <v>259</v>
      </c>
      <c r="C24" t="s">
        <v>33</v>
      </c>
      <c r="D24" s="1">
        <v>11063</v>
      </c>
      <c r="E24" s="1">
        <v>2367</v>
      </c>
      <c r="F24" s="3">
        <v>0.214</v>
      </c>
      <c r="G24">
        <v>16</v>
      </c>
      <c r="H24" s="3">
        <v>6.7999999999999996E-3</v>
      </c>
      <c r="I24" s="3">
        <v>1.4E-3</v>
      </c>
    </row>
    <row r="25" spans="1:9" ht="15.75" thickBot="1" x14ac:dyDescent="0.3">
      <c r="A25" s="27" t="s">
        <v>427</v>
      </c>
      <c r="D25" s="14">
        <f>SUM(D2:D24)</f>
        <v>7687642</v>
      </c>
      <c r="E25" s="14">
        <f>SUM(E2:E24)</f>
        <v>2117496</v>
      </c>
      <c r="F25" s="111">
        <f>AVERAGE(F2:F24)</f>
        <v>0.31655857369441681</v>
      </c>
      <c r="G25" s="14">
        <f>SUM(G2:G24)</f>
        <v>31020</v>
      </c>
      <c r="H25" s="111">
        <f>AVERAGE(H2:H24)</f>
        <v>2.5000549857643415E-2</v>
      </c>
      <c r="I25" s="111">
        <f>AVERAGE(I2:I24)</f>
        <v>1.6410503207738448E-2</v>
      </c>
    </row>
    <row r="26" spans="1:9" ht="15.75" thickBot="1" x14ac:dyDescent="0.3">
      <c r="A26" s="140"/>
      <c r="B26" s="140"/>
      <c r="C26" s="140"/>
      <c r="D26" s="140"/>
      <c r="E26" s="140"/>
      <c r="F26" s="140"/>
      <c r="G26" s="140"/>
      <c r="H26" s="140"/>
      <c r="I26" s="140"/>
    </row>
    <row r="27" spans="1:9" ht="20.45" customHeight="1" x14ac:dyDescent="0.25">
      <c r="A27" s="76" t="s">
        <v>0</v>
      </c>
      <c r="B27" s="77" t="s">
        <v>1</v>
      </c>
      <c r="C27" s="77" t="s">
        <v>796</v>
      </c>
      <c r="D27" s="77" t="s">
        <v>3</v>
      </c>
      <c r="E27" s="77" t="s">
        <v>4</v>
      </c>
      <c r="F27" s="77" t="s">
        <v>5</v>
      </c>
      <c r="G27" s="77" t="s">
        <v>6</v>
      </c>
      <c r="H27" s="77" t="s">
        <v>7</v>
      </c>
      <c r="I27" s="78" t="s">
        <v>8</v>
      </c>
    </row>
    <row r="28" spans="1:9" x14ac:dyDescent="0.25">
      <c r="A28" s="8" t="s">
        <v>790</v>
      </c>
      <c r="B28" s="9"/>
      <c r="C28" s="9"/>
      <c r="D28" s="9"/>
      <c r="E28" s="9"/>
      <c r="F28" s="9"/>
      <c r="G28" s="9"/>
      <c r="H28" s="9"/>
      <c r="I28" s="10"/>
    </row>
    <row r="29" spans="1:9" x14ac:dyDescent="0.25">
      <c r="A29" s="11">
        <v>45233</v>
      </c>
      <c r="B29" t="s">
        <v>261</v>
      </c>
      <c r="C29" t="s">
        <v>33</v>
      </c>
      <c r="D29" s="1">
        <v>182528</v>
      </c>
      <c r="E29" s="1">
        <v>34346</v>
      </c>
      <c r="F29" s="2">
        <v>0.18816839060308599</v>
      </c>
      <c r="G29" s="1">
        <v>369</v>
      </c>
      <c r="H29" s="2">
        <v>1.0743609153904401E-2</v>
      </c>
      <c r="I29" s="12">
        <v>2.0216076437587702E-3</v>
      </c>
    </row>
    <row r="30" spans="1:9" x14ac:dyDescent="0.25">
      <c r="A30" s="11">
        <v>45233</v>
      </c>
      <c r="B30" t="s">
        <v>261</v>
      </c>
      <c r="C30" t="s">
        <v>32</v>
      </c>
      <c r="D30" s="1">
        <v>2773385</v>
      </c>
      <c r="E30" s="1">
        <v>673268</v>
      </c>
      <c r="F30" s="2">
        <v>0.242760381266936</v>
      </c>
      <c r="G30" s="1">
        <v>7497</v>
      </c>
      <c r="H30" s="2">
        <v>1.11352388647611E-2</v>
      </c>
      <c r="I30" s="12">
        <v>2.7031948323078098E-3</v>
      </c>
    </row>
    <row r="31" spans="1:9" x14ac:dyDescent="0.25">
      <c r="A31" s="11">
        <v>45233</v>
      </c>
      <c r="B31" t="s">
        <v>262</v>
      </c>
      <c r="C31" t="s">
        <v>32</v>
      </c>
      <c r="D31" s="1">
        <v>299800</v>
      </c>
      <c r="E31" s="1">
        <v>73400</v>
      </c>
      <c r="F31" s="2">
        <v>0.244829886591061</v>
      </c>
      <c r="G31" s="1">
        <v>739</v>
      </c>
      <c r="H31" s="2">
        <v>1.00681198910082E-2</v>
      </c>
      <c r="I31" s="12">
        <v>2.46497665110073E-3</v>
      </c>
    </row>
    <row r="32" spans="1:9" x14ac:dyDescent="0.25">
      <c r="A32" s="11">
        <v>45237</v>
      </c>
      <c r="B32" t="s">
        <v>268</v>
      </c>
      <c r="C32" t="s">
        <v>32</v>
      </c>
      <c r="D32" s="1">
        <v>1061091</v>
      </c>
      <c r="E32" s="1">
        <v>343994</v>
      </c>
      <c r="F32" s="2">
        <v>0.32418897153967002</v>
      </c>
      <c r="G32" s="1">
        <v>7715</v>
      </c>
      <c r="H32" s="2">
        <v>2.2427716762501701E-2</v>
      </c>
      <c r="I32" s="12">
        <v>7.27081843121843E-3</v>
      </c>
    </row>
    <row r="33" spans="1:9" x14ac:dyDescent="0.25">
      <c r="A33" s="11">
        <v>45237</v>
      </c>
      <c r="B33" t="s">
        <v>268</v>
      </c>
      <c r="C33" t="s">
        <v>33</v>
      </c>
      <c r="D33" s="1">
        <v>81037</v>
      </c>
      <c r="E33" s="1">
        <v>22542</v>
      </c>
      <c r="F33" s="2">
        <v>0.27816923133877097</v>
      </c>
      <c r="G33" s="1">
        <v>565</v>
      </c>
      <c r="H33" s="2">
        <v>2.5064324372282801E-2</v>
      </c>
      <c r="I33" s="12">
        <v>6.9721238446635503E-3</v>
      </c>
    </row>
    <row r="34" spans="1:9" ht="15.75" thickBot="1" x14ac:dyDescent="0.3">
      <c r="A34" s="17" t="s">
        <v>427</v>
      </c>
      <c r="B34" s="4"/>
      <c r="C34" s="4"/>
      <c r="D34" s="18">
        <f>SUM(D29:D33)</f>
        <v>4397841</v>
      </c>
      <c r="E34" s="18">
        <f>SUM(E29:E33)</f>
        <v>1147550</v>
      </c>
      <c r="F34" s="19">
        <f>AVERAGE(F29:F33)</f>
        <v>0.25562337226790477</v>
      </c>
      <c r="G34" s="18">
        <f>SUM(G29:G33)</f>
        <v>16885</v>
      </c>
      <c r="H34" s="19">
        <f>AVERAGE(H29:H33)</f>
        <v>1.5887801808891638E-2</v>
      </c>
      <c r="I34" s="21">
        <f>AVERAGE(I29:I33)</f>
        <v>4.286544280609858E-3</v>
      </c>
    </row>
    <row r="35" spans="1:9" ht="3" customHeight="1" thickBot="1" x14ac:dyDescent="0.3">
      <c r="A35" s="143"/>
      <c r="B35" s="140"/>
      <c r="C35" s="140"/>
      <c r="D35" s="140"/>
      <c r="E35" s="140"/>
      <c r="F35" s="140"/>
      <c r="G35" s="140"/>
      <c r="H35" s="140"/>
      <c r="I35" s="144"/>
    </row>
    <row r="36" spans="1:9" x14ac:dyDescent="0.25">
      <c r="A36" s="22" t="s">
        <v>795</v>
      </c>
      <c r="B36" s="23"/>
      <c r="C36" s="23"/>
      <c r="D36" s="23"/>
      <c r="E36" s="23"/>
      <c r="F36" s="23"/>
      <c r="G36" s="23"/>
      <c r="H36" s="23"/>
      <c r="I36" s="24"/>
    </row>
    <row r="37" spans="1:9" x14ac:dyDescent="0.25">
      <c r="A37" s="11">
        <v>45233</v>
      </c>
      <c r="B37" t="s">
        <v>263</v>
      </c>
      <c r="C37" t="s">
        <v>32</v>
      </c>
      <c r="D37" s="1">
        <v>1860861</v>
      </c>
      <c r="E37" s="1">
        <v>466008</v>
      </c>
      <c r="F37" s="2">
        <v>0.25042601247487101</v>
      </c>
      <c r="G37" s="1">
        <v>2065</v>
      </c>
      <c r="H37" s="2">
        <v>4.4312543990661099E-3</v>
      </c>
      <c r="I37" s="12">
        <v>1.10970136941985E-3</v>
      </c>
    </row>
    <row r="38" spans="1:9" x14ac:dyDescent="0.25">
      <c r="A38" s="11">
        <v>45233</v>
      </c>
      <c r="B38" t="s">
        <v>263</v>
      </c>
      <c r="C38" t="s">
        <v>33</v>
      </c>
      <c r="D38" s="1">
        <v>118815</v>
      </c>
      <c r="E38" s="1">
        <v>21941</v>
      </c>
      <c r="F38" s="2">
        <v>0.18466523587089201</v>
      </c>
      <c r="G38" s="1">
        <v>191</v>
      </c>
      <c r="H38" s="2">
        <v>8.7051638485027994E-3</v>
      </c>
      <c r="I38" s="12">
        <v>1.6075411353785301E-3</v>
      </c>
    </row>
    <row r="39" spans="1:9" x14ac:dyDescent="0.25">
      <c r="A39" s="11">
        <v>45233</v>
      </c>
      <c r="B39" t="s">
        <v>264</v>
      </c>
      <c r="C39" t="s">
        <v>32</v>
      </c>
      <c r="D39" s="1">
        <v>56843</v>
      </c>
      <c r="E39" s="1">
        <v>20474</v>
      </c>
      <c r="F39" s="2">
        <v>0.36018507116091703</v>
      </c>
      <c r="G39" s="1">
        <v>1082</v>
      </c>
      <c r="H39" s="2">
        <v>5.2847513920093799E-2</v>
      </c>
      <c r="I39" s="12">
        <v>1.90348855619865E-2</v>
      </c>
    </row>
    <row r="40" spans="1:9" x14ac:dyDescent="0.25">
      <c r="A40" s="11">
        <v>45234</v>
      </c>
      <c r="B40" t="s">
        <v>265</v>
      </c>
      <c r="C40" t="s">
        <v>32</v>
      </c>
      <c r="D40" s="1">
        <v>41274</v>
      </c>
      <c r="E40" s="1">
        <v>16694</v>
      </c>
      <c r="F40" s="2">
        <v>0.40539999999999998</v>
      </c>
      <c r="G40" s="1">
        <v>1600</v>
      </c>
      <c r="H40" s="2">
        <v>3.8899999999999997E-2</v>
      </c>
      <c r="I40" s="12">
        <v>9.5799999999999996E-2</v>
      </c>
    </row>
    <row r="41" spans="1:9" x14ac:dyDescent="0.25">
      <c r="A41" s="11">
        <v>45234</v>
      </c>
      <c r="B41" t="s">
        <v>265</v>
      </c>
      <c r="C41" t="s">
        <v>33</v>
      </c>
      <c r="D41" s="1">
        <v>3824</v>
      </c>
      <c r="E41" s="1">
        <v>1377</v>
      </c>
      <c r="F41" s="2">
        <v>0.36059999999999998</v>
      </c>
      <c r="G41" s="1">
        <v>156</v>
      </c>
      <c r="H41" s="2">
        <v>4.0800000000000003E-2</v>
      </c>
      <c r="I41" s="12">
        <v>0.1133</v>
      </c>
    </row>
    <row r="42" spans="1:9" x14ac:dyDescent="0.25">
      <c r="A42" s="11">
        <v>45236</v>
      </c>
      <c r="B42" t="s">
        <v>266</v>
      </c>
      <c r="C42" t="s">
        <v>32</v>
      </c>
      <c r="D42" s="1">
        <v>31829</v>
      </c>
      <c r="E42" s="1">
        <v>12212</v>
      </c>
      <c r="F42" s="2">
        <v>0.383675264695718</v>
      </c>
      <c r="G42" s="1">
        <v>243</v>
      </c>
      <c r="H42" s="2">
        <v>1.9898460530625599E-2</v>
      </c>
      <c r="I42" s="12">
        <v>7.6345471111250703E-3</v>
      </c>
    </row>
    <row r="43" spans="1:9" x14ac:dyDescent="0.25">
      <c r="A43" s="11">
        <v>45236</v>
      </c>
      <c r="B43" t="s">
        <v>267</v>
      </c>
      <c r="C43" t="s">
        <v>163</v>
      </c>
      <c r="D43" s="1">
        <v>7616</v>
      </c>
      <c r="E43" s="1">
        <v>2642</v>
      </c>
      <c r="F43" s="2">
        <v>0.346901260504202</v>
      </c>
      <c r="G43" s="1">
        <v>19</v>
      </c>
      <c r="H43" s="2">
        <v>7.1915215745647198E-3</v>
      </c>
      <c r="I43" s="12">
        <v>2.4947478991596602E-3</v>
      </c>
    </row>
    <row r="44" spans="1:9" x14ac:dyDescent="0.25">
      <c r="A44" s="11">
        <v>45236</v>
      </c>
      <c r="B44" t="s">
        <v>267</v>
      </c>
      <c r="C44" t="s">
        <v>162</v>
      </c>
      <c r="D44" s="1">
        <v>141443</v>
      </c>
      <c r="E44" s="1">
        <v>49881</v>
      </c>
      <c r="F44" s="2">
        <v>0.35265796115749798</v>
      </c>
      <c r="G44" s="1">
        <v>528</v>
      </c>
      <c r="H44" s="2">
        <v>1.0585192758765899E-2</v>
      </c>
      <c r="I44" s="12">
        <v>3.7329524967654802E-3</v>
      </c>
    </row>
    <row r="45" spans="1:9" x14ac:dyDescent="0.25">
      <c r="A45" s="11">
        <v>45236</v>
      </c>
      <c r="B45" t="s">
        <v>267</v>
      </c>
      <c r="C45" t="s">
        <v>165</v>
      </c>
      <c r="D45" s="1">
        <v>183</v>
      </c>
      <c r="E45" s="1">
        <v>53</v>
      </c>
      <c r="F45" s="2">
        <v>0.28961748633879802</v>
      </c>
      <c r="G45" s="1">
        <v>3</v>
      </c>
      <c r="H45" s="2">
        <v>5.6603773584905703E-2</v>
      </c>
      <c r="I45" s="12">
        <v>1.63934426229508E-2</v>
      </c>
    </row>
    <row r="46" spans="1:9" x14ac:dyDescent="0.25">
      <c r="A46" s="11">
        <v>45236</v>
      </c>
      <c r="B46" t="s">
        <v>267</v>
      </c>
      <c r="C46" t="s">
        <v>164</v>
      </c>
      <c r="D46" s="1">
        <v>3828</v>
      </c>
      <c r="E46" s="1">
        <v>1175</v>
      </c>
      <c r="F46" s="2">
        <v>0.30694879832810901</v>
      </c>
      <c r="G46" s="1">
        <v>21</v>
      </c>
      <c r="H46" s="2">
        <v>1.7872340425531898E-2</v>
      </c>
      <c r="I46" s="12">
        <v>5.4858934169278997E-3</v>
      </c>
    </row>
    <row r="47" spans="1:9" x14ac:dyDescent="0.25">
      <c r="A47" s="11">
        <v>45237</v>
      </c>
      <c r="B47" t="s">
        <v>269</v>
      </c>
      <c r="C47" t="s">
        <v>32</v>
      </c>
      <c r="D47" s="1">
        <v>58255</v>
      </c>
      <c r="E47" s="1">
        <v>23437</v>
      </c>
      <c r="F47" s="2">
        <v>0.40231739764827101</v>
      </c>
      <c r="G47" s="1">
        <v>546</v>
      </c>
      <c r="H47" s="2">
        <v>2.3296496991935801E-2</v>
      </c>
      <c r="I47" s="12">
        <v>9.3725860441163794E-3</v>
      </c>
    </row>
    <row r="48" spans="1:9" x14ac:dyDescent="0.25">
      <c r="A48" s="11">
        <v>45238</v>
      </c>
      <c r="B48" t="s">
        <v>270</v>
      </c>
      <c r="C48" t="s">
        <v>32</v>
      </c>
      <c r="D48" s="1">
        <v>113489</v>
      </c>
      <c r="E48" s="1">
        <v>37423</v>
      </c>
      <c r="F48" s="2">
        <v>0.32975001982571001</v>
      </c>
      <c r="G48" s="1">
        <v>847</v>
      </c>
      <c r="H48" s="2">
        <v>2.2633140047564299E-2</v>
      </c>
      <c r="I48" s="12">
        <v>7.4632783794024099E-3</v>
      </c>
    </row>
    <row r="49" spans="1:9" x14ac:dyDescent="0.25">
      <c r="A49" s="11">
        <v>45238</v>
      </c>
      <c r="B49" t="s">
        <v>271</v>
      </c>
      <c r="C49" t="s">
        <v>32</v>
      </c>
      <c r="D49" s="1">
        <v>142310</v>
      </c>
      <c r="E49" s="1">
        <v>67958</v>
      </c>
      <c r="F49" s="2">
        <v>0.47753495889255798</v>
      </c>
      <c r="G49" s="1">
        <v>3704</v>
      </c>
      <c r="H49" s="2">
        <v>5.4504252626622299E-2</v>
      </c>
      <c r="I49" s="12">
        <v>2.6027686037523701E-2</v>
      </c>
    </row>
    <row r="50" spans="1:9" x14ac:dyDescent="0.25">
      <c r="A50" s="11">
        <v>45238</v>
      </c>
      <c r="B50" t="s">
        <v>271</v>
      </c>
      <c r="C50" t="s">
        <v>33</v>
      </c>
      <c r="D50" s="1">
        <v>5121</v>
      </c>
      <c r="E50" s="1">
        <v>1780</v>
      </c>
      <c r="F50" s="2">
        <v>0.34758836164811602</v>
      </c>
      <c r="G50" s="1">
        <v>167</v>
      </c>
      <c r="H50" s="2">
        <v>9.3820224719101106E-2</v>
      </c>
      <c r="I50" s="12">
        <v>3.2610818199570402E-2</v>
      </c>
    </row>
    <row r="51" spans="1:9" x14ac:dyDescent="0.25">
      <c r="A51" s="11">
        <v>45239</v>
      </c>
      <c r="B51" t="s">
        <v>272</v>
      </c>
      <c r="C51" t="s">
        <v>32</v>
      </c>
      <c r="D51" s="1">
        <v>508522</v>
      </c>
      <c r="E51" s="1">
        <v>190616</v>
      </c>
      <c r="F51" s="2">
        <v>0.37484317296006903</v>
      </c>
      <c r="G51" s="1">
        <v>2562</v>
      </c>
      <c r="H51" s="2">
        <v>1.3440634574222499E-2</v>
      </c>
      <c r="I51" s="12">
        <v>5.0381301103983702E-3</v>
      </c>
    </row>
    <row r="52" spans="1:9" x14ac:dyDescent="0.25">
      <c r="A52" s="11">
        <v>45239</v>
      </c>
      <c r="B52" t="s">
        <v>272</v>
      </c>
      <c r="C52" t="s">
        <v>33</v>
      </c>
      <c r="D52" s="1">
        <v>29826</v>
      </c>
      <c r="E52" s="1">
        <v>9870</v>
      </c>
      <c r="F52" s="2">
        <v>0.33091933212633301</v>
      </c>
      <c r="G52" s="1">
        <v>185</v>
      </c>
      <c r="H52" s="2">
        <v>1.87436676798379E-2</v>
      </c>
      <c r="I52" s="12">
        <v>6.2026419902098803E-3</v>
      </c>
    </row>
    <row r="53" spans="1:9" ht="15.75" thickBot="1" x14ac:dyDescent="0.3">
      <c r="A53" s="17" t="s">
        <v>427</v>
      </c>
      <c r="B53" s="4"/>
      <c r="C53" s="4"/>
      <c r="D53" s="18">
        <f>SUM(D37:D52)</f>
        <v>3124039</v>
      </c>
      <c r="E53" s="18">
        <f>SUM(E37:E52)</f>
        <v>923541</v>
      </c>
      <c r="F53" s="19">
        <f>AVERAGE(F37:F52)</f>
        <v>0.34400189585200391</v>
      </c>
      <c r="G53" s="18">
        <f>SUM(G37:G52)</f>
        <v>13919</v>
      </c>
      <c r="H53" s="19">
        <f>AVERAGE(H37:H52)</f>
        <v>3.0267102355083779E-2</v>
      </c>
      <c r="I53" s="21">
        <f>AVERAGE(I37:I52)</f>
        <v>2.2081803273433433E-2</v>
      </c>
    </row>
    <row r="54" spans="1:9" ht="3" customHeight="1" thickBot="1" x14ac:dyDescent="0.3">
      <c r="A54" s="143"/>
      <c r="B54" s="140"/>
      <c r="C54" s="140"/>
      <c r="D54" s="140"/>
      <c r="E54" s="140"/>
      <c r="F54" s="140"/>
      <c r="G54" s="140"/>
      <c r="H54" s="140"/>
      <c r="I54" s="144"/>
    </row>
    <row r="55" spans="1:9" x14ac:dyDescent="0.25">
      <c r="A55" s="22" t="s">
        <v>792</v>
      </c>
      <c r="B55" s="23"/>
      <c r="C55" s="23"/>
      <c r="D55" s="23"/>
      <c r="E55" s="23"/>
      <c r="F55" s="23"/>
      <c r="G55" s="23"/>
      <c r="H55" s="23"/>
      <c r="I55" s="24"/>
    </row>
    <row r="56" spans="1:9" x14ac:dyDescent="0.25">
      <c r="A56" s="11">
        <v>45239</v>
      </c>
      <c r="B56" t="s">
        <v>257</v>
      </c>
      <c r="C56" t="s">
        <v>32</v>
      </c>
      <c r="D56" s="1">
        <v>154699</v>
      </c>
      <c r="E56" s="1">
        <v>44038</v>
      </c>
      <c r="F56" s="3">
        <v>0.28470000000000001</v>
      </c>
      <c r="G56">
        <v>200</v>
      </c>
      <c r="H56" s="3">
        <v>4.4999999999999997E-3</v>
      </c>
      <c r="I56" s="16">
        <v>1.2999999999999999E-3</v>
      </c>
    </row>
    <row r="57" spans="1:9" x14ac:dyDescent="0.25">
      <c r="A57" s="11">
        <v>45239</v>
      </c>
      <c r="B57" t="s">
        <v>259</v>
      </c>
      <c r="C57" t="s">
        <v>33</v>
      </c>
      <c r="D57" s="1">
        <v>11063</v>
      </c>
      <c r="E57" s="1">
        <v>2367</v>
      </c>
      <c r="F57" s="3">
        <v>0.214</v>
      </c>
      <c r="G57">
        <v>16</v>
      </c>
      <c r="H57" s="3">
        <v>6.7999999999999996E-3</v>
      </c>
      <c r="I57" s="16">
        <v>1.4E-3</v>
      </c>
    </row>
    <row r="58" spans="1:9" ht="15.75" thickBot="1" x14ac:dyDescent="0.3">
      <c r="A58" s="17" t="s">
        <v>427</v>
      </c>
      <c r="B58" s="4"/>
      <c r="C58" s="4"/>
      <c r="D58" s="18">
        <f>SUM(D56:D57)</f>
        <v>165762</v>
      </c>
      <c r="E58" s="18">
        <f>SUM(E56:E57)</f>
        <v>46405</v>
      </c>
      <c r="F58" s="19">
        <f>AVERAGE(F56:F57)</f>
        <v>0.24935000000000002</v>
      </c>
      <c r="G58" s="18">
        <f>SUM(G56:G57)</f>
        <v>216</v>
      </c>
      <c r="H58" s="19">
        <f>AVERAGE(H56:H57)</f>
        <v>5.6499999999999996E-3</v>
      </c>
      <c r="I58" s="21">
        <f>AVERAGE(I56:I57)</f>
        <v>1.3500000000000001E-3</v>
      </c>
    </row>
  </sheetData>
  <mergeCells count="3">
    <mergeCell ref="A26:I26"/>
    <mergeCell ref="A35:I35"/>
    <mergeCell ref="A54:I54"/>
  </mergeCells>
  <pageMargins left="0.7" right="0.7" top="0.75" bottom="0.75" header="0.3" footer="0.3"/>
  <ignoredErrors>
    <ignoredError sqref="F25 F34 F53 F58" formula="1"/>
  </ignoredErrors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B92C-6BF8-4E94-9D7F-1FCB10275C8D}">
  <dimension ref="A1:I60"/>
  <sheetViews>
    <sheetView topLeftCell="A2" zoomScaleNormal="100"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45240</v>
      </c>
      <c r="B2" t="s">
        <v>273</v>
      </c>
      <c r="C2" t="s">
        <v>32</v>
      </c>
      <c r="D2" s="1">
        <v>2854604</v>
      </c>
      <c r="E2" s="1">
        <v>885175</v>
      </c>
      <c r="F2" s="2">
        <v>0.31008679312436999</v>
      </c>
      <c r="G2" s="1">
        <v>12428</v>
      </c>
      <c r="H2" s="2">
        <v>1.4040161549975999E-2</v>
      </c>
      <c r="I2" s="2">
        <v>4.3536686699801397E-3</v>
      </c>
    </row>
    <row r="3" spans="1:9" x14ac:dyDescent="0.25">
      <c r="A3" s="26">
        <v>45240</v>
      </c>
      <c r="B3" t="s">
        <v>273</v>
      </c>
      <c r="C3" t="s">
        <v>33</v>
      </c>
      <c r="D3" s="1">
        <v>193008</v>
      </c>
      <c r="E3" s="1">
        <v>46094</v>
      </c>
      <c r="F3" s="2">
        <v>0.23881911630606001</v>
      </c>
      <c r="G3" s="1">
        <v>717</v>
      </c>
      <c r="H3" s="2">
        <v>1.55551698702651E-2</v>
      </c>
      <c r="I3" s="2">
        <v>3.7148719224073599E-3</v>
      </c>
    </row>
    <row r="4" spans="1:9" x14ac:dyDescent="0.25">
      <c r="A4" s="26">
        <v>45240</v>
      </c>
      <c r="B4" t="s">
        <v>274</v>
      </c>
      <c r="C4" t="s">
        <v>32</v>
      </c>
      <c r="D4" s="1">
        <v>1375871</v>
      </c>
      <c r="E4" s="1">
        <v>451457</v>
      </c>
      <c r="F4" s="2">
        <v>0.32812451167296902</v>
      </c>
      <c r="G4" s="1">
        <v>5374</v>
      </c>
      <c r="H4" s="2">
        <v>1.19036807492186E-2</v>
      </c>
      <c r="I4" s="2">
        <v>3.9058894329482901E-3</v>
      </c>
    </row>
    <row r="5" spans="1:9" x14ac:dyDescent="0.25">
      <c r="A5" s="26">
        <v>45240</v>
      </c>
      <c r="B5" t="s">
        <v>274</v>
      </c>
      <c r="C5" t="s">
        <v>33</v>
      </c>
      <c r="D5" s="1">
        <v>159385</v>
      </c>
      <c r="E5" s="1">
        <v>43639</v>
      </c>
      <c r="F5" s="2">
        <v>0.27379615396681001</v>
      </c>
      <c r="G5" s="1">
        <v>1022</v>
      </c>
      <c r="H5" s="2">
        <v>2.3419418410137699E-2</v>
      </c>
      <c r="I5" s="2">
        <v>6.4121466888352099E-3</v>
      </c>
    </row>
    <row r="6" spans="1:9" x14ac:dyDescent="0.25">
      <c r="A6" s="26">
        <v>45240</v>
      </c>
      <c r="B6" t="s">
        <v>275</v>
      </c>
      <c r="C6" t="s">
        <v>32</v>
      </c>
      <c r="D6" s="1">
        <v>308606</v>
      </c>
      <c r="E6" s="1">
        <v>94904</v>
      </c>
      <c r="F6" s="2">
        <v>0.30752480509128099</v>
      </c>
      <c r="G6" s="1">
        <v>1351</v>
      </c>
      <c r="H6" s="2">
        <v>1.4235437916210099E-2</v>
      </c>
      <c r="I6" s="2">
        <v>4.3777502705715397E-3</v>
      </c>
    </row>
    <row r="7" spans="1:9" x14ac:dyDescent="0.25">
      <c r="A7" s="26">
        <v>45240</v>
      </c>
      <c r="B7" t="s">
        <v>275</v>
      </c>
      <c r="C7" t="s">
        <v>33</v>
      </c>
      <c r="D7" s="1">
        <v>16982</v>
      </c>
      <c r="E7" s="1">
        <v>5756</v>
      </c>
      <c r="F7" s="2">
        <v>0.33894712048050901</v>
      </c>
      <c r="G7" s="1">
        <v>150</v>
      </c>
      <c r="H7" s="2">
        <v>2.60597637248089E-2</v>
      </c>
      <c r="I7" s="2">
        <v>8.8328818749263908E-3</v>
      </c>
    </row>
    <row r="8" spans="1:9" x14ac:dyDescent="0.25">
      <c r="A8" s="26">
        <v>45240</v>
      </c>
      <c r="B8" t="s">
        <v>276</v>
      </c>
      <c r="C8" t="s">
        <v>32</v>
      </c>
      <c r="D8" s="1">
        <v>128261</v>
      </c>
      <c r="E8" s="1">
        <v>42415</v>
      </c>
      <c r="F8" s="2">
        <v>0.330692884041135</v>
      </c>
      <c r="G8" s="1">
        <v>801</v>
      </c>
      <c r="H8" s="2">
        <v>1.88848284804904E-2</v>
      </c>
      <c r="I8" s="2">
        <v>6.24507839483553E-3</v>
      </c>
    </row>
    <row r="9" spans="1:9" x14ac:dyDescent="0.25">
      <c r="A9" s="26">
        <v>45241</v>
      </c>
      <c r="B9" t="s">
        <v>277</v>
      </c>
      <c r="C9" t="s">
        <v>32</v>
      </c>
      <c r="D9" s="1">
        <v>391185</v>
      </c>
      <c r="E9" s="1">
        <v>142487</v>
      </c>
      <c r="F9" s="2">
        <v>0.36424453902884801</v>
      </c>
      <c r="G9" s="1">
        <v>1548</v>
      </c>
      <c r="H9" s="2">
        <v>1.0864149010085099E-2</v>
      </c>
      <c r="I9" s="2">
        <v>3.95720694811918E-3</v>
      </c>
    </row>
    <row r="10" spans="1:9" x14ac:dyDescent="0.25">
      <c r="A10" s="26">
        <v>45243</v>
      </c>
      <c r="B10" t="s">
        <v>278</v>
      </c>
      <c r="C10" t="s">
        <v>32</v>
      </c>
      <c r="D10" s="1">
        <v>160254</v>
      </c>
      <c r="E10" s="1">
        <v>58241</v>
      </c>
      <c r="F10" s="2">
        <v>0.36342930597676198</v>
      </c>
      <c r="G10" s="1">
        <v>819</v>
      </c>
      <c r="H10" s="2">
        <v>1.40622585463848E-2</v>
      </c>
      <c r="I10" s="2">
        <v>5.1106368639784296E-3</v>
      </c>
    </row>
    <row r="11" spans="1:9" x14ac:dyDescent="0.25">
      <c r="A11" s="26">
        <v>45244</v>
      </c>
      <c r="B11" t="s">
        <v>279</v>
      </c>
      <c r="C11" t="s">
        <v>32</v>
      </c>
      <c r="D11" s="1">
        <v>1055431</v>
      </c>
      <c r="E11" s="1">
        <v>338883</v>
      </c>
      <c r="F11" s="2">
        <v>0.32108494065457599</v>
      </c>
      <c r="G11" s="1">
        <v>6052</v>
      </c>
      <c r="H11" s="2">
        <v>1.7858670986741699E-2</v>
      </c>
      <c r="I11" s="2">
        <v>5.7341503139475697E-3</v>
      </c>
    </row>
    <row r="12" spans="1:9" x14ac:dyDescent="0.25">
      <c r="A12" s="26">
        <v>45244</v>
      </c>
      <c r="B12" t="s">
        <v>279</v>
      </c>
      <c r="C12" t="s">
        <v>33</v>
      </c>
      <c r="D12" s="1">
        <v>80625</v>
      </c>
      <c r="E12" s="1">
        <v>22287</v>
      </c>
      <c r="F12" s="2">
        <v>0.27642790697674402</v>
      </c>
      <c r="G12" s="1">
        <v>491</v>
      </c>
      <c r="H12" s="2">
        <v>2.2030780275496899E-2</v>
      </c>
      <c r="I12" s="2">
        <v>6.0899224806201602E-3</v>
      </c>
    </row>
    <row r="13" spans="1:9" x14ac:dyDescent="0.25">
      <c r="A13" s="26">
        <v>45244</v>
      </c>
      <c r="B13" t="s">
        <v>280</v>
      </c>
      <c r="C13" t="s">
        <v>32</v>
      </c>
      <c r="D13" s="1">
        <v>40341</v>
      </c>
      <c r="E13" s="1">
        <v>12987</v>
      </c>
      <c r="F13" s="2">
        <v>0.32193054212835598</v>
      </c>
      <c r="G13" s="1">
        <v>174</v>
      </c>
      <c r="H13" s="2">
        <v>1.33980133980134E-2</v>
      </c>
      <c r="I13" s="2">
        <v>4.3132297166654301E-3</v>
      </c>
    </row>
    <row r="14" spans="1:9" x14ac:dyDescent="0.25">
      <c r="A14" s="26">
        <v>45245</v>
      </c>
      <c r="B14" t="s">
        <v>281</v>
      </c>
      <c r="C14" t="s">
        <v>32</v>
      </c>
      <c r="D14" s="1">
        <v>45758</v>
      </c>
      <c r="E14" s="1">
        <v>15905</v>
      </c>
      <c r="F14" s="2">
        <v>0.34758949254775101</v>
      </c>
      <c r="G14" s="1">
        <v>421</v>
      </c>
      <c r="H14" s="2">
        <v>2.6469663627790001E-2</v>
      </c>
      <c r="I14" s="2">
        <v>9.2005769482931907E-3</v>
      </c>
    </row>
    <row r="15" spans="1:9" x14ac:dyDescent="0.25">
      <c r="A15" s="26">
        <v>45245</v>
      </c>
      <c r="B15" t="s">
        <v>282</v>
      </c>
      <c r="C15" t="s">
        <v>32</v>
      </c>
      <c r="D15" s="1">
        <v>108755</v>
      </c>
      <c r="E15" s="1">
        <v>47964</v>
      </c>
      <c r="F15" s="2">
        <v>0.44102799871270298</v>
      </c>
      <c r="G15" s="1">
        <v>1797</v>
      </c>
      <c r="H15" s="2">
        <v>3.7465599199399499E-2</v>
      </c>
      <c r="I15" s="2">
        <v>1.6523378235483398E-2</v>
      </c>
    </row>
    <row r="16" spans="1:9" x14ac:dyDescent="0.25">
      <c r="A16" s="26">
        <v>45245</v>
      </c>
      <c r="B16" t="s">
        <v>282</v>
      </c>
      <c r="C16" t="s">
        <v>33</v>
      </c>
      <c r="D16" s="1">
        <v>6251</v>
      </c>
      <c r="E16" s="1">
        <v>2697</v>
      </c>
      <c r="F16" s="2">
        <v>0.43145096784514497</v>
      </c>
      <c r="G16" s="1">
        <v>128</v>
      </c>
      <c r="H16" s="2">
        <v>4.74601408972933E-2</v>
      </c>
      <c r="I16" s="2">
        <v>2.0476723724204102E-2</v>
      </c>
    </row>
    <row r="17" spans="1:9" x14ac:dyDescent="0.25">
      <c r="A17" s="26">
        <v>45246</v>
      </c>
      <c r="B17" t="s">
        <v>283</v>
      </c>
      <c r="C17" t="s">
        <v>32</v>
      </c>
      <c r="D17" s="1">
        <v>362</v>
      </c>
      <c r="E17" s="1">
        <v>119</v>
      </c>
      <c r="F17" s="2">
        <v>0.32872928176795602</v>
      </c>
      <c r="G17" s="1">
        <v>21</v>
      </c>
      <c r="H17" s="2">
        <v>0.17647058823529399</v>
      </c>
      <c r="I17" s="2">
        <v>5.8011049723756897E-2</v>
      </c>
    </row>
    <row r="18" spans="1:9" x14ac:dyDescent="0.25">
      <c r="A18" s="26">
        <v>45246</v>
      </c>
      <c r="B18" t="s">
        <v>284</v>
      </c>
      <c r="C18" t="s">
        <v>33</v>
      </c>
      <c r="D18" s="1">
        <v>30</v>
      </c>
      <c r="E18" s="1">
        <v>9</v>
      </c>
      <c r="F18" s="2">
        <v>0.3</v>
      </c>
      <c r="G18" s="1">
        <v>4</v>
      </c>
      <c r="H18" s="2">
        <v>0.44444444444444398</v>
      </c>
      <c r="I18" s="2">
        <v>0.133333333333333</v>
      </c>
    </row>
    <row r="19" spans="1:9" x14ac:dyDescent="0.25">
      <c r="A19" s="26">
        <v>45246</v>
      </c>
      <c r="B19" t="s">
        <v>285</v>
      </c>
      <c r="C19" t="s">
        <v>32</v>
      </c>
      <c r="D19" s="1">
        <v>2195</v>
      </c>
      <c r="E19" s="1">
        <v>989</v>
      </c>
      <c r="F19" s="2">
        <v>0.45056947608200498</v>
      </c>
      <c r="G19" s="1">
        <v>38</v>
      </c>
      <c r="H19" s="2">
        <v>3.8422649140546002E-2</v>
      </c>
      <c r="I19" s="2">
        <v>1.7312072892938499E-2</v>
      </c>
    </row>
    <row r="20" spans="1:9" x14ac:dyDescent="0.25">
      <c r="A20" s="26">
        <v>45246</v>
      </c>
      <c r="B20" t="s">
        <v>286</v>
      </c>
      <c r="C20" t="s">
        <v>32</v>
      </c>
      <c r="D20" s="1">
        <v>61193</v>
      </c>
      <c r="E20" s="1">
        <v>26836</v>
      </c>
      <c r="F20" s="2">
        <v>0.43854689261843699</v>
      </c>
      <c r="G20" s="1">
        <v>1819</v>
      </c>
      <c r="H20" s="2">
        <v>6.7782083768072696E-2</v>
      </c>
      <c r="I20" s="2">
        <v>2.9725622211690901E-2</v>
      </c>
    </row>
    <row r="21" spans="1:9" x14ac:dyDescent="0.25">
      <c r="A21" s="26">
        <v>45246</v>
      </c>
      <c r="B21" t="s">
        <v>286</v>
      </c>
      <c r="C21" t="s">
        <v>33</v>
      </c>
      <c r="D21" s="1">
        <v>2218</v>
      </c>
      <c r="E21" s="1">
        <v>874</v>
      </c>
      <c r="F21" s="2">
        <v>0.39404869251578001</v>
      </c>
      <c r="G21" s="1">
        <v>20</v>
      </c>
      <c r="H21" s="2">
        <v>2.2883295194508001E-2</v>
      </c>
      <c r="I21" s="2">
        <v>9.0171325518485102E-3</v>
      </c>
    </row>
    <row r="22" spans="1:9" x14ac:dyDescent="0.25">
      <c r="A22" s="26">
        <v>45246</v>
      </c>
      <c r="B22" t="s">
        <v>257</v>
      </c>
      <c r="C22" t="s">
        <v>32</v>
      </c>
      <c r="D22" s="1">
        <v>152150</v>
      </c>
      <c r="E22" s="1">
        <v>47559</v>
      </c>
      <c r="F22" s="3">
        <v>0.31259999999999999</v>
      </c>
      <c r="G22">
        <v>205</v>
      </c>
      <c r="H22" s="3">
        <v>4.3E-3</v>
      </c>
      <c r="I22" s="3">
        <v>1.2999999999999999E-3</v>
      </c>
    </row>
    <row r="23" spans="1:9" x14ac:dyDescent="0.25">
      <c r="A23" s="26">
        <v>45246</v>
      </c>
      <c r="B23" t="s">
        <v>259</v>
      </c>
      <c r="C23" t="s">
        <v>33</v>
      </c>
      <c r="D23" s="1">
        <v>10903</v>
      </c>
      <c r="E23" s="1">
        <v>3063</v>
      </c>
      <c r="F23" s="3">
        <v>0.28089999999999998</v>
      </c>
      <c r="G23">
        <v>38</v>
      </c>
      <c r="H23" s="3">
        <v>1.24E-2</v>
      </c>
      <c r="I23" s="3">
        <v>3.5000000000000001E-3</v>
      </c>
    </row>
    <row r="24" spans="1:9" x14ac:dyDescent="0.25">
      <c r="A24" s="26">
        <v>45246</v>
      </c>
      <c r="B24" t="s">
        <v>287</v>
      </c>
      <c r="C24" t="s">
        <v>32</v>
      </c>
      <c r="D24" s="1">
        <v>1444711</v>
      </c>
      <c r="E24" s="1">
        <v>477628</v>
      </c>
      <c r="F24" s="3">
        <v>0.3306</v>
      </c>
      <c r="G24" s="1">
        <v>2166</v>
      </c>
      <c r="H24" s="3">
        <v>4.4999999999999997E-3</v>
      </c>
      <c r="I24" s="3">
        <v>1.5E-3</v>
      </c>
    </row>
    <row r="25" spans="1:9" x14ac:dyDescent="0.25">
      <c r="A25" s="26">
        <v>45246</v>
      </c>
      <c r="B25" t="s">
        <v>288</v>
      </c>
      <c r="C25" t="s">
        <v>33</v>
      </c>
      <c r="D25" s="1">
        <v>82456</v>
      </c>
      <c r="E25" s="1">
        <v>23250</v>
      </c>
      <c r="F25" s="3">
        <v>0.28199999999999997</v>
      </c>
      <c r="G25">
        <v>169</v>
      </c>
      <c r="H25" s="3">
        <v>7.3000000000000001E-3</v>
      </c>
      <c r="I25" s="3">
        <v>2E-3</v>
      </c>
    </row>
    <row r="26" spans="1:9" ht="15.75" thickBot="1" x14ac:dyDescent="0.3">
      <c r="A26" s="27" t="s">
        <v>427</v>
      </c>
      <c r="D26" s="14">
        <f>SUM(D2:D25)</f>
        <v>8681535</v>
      </c>
      <c r="E26" s="14">
        <f>SUM(E2:E25)</f>
        <v>2791218</v>
      </c>
      <c r="F26" s="111">
        <f>AVERAGE(F2:F25)</f>
        <v>0.33804880923075814</v>
      </c>
      <c r="G26" s="14">
        <f>SUM(G2:G25)</f>
        <v>37753</v>
      </c>
      <c r="H26" s="111">
        <f>AVERAGE(H2:H25)</f>
        <v>4.5508783226049003E-2</v>
      </c>
      <c r="I26" s="111">
        <f>AVERAGE(I2:I25)</f>
        <v>1.5206138466640989E-2</v>
      </c>
    </row>
    <row r="27" spans="1:9" ht="15.75" thickBot="1" x14ac:dyDescent="0.3">
      <c r="A27" s="140"/>
      <c r="B27" s="140"/>
      <c r="C27" s="140"/>
      <c r="D27" s="140"/>
      <c r="E27" s="140"/>
      <c r="F27" s="140"/>
      <c r="G27" s="140"/>
      <c r="H27" s="140"/>
      <c r="I27" s="140"/>
    </row>
    <row r="28" spans="1:9" ht="20.45" customHeight="1" x14ac:dyDescent="0.25">
      <c r="A28" s="76" t="s">
        <v>0</v>
      </c>
      <c r="B28" s="77" t="s">
        <v>1</v>
      </c>
      <c r="C28" s="77" t="s">
        <v>796</v>
      </c>
      <c r="D28" s="77" t="s">
        <v>3</v>
      </c>
      <c r="E28" s="77" t="s">
        <v>4</v>
      </c>
      <c r="F28" s="77" t="s">
        <v>5</v>
      </c>
      <c r="G28" s="77" t="s">
        <v>6</v>
      </c>
      <c r="H28" s="77" t="s">
        <v>7</v>
      </c>
      <c r="I28" s="78" t="s">
        <v>8</v>
      </c>
    </row>
    <row r="29" spans="1:9" x14ac:dyDescent="0.25">
      <c r="A29" s="8" t="s">
        <v>790</v>
      </c>
      <c r="B29" s="9"/>
      <c r="C29" s="9"/>
      <c r="D29" s="9"/>
      <c r="E29" s="9"/>
      <c r="F29" s="9"/>
      <c r="G29" s="9"/>
      <c r="H29" s="9"/>
      <c r="I29" s="10"/>
    </row>
    <row r="30" spans="1:9" x14ac:dyDescent="0.25">
      <c r="A30" s="11">
        <v>45240</v>
      </c>
      <c r="B30" t="s">
        <v>273</v>
      </c>
      <c r="C30" t="s">
        <v>32</v>
      </c>
      <c r="D30" s="1">
        <v>2854604</v>
      </c>
      <c r="E30" s="1">
        <v>885175</v>
      </c>
      <c r="F30" s="2">
        <v>0.31008679312436999</v>
      </c>
      <c r="G30" s="1">
        <v>12428</v>
      </c>
      <c r="H30" s="2">
        <v>1.4040161549975999E-2</v>
      </c>
      <c r="I30" s="12">
        <v>4.3536686699801397E-3</v>
      </c>
    </row>
    <row r="31" spans="1:9" x14ac:dyDescent="0.25">
      <c r="A31" s="11">
        <v>45240</v>
      </c>
      <c r="B31" t="s">
        <v>273</v>
      </c>
      <c r="C31" t="s">
        <v>33</v>
      </c>
      <c r="D31" s="1">
        <v>193008</v>
      </c>
      <c r="E31" s="1">
        <v>46094</v>
      </c>
      <c r="F31" s="2">
        <v>0.23881911630606001</v>
      </c>
      <c r="G31" s="1">
        <v>717</v>
      </c>
      <c r="H31" s="2">
        <v>1.55551698702651E-2</v>
      </c>
      <c r="I31" s="12">
        <v>3.7148719224073599E-3</v>
      </c>
    </row>
    <row r="32" spans="1:9" x14ac:dyDescent="0.25">
      <c r="A32" s="11">
        <v>45240</v>
      </c>
      <c r="B32" t="s">
        <v>275</v>
      </c>
      <c r="C32" t="s">
        <v>32</v>
      </c>
      <c r="D32" s="1">
        <v>308606</v>
      </c>
      <c r="E32" s="1">
        <v>94904</v>
      </c>
      <c r="F32" s="2">
        <v>0.30752480509128099</v>
      </c>
      <c r="G32" s="1">
        <v>1351</v>
      </c>
      <c r="H32" s="2">
        <v>1.4235437916210099E-2</v>
      </c>
      <c r="I32" s="12">
        <v>4.3777502705715397E-3</v>
      </c>
    </row>
    <row r="33" spans="1:9" x14ac:dyDescent="0.25">
      <c r="A33" s="11">
        <v>45240</v>
      </c>
      <c r="B33" t="s">
        <v>275</v>
      </c>
      <c r="C33" t="s">
        <v>33</v>
      </c>
      <c r="D33" s="1">
        <v>16982</v>
      </c>
      <c r="E33" s="1">
        <v>5756</v>
      </c>
      <c r="F33" s="2">
        <v>0.33894712048050901</v>
      </c>
      <c r="G33" s="1">
        <v>150</v>
      </c>
      <c r="H33" s="2">
        <v>2.60597637248089E-2</v>
      </c>
      <c r="I33" s="12">
        <v>8.8328818749263908E-3</v>
      </c>
    </row>
    <row r="34" spans="1:9" x14ac:dyDescent="0.25">
      <c r="A34" s="11">
        <v>45244</v>
      </c>
      <c r="B34" t="s">
        <v>279</v>
      </c>
      <c r="C34" t="s">
        <v>32</v>
      </c>
      <c r="D34" s="1">
        <v>1055431</v>
      </c>
      <c r="E34" s="1">
        <v>338883</v>
      </c>
      <c r="F34" s="2">
        <v>0.32108494065457599</v>
      </c>
      <c r="G34" s="1">
        <v>6052</v>
      </c>
      <c r="H34" s="2">
        <v>1.7858670986741699E-2</v>
      </c>
      <c r="I34" s="12">
        <v>5.7341503139475697E-3</v>
      </c>
    </row>
    <row r="35" spans="1:9" x14ac:dyDescent="0.25">
      <c r="A35" s="11">
        <v>45244</v>
      </c>
      <c r="B35" t="s">
        <v>279</v>
      </c>
      <c r="C35" t="s">
        <v>33</v>
      </c>
      <c r="D35" s="1">
        <v>80625</v>
      </c>
      <c r="E35" s="1">
        <v>22287</v>
      </c>
      <c r="F35" s="2">
        <v>0.27642790697674402</v>
      </c>
      <c r="G35" s="1">
        <v>491</v>
      </c>
      <c r="H35" s="2">
        <v>2.2030780275496899E-2</v>
      </c>
      <c r="I35" s="12">
        <v>6.0899224806201602E-3</v>
      </c>
    </row>
    <row r="36" spans="1:9" ht="15.75" thickBot="1" x14ac:dyDescent="0.3">
      <c r="A36" s="17" t="s">
        <v>427</v>
      </c>
      <c r="B36" s="4"/>
      <c r="C36" s="4"/>
      <c r="D36" s="18">
        <f>SUM(D30:D35)</f>
        <v>4509256</v>
      </c>
      <c r="E36" s="18">
        <f>SUM(E30:E35)</f>
        <v>1393099</v>
      </c>
      <c r="F36" s="19">
        <f>AVERAGE(F30:F35)</f>
        <v>0.29881511377225661</v>
      </c>
      <c r="G36" s="18">
        <f>SUM(G30:G35)</f>
        <v>21189</v>
      </c>
      <c r="H36" s="19">
        <f>AVERAGE(H30:H35)</f>
        <v>1.8296664053916448E-2</v>
      </c>
      <c r="I36" s="21">
        <f>AVERAGE(I30:I35)</f>
        <v>5.5172075887421936E-3</v>
      </c>
    </row>
    <row r="37" spans="1:9" ht="3" customHeight="1" thickBot="1" x14ac:dyDescent="0.3">
      <c r="A37" s="143"/>
      <c r="B37" s="140"/>
      <c r="C37" s="140"/>
      <c r="D37" s="140"/>
      <c r="E37" s="140"/>
      <c r="F37" s="140"/>
      <c r="G37" s="140"/>
      <c r="H37" s="140"/>
      <c r="I37" s="144"/>
    </row>
    <row r="38" spans="1:9" x14ac:dyDescent="0.25">
      <c r="A38" s="22" t="s">
        <v>795</v>
      </c>
      <c r="B38" s="23"/>
      <c r="C38" s="23"/>
      <c r="D38" s="23"/>
      <c r="E38" s="23"/>
      <c r="F38" s="23"/>
      <c r="G38" s="23"/>
      <c r="H38" s="23"/>
      <c r="I38" s="24"/>
    </row>
    <row r="39" spans="1:9" x14ac:dyDescent="0.25">
      <c r="A39" s="11">
        <v>45240</v>
      </c>
      <c r="B39" t="s">
        <v>274</v>
      </c>
      <c r="C39" t="s">
        <v>32</v>
      </c>
      <c r="D39" s="1">
        <v>1375871</v>
      </c>
      <c r="E39" s="1">
        <v>451457</v>
      </c>
      <c r="F39" s="2">
        <v>0.32812451167296902</v>
      </c>
      <c r="G39" s="1">
        <v>5374</v>
      </c>
      <c r="H39" s="2">
        <v>1.19036807492186E-2</v>
      </c>
      <c r="I39" s="12">
        <v>3.9058894329482901E-3</v>
      </c>
    </row>
    <row r="40" spans="1:9" x14ac:dyDescent="0.25">
      <c r="A40" s="11">
        <v>45240</v>
      </c>
      <c r="B40" t="s">
        <v>274</v>
      </c>
      <c r="C40" t="s">
        <v>33</v>
      </c>
      <c r="D40" s="1">
        <v>159385</v>
      </c>
      <c r="E40" s="1">
        <v>43639</v>
      </c>
      <c r="F40" s="2">
        <v>0.27379615396681001</v>
      </c>
      <c r="G40" s="1">
        <v>1022</v>
      </c>
      <c r="H40" s="2">
        <v>2.3419418410137699E-2</v>
      </c>
      <c r="I40" s="12">
        <v>6.4121466888352099E-3</v>
      </c>
    </row>
    <row r="41" spans="1:9" x14ac:dyDescent="0.25">
      <c r="A41" s="11">
        <v>45240</v>
      </c>
      <c r="B41" t="s">
        <v>276</v>
      </c>
      <c r="C41" t="s">
        <v>32</v>
      </c>
      <c r="D41" s="1">
        <v>128261</v>
      </c>
      <c r="E41" s="1">
        <v>42415</v>
      </c>
      <c r="F41" s="2">
        <v>0.330692884041135</v>
      </c>
      <c r="G41" s="1">
        <v>801</v>
      </c>
      <c r="H41" s="2">
        <v>1.88848284804904E-2</v>
      </c>
      <c r="I41" s="12">
        <v>6.24507839483553E-3</v>
      </c>
    </row>
    <row r="42" spans="1:9" x14ac:dyDescent="0.25">
      <c r="A42" s="11">
        <v>45241</v>
      </c>
      <c r="B42" t="s">
        <v>277</v>
      </c>
      <c r="C42" t="s">
        <v>32</v>
      </c>
      <c r="D42" s="1">
        <v>391185</v>
      </c>
      <c r="E42" s="1">
        <v>142487</v>
      </c>
      <c r="F42" s="2">
        <v>0.36424453902884801</v>
      </c>
      <c r="G42" s="1">
        <v>1548</v>
      </c>
      <c r="H42" s="2">
        <v>1.0864149010085099E-2</v>
      </c>
      <c r="I42" s="12">
        <v>3.95720694811918E-3</v>
      </c>
    </row>
    <row r="43" spans="1:9" x14ac:dyDescent="0.25">
      <c r="A43" s="11">
        <v>45243</v>
      </c>
      <c r="B43" t="s">
        <v>278</v>
      </c>
      <c r="C43" t="s">
        <v>32</v>
      </c>
      <c r="D43" s="1">
        <v>160254</v>
      </c>
      <c r="E43" s="1">
        <v>58241</v>
      </c>
      <c r="F43" s="2">
        <v>0.36342930597676198</v>
      </c>
      <c r="G43" s="1">
        <v>819</v>
      </c>
      <c r="H43" s="2">
        <v>1.40622585463848E-2</v>
      </c>
      <c r="I43" s="12">
        <v>5.1106368639784296E-3</v>
      </c>
    </row>
    <row r="44" spans="1:9" x14ac:dyDescent="0.25">
      <c r="A44" s="11">
        <v>45244</v>
      </c>
      <c r="B44" t="s">
        <v>280</v>
      </c>
      <c r="C44" t="s">
        <v>32</v>
      </c>
      <c r="D44" s="1">
        <v>40341</v>
      </c>
      <c r="E44" s="1">
        <v>12987</v>
      </c>
      <c r="F44" s="2">
        <v>0.32193054212835598</v>
      </c>
      <c r="G44" s="1">
        <v>174</v>
      </c>
      <c r="H44" s="2">
        <v>1.33980133980134E-2</v>
      </c>
      <c r="I44" s="12">
        <v>4.3132297166654301E-3</v>
      </c>
    </row>
    <row r="45" spans="1:9" x14ac:dyDescent="0.25">
      <c r="A45" s="11">
        <v>45245</v>
      </c>
      <c r="B45" t="s">
        <v>281</v>
      </c>
      <c r="C45" t="s">
        <v>32</v>
      </c>
      <c r="D45" s="1">
        <v>45758</v>
      </c>
      <c r="E45" s="1">
        <v>15905</v>
      </c>
      <c r="F45" s="2">
        <v>0.34758949254775101</v>
      </c>
      <c r="G45" s="1">
        <v>421</v>
      </c>
      <c r="H45" s="2">
        <v>2.6469663627790001E-2</v>
      </c>
      <c r="I45" s="12">
        <v>9.2005769482931907E-3</v>
      </c>
    </row>
    <row r="46" spans="1:9" x14ac:dyDescent="0.25">
      <c r="A46" s="11">
        <v>45245</v>
      </c>
      <c r="B46" t="s">
        <v>282</v>
      </c>
      <c r="C46" t="s">
        <v>32</v>
      </c>
      <c r="D46" s="1">
        <v>108755</v>
      </c>
      <c r="E46" s="1">
        <v>47964</v>
      </c>
      <c r="F46" s="2">
        <v>0.44102799871270298</v>
      </c>
      <c r="G46" s="1">
        <v>1797</v>
      </c>
      <c r="H46" s="2">
        <v>3.7465599199399499E-2</v>
      </c>
      <c r="I46" s="12">
        <v>1.6523378235483398E-2</v>
      </c>
    </row>
    <row r="47" spans="1:9" x14ac:dyDescent="0.25">
      <c r="A47" s="11">
        <v>45245</v>
      </c>
      <c r="B47" t="s">
        <v>282</v>
      </c>
      <c r="C47" t="s">
        <v>33</v>
      </c>
      <c r="D47" s="1">
        <v>6251</v>
      </c>
      <c r="E47" s="1">
        <v>2697</v>
      </c>
      <c r="F47" s="2">
        <v>0.43145096784514497</v>
      </c>
      <c r="G47" s="1">
        <v>128</v>
      </c>
      <c r="H47" s="2">
        <v>4.74601408972933E-2</v>
      </c>
      <c r="I47" s="12">
        <v>2.0476723724204102E-2</v>
      </c>
    </row>
    <row r="48" spans="1:9" x14ac:dyDescent="0.25">
      <c r="A48" s="11">
        <v>45246</v>
      </c>
      <c r="B48" t="s">
        <v>283</v>
      </c>
      <c r="C48" t="s">
        <v>32</v>
      </c>
      <c r="D48" s="1">
        <v>362</v>
      </c>
      <c r="E48" s="1">
        <v>119</v>
      </c>
      <c r="F48" s="2">
        <v>0.32872928176795602</v>
      </c>
      <c r="G48" s="1">
        <v>21</v>
      </c>
      <c r="H48" s="2">
        <v>0.17647058823529399</v>
      </c>
      <c r="I48" s="12">
        <v>5.8011049723756897E-2</v>
      </c>
    </row>
    <row r="49" spans="1:9" x14ac:dyDescent="0.25">
      <c r="A49" s="11">
        <v>45246</v>
      </c>
      <c r="B49" t="s">
        <v>284</v>
      </c>
      <c r="C49" t="s">
        <v>33</v>
      </c>
      <c r="D49" s="1">
        <v>30</v>
      </c>
      <c r="E49" s="1">
        <v>9</v>
      </c>
      <c r="F49" s="2">
        <v>0.3</v>
      </c>
      <c r="G49" s="1">
        <v>4</v>
      </c>
      <c r="H49" s="2">
        <v>0.44444444444444398</v>
      </c>
      <c r="I49" s="12">
        <v>0.133333333333333</v>
      </c>
    </row>
    <row r="50" spans="1:9" x14ac:dyDescent="0.25">
      <c r="A50" s="11">
        <v>45246</v>
      </c>
      <c r="B50" t="s">
        <v>285</v>
      </c>
      <c r="C50" t="s">
        <v>32</v>
      </c>
      <c r="D50" s="1">
        <v>2195</v>
      </c>
      <c r="E50" s="1">
        <v>989</v>
      </c>
      <c r="F50" s="2">
        <v>0.45056947608200498</v>
      </c>
      <c r="G50" s="1">
        <v>38</v>
      </c>
      <c r="H50" s="2">
        <v>3.8422649140546002E-2</v>
      </c>
      <c r="I50" s="12">
        <v>1.7312072892938499E-2</v>
      </c>
    </row>
    <row r="51" spans="1:9" x14ac:dyDescent="0.25">
      <c r="A51" s="11">
        <v>45246</v>
      </c>
      <c r="B51" t="s">
        <v>286</v>
      </c>
      <c r="C51" t="s">
        <v>32</v>
      </c>
      <c r="D51" s="1">
        <v>61193</v>
      </c>
      <c r="E51" s="1">
        <v>26836</v>
      </c>
      <c r="F51" s="2">
        <v>0.43854689261843699</v>
      </c>
      <c r="G51" s="1">
        <v>1819</v>
      </c>
      <c r="H51" s="2">
        <v>6.7782083768072696E-2</v>
      </c>
      <c r="I51" s="12">
        <v>2.9725622211690901E-2</v>
      </c>
    </row>
    <row r="52" spans="1:9" x14ac:dyDescent="0.25">
      <c r="A52" s="11">
        <v>45246</v>
      </c>
      <c r="B52" t="s">
        <v>286</v>
      </c>
      <c r="C52" t="s">
        <v>33</v>
      </c>
      <c r="D52" s="1">
        <v>2218</v>
      </c>
      <c r="E52" s="1">
        <v>874</v>
      </c>
      <c r="F52" s="2">
        <v>0.39404869251578001</v>
      </c>
      <c r="G52" s="1">
        <v>20</v>
      </c>
      <c r="H52" s="2">
        <v>2.2883295194508001E-2</v>
      </c>
      <c r="I52" s="12">
        <v>9.0171325518485102E-3</v>
      </c>
    </row>
    <row r="53" spans="1:9" ht="15.75" thickBot="1" x14ac:dyDescent="0.3">
      <c r="A53" s="17" t="s">
        <v>427</v>
      </c>
      <c r="B53" s="4"/>
      <c r="C53" s="4"/>
      <c r="D53" s="18">
        <f>SUM(D39:D52)</f>
        <v>2482059</v>
      </c>
      <c r="E53" s="18">
        <f>SUM(E39:E52)</f>
        <v>846619</v>
      </c>
      <c r="F53" s="19">
        <f>AVERAGE(F39:F52)</f>
        <v>0.36529862420747544</v>
      </c>
      <c r="G53" s="18">
        <f>SUM(G39:G52)</f>
        <v>13986</v>
      </c>
      <c r="H53" s="19">
        <f>AVERAGE(H39:H52)</f>
        <v>6.8137915221548398E-2</v>
      </c>
      <c r="I53" s="21">
        <f>AVERAGE(I39:I52)</f>
        <v>2.3110291261923609E-2</v>
      </c>
    </row>
    <row r="54" spans="1:9" ht="3" customHeight="1" thickBot="1" x14ac:dyDescent="0.3">
      <c r="A54" s="143"/>
      <c r="B54" s="140"/>
      <c r="C54" s="140"/>
      <c r="D54" s="140"/>
      <c r="E54" s="140"/>
      <c r="F54" s="140"/>
      <c r="G54" s="140"/>
      <c r="H54" s="140"/>
      <c r="I54" s="144"/>
    </row>
    <row r="55" spans="1:9" x14ac:dyDescent="0.25">
      <c r="A55" s="22" t="s">
        <v>792</v>
      </c>
      <c r="B55" s="23"/>
      <c r="C55" s="23"/>
      <c r="D55" s="23"/>
      <c r="E55" s="23"/>
      <c r="F55" s="23"/>
      <c r="G55" s="23"/>
      <c r="H55" s="23"/>
      <c r="I55" s="24"/>
    </row>
    <row r="56" spans="1:9" x14ac:dyDescent="0.25">
      <c r="A56" s="11">
        <v>45246</v>
      </c>
      <c r="B56" t="s">
        <v>257</v>
      </c>
      <c r="C56" t="s">
        <v>32</v>
      </c>
      <c r="D56" s="1">
        <v>152150</v>
      </c>
      <c r="E56" s="1">
        <v>47559</v>
      </c>
      <c r="F56" s="3">
        <v>0.31259999999999999</v>
      </c>
      <c r="G56">
        <v>205</v>
      </c>
      <c r="H56" s="3">
        <v>4.3E-3</v>
      </c>
      <c r="I56" s="16">
        <v>1.2999999999999999E-3</v>
      </c>
    </row>
    <row r="57" spans="1:9" x14ac:dyDescent="0.25">
      <c r="A57" s="11">
        <v>45246</v>
      </c>
      <c r="B57" t="s">
        <v>259</v>
      </c>
      <c r="C57" t="s">
        <v>33</v>
      </c>
      <c r="D57" s="1">
        <v>10903</v>
      </c>
      <c r="E57" s="1">
        <v>3063</v>
      </c>
      <c r="F57" s="3">
        <v>0.28089999999999998</v>
      </c>
      <c r="G57">
        <v>38</v>
      </c>
      <c r="H57" s="3">
        <v>1.24E-2</v>
      </c>
      <c r="I57" s="16">
        <v>3.5000000000000001E-3</v>
      </c>
    </row>
    <row r="58" spans="1:9" x14ac:dyDescent="0.25">
      <c r="A58" s="11">
        <v>45246</v>
      </c>
      <c r="B58" t="s">
        <v>287</v>
      </c>
      <c r="C58" t="s">
        <v>32</v>
      </c>
      <c r="D58" s="1">
        <v>1444711</v>
      </c>
      <c r="E58" s="1">
        <v>477628</v>
      </c>
      <c r="F58" s="3">
        <v>0.3306</v>
      </c>
      <c r="G58" s="1">
        <v>2166</v>
      </c>
      <c r="H58" s="3">
        <v>4.4999999999999997E-3</v>
      </c>
      <c r="I58" s="16">
        <v>1.5E-3</v>
      </c>
    </row>
    <row r="59" spans="1:9" x14ac:dyDescent="0.25">
      <c r="A59" s="11">
        <v>45246</v>
      </c>
      <c r="B59" t="s">
        <v>288</v>
      </c>
      <c r="C59" t="s">
        <v>33</v>
      </c>
      <c r="D59" s="1">
        <v>82456</v>
      </c>
      <c r="E59" s="1">
        <v>23250</v>
      </c>
      <c r="F59" s="3">
        <v>0.28199999999999997</v>
      </c>
      <c r="G59">
        <v>169</v>
      </c>
      <c r="H59" s="3">
        <v>7.3000000000000001E-3</v>
      </c>
      <c r="I59" s="16">
        <v>2E-3</v>
      </c>
    </row>
    <row r="60" spans="1:9" ht="15.75" thickBot="1" x14ac:dyDescent="0.3">
      <c r="A60" s="17" t="s">
        <v>427</v>
      </c>
      <c r="B60" s="4"/>
      <c r="C60" s="4"/>
      <c r="D60" s="18">
        <f>SUM(D56:D59)</f>
        <v>1690220</v>
      </c>
      <c r="E60" s="18">
        <f>SUM(E56:E59)</f>
        <v>551500</v>
      </c>
      <c r="F60" s="19">
        <f>AVERAGE(F56:F59)</f>
        <v>0.30152499999999999</v>
      </c>
      <c r="G60" s="18">
        <f>SUM(G56:G59)</f>
        <v>2578</v>
      </c>
      <c r="H60" s="19">
        <f>AVERAGE(H56:H59)</f>
        <v>7.1250000000000003E-3</v>
      </c>
      <c r="I60" s="21">
        <f>AVERAGE(I56:I59)</f>
        <v>2.075E-3</v>
      </c>
    </row>
  </sheetData>
  <mergeCells count="3">
    <mergeCell ref="A27:I27"/>
    <mergeCell ref="A37:I37"/>
    <mergeCell ref="A54:I54"/>
  </mergeCells>
  <pageMargins left="0.7" right="0.7" top="0.75" bottom="0.75" header="0.3" footer="0.3"/>
  <ignoredErrors>
    <ignoredError sqref="F36:G36 F53:G53 F60:G60 F26:G26" formula="1"/>
  </ignoredErrors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CC98-19CE-4828-8BC0-F13B74F7D542}">
  <dimension ref="A1:I70"/>
  <sheetViews>
    <sheetView workbookViewId="0">
      <selection activeCell="M37" sqref="M37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45247</v>
      </c>
      <c r="B2" t="s">
        <v>289</v>
      </c>
      <c r="C2" t="s">
        <v>32</v>
      </c>
      <c r="D2" s="1">
        <v>2863222</v>
      </c>
      <c r="E2" s="1">
        <v>866905</v>
      </c>
      <c r="F2" s="2">
        <v>0.30277254086480199</v>
      </c>
      <c r="G2" s="1">
        <v>10112</v>
      </c>
      <c r="H2" s="2">
        <v>1.16644845744343E-2</v>
      </c>
      <c r="I2" s="2">
        <v>3.5316856324797701E-3</v>
      </c>
    </row>
    <row r="3" spans="1:9" x14ac:dyDescent="0.25">
      <c r="A3" s="26">
        <v>45247</v>
      </c>
      <c r="B3" t="s">
        <v>289</v>
      </c>
      <c r="C3" t="s">
        <v>33</v>
      </c>
      <c r="D3" s="1">
        <v>192311</v>
      </c>
      <c r="E3" s="1">
        <v>45331</v>
      </c>
      <c r="F3" s="2">
        <v>0.235717145665095</v>
      </c>
      <c r="G3" s="1">
        <v>784</v>
      </c>
      <c r="H3" s="2">
        <v>1.7295007831285399E-2</v>
      </c>
      <c r="I3" s="2">
        <v>4.0767298802460604E-3</v>
      </c>
    </row>
    <row r="4" spans="1:9" x14ac:dyDescent="0.25">
      <c r="A4" s="26">
        <v>45247</v>
      </c>
      <c r="B4" t="s">
        <v>290</v>
      </c>
      <c r="C4" t="s">
        <v>32</v>
      </c>
      <c r="D4" s="1">
        <v>1094920</v>
      </c>
      <c r="E4" s="1">
        <v>361103</v>
      </c>
      <c r="F4" s="2">
        <v>0.32979852409308402</v>
      </c>
      <c r="G4" s="1">
        <v>4876</v>
      </c>
      <c r="H4" s="2">
        <v>1.3503072530552201E-2</v>
      </c>
      <c r="I4" s="2">
        <v>4.4532933912979902E-3</v>
      </c>
    </row>
    <row r="5" spans="1:9" x14ac:dyDescent="0.25">
      <c r="A5" s="26">
        <v>45247</v>
      </c>
      <c r="B5" t="s">
        <v>290</v>
      </c>
      <c r="C5" t="s">
        <v>33</v>
      </c>
      <c r="D5" s="1">
        <v>1971</v>
      </c>
      <c r="E5" s="1">
        <v>601</v>
      </c>
      <c r="F5" s="2">
        <v>0.30492135971588002</v>
      </c>
      <c r="G5" s="1">
        <v>12</v>
      </c>
      <c r="H5" s="2">
        <v>1.99667221297837E-2</v>
      </c>
      <c r="I5" s="2">
        <v>6.0882800608828003E-3</v>
      </c>
    </row>
    <row r="6" spans="1:9" x14ac:dyDescent="0.25">
      <c r="A6" s="26">
        <v>45247</v>
      </c>
      <c r="B6" t="s">
        <v>291</v>
      </c>
      <c r="C6" t="s">
        <v>32</v>
      </c>
      <c r="D6" s="1">
        <v>312358</v>
      </c>
      <c r="E6" s="1">
        <v>94896</v>
      </c>
      <c r="F6" s="2">
        <v>0.30380524910519302</v>
      </c>
      <c r="G6" s="1">
        <v>1234</v>
      </c>
      <c r="H6" s="2">
        <v>1.30037093238914E-2</v>
      </c>
      <c r="I6" s="2">
        <v>3.9505951504363599E-3</v>
      </c>
    </row>
    <row r="7" spans="1:9" x14ac:dyDescent="0.25">
      <c r="A7" s="26">
        <v>45247</v>
      </c>
      <c r="B7" t="s">
        <v>292</v>
      </c>
      <c r="C7" t="s">
        <v>32</v>
      </c>
      <c r="D7" s="1">
        <v>159005</v>
      </c>
      <c r="E7" s="1">
        <v>60212</v>
      </c>
      <c r="F7" s="2">
        <v>0.37867991572592102</v>
      </c>
      <c r="G7" s="1">
        <v>1544</v>
      </c>
      <c r="H7" s="2">
        <v>2.56427290241148E-2</v>
      </c>
      <c r="I7" s="2">
        <v>9.7103864658344106E-3</v>
      </c>
    </row>
    <row r="8" spans="1:9" x14ac:dyDescent="0.25">
      <c r="A8" s="26">
        <v>45247</v>
      </c>
      <c r="B8" t="s">
        <v>293</v>
      </c>
      <c r="C8" t="s">
        <v>32</v>
      </c>
      <c r="D8" s="1">
        <v>313901</v>
      </c>
      <c r="E8" s="1">
        <v>101478</v>
      </c>
      <c r="F8" s="2">
        <v>0.32328026989401099</v>
      </c>
      <c r="G8" s="1">
        <v>675</v>
      </c>
      <c r="H8" s="2">
        <v>6.6516880506119497E-3</v>
      </c>
      <c r="I8" s="2">
        <v>2.1503595082525999E-3</v>
      </c>
    </row>
    <row r="9" spans="1:9" x14ac:dyDescent="0.25">
      <c r="A9" s="26">
        <v>45248</v>
      </c>
      <c r="B9" t="s">
        <v>294</v>
      </c>
      <c r="C9" t="s">
        <v>32</v>
      </c>
      <c r="D9" s="1">
        <v>40943</v>
      </c>
      <c r="E9" s="1">
        <v>15872</v>
      </c>
      <c r="F9" s="2">
        <v>0.387660894414186</v>
      </c>
      <c r="G9" s="1">
        <v>488</v>
      </c>
      <c r="H9" s="2">
        <v>3.0745967741935502E-2</v>
      </c>
      <c r="I9" s="2">
        <v>1.19190093544684E-2</v>
      </c>
    </row>
    <row r="10" spans="1:9" x14ac:dyDescent="0.25">
      <c r="A10" s="26">
        <v>45248</v>
      </c>
      <c r="B10" t="s">
        <v>295</v>
      </c>
      <c r="C10" t="s">
        <v>32</v>
      </c>
      <c r="D10" s="1">
        <v>1042769</v>
      </c>
      <c r="E10" s="1">
        <v>281508</v>
      </c>
      <c r="F10" s="2">
        <v>0.269961995417969</v>
      </c>
      <c r="G10" s="1">
        <v>8931</v>
      </c>
      <c r="H10" s="2">
        <v>3.1725563749520402E-2</v>
      </c>
      <c r="I10" s="2">
        <v>8.5646964955805194E-3</v>
      </c>
    </row>
    <row r="11" spans="1:9" x14ac:dyDescent="0.25">
      <c r="A11" s="26">
        <v>45248</v>
      </c>
      <c r="B11" t="s">
        <v>295</v>
      </c>
      <c r="C11" t="s">
        <v>33</v>
      </c>
      <c r="D11" s="1">
        <v>86127</v>
      </c>
      <c r="E11" s="1">
        <v>16610</v>
      </c>
      <c r="F11" s="2">
        <v>0.19285473777096601</v>
      </c>
      <c r="G11" s="1">
        <v>557</v>
      </c>
      <c r="H11" s="2">
        <v>3.3534015653220901E-2</v>
      </c>
      <c r="I11" s="2">
        <v>6.4671937952093996E-3</v>
      </c>
    </row>
    <row r="12" spans="1:9" x14ac:dyDescent="0.25">
      <c r="A12" s="26">
        <v>45250</v>
      </c>
      <c r="B12" t="s">
        <v>296</v>
      </c>
      <c r="C12" t="s">
        <v>32</v>
      </c>
      <c r="D12" s="1">
        <v>59523</v>
      </c>
      <c r="E12" s="1">
        <v>23508</v>
      </c>
      <c r="F12" s="2">
        <v>0.39493977118088802</v>
      </c>
      <c r="G12" s="1">
        <v>293</v>
      </c>
      <c r="H12" s="2">
        <v>1.24638420963076E-2</v>
      </c>
      <c r="I12" s="2">
        <v>4.9224669455504603E-3</v>
      </c>
    </row>
    <row r="13" spans="1:9" x14ac:dyDescent="0.25">
      <c r="A13" s="26">
        <v>45251</v>
      </c>
      <c r="B13" t="s">
        <v>297</v>
      </c>
      <c r="C13" t="s">
        <v>32</v>
      </c>
      <c r="D13" s="1">
        <v>1069940</v>
      </c>
      <c r="E13" s="1">
        <v>336792</v>
      </c>
      <c r="F13" s="2">
        <v>0.31477652952502</v>
      </c>
      <c r="G13" s="1">
        <v>4152</v>
      </c>
      <c r="H13" s="2">
        <v>1.2328083802465599E-2</v>
      </c>
      <c r="I13" s="2">
        <v>3.88059143503374E-3</v>
      </c>
    </row>
    <row r="14" spans="1:9" x14ac:dyDescent="0.25">
      <c r="A14" s="26">
        <v>45251</v>
      </c>
      <c r="B14" t="s">
        <v>297</v>
      </c>
      <c r="C14" t="s">
        <v>33</v>
      </c>
      <c r="D14" s="1">
        <v>81105</v>
      </c>
      <c r="E14" s="1">
        <v>21249</v>
      </c>
      <c r="F14" s="2">
        <v>0.26199371185500298</v>
      </c>
      <c r="G14" s="1">
        <v>462</v>
      </c>
      <c r="H14" s="2">
        <v>2.1742199632923901E-2</v>
      </c>
      <c r="I14" s="2">
        <v>5.6963195857222104E-3</v>
      </c>
    </row>
    <row r="15" spans="1:9" x14ac:dyDescent="0.25">
      <c r="A15" s="26">
        <v>45252</v>
      </c>
      <c r="B15" t="s">
        <v>298</v>
      </c>
      <c r="C15" t="s">
        <v>32</v>
      </c>
      <c r="D15" s="1">
        <v>198425</v>
      </c>
      <c r="E15" s="1">
        <v>77572</v>
      </c>
      <c r="F15" s="2">
        <v>0.39093864180420801</v>
      </c>
      <c r="G15" s="1">
        <v>892</v>
      </c>
      <c r="H15" s="2">
        <v>1.14989944825452E-2</v>
      </c>
      <c r="I15" s="2">
        <v>4.4954012851203201E-3</v>
      </c>
    </row>
    <row r="16" spans="1:9" x14ac:dyDescent="0.25">
      <c r="A16" s="26">
        <v>45252</v>
      </c>
      <c r="B16" t="s">
        <v>298</v>
      </c>
      <c r="C16" t="s">
        <v>33</v>
      </c>
      <c r="D16" s="1">
        <v>11868</v>
      </c>
      <c r="E16" s="1">
        <v>4334</v>
      </c>
      <c r="F16" s="2">
        <v>0.36518368722615402</v>
      </c>
      <c r="G16" s="1">
        <v>102</v>
      </c>
      <c r="H16" s="2">
        <v>2.3534840793724001E-2</v>
      </c>
      <c r="I16" s="2">
        <v>8.5945399393326603E-3</v>
      </c>
    </row>
    <row r="17" spans="1:9" x14ac:dyDescent="0.25">
      <c r="A17" s="26">
        <v>45252</v>
      </c>
      <c r="B17" t="s">
        <v>299</v>
      </c>
      <c r="C17" t="s">
        <v>300</v>
      </c>
      <c r="D17" s="1">
        <v>5802</v>
      </c>
      <c r="E17" s="1">
        <v>2177</v>
      </c>
      <c r="F17" s="2">
        <v>0.37521544295070702</v>
      </c>
      <c r="G17" s="1">
        <v>44</v>
      </c>
      <c r="H17" s="2">
        <v>2.02112999540652E-2</v>
      </c>
      <c r="I17" s="2">
        <v>7.5835918648741799E-3</v>
      </c>
    </row>
    <row r="18" spans="1:9" x14ac:dyDescent="0.25">
      <c r="A18" s="26">
        <v>45252</v>
      </c>
      <c r="B18" t="s">
        <v>299</v>
      </c>
      <c r="C18" t="s">
        <v>162</v>
      </c>
      <c r="D18" s="1">
        <v>109287</v>
      </c>
      <c r="E18" s="1">
        <v>40332</v>
      </c>
      <c r="F18" s="2">
        <v>0.369046638666996</v>
      </c>
      <c r="G18" s="1">
        <v>952</v>
      </c>
      <c r="H18" s="2">
        <v>2.3604086085490399E-2</v>
      </c>
      <c r="I18" s="2">
        <v>8.7110086286566607E-3</v>
      </c>
    </row>
    <row r="19" spans="1:9" x14ac:dyDescent="0.25">
      <c r="A19" s="26">
        <v>45252</v>
      </c>
      <c r="B19" t="s">
        <v>299</v>
      </c>
      <c r="C19" t="s">
        <v>301</v>
      </c>
      <c r="D19" s="1">
        <v>874</v>
      </c>
      <c r="E19" s="1">
        <v>321</v>
      </c>
      <c r="F19" s="2">
        <v>0.36727688787185397</v>
      </c>
      <c r="G19" s="1">
        <v>9</v>
      </c>
      <c r="H19" s="2">
        <v>2.80373831775701E-2</v>
      </c>
      <c r="I19" s="2">
        <v>1.02974828375286E-2</v>
      </c>
    </row>
    <row r="20" spans="1:9" x14ac:dyDescent="0.25">
      <c r="A20" s="26">
        <v>45252</v>
      </c>
      <c r="B20" t="s">
        <v>299</v>
      </c>
      <c r="C20" t="s">
        <v>164</v>
      </c>
      <c r="D20" s="1">
        <v>15846</v>
      </c>
      <c r="E20" s="1">
        <v>5430</v>
      </c>
      <c r="F20" s="2">
        <v>0.34267322983718301</v>
      </c>
      <c r="G20" s="1">
        <v>161</v>
      </c>
      <c r="H20" s="2">
        <v>2.9650092081031299E-2</v>
      </c>
      <c r="I20" s="2">
        <v>1.0160292818376901E-2</v>
      </c>
    </row>
    <row r="21" spans="1:9" x14ac:dyDescent="0.25">
      <c r="A21" s="26">
        <v>45252</v>
      </c>
      <c r="B21" t="s">
        <v>302</v>
      </c>
      <c r="C21" t="s">
        <v>32</v>
      </c>
      <c r="D21" s="1">
        <v>204820</v>
      </c>
      <c r="E21" s="1">
        <v>70861</v>
      </c>
      <c r="F21" s="2">
        <v>0.34596719070403298</v>
      </c>
      <c r="G21" s="1">
        <v>832</v>
      </c>
      <c r="H21" s="2">
        <v>1.1741296340723399E-2</v>
      </c>
      <c r="I21" s="2">
        <v>4.0621033102236099E-3</v>
      </c>
    </row>
    <row r="22" spans="1:9" x14ac:dyDescent="0.25">
      <c r="A22" s="26">
        <v>45252</v>
      </c>
      <c r="B22" t="s">
        <v>303</v>
      </c>
      <c r="C22" t="s">
        <v>32</v>
      </c>
      <c r="D22" s="1">
        <v>33828</v>
      </c>
      <c r="E22" s="1">
        <v>14255</v>
      </c>
      <c r="F22" s="2">
        <v>0.42139647629182903</v>
      </c>
      <c r="G22" s="1">
        <v>947</v>
      </c>
      <c r="H22" s="2">
        <v>6.6432830585759398E-2</v>
      </c>
      <c r="I22" s="2">
        <v>2.79945607189311E-2</v>
      </c>
    </row>
    <row r="23" spans="1:9" x14ac:dyDescent="0.25">
      <c r="A23" s="26">
        <v>45253</v>
      </c>
      <c r="B23" t="s">
        <v>304</v>
      </c>
      <c r="C23" t="s">
        <v>163</v>
      </c>
      <c r="D23" s="1">
        <v>2101</v>
      </c>
      <c r="E23" s="1">
        <v>721</v>
      </c>
      <c r="F23" s="2">
        <v>0.34316991908614902</v>
      </c>
      <c r="G23" s="1">
        <v>8</v>
      </c>
      <c r="H23" s="2">
        <v>1.1095700416088801E-2</v>
      </c>
      <c r="I23" s="2">
        <v>3.8077106139933399E-3</v>
      </c>
    </row>
    <row r="24" spans="1:9" x14ac:dyDescent="0.25">
      <c r="A24" s="26">
        <v>45253</v>
      </c>
      <c r="B24" t="s">
        <v>304</v>
      </c>
      <c r="C24" t="s">
        <v>162</v>
      </c>
      <c r="D24" s="1">
        <v>40852</v>
      </c>
      <c r="E24" s="1">
        <v>15093</v>
      </c>
      <c r="F24" s="2">
        <v>0.36945559580926302</v>
      </c>
      <c r="G24" s="1">
        <v>202</v>
      </c>
      <c r="H24" s="2">
        <v>1.33836878022925E-2</v>
      </c>
      <c r="I24" s="2">
        <v>4.9446783511211201E-3</v>
      </c>
    </row>
    <row r="25" spans="1:9" x14ac:dyDescent="0.25">
      <c r="A25" s="26">
        <v>45253</v>
      </c>
      <c r="B25" t="s">
        <v>305</v>
      </c>
      <c r="C25" t="s">
        <v>32</v>
      </c>
      <c r="D25" s="1">
        <v>1826689</v>
      </c>
      <c r="E25" s="1">
        <v>558571</v>
      </c>
      <c r="F25" s="2">
        <v>0.30580000000000002</v>
      </c>
      <c r="G25" s="1">
        <v>2859</v>
      </c>
      <c r="H25" s="2">
        <v>5.1000000000000004E-3</v>
      </c>
      <c r="I25" s="2">
        <v>1.6000000000000001E-3</v>
      </c>
    </row>
    <row r="26" spans="1:9" x14ac:dyDescent="0.25">
      <c r="A26" s="26">
        <v>45253</v>
      </c>
      <c r="B26" t="s">
        <v>306</v>
      </c>
      <c r="C26" t="s">
        <v>33</v>
      </c>
      <c r="D26" s="1">
        <v>130018</v>
      </c>
      <c r="E26" s="1">
        <v>30436</v>
      </c>
      <c r="F26" s="2">
        <v>0.2341</v>
      </c>
      <c r="G26" s="1">
        <v>220</v>
      </c>
      <c r="H26" s="2">
        <v>7.1999999999999998E-3</v>
      </c>
      <c r="I26" s="2">
        <v>1.6999999999999999E-3</v>
      </c>
    </row>
    <row r="27" spans="1:9" x14ac:dyDescent="0.25">
      <c r="A27" s="26">
        <v>45253</v>
      </c>
      <c r="B27" t="s">
        <v>287</v>
      </c>
      <c r="C27" t="s">
        <v>32</v>
      </c>
      <c r="D27" s="1">
        <v>1313060</v>
      </c>
      <c r="E27" s="1">
        <v>389257</v>
      </c>
      <c r="F27" s="2">
        <v>0.29649999999999999</v>
      </c>
      <c r="G27" s="1">
        <v>1577</v>
      </c>
      <c r="H27" s="2">
        <v>4.1000000000000003E-3</v>
      </c>
      <c r="I27" s="2">
        <v>1.1999999999999999E-3</v>
      </c>
    </row>
    <row r="28" spans="1:9" x14ac:dyDescent="0.25">
      <c r="A28" s="26">
        <v>45253</v>
      </c>
      <c r="B28" t="s">
        <v>288</v>
      </c>
      <c r="C28" t="s">
        <v>33</v>
      </c>
      <c r="D28" s="1">
        <v>76284</v>
      </c>
      <c r="E28" s="1">
        <v>18104</v>
      </c>
      <c r="F28" s="2">
        <v>0.23730000000000001</v>
      </c>
      <c r="G28" s="1">
        <v>119</v>
      </c>
      <c r="H28" s="2">
        <v>6.6E-3</v>
      </c>
      <c r="I28" s="2">
        <v>1.6000000000000001E-3</v>
      </c>
    </row>
    <row r="29" spans="1:9" x14ac:dyDescent="0.25">
      <c r="A29" s="26">
        <v>45253</v>
      </c>
      <c r="B29" t="s">
        <v>307</v>
      </c>
      <c r="C29" t="s">
        <v>32</v>
      </c>
      <c r="D29" s="1">
        <v>448384</v>
      </c>
      <c r="E29" s="1">
        <v>134867</v>
      </c>
      <c r="F29" s="2">
        <v>0.30080000000000001</v>
      </c>
      <c r="G29" s="1">
        <v>869</v>
      </c>
      <c r="H29" s="2">
        <v>6.4000000000000003E-3</v>
      </c>
      <c r="I29" s="2">
        <v>1.9E-3</v>
      </c>
    </row>
    <row r="30" spans="1:9" x14ac:dyDescent="0.25">
      <c r="A30" s="26">
        <v>45253</v>
      </c>
      <c r="B30" t="s">
        <v>308</v>
      </c>
      <c r="C30" t="s">
        <v>33</v>
      </c>
      <c r="D30" s="1">
        <v>31080</v>
      </c>
      <c r="E30" s="1">
        <v>6917</v>
      </c>
      <c r="F30" s="2">
        <v>0.22259999999999999</v>
      </c>
      <c r="G30" s="1">
        <v>61</v>
      </c>
      <c r="H30" s="2">
        <v>8.8000000000000005E-3</v>
      </c>
      <c r="I30" s="2">
        <v>2E-3</v>
      </c>
    </row>
    <row r="31" spans="1:9" ht="15.75" thickBot="1" x14ac:dyDescent="0.3">
      <c r="A31" s="27" t="s">
        <v>427</v>
      </c>
      <c r="D31" s="14">
        <f>SUM(D2:D30)</f>
        <v>11767313</v>
      </c>
      <c r="E31" s="14">
        <f>SUM(E2:E30)</f>
        <v>3595313</v>
      </c>
      <c r="F31" s="111">
        <f>AVERAGE(F2:F30)</f>
        <v>0.32029608122332393</v>
      </c>
      <c r="G31" s="14">
        <f>SUM(G2:G30)</f>
        <v>43974</v>
      </c>
      <c r="H31" s="111">
        <f>AVERAGE(H2:H30)</f>
        <v>1.8195079236563379E-2</v>
      </c>
      <c r="I31" s="111">
        <f>AVERAGE(I2:I30)</f>
        <v>6.0711371747983866E-3</v>
      </c>
    </row>
    <row r="32" spans="1:9" ht="15.75" thickBot="1" x14ac:dyDescent="0.3">
      <c r="A32" s="140"/>
      <c r="B32" s="140"/>
      <c r="C32" s="140"/>
      <c r="D32" s="140"/>
      <c r="E32" s="140"/>
      <c r="F32" s="140"/>
      <c r="G32" s="140"/>
      <c r="H32" s="140"/>
      <c r="I32" s="140"/>
    </row>
    <row r="33" spans="1:9" ht="20.45" customHeight="1" x14ac:dyDescent="0.25">
      <c r="A33" s="76" t="s">
        <v>0</v>
      </c>
      <c r="B33" s="77" t="s">
        <v>1</v>
      </c>
      <c r="C33" s="77" t="s">
        <v>796</v>
      </c>
      <c r="D33" s="77" t="s">
        <v>3</v>
      </c>
      <c r="E33" s="77" t="s">
        <v>4</v>
      </c>
      <c r="F33" s="77" t="s">
        <v>5</v>
      </c>
      <c r="G33" s="77" t="s">
        <v>6</v>
      </c>
      <c r="H33" s="77" t="s">
        <v>7</v>
      </c>
      <c r="I33" s="78" t="s">
        <v>8</v>
      </c>
    </row>
    <row r="34" spans="1:9" x14ac:dyDescent="0.25">
      <c r="A34" s="8" t="s">
        <v>790</v>
      </c>
      <c r="B34" s="9"/>
      <c r="C34" s="9"/>
      <c r="D34" s="9"/>
      <c r="E34" s="9"/>
      <c r="F34" s="9"/>
      <c r="G34" s="9"/>
      <c r="H34" s="9"/>
      <c r="I34" s="10"/>
    </row>
    <row r="35" spans="1:9" x14ac:dyDescent="0.25">
      <c r="A35" s="11">
        <v>45247</v>
      </c>
      <c r="B35" t="s">
        <v>289</v>
      </c>
      <c r="C35" t="s">
        <v>32</v>
      </c>
      <c r="D35" s="1">
        <v>2863222</v>
      </c>
      <c r="E35" s="1">
        <v>866905</v>
      </c>
      <c r="F35" s="2">
        <v>0.30277254086480199</v>
      </c>
      <c r="G35" s="1">
        <v>10112</v>
      </c>
      <c r="H35" s="2">
        <v>1.16644845744343E-2</v>
      </c>
      <c r="I35" s="12">
        <v>3.5316856324797701E-3</v>
      </c>
    </row>
    <row r="36" spans="1:9" x14ac:dyDescent="0.25">
      <c r="A36" s="11">
        <v>45247</v>
      </c>
      <c r="B36" t="s">
        <v>289</v>
      </c>
      <c r="C36" t="s">
        <v>33</v>
      </c>
      <c r="D36" s="1">
        <v>192311</v>
      </c>
      <c r="E36" s="1">
        <v>45331</v>
      </c>
      <c r="F36" s="2">
        <v>0.235717145665095</v>
      </c>
      <c r="G36" s="1">
        <v>784</v>
      </c>
      <c r="H36" s="2">
        <v>1.7295007831285399E-2</v>
      </c>
      <c r="I36" s="12">
        <v>4.0767298802460604E-3</v>
      </c>
    </row>
    <row r="37" spans="1:9" x14ac:dyDescent="0.25">
      <c r="A37" s="11">
        <v>45247</v>
      </c>
      <c r="B37" t="s">
        <v>291</v>
      </c>
      <c r="C37" t="s">
        <v>32</v>
      </c>
      <c r="D37" s="1">
        <v>312358</v>
      </c>
      <c r="E37" s="1">
        <v>94896</v>
      </c>
      <c r="F37" s="2">
        <v>0.30380524910519302</v>
      </c>
      <c r="G37" s="1">
        <v>1234</v>
      </c>
      <c r="H37" s="2">
        <v>1.30037093238914E-2</v>
      </c>
      <c r="I37" s="12">
        <v>3.9505951504363599E-3</v>
      </c>
    </row>
    <row r="38" spans="1:9" x14ac:dyDescent="0.25">
      <c r="A38" s="11">
        <v>45251</v>
      </c>
      <c r="B38" t="s">
        <v>297</v>
      </c>
      <c r="C38" t="s">
        <v>32</v>
      </c>
      <c r="D38" s="1">
        <v>1069940</v>
      </c>
      <c r="E38" s="1">
        <v>336792</v>
      </c>
      <c r="F38" s="2">
        <v>0.31477652952502</v>
      </c>
      <c r="G38" s="1">
        <v>4152</v>
      </c>
      <c r="H38" s="2">
        <v>1.2328083802465599E-2</v>
      </c>
      <c r="I38" s="12">
        <v>3.88059143503374E-3</v>
      </c>
    </row>
    <row r="39" spans="1:9" x14ac:dyDescent="0.25">
      <c r="A39" s="11">
        <v>45251</v>
      </c>
      <c r="B39" t="s">
        <v>297</v>
      </c>
      <c r="C39" t="s">
        <v>33</v>
      </c>
      <c r="D39" s="1">
        <v>81105</v>
      </c>
      <c r="E39" s="1">
        <v>21249</v>
      </c>
      <c r="F39" s="2">
        <v>0.26199371185500298</v>
      </c>
      <c r="G39" s="1">
        <v>462</v>
      </c>
      <c r="H39" s="2">
        <v>2.1742199632923901E-2</v>
      </c>
      <c r="I39" s="12">
        <v>5.6963195857222104E-3</v>
      </c>
    </row>
    <row r="40" spans="1:9" ht="15.75" thickBot="1" x14ac:dyDescent="0.3">
      <c r="A40" s="17" t="s">
        <v>427</v>
      </c>
      <c r="B40" s="4"/>
      <c r="C40" s="4"/>
      <c r="D40" s="18">
        <f>SUM(D35:D39)</f>
        <v>4518936</v>
      </c>
      <c r="E40" s="18">
        <f>SUM(E35:E39)</f>
        <v>1365173</v>
      </c>
      <c r="F40" s="19">
        <f>AVERAGE(F35:F39)</f>
        <v>0.28381303540302261</v>
      </c>
      <c r="G40" s="18">
        <f>SUM(G35:G39)</f>
        <v>16744</v>
      </c>
      <c r="H40" s="19">
        <f>AVERAGE(H35:H39)</f>
        <v>1.5206697033000118E-2</v>
      </c>
      <c r="I40" s="21">
        <f>AVERAGE(I35:I39)</f>
        <v>4.227184336783628E-3</v>
      </c>
    </row>
    <row r="41" spans="1:9" ht="3" customHeight="1" thickBot="1" x14ac:dyDescent="0.3">
      <c r="A41" s="143"/>
      <c r="B41" s="140"/>
      <c r="C41" s="140"/>
      <c r="D41" s="140"/>
      <c r="E41" s="140"/>
      <c r="F41" s="140"/>
      <c r="G41" s="140"/>
      <c r="H41" s="140"/>
      <c r="I41" s="144"/>
    </row>
    <row r="42" spans="1:9" x14ac:dyDescent="0.25">
      <c r="A42" s="22" t="s">
        <v>795</v>
      </c>
      <c r="B42" s="23"/>
      <c r="C42" s="23"/>
      <c r="D42" s="23"/>
      <c r="E42" s="23"/>
      <c r="F42" s="23"/>
      <c r="G42" s="23"/>
      <c r="H42" s="23"/>
      <c r="I42" s="24"/>
    </row>
    <row r="43" spans="1:9" x14ac:dyDescent="0.25">
      <c r="A43" s="11">
        <v>45247</v>
      </c>
      <c r="B43" t="s">
        <v>290</v>
      </c>
      <c r="C43" t="s">
        <v>32</v>
      </c>
      <c r="D43" s="1">
        <v>1094920</v>
      </c>
      <c r="E43" s="1">
        <v>361103</v>
      </c>
      <c r="F43" s="2">
        <v>0.32979852409308402</v>
      </c>
      <c r="G43" s="1">
        <v>4876</v>
      </c>
      <c r="H43" s="2">
        <v>1.3503072530552201E-2</v>
      </c>
      <c r="I43" s="12">
        <v>4.4532933912979902E-3</v>
      </c>
    </row>
    <row r="44" spans="1:9" x14ac:dyDescent="0.25">
      <c r="A44" s="11">
        <v>45247</v>
      </c>
      <c r="B44" t="s">
        <v>290</v>
      </c>
      <c r="C44" t="s">
        <v>33</v>
      </c>
      <c r="D44" s="1">
        <v>1971</v>
      </c>
      <c r="E44" s="1">
        <v>601</v>
      </c>
      <c r="F44" s="2">
        <v>0.30492135971588002</v>
      </c>
      <c r="G44" s="1">
        <v>12</v>
      </c>
      <c r="H44" s="2">
        <v>1.99667221297837E-2</v>
      </c>
      <c r="I44" s="12">
        <v>6.0882800608828003E-3</v>
      </c>
    </row>
    <row r="45" spans="1:9" x14ac:dyDescent="0.25">
      <c r="A45" s="11">
        <v>45247</v>
      </c>
      <c r="B45" t="s">
        <v>292</v>
      </c>
      <c r="C45" t="s">
        <v>32</v>
      </c>
      <c r="D45" s="1">
        <v>159005</v>
      </c>
      <c r="E45" s="1">
        <v>60212</v>
      </c>
      <c r="F45" s="2">
        <v>0.37867991572592102</v>
      </c>
      <c r="G45" s="1">
        <v>1544</v>
      </c>
      <c r="H45" s="2">
        <v>2.56427290241148E-2</v>
      </c>
      <c r="I45" s="12">
        <v>9.7103864658344106E-3</v>
      </c>
    </row>
    <row r="46" spans="1:9" x14ac:dyDescent="0.25">
      <c r="A46" s="11">
        <v>45247</v>
      </c>
      <c r="B46" t="s">
        <v>293</v>
      </c>
      <c r="C46" t="s">
        <v>32</v>
      </c>
      <c r="D46" s="1">
        <v>313901</v>
      </c>
      <c r="E46" s="1">
        <v>101478</v>
      </c>
      <c r="F46" s="2">
        <v>0.32328026989401099</v>
      </c>
      <c r="G46" s="1">
        <v>675</v>
      </c>
      <c r="H46" s="2">
        <v>6.6516880506119497E-3</v>
      </c>
      <c r="I46" s="12">
        <v>2.1503595082525999E-3</v>
      </c>
    </row>
    <row r="47" spans="1:9" x14ac:dyDescent="0.25">
      <c r="A47" s="11">
        <v>45248</v>
      </c>
      <c r="B47" t="s">
        <v>294</v>
      </c>
      <c r="C47" t="s">
        <v>32</v>
      </c>
      <c r="D47" s="1">
        <v>40943</v>
      </c>
      <c r="E47" s="1">
        <v>15872</v>
      </c>
      <c r="F47" s="2">
        <v>0.387660894414186</v>
      </c>
      <c r="G47" s="1">
        <v>488</v>
      </c>
      <c r="H47" s="2">
        <v>3.0745967741935502E-2</v>
      </c>
      <c r="I47" s="12">
        <v>1.19190093544684E-2</v>
      </c>
    </row>
    <row r="48" spans="1:9" x14ac:dyDescent="0.25">
      <c r="A48" s="11">
        <v>45248</v>
      </c>
      <c r="B48" t="s">
        <v>295</v>
      </c>
      <c r="C48" t="s">
        <v>32</v>
      </c>
      <c r="D48" s="1">
        <v>1042769</v>
      </c>
      <c r="E48" s="1">
        <v>281508</v>
      </c>
      <c r="F48" s="2">
        <v>0.269961995417969</v>
      </c>
      <c r="G48" s="1">
        <v>8931</v>
      </c>
      <c r="H48" s="2">
        <v>3.1725563749520402E-2</v>
      </c>
      <c r="I48" s="12">
        <v>8.5646964955805194E-3</v>
      </c>
    </row>
    <row r="49" spans="1:9" x14ac:dyDescent="0.25">
      <c r="A49" s="11">
        <v>45248</v>
      </c>
      <c r="B49" t="s">
        <v>295</v>
      </c>
      <c r="C49" t="s">
        <v>33</v>
      </c>
      <c r="D49" s="1">
        <v>86127</v>
      </c>
      <c r="E49" s="1">
        <v>16610</v>
      </c>
      <c r="F49" s="2">
        <v>0.19285473777096601</v>
      </c>
      <c r="G49" s="1">
        <v>557</v>
      </c>
      <c r="H49" s="2">
        <v>3.3534015653220901E-2</v>
      </c>
      <c r="I49" s="12">
        <v>6.4671937952093996E-3</v>
      </c>
    </row>
    <row r="50" spans="1:9" x14ac:dyDescent="0.25">
      <c r="A50" s="11">
        <v>45250</v>
      </c>
      <c r="B50" t="s">
        <v>296</v>
      </c>
      <c r="C50" t="s">
        <v>32</v>
      </c>
      <c r="D50" s="1">
        <v>59523</v>
      </c>
      <c r="E50" s="1">
        <v>23508</v>
      </c>
      <c r="F50" s="2">
        <v>0.39493977118088802</v>
      </c>
      <c r="G50" s="1">
        <v>293</v>
      </c>
      <c r="H50" s="2">
        <v>1.24638420963076E-2</v>
      </c>
      <c r="I50" s="12">
        <v>4.9224669455504603E-3</v>
      </c>
    </row>
    <row r="51" spans="1:9" x14ac:dyDescent="0.25">
      <c r="A51" s="11">
        <v>45252</v>
      </c>
      <c r="B51" t="s">
        <v>298</v>
      </c>
      <c r="C51" t="s">
        <v>32</v>
      </c>
      <c r="D51" s="1">
        <v>198425</v>
      </c>
      <c r="E51" s="1">
        <v>77572</v>
      </c>
      <c r="F51" s="2">
        <v>0.39093864180420801</v>
      </c>
      <c r="G51" s="1">
        <v>892</v>
      </c>
      <c r="H51" s="2">
        <v>1.14989944825452E-2</v>
      </c>
      <c r="I51" s="12">
        <v>4.4954012851203201E-3</v>
      </c>
    </row>
    <row r="52" spans="1:9" x14ac:dyDescent="0.25">
      <c r="A52" s="11">
        <v>45252</v>
      </c>
      <c r="B52" t="s">
        <v>298</v>
      </c>
      <c r="C52" t="s">
        <v>33</v>
      </c>
      <c r="D52" s="1">
        <v>11868</v>
      </c>
      <c r="E52" s="1">
        <v>4334</v>
      </c>
      <c r="F52" s="2">
        <v>0.36518368722615402</v>
      </c>
      <c r="G52" s="1">
        <v>102</v>
      </c>
      <c r="H52" s="2">
        <v>2.3534840793724001E-2</v>
      </c>
      <c r="I52" s="12">
        <v>8.5945399393326603E-3</v>
      </c>
    </row>
    <row r="53" spans="1:9" x14ac:dyDescent="0.25">
      <c r="A53" s="11">
        <v>45252</v>
      </c>
      <c r="B53" t="s">
        <v>299</v>
      </c>
      <c r="C53" t="s">
        <v>300</v>
      </c>
      <c r="D53" s="1">
        <v>5802</v>
      </c>
      <c r="E53" s="1">
        <v>2177</v>
      </c>
      <c r="F53" s="2">
        <v>0.37521544295070702</v>
      </c>
      <c r="G53" s="1">
        <v>44</v>
      </c>
      <c r="H53" s="2">
        <v>2.02112999540652E-2</v>
      </c>
      <c r="I53" s="12">
        <v>7.5835918648741799E-3</v>
      </c>
    </row>
    <row r="54" spans="1:9" x14ac:dyDescent="0.25">
      <c r="A54" s="11">
        <v>45252</v>
      </c>
      <c r="B54" t="s">
        <v>299</v>
      </c>
      <c r="C54" t="s">
        <v>162</v>
      </c>
      <c r="D54" s="1">
        <v>109287</v>
      </c>
      <c r="E54" s="1">
        <v>40332</v>
      </c>
      <c r="F54" s="2">
        <v>0.369046638666996</v>
      </c>
      <c r="G54" s="1">
        <v>952</v>
      </c>
      <c r="H54" s="2">
        <v>2.3604086085490399E-2</v>
      </c>
      <c r="I54" s="12">
        <v>8.7110086286566607E-3</v>
      </c>
    </row>
    <row r="55" spans="1:9" x14ac:dyDescent="0.25">
      <c r="A55" s="11">
        <v>45252</v>
      </c>
      <c r="B55" t="s">
        <v>299</v>
      </c>
      <c r="C55" t="s">
        <v>301</v>
      </c>
      <c r="D55" s="1">
        <v>874</v>
      </c>
      <c r="E55" s="1">
        <v>321</v>
      </c>
      <c r="F55" s="2">
        <v>0.36727688787185397</v>
      </c>
      <c r="G55" s="1">
        <v>9</v>
      </c>
      <c r="H55" s="2">
        <v>2.80373831775701E-2</v>
      </c>
      <c r="I55" s="12">
        <v>1.02974828375286E-2</v>
      </c>
    </row>
    <row r="56" spans="1:9" x14ac:dyDescent="0.25">
      <c r="A56" s="11">
        <v>45252</v>
      </c>
      <c r="B56" t="s">
        <v>299</v>
      </c>
      <c r="C56" t="s">
        <v>164</v>
      </c>
      <c r="D56" s="1">
        <v>15846</v>
      </c>
      <c r="E56" s="1">
        <v>5430</v>
      </c>
      <c r="F56" s="2">
        <v>0.34267322983718301</v>
      </c>
      <c r="G56" s="1">
        <v>161</v>
      </c>
      <c r="H56" s="2">
        <v>2.9650092081031299E-2</v>
      </c>
      <c r="I56" s="12">
        <v>1.0160292818376901E-2</v>
      </c>
    </row>
    <row r="57" spans="1:9" x14ac:dyDescent="0.25">
      <c r="A57" s="11">
        <v>45252</v>
      </c>
      <c r="B57" t="s">
        <v>302</v>
      </c>
      <c r="C57" t="s">
        <v>32</v>
      </c>
      <c r="D57" s="1">
        <v>204820</v>
      </c>
      <c r="E57" s="1">
        <v>70861</v>
      </c>
      <c r="F57" s="2">
        <v>0.34596719070403298</v>
      </c>
      <c r="G57" s="1">
        <v>832</v>
      </c>
      <c r="H57" s="2">
        <v>1.1741296340723399E-2</v>
      </c>
      <c r="I57" s="12">
        <v>4.0621033102236099E-3</v>
      </c>
    </row>
    <row r="58" spans="1:9" x14ac:dyDescent="0.25">
      <c r="A58" s="11">
        <v>45252</v>
      </c>
      <c r="B58" t="s">
        <v>303</v>
      </c>
      <c r="C58" t="s">
        <v>32</v>
      </c>
      <c r="D58" s="1">
        <v>33828</v>
      </c>
      <c r="E58" s="1">
        <v>14255</v>
      </c>
      <c r="F58" s="2">
        <v>0.42139647629182903</v>
      </c>
      <c r="G58" s="1">
        <v>947</v>
      </c>
      <c r="H58" s="2">
        <v>6.6432830585759398E-2</v>
      </c>
      <c r="I58" s="12">
        <v>2.79945607189311E-2</v>
      </c>
    </row>
    <row r="59" spans="1:9" x14ac:dyDescent="0.25">
      <c r="A59" s="11">
        <v>45253</v>
      </c>
      <c r="B59" t="s">
        <v>304</v>
      </c>
      <c r="C59" t="s">
        <v>163</v>
      </c>
      <c r="D59" s="1">
        <v>2101</v>
      </c>
      <c r="E59" s="1">
        <v>721</v>
      </c>
      <c r="F59" s="2">
        <v>0.34316991908614902</v>
      </c>
      <c r="G59" s="1">
        <v>8</v>
      </c>
      <c r="H59" s="2">
        <v>1.1095700416088801E-2</v>
      </c>
      <c r="I59" s="12">
        <v>3.8077106139933399E-3</v>
      </c>
    </row>
    <row r="60" spans="1:9" x14ac:dyDescent="0.25">
      <c r="A60" s="11">
        <v>45253</v>
      </c>
      <c r="B60" t="s">
        <v>304</v>
      </c>
      <c r="C60" t="s">
        <v>162</v>
      </c>
      <c r="D60" s="1">
        <v>40852</v>
      </c>
      <c r="E60" s="1">
        <v>15093</v>
      </c>
      <c r="F60" s="2">
        <v>0.36945559580926302</v>
      </c>
      <c r="G60" s="1">
        <v>202</v>
      </c>
      <c r="H60" s="2">
        <v>1.33836878022925E-2</v>
      </c>
      <c r="I60" s="12">
        <v>4.9446783511211201E-3</v>
      </c>
    </row>
    <row r="61" spans="1:9" ht="15.75" thickBot="1" x14ac:dyDescent="0.3">
      <c r="A61" s="17" t="s">
        <v>427</v>
      </c>
      <c r="B61" s="4"/>
      <c r="C61" s="4"/>
      <c r="D61" s="18">
        <f>SUM(D43:D60)</f>
        <v>3422862</v>
      </c>
      <c r="E61" s="18">
        <f>SUM(E43:E60)</f>
        <v>1091988</v>
      </c>
      <c r="F61" s="19">
        <f>AVERAGE(F43:F60)</f>
        <v>0.34846784324784891</v>
      </c>
      <c r="G61" s="18">
        <f>SUM(G43:G60)</f>
        <v>21525</v>
      </c>
      <c r="H61" s="19">
        <f>AVERAGE(H43:H60)</f>
        <v>2.2967989594185407E-2</v>
      </c>
      <c r="I61" s="21">
        <f>AVERAGE(I43:I60)</f>
        <v>8.0515031325130593E-3</v>
      </c>
    </row>
    <row r="62" spans="1:9" ht="3" customHeight="1" thickBot="1" x14ac:dyDescent="0.3">
      <c r="A62" s="143"/>
      <c r="B62" s="140"/>
      <c r="C62" s="140"/>
      <c r="D62" s="140"/>
      <c r="E62" s="140"/>
      <c r="F62" s="140"/>
      <c r="G62" s="140"/>
      <c r="H62" s="140"/>
      <c r="I62" s="144"/>
    </row>
    <row r="63" spans="1:9" x14ac:dyDescent="0.25">
      <c r="A63" s="22" t="s">
        <v>792</v>
      </c>
      <c r="B63" s="23"/>
      <c r="C63" s="23"/>
      <c r="D63" s="23"/>
      <c r="E63" s="23"/>
      <c r="F63" s="23"/>
      <c r="G63" s="23"/>
      <c r="H63" s="23"/>
      <c r="I63" s="24"/>
    </row>
    <row r="64" spans="1:9" x14ac:dyDescent="0.25">
      <c r="A64" s="11">
        <v>45253</v>
      </c>
      <c r="B64" t="s">
        <v>305</v>
      </c>
      <c r="C64" t="s">
        <v>32</v>
      </c>
      <c r="D64" s="1">
        <v>1826689</v>
      </c>
      <c r="E64" s="1">
        <v>558571</v>
      </c>
      <c r="F64" s="2">
        <v>0.30580000000000002</v>
      </c>
      <c r="G64" s="1">
        <v>2859</v>
      </c>
      <c r="H64" s="2">
        <v>5.1000000000000004E-3</v>
      </c>
      <c r="I64" s="12">
        <v>1.6000000000000001E-3</v>
      </c>
    </row>
    <row r="65" spans="1:9" x14ac:dyDescent="0.25">
      <c r="A65" s="11">
        <v>45253</v>
      </c>
      <c r="B65" t="s">
        <v>306</v>
      </c>
      <c r="C65" t="s">
        <v>33</v>
      </c>
      <c r="D65" s="1">
        <v>130018</v>
      </c>
      <c r="E65" s="1">
        <v>30436</v>
      </c>
      <c r="F65" s="2">
        <v>0.2341</v>
      </c>
      <c r="G65" s="1">
        <v>220</v>
      </c>
      <c r="H65" s="2">
        <v>7.1999999999999998E-3</v>
      </c>
      <c r="I65" s="12">
        <v>1.6999999999999999E-3</v>
      </c>
    </row>
    <row r="66" spans="1:9" x14ac:dyDescent="0.25">
      <c r="A66" s="11">
        <v>45253</v>
      </c>
      <c r="B66" t="s">
        <v>287</v>
      </c>
      <c r="C66" t="s">
        <v>32</v>
      </c>
      <c r="D66" s="1">
        <v>1313060</v>
      </c>
      <c r="E66" s="1">
        <v>389257</v>
      </c>
      <c r="F66" s="2">
        <v>0.29649999999999999</v>
      </c>
      <c r="G66" s="1">
        <v>1577</v>
      </c>
      <c r="H66" s="2">
        <v>4.1000000000000003E-3</v>
      </c>
      <c r="I66" s="12">
        <v>1.1999999999999999E-3</v>
      </c>
    </row>
    <row r="67" spans="1:9" x14ac:dyDescent="0.25">
      <c r="A67" s="11">
        <v>45253</v>
      </c>
      <c r="B67" t="s">
        <v>288</v>
      </c>
      <c r="C67" t="s">
        <v>33</v>
      </c>
      <c r="D67" s="1">
        <v>76284</v>
      </c>
      <c r="E67" s="1">
        <v>18104</v>
      </c>
      <c r="F67" s="2">
        <v>0.23730000000000001</v>
      </c>
      <c r="G67" s="1">
        <v>119</v>
      </c>
      <c r="H67" s="2">
        <v>6.6E-3</v>
      </c>
      <c r="I67" s="12">
        <v>1.6000000000000001E-3</v>
      </c>
    </row>
    <row r="68" spans="1:9" x14ac:dyDescent="0.25">
      <c r="A68" s="11">
        <v>45253</v>
      </c>
      <c r="B68" t="s">
        <v>307</v>
      </c>
      <c r="C68" t="s">
        <v>32</v>
      </c>
      <c r="D68" s="1">
        <v>448384</v>
      </c>
      <c r="E68" s="1">
        <v>134867</v>
      </c>
      <c r="F68" s="2">
        <v>0.30080000000000001</v>
      </c>
      <c r="G68" s="1">
        <v>869</v>
      </c>
      <c r="H68" s="2">
        <v>6.4000000000000003E-3</v>
      </c>
      <c r="I68" s="12">
        <v>1.9E-3</v>
      </c>
    </row>
    <row r="69" spans="1:9" x14ac:dyDescent="0.25">
      <c r="A69" s="11">
        <v>45253</v>
      </c>
      <c r="B69" t="s">
        <v>308</v>
      </c>
      <c r="C69" t="s">
        <v>33</v>
      </c>
      <c r="D69" s="1">
        <v>31080</v>
      </c>
      <c r="E69" s="1">
        <v>6917</v>
      </c>
      <c r="F69" s="2">
        <v>0.22259999999999999</v>
      </c>
      <c r="G69" s="1">
        <v>61</v>
      </c>
      <c r="H69" s="2">
        <v>8.8000000000000005E-3</v>
      </c>
      <c r="I69" s="12">
        <v>2E-3</v>
      </c>
    </row>
    <row r="70" spans="1:9" ht="15.75" thickBot="1" x14ac:dyDescent="0.3">
      <c r="A70" s="17" t="s">
        <v>427</v>
      </c>
      <c r="B70" s="4"/>
      <c r="C70" s="4"/>
      <c r="D70" s="18">
        <f>SUM(D64:D69)</f>
        <v>3825515</v>
      </c>
      <c r="E70" s="18">
        <f>SUM(E64:E69)</f>
        <v>1138152</v>
      </c>
      <c r="F70" s="19">
        <f>AVERAGE(F64:F69)</f>
        <v>0.26618333333333333</v>
      </c>
      <c r="G70" s="18">
        <f>SUM(G64:G69)</f>
        <v>5705</v>
      </c>
      <c r="H70" s="19">
        <f>AVERAGE(H64:H69)</f>
        <v>6.3666666666666663E-3</v>
      </c>
      <c r="I70" s="21">
        <f>AVERAGE(I64:I69)</f>
        <v>1.6666666666666668E-3</v>
      </c>
    </row>
  </sheetData>
  <mergeCells count="3">
    <mergeCell ref="A32:I32"/>
    <mergeCell ref="A41:I41"/>
    <mergeCell ref="A62:I62"/>
  </mergeCells>
  <pageMargins left="0.7" right="0.7" top="0.75" bottom="0.75" header="0.3" footer="0.3"/>
  <ignoredErrors>
    <ignoredError sqref="F31:G31 F40:G40 F61:G61 F70:G70" formula="1"/>
  </ignoredErrors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6146-3550-41EE-95D2-5A5DDD84465D}">
  <dimension ref="A1:I77"/>
  <sheetViews>
    <sheetView workbookViewId="0">
      <selection activeCell="B28" sqref="B28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0.5703125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45254</v>
      </c>
      <c r="B2" t="s">
        <v>309</v>
      </c>
      <c r="C2" t="s">
        <v>32</v>
      </c>
      <c r="D2" s="1">
        <v>2834617</v>
      </c>
      <c r="E2" s="1">
        <v>851146</v>
      </c>
      <c r="F2" s="2">
        <v>0.30026843132599601</v>
      </c>
      <c r="G2" s="1">
        <v>9710</v>
      </c>
      <c r="H2" s="2">
        <v>1.14081485432581E-2</v>
      </c>
      <c r="I2" s="2">
        <v>3.4255068674180701E-3</v>
      </c>
    </row>
    <row r="3" spans="1:9" x14ac:dyDescent="0.25">
      <c r="A3" s="26">
        <v>45254</v>
      </c>
      <c r="B3" t="s">
        <v>309</v>
      </c>
      <c r="C3" t="s">
        <v>33</v>
      </c>
      <c r="D3" s="1">
        <v>189569</v>
      </c>
      <c r="E3" s="1">
        <v>43821</v>
      </c>
      <c r="F3" s="2">
        <v>0.23116121306753701</v>
      </c>
      <c r="G3" s="1">
        <v>771</v>
      </c>
      <c r="H3" s="2">
        <v>1.7594304100773599E-2</v>
      </c>
      <c r="I3" s="2">
        <v>4.0671206790139696E-3</v>
      </c>
    </row>
    <row r="4" spans="1:9" x14ac:dyDescent="0.25">
      <c r="A4" s="26">
        <v>45254</v>
      </c>
      <c r="B4" t="s">
        <v>310</v>
      </c>
      <c r="C4" t="s">
        <v>32</v>
      </c>
      <c r="D4" s="1">
        <v>312591</v>
      </c>
      <c r="E4" s="1">
        <v>94685</v>
      </c>
      <c r="F4" s="2">
        <v>0.30290379441506599</v>
      </c>
      <c r="G4" s="1">
        <v>1845</v>
      </c>
      <c r="H4" s="2">
        <v>1.9485662987801699E-2</v>
      </c>
      <c r="I4" s="2">
        <v>5.9022812556983398E-3</v>
      </c>
    </row>
    <row r="5" spans="1:9" x14ac:dyDescent="0.25">
      <c r="A5" s="26">
        <v>45254</v>
      </c>
      <c r="B5" t="s">
        <v>310</v>
      </c>
      <c r="C5" t="s">
        <v>33</v>
      </c>
      <c r="D5" s="1">
        <v>17169</v>
      </c>
      <c r="E5" s="1">
        <v>5771</v>
      </c>
      <c r="F5" s="2">
        <v>0.33612906983516799</v>
      </c>
      <c r="G5" s="1">
        <v>253</v>
      </c>
      <c r="H5" s="2">
        <v>4.3839889100675801E-2</v>
      </c>
      <c r="I5" s="2">
        <v>1.47358611450871E-2</v>
      </c>
    </row>
    <row r="6" spans="1:9" x14ac:dyDescent="0.25">
      <c r="A6" s="26">
        <v>45254</v>
      </c>
      <c r="B6" t="s">
        <v>311</v>
      </c>
      <c r="C6" t="s">
        <v>312</v>
      </c>
      <c r="D6" s="1">
        <v>4061244</v>
      </c>
      <c r="E6" s="1">
        <v>1253939</v>
      </c>
      <c r="F6" s="2">
        <v>0.30875736596963899</v>
      </c>
      <c r="G6" s="1">
        <v>17084</v>
      </c>
      <c r="H6" s="2">
        <v>1.3624267209170499E-2</v>
      </c>
      <c r="I6" s="2">
        <v>4.2065928567699903E-3</v>
      </c>
    </row>
    <row r="7" spans="1:9" x14ac:dyDescent="0.25">
      <c r="A7" s="26">
        <v>45254</v>
      </c>
      <c r="B7" t="s">
        <v>311</v>
      </c>
      <c r="C7" t="s">
        <v>313</v>
      </c>
      <c r="D7" s="1">
        <v>279365</v>
      </c>
      <c r="E7" s="1">
        <v>69886</v>
      </c>
      <c r="F7" s="2">
        <v>0.250160184704598</v>
      </c>
      <c r="G7" s="1">
        <v>1631</v>
      </c>
      <c r="H7" s="2">
        <v>2.33380076123973E-2</v>
      </c>
      <c r="I7" s="2">
        <v>5.8382402949546299E-3</v>
      </c>
    </row>
    <row r="8" spans="1:9" x14ac:dyDescent="0.25">
      <c r="A8" s="26">
        <v>45254</v>
      </c>
      <c r="B8" t="s">
        <v>311</v>
      </c>
      <c r="C8" t="s">
        <v>314</v>
      </c>
      <c r="D8" s="1">
        <v>82554</v>
      </c>
      <c r="E8" s="1">
        <v>32687</v>
      </c>
      <c r="F8" s="2">
        <v>0.39594689536545802</v>
      </c>
      <c r="G8" s="1">
        <v>1606</v>
      </c>
      <c r="H8" s="2">
        <v>4.9132682717900097E-2</v>
      </c>
      <c r="I8" s="2">
        <v>1.9453933183128599E-2</v>
      </c>
    </row>
    <row r="9" spans="1:9" x14ac:dyDescent="0.25">
      <c r="A9" s="26">
        <v>45254</v>
      </c>
      <c r="B9" t="s">
        <v>311</v>
      </c>
      <c r="C9" t="s">
        <v>315</v>
      </c>
      <c r="D9" s="1">
        <v>3920</v>
      </c>
      <c r="E9" s="1">
        <v>1453</v>
      </c>
      <c r="F9" s="2">
        <v>0.37066326530612198</v>
      </c>
      <c r="G9" s="1">
        <v>89</v>
      </c>
      <c r="H9" s="2">
        <v>6.1252580867171398E-2</v>
      </c>
      <c r="I9" s="2">
        <v>2.2704081632653101E-2</v>
      </c>
    </row>
    <row r="10" spans="1:9" x14ac:dyDescent="0.25">
      <c r="A10" s="26">
        <v>45254</v>
      </c>
      <c r="B10" t="s">
        <v>311</v>
      </c>
      <c r="C10" t="s">
        <v>316</v>
      </c>
      <c r="D10" s="1">
        <v>4058357</v>
      </c>
      <c r="E10" s="1">
        <v>1261509</v>
      </c>
      <c r="F10" s="2">
        <v>0.31084229406136499</v>
      </c>
      <c r="G10" s="1">
        <v>17872</v>
      </c>
      <c r="H10" s="2">
        <v>1.41671601233126E-2</v>
      </c>
      <c r="I10" s="2">
        <v>4.4037525530651904E-3</v>
      </c>
    </row>
    <row r="11" spans="1:9" x14ac:dyDescent="0.25">
      <c r="A11" s="26">
        <v>45254</v>
      </c>
      <c r="B11" t="s">
        <v>311</v>
      </c>
      <c r="C11" t="s">
        <v>317</v>
      </c>
      <c r="D11" s="1">
        <v>279161</v>
      </c>
      <c r="E11" s="1">
        <v>69170</v>
      </c>
      <c r="F11" s="2">
        <v>0.24777816385526599</v>
      </c>
      <c r="G11" s="1">
        <v>1462</v>
      </c>
      <c r="H11" s="2">
        <v>2.1136330779239602E-2</v>
      </c>
      <c r="I11" s="2">
        <v>5.2371212311175296E-3</v>
      </c>
    </row>
    <row r="12" spans="1:9" x14ac:dyDescent="0.25">
      <c r="A12" s="26">
        <v>45254</v>
      </c>
      <c r="B12" t="s">
        <v>311</v>
      </c>
      <c r="C12" t="s">
        <v>318</v>
      </c>
      <c r="D12" s="1">
        <v>82379</v>
      </c>
      <c r="E12" s="1">
        <v>32693</v>
      </c>
      <c r="F12" s="2">
        <v>0.39686085045946201</v>
      </c>
      <c r="G12" s="1">
        <v>1288</v>
      </c>
      <c r="H12" s="2">
        <v>3.9396812773376602E-2</v>
      </c>
      <c r="I12" s="2">
        <v>1.5635052622634399E-2</v>
      </c>
    </row>
    <row r="13" spans="1:9" x14ac:dyDescent="0.25">
      <c r="A13" s="26">
        <v>45254</v>
      </c>
      <c r="B13" t="s">
        <v>311</v>
      </c>
      <c r="C13" t="s">
        <v>319</v>
      </c>
      <c r="D13" s="1">
        <v>3909</v>
      </c>
      <c r="E13" s="1">
        <v>1425</v>
      </c>
      <c r="F13" s="2">
        <v>0.36454336147352301</v>
      </c>
      <c r="G13" s="1">
        <v>44</v>
      </c>
      <c r="H13" s="2">
        <v>3.08771929824561E-2</v>
      </c>
      <c r="I13" s="2">
        <v>1.1256075722691199E-2</v>
      </c>
    </row>
    <row r="14" spans="1:9" x14ac:dyDescent="0.25">
      <c r="A14" s="26">
        <v>45258</v>
      </c>
      <c r="B14" t="s">
        <v>320</v>
      </c>
      <c r="C14" t="s">
        <v>32</v>
      </c>
      <c r="D14" s="1">
        <v>1066231</v>
      </c>
      <c r="E14" s="1">
        <v>366110</v>
      </c>
      <c r="F14" s="2">
        <v>0.34336836951842498</v>
      </c>
      <c r="G14" s="1">
        <v>7415</v>
      </c>
      <c r="H14" s="2">
        <v>2.0253475731337602E-2</v>
      </c>
      <c r="I14" s="2">
        <v>6.9544029389503803E-3</v>
      </c>
    </row>
    <row r="15" spans="1:9" x14ac:dyDescent="0.25">
      <c r="A15" s="26">
        <v>45258</v>
      </c>
      <c r="B15" t="s">
        <v>320</v>
      </c>
      <c r="C15" t="s">
        <v>33</v>
      </c>
      <c r="D15" s="1">
        <v>80882</v>
      </c>
      <c r="E15" s="1">
        <v>24066</v>
      </c>
      <c r="F15" s="2">
        <v>0.29754457110358301</v>
      </c>
      <c r="G15" s="1">
        <v>745</v>
      </c>
      <c r="H15" s="2">
        <v>3.0956536192138302E-2</v>
      </c>
      <c r="I15" s="2">
        <v>9.2109492841423307E-3</v>
      </c>
    </row>
    <row r="16" spans="1:9" x14ac:dyDescent="0.25">
      <c r="A16" s="26">
        <v>45258</v>
      </c>
      <c r="B16" t="s">
        <v>321</v>
      </c>
      <c r="C16" t="s">
        <v>32</v>
      </c>
      <c r="D16" s="1">
        <v>122998</v>
      </c>
      <c r="E16" s="1">
        <v>72882</v>
      </c>
      <c r="F16" s="2">
        <v>0.59254622026374404</v>
      </c>
      <c r="G16" s="1">
        <v>1286</v>
      </c>
      <c r="H16" s="2">
        <v>1.7644960346862099E-2</v>
      </c>
      <c r="I16" s="2">
        <v>1.0455454560236801E-2</v>
      </c>
    </row>
    <row r="17" spans="1:9" x14ac:dyDescent="0.25">
      <c r="A17" s="26">
        <v>45258</v>
      </c>
      <c r="B17" t="s">
        <v>321</v>
      </c>
      <c r="C17" t="s">
        <v>33</v>
      </c>
      <c r="D17" s="1">
        <v>5459</v>
      </c>
      <c r="E17" s="1">
        <v>3535</v>
      </c>
      <c r="F17" s="2">
        <v>0.64755449716065205</v>
      </c>
      <c r="G17" s="1">
        <v>58</v>
      </c>
      <c r="H17" s="2">
        <v>1.6407355021216399E-2</v>
      </c>
      <c r="I17" s="2">
        <v>1.06246565305001E-2</v>
      </c>
    </row>
    <row r="18" spans="1:9" x14ac:dyDescent="0.25">
      <c r="A18" s="26">
        <v>45259</v>
      </c>
      <c r="B18" t="s">
        <v>322</v>
      </c>
      <c r="C18" t="s">
        <v>32</v>
      </c>
      <c r="D18" s="1">
        <v>107920</v>
      </c>
      <c r="E18" s="1">
        <v>46457</v>
      </c>
      <c r="F18" s="2">
        <v>0.43047627872498101</v>
      </c>
      <c r="G18" s="1">
        <v>1467</v>
      </c>
      <c r="H18" s="2">
        <v>3.1577587876961501E-2</v>
      </c>
      <c r="I18" s="2">
        <v>1.35934025203855E-2</v>
      </c>
    </row>
    <row r="19" spans="1:9" x14ac:dyDescent="0.25">
      <c r="A19" s="26">
        <v>45259</v>
      </c>
      <c r="B19" t="s">
        <v>322</v>
      </c>
      <c r="C19" t="s">
        <v>33</v>
      </c>
      <c r="D19" s="1">
        <v>6165</v>
      </c>
      <c r="E19" s="1">
        <v>2702</v>
      </c>
      <c r="F19" s="2">
        <v>0.43828061638280602</v>
      </c>
      <c r="G19" s="1">
        <v>110</v>
      </c>
      <c r="H19" s="2">
        <v>4.0710584752035497E-2</v>
      </c>
      <c r="I19" s="2">
        <v>1.78426601784266E-2</v>
      </c>
    </row>
    <row r="20" spans="1:9" x14ac:dyDescent="0.25">
      <c r="A20" s="26">
        <v>45259</v>
      </c>
      <c r="B20" t="s">
        <v>323</v>
      </c>
      <c r="C20" t="s">
        <v>32</v>
      </c>
      <c r="D20" s="1">
        <v>390533</v>
      </c>
      <c r="E20" s="1">
        <v>135241</v>
      </c>
      <c r="F20" s="2">
        <v>0.34629852022748397</v>
      </c>
      <c r="G20" s="1">
        <v>1185</v>
      </c>
      <c r="H20" s="2">
        <v>8.7621357428590407E-3</v>
      </c>
      <c r="I20" s="2">
        <v>3.03431464178443E-3</v>
      </c>
    </row>
    <row r="21" spans="1:9" x14ac:dyDescent="0.25">
      <c r="A21" s="26">
        <v>45259</v>
      </c>
      <c r="B21" t="s">
        <v>323</v>
      </c>
      <c r="C21" t="s">
        <v>33</v>
      </c>
      <c r="D21" s="1">
        <v>23371</v>
      </c>
      <c r="E21" s="1">
        <v>7106</v>
      </c>
      <c r="F21" s="2">
        <v>0.304052030293954</v>
      </c>
      <c r="G21" s="1">
        <v>111</v>
      </c>
      <c r="H21" s="2">
        <v>1.56206023079088E-2</v>
      </c>
      <c r="I21" s="2">
        <v>4.7494758461340998E-3</v>
      </c>
    </row>
    <row r="22" spans="1:9" x14ac:dyDescent="0.25">
      <c r="A22" s="26">
        <v>45259</v>
      </c>
      <c r="B22" t="s">
        <v>324</v>
      </c>
      <c r="C22" t="s">
        <v>32</v>
      </c>
      <c r="D22" s="1">
        <v>493</v>
      </c>
      <c r="E22" s="1">
        <v>190</v>
      </c>
      <c r="F22" s="2">
        <v>0.38539553752535499</v>
      </c>
      <c r="G22" s="1">
        <v>47</v>
      </c>
      <c r="H22" s="2">
        <v>0.24736842105263199</v>
      </c>
      <c r="I22" s="2">
        <v>9.5334685598377295E-2</v>
      </c>
    </row>
    <row r="23" spans="1:9" x14ac:dyDescent="0.25">
      <c r="A23" s="26">
        <v>45260</v>
      </c>
      <c r="B23" t="s">
        <v>305</v>
      </c>
      <c r="C23" t="s">
        <v>325</v>
      </c>
      <c r="D23" s="1">
        <v>1667584</v>
      </c>
      <c r="E23" s="1">
        <v>569496</v>
      </c>
      <c r="F23" s="3">
        <v>0.34150000000000003</v>
      </c>
      <c r="G23" s="1">
        <v>3762</v>
      </c>
      <c r="H23" s="3">
        <v>6.6E-3</v>
      </c>
      <c r="I23" s="3">
        <v>2.3E-3</v>
      </c>
    </row>
    <row r="24" spans="1:9" x14ac:dyDescent="0.25">
      <c r="A24" s="26">
        <v>45260</v>
      </c>
      <c r="B24" t="s">
        <v>306</v>
      </c>
      <c r="C24" t="s">
        <v>326</v>
      </c>
      <c r="D24" s="1">
        <v>122041</v>
      </c>
      <c r="E24" s="1">
        <v>36158</v>
      </c>
      <c r="F24" s="3">
        <v>0.29630000000000001</v>
      </c>
      <c r="G24">
        <v>412</v>
      </c>
      <c r="H24" s="3">
        <v>1.14E-2</v>
      </c>
      <c r="I24" s="3">
        <v>3.3999999999999998E-3</v>
      </c>
    </row>
    <row r="25" spans="1:9" x14ac:dyDescent="0.25">
      <c r="A25" s="26">
        <v>45260</v>
      </c>
      <c r="B25" t="s">
        <v>327</v>
      </c>
      <c r="C25" t="s">
        <v>328</v>
      </c>
      <c r="D25" s="1">
        <v>832110</v>
      </c>
      <c r="E25" s="1">
        <v>320826</v>
      </c>
      <c r="F25" s="3">
        <v>0.3856</v>
      </c>
      <c r="G25" s="1">
        <v>2879</v>
      </c>
      <c r="H25" s="3">
        <v>8.9999999999999993E-3</v>
      </c>
      <c r="I25" s="3">
        <v>3.5000000000000001E-3</v>
      </c>
    </row>
    <row r="26" spans="1:9" x14ac:dyDescent="0.25">
      <c r="A26" s="26">
        <v>45260</v>
      </c>
      <c r="B26" t="s">
        <v>329</v>
      </c>
      <c r="C26" t="s">
        <v>330</v>
      </c>
      <c r="D26" s="1">
        <v>64589</v>
      </c>
      <c r="E26" s="1">
        <v>24250</v>
      </c>
      <c r="F26" s="3">
        <v>0.3755</v>
      </c>
      <c r="G26">
        <v>372</v>
      </c>
      <c r="H26" s="3">
        <v>1.5299999999999999E-2</v>
      </c>
      <c r="I26" s="3">
        <v>5.7999999999999996E-3</v>
      </c>
    </row>
    <row r="27" spans="1:9" x14ac:dyDescent="0.25">
      <c r="A27" s="26">
        <v>45260</v>
      </c>
      <c r="B27" t="s">
        <v>331</v>
      </c>
      <c r="C27" t="s">
        <v>32</v>
      </c>
      <c r="D27" s="1">
        <v>20120</v>
      </c>
      <c r="E27" s="1">
        <v>7293</v>
      </c>
      <c r="F27" s="2">
        <v>0.36247514910536799</v>
      </c>
      <c r="G27" s="1">
        <v>182</v>
      </c>
      <c r="H27" s="2">
        <v>2.4955436720142599E-2</v>
      </c>
      <c r="I27" s="2">
        <v>9.04572564612326E-3</v>
      </c>
    </row>
    <row r="28" spans="1:9" x14ac:dyDescent="0.25">
      <c r="A28" s="26">
        <v>45260</v>
      </c>
      <c r="B28" t="s">
        <v>331</v>
      </c>
      <c r="C28" t="s">
        <v>33</v>
      </c>
      <c r="D28" s="1">
        <v>20962</v>
      </c>
      <c r="E28" s="1">
        <v>8396</v>
      </c>
      <c r="F28" s="2">
        <v>0.40053430016219799</v>
      </c>
      <c r="G28" s="1">
        <v>266</v>
      </c>
      <c r="H28" s="2">
        <v>3.16817532158171E-2</v>
      </c>
      <c r="I28" s="2">
        <v>1.26896288522088E-2</v>
      </c>
    </row>
    <row r="29" spans="1:9" x14ac:dyDescent="0.25">
      <c r="A29" s="26">
        <v>45260</v>
      </c>
      <c r="B29" t="s">
        <v>287</v>
      </c>
      <c r="C29" t="s">
        <v>332</v>
      </c>
      <c r="D29" s="1">
        <v>1308488</v>
      </c>
      <c r="E29" s="1">
        <v>405873</v>
      </c>
      <c r="F29" s="3">
        <v>0.31019999999999998</v>
      </c>
      <c r="G29" s="1">
        <v>2110</v>
      </c>
      <c r="H29" s="3">
        <v>5.1999999999999998E-3</v>
      </c>
      <c r="I29" s="3">
        <v>1.6000000000000001E-3</v>
      </c>
    </row>
    <row r="30" spans="1:9" x14ac:dyDescent="0.25">
      <c r="A30" s="26">
        <v>45260</v>
      </c>
      <c r="B30" t="s">
        <v>288</v>
      </c>
      <c r="C30" t="s">
        <v>333</v>
      </c>
      <c r="D30" s="1">
        <v>75904</v>
      </c>
      <c r="E30" s="1">
        <v>21124</v>
      </c>
      <c r="F30" s="3">
        <v>0.27829999999999999</v>
      </c>
      <c r="G30">
        <v>181</v>
      </c>
      <c r="H30" s="3">
        <v>8.6E-3</v>
      </c>
      <c r="I30" s="3">
        <v>2.3999999999999998E-3</v>
      </c>
    </row>
    <row r="31" spans="1:9" x14ac:dyDescent="0.25">
      <c r="A31" s="26">
        <v>45260</v>
      </c>
      <c r="B31" t="s">
        <v>307</v>
      </c>
      <c r="C31" t="s">
        <v>325</v>
      </c>
      <c r="D31" s="1">
        <v>392895</v>
      </c>
      <c r="E31" s="1">
        <v>125767</v>
      </c>
      <c r="F31" s="3">
        <v>0.3201</v>
      </c>
      <c r="G31">
        <v>918</v>
      </c>
      <c r="H31" s="3">
        <v>7.3000000000000001E-3</v>
      </c>
      <c r="I31" s="3">
        <v>2.3E-3</v>
      </c>
    </row>
    <row r="32" spans="1:9" x14ac:dyDescent="0.25">
      <c r="A32" s="26">
        <v>45260</v>
      </c>
      <c r="B32" t="s">
        <v>308</v>
      </c>
      <c r="C32" t="s">
        <v>326</v>
      </c>
      <c r="D32" s="1">
        <v>28215</v>
      </c>
      <c r="E32" s="1">
        <v>8156</v>
      </c>
      <c r="F32" s="3">
        <v>0.28910000000000002</v>
      </c>
      <c r="G32">
        <v>89</v>
      </c>
      <c r="H32" s="3">
        <v>1.09E-2</v>
      </c>
      <c r="I32" s="3">
        <v>3.2000000000000002E-3</v>
      </c>
    </row>
    <row r="33" spans="1:9" x14ac:dyDescent="0.25">
      <c r="A33" s="26">
        <v>45260</v>
      </c>
      <c r="B33" t="s">
        <v>334</v>
      </c>
      <c r="C33" t="s">
        <v>328</v>
      </c>
      <c r="D33" s="1">
        <v>1461419</v>
      </c>
      <c r="E33" s="1">
        <v>514058</v>
      </c>
      <c r="F33" s="3">
        <v>0.3518</v>
      </c>
      <c r="G33" s="1">
        <v>3041</v>
      </c>
      <c r="H33" s="3">
        <v>5.8999999999999999E-3</v>
      </c>
      <c r="I33" s="3">
        <v>2.0999999999999999E-3</v>
      </c>
    </row>
    <row r="34" spans="1:9" x14ac:dyDescent="0.25">
      <c r="A34" s="26">
        <v>45260</v>
      </c>
      <c r="B34" t="s">
        <v>335</v>
      </c>
      <c r="C34" t="s">
        <v>330</v>
      </c>
      <c r="D34" s="1">
        <v>110503</v>
      </c>
      <c r="E34" s="1">
        <v>32738</v>
      </c>
      <c r="F34" s="3">
        <v>0.29630000000000001</v>
      </c>
      <c r="G34">
        <v>287</v>
      </c>
      <c r="H34" s="3">
        <v>8.8000000000000005E-3</v>
      </c>
      <c r="I34" s="3">
        <v>2.5999999999999999E-3</v>
      </c>
    </row>
    <row r="35" spans="1:9" ht="15.75" thickBot="1" x14ac:dyDescent="0.3">
      <c r="A35" s="27" t="s">
        <v>427</v>
      </c>
      <c r="D35" s="14">
        <f>SUM(D2:D34)</f>
        <v>20113717</v>
      </c>
      <c r="E35" s="14">
        <f>SUM(E2:E34)</f>
        <v>6450609</v>
      </c>
      <c r="F35" s="111">
        <f>AVERAGE(F2:F34)</f>
        <v>0.35179518122144698</v>
      </c>
      <c r="G35" s="14">
        <f>SUM(G2:G34)</f>
        <v>80578</v>
      </c>
      <c r="H35" s="111">
        <f>AVERAGE(H2:H34)</f>
        <v>2.7884602689619526E-2</v>
      </c>
      <c r="I35" s="111">
        <f>AVERAGE(I2:I34)</f>
        <v>1.0290938686106112E-2</v>
      </c>
    </row>
    <row r="36" spans="1:9" ht="15.75" thickBot="1" x14ac:dyDescent="0.3">
      <c r="A36" s="140"/>
      <c r="B36" s="140"/>
      <c r="C36" s="140"/>
      <c r="D36" s="140"/>
      <c r="E36" s="140"/>
      <c r="F36" s="140"/>
      <c r="G36" s="140"/>
      <c r="H36" s="140"/>
      <c r="I36" s="140"/>
    </row>
    <row r="37" spans="1:9" ht="20.45" customHeight="1" x14ac:dyDescent="0.25">
      <c r="A37" s="76" t="s">
        <v>0</v>
      </c>
      <c r="B37" s="77" t="s">
        <v>1</v>
      </c>
      <c r="C37" s="77" t="s">
        <v>796</v>
      </c>
      <c r="D37" s="77" t="s">
        <v>3</v>
      </c>
      <c r="E37" s="77" t="s">
        <v>4</v>
      </c>
      <c r="F37" s="77" t="s">
        <v>5</v>
      </c>
      <c r="G37" s="77" t="s">
        <v>6</v>
      </c>
      <c r="H37" s="77" t="s">
        <v>7</v>
      </c>
      <c r="I37" s="78" t="s">
        <v>8</v>
      </c>
    </row>
    <row r="38" spans="1:9" x14ac:dyDescent="0.25">
      <c r="A38" s="8" t="s">
        <v>790</v>
      </c>
      <c r="B38" s="9"/>
      <c r="C38" s="9"/>
      <c r="D38" s="9"/>
      <c r="E38" s="9"/>
      <c r="F38" s="9"/>
      <c r="G38" s="9"/>
      <c r="H38" s="9"/>
      <c r="I38" s="10"/>
    </row>
    <row r="39" spans="1:9" x14ac:dyDescent="0.25">
      <c r="A39" s="11">
        <v>45254</v>
      </c>
      <c r="B39" t="s">
        <v>309</v>
      </c>
      <c r="C39" t="s">
        <v>32</v>
      </c>
      <c r="D39" s="1">
        <v>2834617</v>
      </c>
      <c r="E39" s="1">
        <v>851146</v>
      </c>
      <c r="F39" s="2">
        <v>0.30026843132599601</v>
      </c>
      <c r="G39" s="1">
        <v>9710</v>
      </c>
      <c r="H39" s="2">
        <v>1.14081485432581E-2</v>
      </c>
      <c r="I39" s="12">
        <v>3.4255068674180701E-3</v>
      </c>
    </row>
    <row r="40" spans="1:9" x14ac:dyDescent="0.25">
      <c r="A40" s="11">
        <v>45254</v>
      </c>
      <c r="B40" t="s">
        <v>309</v>
      </c>
      <c r="C40" t="s">
        <v>33</v>
      </c>
      <c r="D40" s="1">
        <v>189569</v>
      </c>
      <c r="E40" s="1">
        <v>43821</v>
      </c>
      <c r="F40" s="2">
        <v>0.23116121306753701</v>
      </c>
      <c r="G40" s="1">
        <v>771</v>
      </c>
      <c r="H40" s="2">
        <v>1.7594304100773599E-2</v>
      </c>
      <c r="I40" s="12">
        <v>4.0671206790139696E-3</v>
      </c>
    </row>
    <row r="41" spans="1:9" x14ac:dyDescent="0.25">
      <c r="A41" s="11">
        <v>45254</v>
      </c>
      <c r="B41" t="s">
        <v>310</v>
      </c>
      <c r="C41" t="s">
        <v>32</v>
      </c>
      <c r="D41" s="1">
        <v>312591</v>
      </c>
      <c r="E41" s="1">
        <v>94685</v>
      </c>
      <c r="F41" s="2">
        <v>0.30290379441506599</v>
      </c>
      <c r="G41" s="1">
        <v>1845</v>
      </c>
      <c r="H41" s="2">
        <v>1.9485662987801699E-2</v>
      </c>
      <c r="I41" s="12">
        <v>5.9022812556983398E-3</v>
      </c>
    </row>
    <row r="42" spans="1:9" x14ac:dyDescent="0.25">
      <c r="A42" s="11">
        <v>45254</v>
      </c>
      <c r="B42" t="s">
        <v>310</v>
      </c>
      <c r="C42" t="s">
        <v>33</v>
      </c>
      <c r="D42" s="1">
        <v>17169</v>
      </c>
      <c r="E42" s="1">
        <v>5771</v>
      </c>
      <c r="F42" s="2">
        <v>0.33612906983516799</v>
      </c>
      <c r="G42" s="1">
        <v>253</v>
      </c>
      <c r="H42" s="2">
        <v>4.3839889100675801E-2</v>
      </c>
      <c r="I42" s="12">
        <v>1.47358611450871E-2</v>
      </c>
    </row>
    <row r="43" spans="1:9" x14ac:dyDescent="0.25">
      <c r="A43" s="11">
        <v>45258</v>
      </c>
      <c r="B43" t="s">
        <v>320</v>
      </c>
      <c r="C43" t="s">
        <v>32</v>
      </c>
      <c r="D43" s="1">
        <v>1066231</v>
      </c>
      <c r="E43" s="1">
        <v>366110</v>
      </c>
      <c r="F43" s="2">
        <v>0.34336836951842498</v>
      </c>
      <c r="G43" s="1">
        <v>7415</v>
      </c>
      <c r="H43" s="2">
        <v>2.0253475731337602E-2</v>
      </c>
      <c r="I43" s="12">
        <v>6.9544029389503803E-3</v>
      </c>
    </row>
    <row r="44" spans="1:9" x14ac:dyDescent="0.25">
      <c r="A44" s="11">
        <v>45258</v>
      </c>
      <c r="B44" t="s">
        <v>320</v>
      </c>
      <c r="C44" t="s">
        <v>33</v>
      </c>
      <c r="D44" s="1">
        <v>80882</v>
      </c>
      <c r="E44" s="1">
        <v>24066</v>
      </c>
      <c r="F44" s="2">
        <v>0.29754457110358301</v>
      </c>
      <c r="G44" s="1">
        <v>745</v>
      </c>
      <c r="H44" s="2">
        <v>3.0956536192138302E-2</v>
      </c>
      <c r="I44" s="12">
        <v>9.2109492841423307E-3</v>
      </c>
    </row>
    <row r="45" spans="1:9" ht="15.75" thickBot="1" x14ac:dyDescent="0.3">
      <c r="A45" s="17" t="s">
        <v>427</v>
      </c>
      <c r="B45" s="4"/>
      <c r="C45" s="4"/>
      <c r="D45" s="18">
        <f>SUM(D39:D44)</f>
        <v>4501059</v>
      </c>
      <c r="E45" s="18">
        <f>SUM(E39:E44)</f>
        <v>1385599</v>
      </c>
      <c r="F45" s="19">
        <f>AVERAGE(F39:F44)</f>
        <v>0.30189590821096246</v>
      </c>
      <c r="G45" s="18">
        <f>SUM(G39:G44)</f>
        <v>20739</v>
      </c>
      <c r="H45" s="19">
        <f>AVERAGE(H39:H44)</f>
        <v>2.3923002775997518E-2</v>
      </c>
      <c r="I45" s="21">
        <f>AVERAGE(I39:I44)</f>
        <v>7.3826870283850319E-3</v>
      </c>
    </row>
    <row r="46" spans="1:9" ht="3" customHeight="1" thickBot="1" x14ac:dyDescent="0.3">
      <c r="A46" s="143"/>
      <c r="B46" s="140"/>
      <c r="C46" s="140"/>
      <c r="D46" s="140"/>
      <c r="E46" s="140"/>
      <c r="F46" s="140"/>
      <c r="G46" s="140"/>
      <c r="H46" s="140"/>
      <c r="I46" s="144"/>
    </row>
    <row r="47" spans="1:9" x14ac:dyDescent="0.25">
      <c r="A47" s="22" t="s">
        <v>795</v>
      </c>
      <c r="B47" s="23"/>
      <c r="C47" s="23"/>
      <c r="D47" s="23"/>
      <c r="E47" s="23"/>
      <c r="F47" s="23"/>
      <c r="G47" s="23"/>
      <c r="H47" s="23"/>
      <c r="I47" s="24"/>
    </row>
    <row r="48" spans="1:9" x14ac:dyDescent="0.25">
      <c r="A48" s="11">
        <v>45254</v>
      </c>
      <c r="B48" t="s">
        <v>311</v>
      </c>
      <c r="C48" t="s">
        <v>312</v>
      </c>
      <c r="D48" s="1">
        <v>4061244</v>
      </c>
      <c r="E48" s="1">
        <v>1253939</v>
      </c>
      <c r="F48" s="2">
        <v>0.30875736596963899</v>
      </c>
      <c r="G48" s="1">
        <v>17084</v>
      </c>
      <c r="H48" s="2">
        <v>1.3624267209170499E-2</v>
      </c>
      <c r="I48" s="12">
        <v>4.2065928567699903E-3</v>
      </c>
    </row>
    <row r="49" spans="1:9" x14ac:dyDescent="0.25">
      <c r="A49" s="11">
        <v>45254</v>
      </c>
      <c r="B49" t="s">
        <v>311</v>
      </c>
      <c r="C49" t="s">
        <v>313</v>
      </c>
      <c r="D49" s="1">
        <v>279365</v>
      </c>
      <c r="E49" s="1">
        <v>69886</v>
      </c>
      <c r="F49" s="2">
        <v>0.250160184704598</v>
      </c>
      <c r="G49" s="1">
        <v>1631</v>
      </c>
      <c r="H49" s="2">
        <v>2.33380076123973E-2</v>
      </c>
      <c r="I49" s="12">
        <v>5.8382402949546299E-3</v>
      </c>
    </row>
    <row r="50" spans="1:9" x14ac:dyDescent="0.25">
      <c r="A50" s="11">
        <v>45254</v>
      </c>
      <c r="B50" t="s">
        <v>311</v>
      </c>
      <c r="C50" t="s">
        <v>314</v>
      </c>
      <c r="D50" s="1">
        <v>82554</v>
      </c>
      <c r="E50" s="1">
        <v>32687</v>
      </c>
      <c r="F50" s="2">
        <v>0.39594689536545802</v>
      </c>
      <c r="G50" s="1">
        <v>1606</v>
      </c>
      <c r="H50" s="2">
        <v>4.9132682717900097E-2</v>
      </c>
      <c r="I50" s="12">
        <v>1.9453933183128599E-2</v>
      </c>
    </row>
    <row r="51" spans="1:9" x14ac:dyDescent="0.25">
      <c r="A51" s="11">
        <v>45254</v>
      </c>
      <c r="B51" t="s">
        <v>311</v>
      </c>
      <c r="C51" t="s">
        <v>315</v>
      </c>
      <c r="D51" s="1">
        <v>3920</v>
      </c>
      <c r="E51" s="1">
        <v>1453</v>
      </c>
      <c r="F51" s="2">
        <v>0.37066326530612198</v>
      </c>
      <c r="G51" s="1">
        <v>89</v>
      </c>
      <c r="H51" s="2">
        <v>6.1252580867171398E-2</v>
      </c>
      <c r="I51" s="12">
        <v>2.2704081632653101E-2</v>
      </c>
    </row>
    <row r="52" spans="1:9" x14ac:dyDescent="0.25">
      <c r="A52" s="11">
        <v>45254</v>
      </c>
      <c r="B52" t="s">
        <v>311</v>
      </c>
      <c r="C52" t="s">
        <v>316</v>
      </c>
      <c r="D52" s="1">
        <v>4058357</v>
      </c>
      <c r="E52" s="1">
        <v>1261509</v>
      </c>
      <c r="F52" s="2">
        <v>0.31084229406136499</v>
      </c>
      <c r="G52" s="1">
        <v>17872</v>
      </c>
      <c r="H52" s="2">
        <v>1.41671601233126E-2</v>
      </c>
      <c r="I52" s="12">
        <v>4.4037525530651904E-3</v>
      </c>
    </row>
    <row r="53" spans="1:9" x14ac:dyDescent="0.25">
      <c r="A53" s="11">
        <v>45254</v>
      </c>
      <c r="B53" t="s">
        <v>311</v>
      </c>
      <c r="C53" t="s">
        <v>317</v>
      </c>
      <c r="D53" s="1">
        <v>279161</v>
      </c>
      <c r="E53" s="1">
        <v>69170</v>
      </c>
      <c r="F53" s="2">
        <v>0.24777816385526599</v>
      </c>
      <c r="G53" s="1">
        <v>1462</v>
      </c>
      <c r="H53" s="2">
        <v>2.1136330779239602E-2</v>
      </c>
      <c r="I53" s="12">
        <v>5.2371212311175296E-3</v>
      </c>
    </row>
    <row r="54" spans="1:9" x14ac:dyDescent="0.25">
      <c r="A54" s="11">
        <v>45254</v>
      </c>
      <c r="B54" t="s">
        <v>311</v>
      </c>
      <c r="C54" t="s">
        <v>318</v>
      </c>
      <c r="D54" s="1">
        <v>82379</v>
      </c>
      <c r="E54" s="1">
        <v>32693</v>
      </c>
      <c r="F54" s="2">
        <v>0.39686085045946201</v>
      </c>
      <c r="G54" s="1">
        <v>1288</v>
      </c>
      <c r="H54" s="2">
        <v>3.9396812773376602E-2</v>
      </c>
      <c r="I54" s="12">
        <v>1.5635052622634399E-2</v>
      </c>
    </row>
    <row r="55" spans="1:9" x14ac:dyDescent="0.25">
      <c r="A55" s="11">
        <v>45254</v>
      </c>
      <c r="B55" t="s">
        <v>311</v>
      </c>
      <c r="C55" t="s">
        <v>319</v>
      </c>
      <c r="D55" s="1">
        <v>3909</v>
      </c>
      <c r="E55" s="1">
        <v>1425</v>
      </c>
      <c r="F55" s="2">
        <v>0.36454336147352301</v>
      </c>
      <c r="G55" s="1">
        <v>44</v>
      </c>
      <c r="H55" s="2">
        <v>3.08771929824561E-2</v>
      </c>
      <c r="I55" s="12">
        <v>1.1256075722691199E-2</v>
      </c>
    </row>
    <row r="56" spans="1:9" x14ac:dyDescent="0.25">
      <c r="A56" s="11">
        <v>45258</v>
      </c>
      <c r="B56" t="s">
        <v>321</v>
      </c>
      <c r="C56" t="s">
        <v>32</v>
      </c>
      <c r="D56" s="1">
        <v>122998</v>
      </c>
      <c r="E56" s="1">
        <v>72882</v>
      </c>
      <c r="F56" s="2">
        <v>0.59254622026374404</v>
      </c>
      <c r="G56" s="1">
        <v>1286</v>
      </c>
      <c r="H56" s="2">
        <v>1.7644960346862099E-2</v>
      </c>
      <c r="I56" s="12">
        <v>1.0455454560236801E-2</v>
      </c>
    </row>
    <row r="57" spans="1:9" x14ac:dyDescent="0.25">
      <c r="A57" s="11">
        <v>45258</v>
      </c>
      <c r="B57" t="s">
        <v>321</v>
      </c>
      <c r="C57" t="s">
        <v>33</v>
      </c>
      <c r="D57" s="1">
        <v>5459</v>
      </c>
      <c r="E57" s="1">
        <v>3535</v>
      </c>
      <c r="F57" s="2">
        <v>0.64755449716065205</v>
      </c>
      <c r="G57" s="1">
        <v>58</v>
      </c>
      <c r="H57" s="2">
        <v>1.6407355021216399E-2</v>
      </c>
      <c r="I57" s="12">
        <v>1.06246565305001E-2</v>
      </c>
    </row>
    <row r="58" spans="1:9" x14ac:dyDescent="0.25">
      <c r="A58" s="11">
        <v>45259</v>
      </c>
      <c r="B58" t="s">
        <v>322</v>
      </c>
      <c r="C58" t="s">
        <v>32</v>
      </c>
      <c r="D58" s="1">
        <v>107920</v>
      </c>
      <c r="E58" s="1">
        <v>46457</v>
      </c>
      <c r="F58" s="2">
        <v>0.43047627872498101</v>
      </c>
      <c r="G58" s="1">
        <v>1467</v>
      </c>
      <c r="H58" s="2">
        <v>3.1577587876961501E-2</v>
      </c>
      <c r="I58" s="12">
        <v>1.35934025203855E-2</v>
      </c>
    </row>
    <row r="59" spans="1:9" x14ac:dyDescent="0.25">
      <c r="A59" s="11">
        <v>45259</v>
      </c>
      <c r="B59" t="s">
        <v>322</v>
      </c>
      <c r="C59" t="s">
        <v>33</v>
      </c>
      <c r="D59" s="1">
        <v>6165</v>
      </c>
      <c r="E59" s="1">
        <v>2702</v>
      </c>
      <c r="F59" s="2">
        <v>0.43828061638280602</v>
      </c>
      <c r="G59" s="1">
        <v>110</v>
      </c>
      <c r="H59" s="2">
        <v>4.0710584752035497E-2</v>
      </c>
      <c r="I59" s="12">
        <v>1.78426601784266E-2</v>
      </c>
    </row>
    <row r="60" spans="1:9" x14ac:dyDescent="0.25">
      <c r="A60" s="11">
        <v>45259</v>
      </c>
      <c r="B60" t="s">
        <v>323</v>
      </c>
      <c r="C60" t="s">
        <v>32</v>
      </c>
      <c r="D60" s="1">
        <v>390533</v>
      </c>
      <c r="E60" s="1">
        <v>135241</v>
      </c>
      <c r="F60" s="2">
        <v>0.34629852022748397</v>
      </c>
      <c r="G60" s="1">
        <v>1185</v>
      </c>
      <c r="H60" s="2">
        <v>8.7621357428590407E-3</v>
      </c>
      <c r="I60" s="12">
        <v>3.03431464178443E-3</v>
      </c>
    </row>
    <row r="61" spans="1:9" x14ac:dyDescent="0.25">
      <c r="A61" s="11">
        <v>45259</v>
      </c>
      <c r="B61" t="s">
        <v>323</v>
      </c>
      <c r="C61" t="s">
        <v>33</v>
      </c>
      <c r="D61" s="1">
        <v>23371</v>
      </c>
      <c r="E61" s="1">
        <v>7106</v>
      </c>
      <c r="F61" s="2">
        <v>0.304052030293954</v>
      </c>
      <c r="G61" s="1">
        <v>111</v>
      </c>
      <c r="H61" s="2">
        <v>1.56206023079088E-2</v>
      </c>
      <c r="I61" s="12">
        <v>4.7494758461340998E-3</v>
      </c>
    </row>
    <row r="62" spans="1:9" x14ac:dyDescent="0.25">
      <c r="A62" s="11">
        <v>45260</v>
      </c>
      <c r="B62" t="s">
        <v>331</v>
      </c>
      <c r="C62" t="s">
        <v>32</v>
      </c>
      <c r="D62" s="1">
        <v>20120</v>
      </c>
      <c r="E62" s="1">
        <v>7293</v>
      </c>
      <c r="F62" s="2">
        <v>0.36247514910536799</v>
      </c>
      <c r="G62" s="1">
        <v>182</v>
      </c>
      <c r="H62" s="2">
        <v>2.4955436720142599E-2</v>
      </c>
      <c r="I62" s="12">
        <v>9.04572564612326E-3</v>
      </c>
    </row>
    <row r="63" spans="1:9" x14ac:dyDescent="0.25">
      <c r="A63" s="11">
        <v>45260</v>
      </c>
      <c r="B63" t="s">
        <v>331</v>
      </c>
      <c r="C63" t="s">
        <v>33</v>
      </c>
      <c r="D63" s="1">
        <v>20962</v>
      </c>
      <c r="E63" s="1">
        <v>8396</v>
      </c>
      <c r="F63" s="2">
        <v>0.40053430016219799</v>
      </c>
      <c r="G63" s="1">
        <v>266</v>
      </c>
      <c r="H63" s="2">
        <v>3.16817532158171E-2</v>
      </c>
      <c r="I63" s="12">
        <v>1.26896288522088E-2</v>
      </c>
    </row>
    <row r="64" spans="1:9" ht="15.75" thickBot="1" x14ac:dyDescent="0.3">
      <c r="A64" s="17" t="s">
        <v>427</v>
      </c>
      <c r="B64" s="4"/>
      <c r="C64" s="4"/>
      <c r="D64" s="18">
        <f>SUM(D48:D63)</f>
        <v>9548417</v>
      </c>
      <c r="E64" s="18">
        <f>SUM(E48:E63)</f>
        <v>3006374</v>
      </c>
      <c r="F64" s="19">
        <f>AVERAGE(F48:F63)</f>
        <v>0.38548562459478874</v>
      </c>
      <c r="G64" s="18">
        <f>SUM(G48:G63)</f>
        <v>45741</v>
      </c>
      <c r="H64" s="19">
        <f>AVERAGE(H48:H63)</f>
        <v>2.7517840690551704E-2</v>
      </c>
      <c r="I64" s="21">
        <f>AVERAGE(I48:I63)</f>
        <v>1.0673135554550892E-2</v>
      </c>
    </row>
    <row r="65" spans="1:9" ht="3" customHeight="1" thickBot="1" x14ac:dyDescent="0.3">
      <c r="A65" s="143"/>
      <c r="B65" s="140"/>
      <c r="C65" s="140"/>
      <c r="D65" s="140"/>
      <c r="E65" s="140"/>
      <c r="F65" s="140"/>
      <c r="G65" s="140"/>
      <c r="H65" s="140"/>
      <c r="I65" s="144"/>
    </row>
    <row r="66" spans="1:9" x14ac:dyDescent="0.25">
      <c r="A66" s="22" t="s">
        <v>792</v>
      </c>
      <c r="B66" s="23"/>
      <c r="C66" s="23"/>
      <c r="D66" s="23"/>
      <c r="E66" s="23"/>
      <c r="F66" s="23"/>
      <c r="G66" s="23"/>
      <c r="H66" s="23"/>
      <c r="I66" s="24"/>
    </row>
    <row r="67" spans="1:9" x14ac:dyDescent="0.25">
      <c r="A67" s="11">
        <v>45260</v>
      </c>
      <c r="B67" t="s">
        <v>305</v>
      </c>
      <c r="C67" t="s">
        <v>325</v>
      </c>
      <c r="D67" s="1">
        <v>1667584</v>
      </c>
      <c r="E67" s="1">
        <v>569496</v>
      </c>
      <c r="F67" s="3">
        <v>0.34150000000000003</v>
      </c>
      <c r="G67" s="1">
        <v>3762</v>
      </c>
      <c r="H67" s="3">
        <v>6.6E-3</v>
      </c>
      <c r="I67" s="16">
        <v>2.3E-3</v>
      </c>
    </row>
    <row r="68" spans="1:9" x14ac:dyDescent="0.25">
      <c r="A68" s="11">
        <v>45260</v>
      </c>
      <c r="B68" t="s">
        <v>306</v>
      </c>
      <c r="C68" t="s">
        <v>326</v>
      </c>
      <c r="D68" s="1">
        <v>122041</v>
      </c>
      <c r="E68" s="1">
        <v>36158</v>
      </c>
      <c r="F68" s="3">
        <v>0.29630000000000001</v>
      </c>
      <c r="G68">
        <v>412</v>
      </c>
      <c r="H68" s="3">
        <v>1.14E-2</v>
      </c>
      <c r="I68" s="16">
        <v>3.3999999999999998E-3</v>
      </c>
    </row>
    <row r="69" spans="1:9" x14ac:dyDescent="0.25">
      <c r="A69" s="11">
        <v>45260</v>
      </c>
      <c r="B69" t="s">
        <v>327</v>
      </c>
      <c r="C69" t="s">
        <v>328</v>
      </c>
      <c r="D69" s="1">
        <v>832110</v>
      </c>
      <c r="E69" s="1">
        <v>320826</v>
      </c>
      <c r="F69" s="3">
        <v>0.3856</v>
      </c>
      <c r="G69" s="1">
        <v>2879</v>
      </c>
      <c r="H69" s="3">
        <v>8.9999999999999993E-3</v>
      </c>
      <c r="I69" s="16">
        <v>3.5000000000000001E-3</v>
      </c>
    </row>
    <row r="70" spans="1:9" x14ac:dyDescent="0.25">
      <c r="A70" s="11">
        <v>45260</v>
      </c>
      <c r="B70" t="s">
        <v>329</v>
      </c>
      <c r="C70" t="s">
        <v>330</v>
      </c>
      <c r="D70" s="1">
        <v>64589</v>
      </c>
      <c r="E70" s="1">
        <v>24250</v>
      </c>
      <c r="F70" s="3">
        <v>0.3755</v>
      </c>
      <c r="G70">
        <v>372</v>
      </c>
      <c r="H70" s="3">
        <v>1.5299999999999999E-2</v>
      </c>
      <c r="I70" s="16">
        <v>5.7999999999999996E-3</v>
      </c>
    </row>
    <row r="71" spans="1:9" x14ac:dyDescent="0.25">
      <c r="A71" s="11">
        <v>45260</v>
      </c>
      <c r="B71" t="s">
        <v>287</v>
      </c>
      <c r="C71" t="s">
        <v>332</v>
      </c>
      <c r="D71" s="1">
        <v>1308488</v>
      </c>
      <c r="E71" s="1">
        <v>405873</v>
      </c>
      <c r="F71" s="3">
        <v>0.31019999999999998</v>
      </c>
      <c r="G71" s="1">
        <v>2110</v>
      </c>
      <c r="H71" s="3">
        <v>5.1999999999999998E-3</v>
      </c>
      <c r="I71" s="16">
        <v>1.6000000000000001E-3</v>
      </c>
    </row>
    <row r="72" spans="1:9" x14ac:dyDescent="0.25">
      <c r="A72" s="11">
        <v>45260</v>
      </c>
      <c r="B72" t="s">
        <v>288</v>
      </c>
      <c r="C72" t="s">
        <v>333</v>
      </c>
      <c r="D72" s="1">
        <v>75904</v>
      </c>
      <c r="E72" s="1">
        <v>21124</v>
      </c>
      <c r="F72" s="3">
        <v>0.27829999999999999</v>
      </c>
      <c r="G72">
        <v>181</v>
      </c>
      <c r="H72" s="3">
        <v>8.6E-3</v>
      </c>
      <c r="I72" s="16">
        <v>2.3999999999999998E-3</v>
      </c>
    </row>
    <row r="73" spans="1:9" x14ac:dyDescent="0.25">
      <c r="A73" s="11">
        <v>45260</v>
      </c>
      <c r="B73" t="s">
        <v>307</v>
      </c>
      <c r="C73" t="s">
        <v>325</v>
      </c>
      <c r="D73" s="1">
        <v>392895</v>
      </c>
      <c r="E73" s="1">
        <v>125767</v>
      </c>
      <c r="F73" s="3">
        <v>0.3201</v>
      </c>
      <c r="G73">
        <v>918</v>
      </c>
      <c r="H73" s="3">
        <v>7.3000000000000001E-3</v>
      </c>
      <c r="I73" s="16">
        <v>2.3E-3</v>
      </c>
    </row>
    <row r="74" spans="1:9" x14ac:dyDescent="0.25">
      <c r="A74" s="11">
        <v>45260</v>
      </c>
      <c r="B74" t="s">
        <v>308</v>
      </c>
      <c r="C74" t="s">
        <v>326</v>
      </c>
      <c r="D74" s="1">
        <v>28215</v>
      </c>
      <c r="E74" s="1">
        <v>8156</v>
      </c>
      <c r="F74" s="3">
        <v>0.28910000000000002</v>
      </c>
      <c r="G74">
        <v>89</v>
      </c>
      <c r="H74" s="3">
        <v>1.09E-2</v>
      </c>
      <c r="I74" s="16">
        <v>3.2000000000000002E-3</v>
      </c>
    </row>
    <row r="75" spans="1:9" x14ac:dyDescent="0.25">
      <c r="A75" s="11">
        <v>45260</v>
      </c>
      <c r="B75" t="s">
        <v>334</v>
      </c>
      <c r="C75" t="s">
        <v>328</v>
      </c>
      <c r="D75" s="1">
        <v>1461419</v>
      </c>
      <c r="E75" s="1">
        <v>514058</v>
      </c>
      <c r="F75" s="3">
        <v>0.3518</v>
      </c>
      <c r="G75" s="1">
        <v>3041</v>
      </c>
      <c r="H75" s="3">
        <v>5.8999999999999999E-3</v>
      </c>
      <c r="I75" s="16">
        <v>2.0999999999999999E-3</v>
      </c>
    </row>
    <row r="76" spans="1:9" x14ac:dyDescent="0.25">
      <c r="A76" s="11">
        <v>45260</v>
      </c>
      <c r="B76" t="s">
        <v>335</v>
      </c>
      <c r="C76" t="s">
        <v>330</v>
      </c>
      <c r="D76" s="1">
        <v>110503</v>
      </c>
      <c r="E76" s="1">
        <v>32738</v>
      </c>
      <c r="F76" s="3">
        <v>0.29630000000000001</v>
      </c>
      <c r="G76">
        <v>287</v>
      </c>
      <c r="H76" s="3">
        <v>8.8000000000000005E-3</v>
      </c>
      <c r="I76" s="16">
        <v>2.5999999999999999E-3</v>
      </c>
    </row>
    <row r="77" spans="1:9" ht="15.75" thickBot="1" x14ac:dyDescent="0.3">
      <c r="A77" s="17" t="s">
        <v>427</v>
      </c>
      <c r="B77" s="4"/>
      <c r="C77" s="4"/>
      <c r="D77" s="18">
        <f>SUM(D67:D76)</f>
        <v>6063748</v>
      </c>
      <c r="E77" s="18">
        <f>SUM(E67:E76)</f>
        <v>2058446</v>
      </c>
      <c r="F77" s="19">
        <f>AVERAGE(F67:F76)</f>
        <v>0.32446999999999998</v>
      </c>
      <c r="G77" s="18">
        <f>SUM(G67:G76)</f>
        <v>14051</v>
      </c>
      <c r="H77" s="19">
        <f>AVERAGE(H67:H76)</f>
        <v>8.9000000000000017E-3</v>
      </c>
      <c r="I77" s="21">
        <f>AVERAGE(I67:I76)</f>
        <v>2.9200000000000003E-3</v>
      </c>
    </row>
  </sheetData>
  <mergeCells count="3">
    <mergeCell ref="A36:I36"/>
    <mergeCell ref="A46:I46"/>
    <mergeCell ref="A65:I65"/>
  </mergeCells>
  <pageMargins left="0.7" right="0.7" top="0.75" bottom="0.75" header="0.3" footer="0.3"/>
  <ignoredErrors>
    <ignoredError sqref="F35:G35 F45:G45 F64:G64 F77:G77" formula="1"/>
  </ignoredErrors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494C-2DD0-496C-9C86-721864795D67}">
  <dimension ref="A1:I80"/>
  <sheetViews>
    <sheetView zoomScale="90" zoomScaleNormal="90" workbookViewId="0">
      <selection activeCell="B28" sqref="B28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3" customWidth="1"/>
    <col min="5" max="5" width="15.140625" bestFit="1" customWidth="1"/>
    <col min="6" max="6" width="18.5703125" bestFit="1" customWidth="1"/>
    <col min="7" max="7" width="12.57031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45262</v>
      </c>
      <c r="B2" t="s">
        <v>336</v>
      </c>
      <c r="C2" t="s">
        <v>32</v>
      </c>
      <c r="D2" s="1">
        <v>3089169</v>
      </c>
      <c r="E2" s="1">
        <v>1057384</v>
      </c>
      <c r="F2" s="2">
        <v>0.3034</v>
      </c>
      <c r="G2" s="1">
        <v>13320</v>
      </c>
      <c r="H2" s="2">
        <v>2.12E-2</v>
      </c>
      <c r="I2" s="2">
        <v>6.1999999999999998E-3</v>
      </c>
    </row>
    <row r="3" spans="1:9" x14ac:dyDescent="0.25">
      <c r="A3" s="26">
        <v>45262</v>
      </c>
      <c r="B3" t="s">
        <v>336</v>
      </c>
      <c r="C3" t="s">
        <v>33</v>
      </c>
      <c r="D3" s="1">
        <v>211523</v>
      </c>
      <c r="E3" s="1">
        <v>63409</v>
      </c>
      <c r="F3" s="2">
        <v>0.26090000000000002</v>
      </c>
      <c r="G3" s="1">
        <v>1427</v>
      </c>
      <c r="H3" s="2">
        <v>3.8699999999999998E-2</v>
      </c>
      <c r="I3" s="2">
        <v>9.7000000000000003E-3</v>
      </c>
    </row>
    <row r="4" spans="1:9" x14ac:dyDescent="0.25">
      <c r="A4" s="26">
        <v>45262</v>
      </c>
      <c r="B4" t="s">
        <v>337</v>
      </c>
      <c r="C4" t="s">
        <v>32</v>
      </c>
      <c r="D4" s="1">
        <v>310998</v>
      </c>
      <c r="E4" s="1">
        <v>118145</v>
      </c>
      <c r="F4" s="2">
        <v>0.37988990282895702</v>
      </c>
      <c r="G4" s="1">
        <v>1811</v>
      </c>
      <c r="H4" s="2">
        <v>1.5328621609039699E-2</v>
      </c>
      <c r="I4" s="2">
        <v>5.8231885735599599E-3</v>
      </c>
    </row>
    <row r="5" spans="1:9" x14ac:dyDescent="0.25">
      <c r="A5" s="26">
        <v>45262</v>
      </c>
      <c r="B5" t="s">
        <v>338</v>
      </c>
      <c r="C5" t="s">
        <v>32</v>
      </c>
      <c r="D5" s="1">
        <v>88806</v>
      </c>
      <c r="E5" s="1">
        <v>36233</v>
      </c>
      <c r="F5" s="2">
        <v>0.40800171159606302</v>
      </c>
      <c r="G5" s="1">
        <v>4160</v>
      </c>
      <c r="H5" s="2">
        <v>0.11481246377611599</v>
      </c>
      <c r="I5" s="2">
        <v>4.6843681733216201E-2</v>
      </c>
    </row>
    <row r="6" spans="1:9" x14ac:dyDescent="0.25">
      <c r="A6" s="26">
        <v>45262</v>
      </c>
      <c r="B6" t="s">
        <v>338</v>
      </c>
      <c r="C6" t="s">
        <v>33</v>
      </c>
      <c r="D6" s="1">
        <v>9866</v>
      </c>
      <c r="E6" s="1">
        <v>3710</v>
      </c>
      <c r="F6" s="2">
        <v>0.37603892154875301</v>
      </c>
      <c r="G6" s="1">
        <v>653</v>
      </c>
      <c r="H6" s="2">
        <v>0.17601078167115899</v>
      </c>
      <c r="I6" s="2">
        <v>6.6186904520575698E-2</v>
      </c>
    </row>
    <row r="7" spans="1:9" x14ac:dyDescent="0.25">
      <c r="A7" s="26">
        <v>45262</v>
      </c>
      <c r="B7" t="s">
        <v>339</v>
      </c>
      <c r="C7" t="s">
        <v>32</v>
      </c>
      <c r="D7" s="1">
        <v>41567</v>
      </c>
      <c r="E7" s="1">
        <v>17675</v>
      </c>
      <c r="F7" s="2">
        <v>0.42521711934948397</v>
      </c>
      <c r="G7" s="1">
        <v>1012</v>
      </c>
      <c r="H7" s="2">
        <v>5.7256011315417299E-2</v>
      </c>
      <c r="I7" s="2">
        <v>2.4346236196983201E-2</v>
      </c>
    </row>
    <row r="8" spans="1:9" x14ac:dyDescent="0.25">
      <c r="A8" s="26">
        <v>45262</v>
      </c>
      <c r="B8" t="s">
        <v>339</v>
      </c>
      <c r="C8" t="s">
        <v>33</v>
      </c>
      <c r="D8" s="1">
        <v>3852</v>
      </c>
      <c r="E8" s="1">
        <v>1650</v>
      </c>
      <c r="F8" s="2">
        <v>0.42834890965732098</v>
      </c>
      <c r="G8" s="1">
        <v>112</v>
      </c>
      <c r="H8" s="2">
        <v>6.78787878787879E-2</v>
      </c>
      <c r="I8" s="2">
        <v>2.9075804776739399E-2</v>
      </c>
    </row>
    <row r="9" spans="1:9" x14ac:dyDescent="0.25">
      <c r="A9" s="26">
        <v>45264</v>
      </c>
      <c r="B9" t="s">
        <v>340</v>
      </c>
      <c r="C9" t="s">
        <v>32</v>
      </c>
      <c r="D9" s="1">
        <v>2469394</v>
      </c>
      <c r="E9" s="1">
        <v>937826</v>
      </c>
      <c r="F9" s="2">
        <v>0.37977981642459602</v>
      </c>
      <c r="G9" s="1">
        <v>12153</v>
      </c>
      <c r="H9" s="2">
        <v>1.2958693830198801E-2</v>
      </c>
      <c r="I9" s="2">
        <v>4.9214503639354399E-3</v>
      </c>
    </row>
    <row r="10" spans="1:9" x14ac:dyDescent="0.25">
      <c r="A10" s="26">
        <v>45264</v>
      </c>
      <c r="B10" t="s">
        <v>340</v>
      </c>
      <c r="C10" t="s">
        <v>33</v>
      </c>
      <c r="D10" s="1">
        <v>160449</v>
      </c>
      <c r="E10" s="1">
        <v>58222</v>
      </c>
      <c r="F10" s="2">
        <v>0.36286919831223602</v>
      </c>
      <c r="G10" s="1">
        <v>1512</v>
      </c>
      <c r="H10" s="2">
        <v>2.59695647693312E-2</v>
      </c>
      <c r="I10" s="2">
        <v>9.4235551483649004E-3</v>
      </c>
    </row>
    <row r="11" spans="1:9" x14ac:dyDescent="0.25">
      <c r="A11" s="26">
        <v>45264</v>
      </c>
      <c r="B11" t="s">
        <v>341</v>
      </c>
      <c r="C11" t="s">
        <v>32</v>
      </c>
      <c r="D11" s="1">
        <v>176772</v>
      </c>
      <c r="E11" s="1">
        <v>66639</v>
      </c>
      <c r="F11" s="2">
        <v>0.37697712307379</v>
      </c>
      <c r="G11" s="1">
        <v>856</v>
      </c>
      <c r="H11" s="2">
        <v>1.2845330812287101E-2</v>
      </c>
      <c r="I11" s="2">
        <v>4.8423958545471E-3</v>
      </c>
    </row>
    <row r="12" spans="1:9" x14ac:dyDescent="0.25">
      <c r="A12" s="26">
        <v>45264</v>
      </c>
      <c r="B12" t="s">
        <v>342</v>
      </c>
      <c r="C12" t="s">
        <v>32</v>
      </c>
      <c r="D12" s="1">
        <v>493</v>
      </c>
      <c r="E12" s="1">
        <v>223</v>
      </c>
      <c r="F12" s="2">
        <v>0.45233265720081101</v>
      </c>
      <c r="G12" s="1">
        <v>1</v>
      </c>
      <c r="H12" s="2">
        <v>4.4843049327354303E-3</v>
      </c>
      <c r="I12" s="2">
        <v>2.02839756592292E-3</v>
      </c>
    </row>
    <row r="13" spans="1:9" x14ac:dyDescent="0.25">
      <c r="A13" s="26">
        <v>45265</v>
      </c>
      <c r="B13" t="s">
        <v>343</v>
      </c>
      <c r="C13" t="s">
        <v>32</v>
      </c>
      <c r="D13" s="1">
        <v>1059963</v>
      </c>
      <c r="E13" s="1">
        <v>396204</v>
      </c>
      <c r="F13" s="2">
        <v>0.37379040589152601</v>
      </c>
      <c r="G13" s="1">
        <v>7080</v>
      </c>
      <c r="H13" s="2">
        <v>1.7869582336372199E-2</v>
      </c>
      <c r="I13" s="2">
        <v>6.6794784346246002E-3</v>
      </c>
    </row>
    <row r="14" spans="1:9" x14ac:dyDescent="0.25">
      <c r="A14" s="26">
        <v>45265</v>
      </c>
      <c r="B14" t="s">
        <v>343</v>
      </c>
      <c r="C14" t="s">
        <v>33</v>
      </c>
      <c r="D14" s="1">
        <v>80411</v>
      </c>
      <c r="E14" s="1">
        <v>28402</v>
      </c>
      <c r="F14" s="2">
        <v>0.35321038166419999</v>
      </c>
      <c r="G14" s="1">
        <v>776</v>
      </c>
      <c r="H14" s="2">
        <v>2.7322019576086199E-2</v>
      </c>
      <c r="I14" s="2">
        <v>9.6504209623061495E-3</v>
      </c>
    </row>
    <row r="15" spans="1:9" x14ac:dyDescent="0.25">
      <c r="A15" s="26">
        <v>45265</v>
      </c>
      <c r="B15" t="s">
        <v>344</v>
      </c>
      <c r="C15" t="s">
        <v>32</v>
      </c>
      <c r="D15" s="1">
        <v>40933</v>
      </c>
      <c r="E15" s="1">
        <v>15280</v>
      </c>
      <c r="F15" s="2">
        <v>0.37329294212493602</v>
      </c>
      <c r="G15" s="1">
        <v>180</v>
      </c>
      <c r="H15" s="2">
        <v>1.1780104712041901E-2</v>
      </c>
      <c r="I15" s="2">
        <v>4.3974299464979404E-3</v>
      </c>
    </row>
    <row r="16" spans="1:9" x14ac:dyDescent="0.25">
      <c r="A16" s="26">
        <v>45265</v>
      </c>
      <c r="B16" t="s">
        <v>345</v>
      </c>
      <c r="C16" t="s">
        <v>32</v>
      </c>
      <c r="D16" s="1">
        <v>34450</v>
      </c>
      <c r="E16" s="1">
        <v>18059</v>
      </c>
      <c r="F16" s="2">
        <v>0.52420899854862102</v>
      </c>
      <c r="G16" s="1">
        <v>922</v>
      </c>
      <c r="H16" s="2">
        <v>5.1054875685253902E-2</v>
      </c>
      <c r="I16" s="2">
        <v>2.6763425253991301E-2</v>
      </c>
    </row>
    <row r="17" spans="1:9" x14ac:dyDescent="0.25">
      <c r="A17" s="26">
        <v>45266</v>
      </c>
      <c r="B17" t="s">
        <v>346</v>
      </c>
      <c r="C17" t="s">
        <v>32</v>
      </c>
      <c r="D17" s="1">
        <v>308258</v>
      </c>
      <c r="E17" s="1">
        <v>121631</v>
      </c>
      <c r="F17" s="2">
        <v>0.39457532326817102</v>
      </c>
      <c r="G17" s="1">
        <v>1772</v>
      </c>
      <c r="H17" s="2">
        <v>1.45686543726517E-2</v>
      </c>
      <c r="I17" s="2">
        <v>5.74843150867131E-3</v>
      </c>
    </row>
    <row r="18" spans="1:9" x14ac:dyDescent="0.25">
      <c r="A18" s="26">
        <v>45266</v>
      </c>
      <c r="B18" t="s">
        <v>347</v>
      </c>
      <c r="C18" t="s">
        <v>32</v>
      </c>
      <c r="D18" s="1">
        <v>2113281</v>
      </c>
      <c r="E18" s="1">
        <v>784369</v>
      </c>
      <c r="F18" s="2">
        <v>0.37116171488789201</v>
      </c>
      <c r="G18" s="1">
        <v>9465</v>
      </c>
      <c r="H18" s="2">
        <v>1.2067024576443E-2</v>
      </c>
      <c r="I18" s="2">
        <v>4.4788175353869201E-3</v>
      </c>
    </row>
    <row r="19" spans="1:9" x14ac:dyDescent="0.25">
      <c r="A19" s="26">
        <v>45266</v>
      </c>
      <c r="B19" t="s">
        <v>347</v>
      </c>
      <c r="C19" t="s">
        <v>33</v>
      </c>
      <c r="D19" s="1">
        <v>122312</v>
      </c>
      <c r="E19" s="1">
        <v>43569</v>
      </c>
      <c r="F19" s="2">
        <v>0.35621198247105801</v>
      </c>
      <c r="G19" s="1">
        <v>860</v>
      </c>
      <c r="H19" s="2">
        <v>1.9738805113727699E-2</v>
      </c>
      <c r="I19" s="2">
        <v>7.0311989011707801E-3</v>
      </c>
    </row>
    <row r="20" spans="1:9" x14ac:dyDescent="0.25">
      <c r="A20" s="26">
        <v>45266</v>
      </c>
      <c r="B20" t="s">
        <v>348</v>
      </c>
      <c r="C20" t="s">
        <v>32</v>
      </c>
      <c r="D20" s="1">
        <v>30832</v>
      </c>
      <c r="E20" s="1">
        <v>14150</v>
      </c>
      <c r="F20" s="2">
        <v>0.45893876491956398</v>
      </c>
      <c r="G20" s="1">
        <v>291</v>
      </c>
      <c r="H20" s="2">
        <v>2.0565371024735001E-2</v>
      </c>
      <c r="I20" s="2">
        <v>9.4382459782044598E-3</v>
      </c>
    </row>
    <row r="21" spans="1:9" x14ac:dyDescent="0.25">
      <c r="A21" s="26">
        <v>45266</v>
      </c>
      <c r="B21" t="s">
        <v>348</v>
      </c>
      <c r="C21" t="s">
        <v>33</v>
      </c>
      <c r="D21" s="1">
        <v>2817</v>
      </c>
      <c r="E21" s="1">
        <v>1043</v>
      </c>
      <c r="F21" s="2">
        <v>0.37025204117855898</v>
      </c>
      <c r="G21" s="1">
        <v>26</v>
      </c>
      <c r="H21" s="2">
        <v>2.4928092042186E-2</v>
      </c>
      <c r="I21" s="2">
        <v>9.2296769613063497E-3</v>
      </c>
    </row>
    <row r="22" spans="1:9" x14ac:dyDescent="0.25">
      <c r="A22" s="26">
        <v>45266</v>
      </c>
      <c r="B22" t="s">
        <v>349</v>
      </c>
      <c r="C22" t="s">
        <v>32</v>
      </c>
      <c r="D22" s="1">
        <v>123135</v>
      </c>
      <c r="E22" s="1">
        <v>39737</v>
      </c>
      <c r="F22" s="2">
        <v>0.322710845819629</v>
      </c>
      <c r="G22" s="1">
        <v>1244</v>
      </c>
      <c r="H22" s="2">
        <v>3.1305835870850798E-2</v>
      </c>
      <c r="I22" s="2">
        <v>1.01027327729728E-2</v>
      </c>
    </row>
    <row r="23" spans="1:9" x14ac:dyDescent="0.25">
      <c r="A23" s="26">
        <v>45266</v>
      </c>
      <c r="B23" t="s">
        <v>349</v>
      </c>
      <c r="C23" t="s">
        <v>33</v>
      </c>
      <c r="D23" s="1">
        <v>4819</v>
      </c>
      <c r="E23" s="1">
        <v>1376</v>
      </c>
      <c r="F23" s="2">
        <v>0.28553641834405502</v>
      </c>
      <c r="G23" s="1">
        <v>57</v>
      </c>
      <c r="H23" s="2">
        <v>4.1424418604651202E-2</v>
      </c>
      <c r="I23" s="2">
        <v>1.18281801203569E-2</v>
      </c>
    </row>
    <row r="24" spans="1:9" x14ac:dyDescent="0.25">
      <c r="A24" s="26">
        <v>45267</v>
      </c>
      <c r="B24" t="s">
        <v>350</v>
      </c>
      <c r="C24" t="s">
        <v>32</v>
      </c>
      <c r="D24" s="1">
        <v>361</v>
      </c>
      <c r="E24" s="1">
        <v>109</v>
      </c>
      <c r="F24" s="2">
        <v>0.30193905817174499</v>
      </c>
      <c r="G24" s="1">
        <v>12</v>
      </c>
      <c r="H24" s="2">
        <v>0.11009174311926601</v>
      </c>
      <c r="I24" s="2">
        <v>3.3240997229916899E-2</v>
      </c>
    </row>
    <row r="25" spans="1:9" x14ac:dyDescent="0.25">
      <c r="A25" s="26">
        <v>45267</v>
      </c>
      <c r="B25" t="s">
        <v>351</v>
      </c>
      <c r="C25" t="s">
        <v>33</v>
      </c>
      <c r="D25" s="1">
        <v>30</v>
      </c>
      <c r="E25" s="1">
        <v>12</v>
      </c>
      <c r="F25" s="2">
        <v>0.4</v>
      </c>
      <c r="G25" s="1">
        <v>2</v>
      </c>
      <c r="H25" s="2">
        <v>0.16666666666666699</v>
      </c>
      <c r="I25" s="2">
        <v>6.6666666666666693E-2</v>
      </c>
    </row>
    <row r="26" spans="1:9" x14ac:dyDescent="0.25">
      <c r="A26" s="26">
        <v>45267</v>
      </c>
      <c r="B26" t="s">
        <v>352</v>
      </c>
      <c r="C26" t="s">
        <v>32</v>
      </c>
      <c r="D26" s="1">
        <v>387946</v>
      </c>
      <c r="E26" s="1">
        <v>139864</v>
      </c>
      <c r="F26" s="2">
        <v>0.360524402880813</v>
      </c>
      <c r="G26" s="1">
        <v>1745</v>
      </c>
      <c r="H26" s="2">
        <v>1.2476405651204E-2</v>
      </c>
      <c r="I26" s="2">
        <v>4.4980486974991402E-3</v>
      </c>
    </row>
    <row r="27" spans="1:9" x14ac:dyDescent="0.25">
      <c r="A27" s="26">
        <v>45267</v>
      </c>
      <c r="B27" t="s">
        <v>353</v>
      </c>
      <c r="C27" t="s">
        <v>32</v>
      </c>
      <c r="D27" s="1">
        <v>370738</v>
      </c>
      <c r="E27" s="1">
        <v>135067</v>
      </c>
      <c r="F27" s="3">
        <v>0.36430000000000001</v>
      </c>
      <c r="G27" s="1">
        <v>1657</v>
      </c>
      <c r="H27" s="3">
        <v>1.23E-2</v>
      </c>
      <c r="I27" s="3">
        <v>4.4999999999999997E-3</v>
      </c>
    </row>
    <row r="28" spans="1:9" x14ac:dyDescent="0.25">
      <c r="A28" s="26">
        <v>45267</v>
      </c>
      <c r="B28" t="s">
        <v>305</v>
      </c>
      <c r="C28" t="s">
        <v>32</v>
      </c>
      <c r="D28" s="1">
        <v>1654878</v>
      </c>
      <c r="E28" s="1">
        <v>570819</v>
      </c>
      <c r="F28" s="3">
        <v>0.34489999999999998</v>
      </c>
      <c r="G28" s="1">
        <v>3749</v>
      </c>
      <c r="H28" s="3">
        <v>6.6E-3</v>
      </c>
      <c r="I28" s="3">
        <v>2.3E-3</v>
      </c>
    </row>
    <row r="29" spans="1:9" x14ac:dyDescent="0.25">
      <c r="A29" s="26">
        <v>45267</v>
      </c>
      <c r="B29" t="s">
        <v>306</v>
      </c>
      <c r="C29" t="s">
        <v>33</v>
      </c>
      <c r="D29" s="1">
        <v>121143</v>
      </c>
      <c r="E29" s="1">
        <v>36961</v>
      </c>
      <c r="F29" s="3">
        <v>0.30509999999999998</v>
      </c>
      <c r="G29">
        <v>395</v>
      </c>
      <c r="H29" s="3">
        <v>1.0699999999999999E-2</v>
      </c>
      <c r="I29" s="3">
        <v>3.3E-3</v>
      </c>
    </row>
    <row r="30" spans="1:9" x14ac:dyDescent="0.25">
      <c r="A30" s="26">
        <v>45267</v>
      </c>
      <c r="B30" t="s">
        <v>327</v>
      </c>
      <c r="C30" t="s">
        <v>32</v>
      </c>
      <c r="D30" s="1">
        <v>721524</v>
      </c>
      <c r="E30" s="1">
        <v>260692</v>
      </c>
      <c r="F30" s="3">
        <v>0.36130000000000001</v>
      </c>
      <c r="G30" s="1">
        <v>2197</v>
      </c>
      <c r="H30" s="3">
        <v>8.3999999999999995E-3</v>
      </c>
      <c r="I30" s="3">
        <v>3.0000000000000001E-3</v>
      </c>
    </row>
    <row r="31" spans="1:9" x14ac:dyDescent="0.25">
      <c r="A31" s="26">
        <v>45267</v>
      </c>
      <c r="B31" t="s">
        <v>329</v>
      </c>
      <c r="C31" t="s">
        <v>33</v>
      </c>
      <c r="D31" s="1">
        <v>58623</v>
      </c>
      <c r="E31" s="1">
        <v>20814</v>
      </c>
      <c r="F31" s="3">
        <v>0.35499999999999998</v>
      </c>
      <c r="G31">
        <v>302</v>
      </c>
      <c r="H31" s="3">
        <v>1.4500000000000001E-2</v>
      </c>
      <c r="I31" s="3">
        <v>5.1999999999999998E-3</v>
      </c>
    </row>
    <row r="32" spans="1:9" x14ac:dyDescent="0.25">
      <c r="A32" s="26">
        <v>45267</v>
      </c>
      <c r="B32" t="s">
        <v>307</v>
      </c>
      <c r="C32" t="s">
        <v>32</v>
      </c>
      <c r="D32" s="1">
        <v>390673</v>
      </c>
      <c r="E32" s="1">
        <v>126620</v>
      </c>
      <c r="F32" s="3">
        <v>0.3241</v>
      </c>
      <c r="G32">
        <v>946</v>
      </c>
      <c r="H32" s="3">
        <v>7.4999999999999997E-3</v>
      </c>
      <c r="I32" s="3">
        <v>2.3999999999999998E-3</v>
      </c>
    </row>
    <row r="33" spans="1:9" x14ac:dyDescent="0.25">
      <c r="A33" s="26">
        <v>45267</v>
      </c>
      <c r="B33" t="s">
        <v>308</v>
      </c>
      <c r="C33" t="s">
        <v>33</v>
      </c>
      <c r="D33" s="1">
        <v>28036</v>
      </c>
      <c r="E33" s="1">
        <v>8374</v>
      </c>
      <c r="F33" s="3">
        <v>0.29870000000000002</v>
      </c>
      <c r="G33">
        <v>114</v>
      </c>
      <c r="H33" s="3">
        <v>1.3599999999999999E-2</v>
      </c>
      <c r="I33" s="3">
        <v>4.1000000000000003E-3</v>
      </c>
    </row>
    <row r="34" spans="1:9" x14ac:dyDescent="0.25">
      <c r="A34" s="26">
        <v>45267</v>
      </c>
      <c r="B34" t="s">
        <v>334</v>
      </c>
      <c r="C34" t="s">
        <v>32</v>
      </c>
      <c r="D34" s="1">
        <v>1348651</v>
      </c>
      <c r="E34" s="1">
        <v>465084</v>
      </c>
      <c r="F34" s="3">
        <v>0.34489999999999998</v>
      </c>
      <c r="G34" s="1">
        <v>2704</v>
      </c>
      <c r="H34" s="3">
        <v>5.7999999999999996E-3</v>
      </c>
      <c r="I34" s="3">
        <v>2E-3</v>
      </c>
    </row>
    <row r="35" spans="1:9" x14ac:dyDescent="0.25">
      <c r="A35" s="26">
        <v>45267</v>
      </c>
      <c r="B35" t="s">
        <v>335</v>
      </c>
      <c r="C35" t="s">
        <v>33</v>
      </c>
      <c r="D35" s="1">
        <v>104478</v>
      </c>
      <c r="E35" s="1">
        <v>31098</v>
      </c>
      <c r="F35" s="3">
        <v>0.29770000000000002</v>
      </c>
      <c r="G35">
        <v>321</v>
      </c>
      <c r="H35" s="3">
        <v>1.03E-2</v>
      </c>
      <c r="I35" s="3">
        <v>3.0999999999999999E-3</v>
      </c>
    </row>
    <row r="36" spans="1:9" ht="15.75" thickBot="1" x14ac:dyDescent="0.3">
      <c r="A36" s="27" t="s">
        <v>427</v>
      </c>
      <c r="D36" s="14">
        <f>SUM(D2:D35)</f>
        <v>15671181</v>
      </c>
      <c r="E36" s="14">
        <f>SUM(E2:E35)</f>
        <v>5620450</v>
      </c>
      <c r="F36" s="111">
        <f>AVERAGE(F2:F35)</f>
        <v>0.36459143059302296</v>
      </c>
      <c r="G36" s="14">
        <f>SUM(G2:G35)</f>
        <v>73834</v>
      </c>
      <c r="H36" s="111">
        <f>AVERAGE(H2:H35)</f>
        <v>3.5264828233741434E-2</v>
      </c>
      <c r="I36" s="111">
        <f>AVERAGE(I2:I35)</f>
        <v>1.3207216638335798E-2</v>
      </c>
    </row>
    <row r="37" spans="1:9" ht="15.75" thickBot="1" x14ac:dyDescent="0.3">
      <c r="A37" s="140"/>
      <c r="B37" s="140"/>
      <c r="C37" s="140"/>
      <c r="D37" s="140"/>
      <c r="E37" s="140"/>
      <c r="F37" s="140"/>
      <c r="G37" s="140"/>
      <c r="H37" s="140"/>
      <c r="I37" s="140"/>
    </row>
    <row r="38" spans="1:9" ht="20.45" customHeight="1" x14ac:dyDescent="0.25">
      <c r="A38" s="76" t="s">
        <v>0</v>
      </c>
      <c r="B38" s="77" t="s">
        <v>1</v>
      </c>
      <c r="C38" s="77" t="s">
        <v>796</v>
      </c>
      <c r="D38" s="77" t="s">
        <v>3</v>
      </c>
      <c r="E38" s="77" t="s">
        <v>4</v>
      </c>
      <c r="F38" s="77" t="s">
        <v>5</v>
      </c>
      <c r="G38" s="77" t="s">
        <v>6</v>
      </c>
      <c r="H38" s="77" t="s">
        <v>7</v>
      </c>
      <c r="I38" s="78" t="s">
        <v>8</v>
      </c>
    </row>
    <row r="39" spans="1:9" x14ac:dyDescent="0.25">
      <c r="A39" s="8" t="s">
        <v>790</v>
      </c>
      <c r="B39" s="9"/>
      <c r="C39" s="9"/>
      <c r="D39" s="9"/>
      <c r="E39" s="9"/>
      <c r="F39" s="9"/>
      <c r="G39" s="9"/>
      <c r="H39" s="9"/>
      <c r="I39" s="10"/>
    </row>
    <row r="40" spans="1:9" x14ac:dyDescent="0.25">
      <c r="A40" s="11">
        <v>45262</v>
      </c>
      <c r="B40" t="s">
        <v>336</v>
      </c>
      <c r="C40" t="s">
        <v>32</v>
      </c>
      <c r="D40" s="1">
        <v>3089169</v>
      </c>
      <c r="E40" s="1">
        <v>1057384</v>
      </c>
      <c r="F40" s="2">
        <v>0.3034</v>
      </c>
      <c r="G40" s="1">
        <v>13320</v>
      </c>
      <c r="H40" s="2">
        <v>2.12E-2</v>
      </c>
      <c r="I40" s="12">
        <v>6.1999999999999998E-3</v>
      </c>
    </row>
    <row r="41" spans="1:9" x14ac:dyDescent="0.25">
      <c r="A41" s="11">
        <v>45262</v>
      </c>
      <c r="B41" t="s">
        <v>336</v>
      </c>
      <c r="C41" t="s">
        <v>33</v>
      </c>
      <c r="D41" s="1">
        <v>211523</v>
      </c>
      <c r="E41" s="1">
        <v>63409</v>
      </c>
      <c r="F41" s="2">
        <v>0.26090000000000002</v>
      </c>
      <c r="G41" s="1">
        <v>1427</v>
      </c>
      <c r="H41" s="2">
        <v>3.8699999999999998E-2</v>
      </c>
      <c r="I41" s="12">
        <v>9.7000000000000003E-3</v>
      </c>
    </row>
    <row r="42" spans="1:9" x14ac:dyDescent="0.25">
      <c r="A42" s="11">
        <v>45262</v>
      </c>
      <c r="B42" t="s">
        <v>337</v>
      </c>
      <c r="C42" t="s">
        <v>32</v>
      </c>
      <c r="D42" s="1">
        <v>310998</v>
      </c>
      <c r="E42" s="1">
        <v>118145</v>
      </c>
      <c r="F42" s="2">
        <v>0.37988990282895702</v>
      </c>
      <c r="G42" s="1">
        <v>1811</v>
      </c>
      <c r="H42" s="2">
        <v>1.5328621609039699E-2</v>
      </c>
      <c r="I42" s="12">
        <v>5.8231885735599599E-3</v>
      </c>
    </row>
    <row r="43" spans="1:9" x14ac:dyDescent="0.25">
      <c r="A43" s="11">
        <v>45265</v>
      </c>
      <c r="B43" t="s">
        <v>343</v>
      </c>
      <c r="C43" t="s">
        <v>32</v>
      </c>
      <c r="D43" s="1">
        <v>1059963</v>
      </c>
      <c r="E43" s="1">
        <v>396204</v>
      </c>
      <c r="F43" s="2">
        <v>0.37379040589152601</v>
      </c>
      <c r="G43" s="1">
        <v>7080</v>
      </c>
      <c r="H43" s="2">
        <v>1.7869582336372199E-2</v>
      </c>
      <c r="I43" s="12">
        <v>6.6794784346246002E-3</v>
      </c>
    </row>
    <row r="44" spans="1:9" x14ac:dyDescent="0.25">
      <c r="A44" s="11">
        <v>45265</v>
      </c>
      <c r="B44" t="s">
        <v>343</v>
      </c>
      <c r="C44" t="s">
        <v>33</v>
      </c>
      <c r="D44" s="1">
        <v>80411</v>
      </c>
      <c r="E44" s="1">
        <v>28402</v>
      </c>
      <c r="F44" s="2">
        <v>0.35321038166419999</v>
      </c>
      <c r="G44" s="1">
        <v>776</v>
      </c>
      <c r="H44" s="2">
        <v>2.7322019576086199E-2</v>
      </c>
      <c r="I44" s="12">
        <v>9.6504209623061495E-3</v>
      </c>
    </row>
    <row r="45" spans="1:9" ht="15.75" thickBot="1" x14ac:dyDescent="0.3">
      <c r="A45" s="17" t="s">
        <v>427</v>
      </c>
      <c r="B45" s="4"/>
      <c r="C45" s="4"/>
      <c r="D45" s="18">
        <f>SUM(D40:D44)</f>
        <v>4752064</v>
      </c>
      <c r="E45" s="18">
        <f>SUM(E40:E44)</f>
        <v>1663544</v>
      </c>
      <c r="F45" s="19">
        <f>AVERAGE(F40:F44)</f>
        <v>0.33423813807693664</v>
      </c>
      <c r="G45" s="18">
        <f>SUM(G40:G44)</f>
        <v>24414</v>
      </c>
      <c r="H45" s="19">
        <f>AVERAGE(H40:H44)</f>
        <v>2.4084044704299618E-2</v>
      </c>
      <c r="I45" s="21">
        <f>AVERAGE(I40:I44)</f>
        <v>7.6106175940981414E-3</v>
      </c>
    </row>
    <row r="46" spans="1:9" ht="3" customHeight="1" thickBot="1" x14ac:dyDescent="0.3">
      <c r="A46" s="143"/>
      <c r="B46" s="140"/>
      <c r="C46" s="140"/>
      <c r="D46" s="140"/>
      <c r="E46" s="140"/>
      <c r="F46" s="140"/>
      <c r="G46" s="140"/>
      <c r="H46" s="140"/>
      <c r="I46" s="144"/>
    </row>
    <row r="47" spans="1:9" x14ac:dyDescent="0.25">
      <c r="A47" s="22" t="s">
        <v>795</v>
      </c>
      <c r="B47" s="23"/>
      <c r="C47" s="23"/>
      <c r="D47" s="23"/>
      <c r="E47" s="23"/>
      <c r="F47" s="23"/>
      <c r="G47" s="23"/>
      <c r="H47" s="23"/>
      <c r="I47" s="24"/>
    </row>
    <row r="48" spans="1:9" x14ac:dyDescent="0.25">
      <c r="A48" s="11">
        <v>45262</v>
      </c>
      <c r="B48" t="s">
        <v>338</v>
      </c>
      <c r="C48" t="s">
        <v>32</v>
      </c>
      <c r="D48" s="1">
        <v>88806</v>
      </c>
      <c r="E48" s="1">
        <v>36233</v>
      </c>
      <c r="F48" s="2">
        <v>0.40800171159606302</v>
      </c>
      <c r="G48" s="1">
        <v>4160</v>
      </c>
      <c r="H48" s="2">
        <v>0.11481246377611599</v>
      </c>
      <c r="I48" s="12">
        <v>4.6843681733216201E-2</v>
      </c>
    </row>
    <row r="49" spans="1:9" x14ac:dyDescent="0.25">
      <c r="A49" s="11">
        <v>45262</v>
      </c>
      <c r="B49" t="s">
        <v>338</v>
      </c>
      <c r="C49" t="s">
        <v>33</v>
      </c>
      <c r="D49" s="1">
        <v>9866</v>
      </c>
      <c r="E49" s="1">
        <v>3710</v>
      </c>
      <c r="F49" s="2">
        <v>0.37603892154875301</v>
      </c>
      <c r="G49" s="1">
        <v>653</v>
      </c>
      <c r="H49" s="2">
        <v>0.17601078167115899</v>
      </c>
      <c r="I49" s="12">
        <v>6.6186904520575698E-2</v>
      </c>
    </row>
    <row r="50" spans="1:9" x14ac:dyDescent="0.25">
      <c r="A50" s="11">
        <v>45262</v>
      </c>
      <c r="B50" t="s">
        <v>339</v>
      </c>
      <c r="C50" t="s">
        <v>32</v>
      </c>
      <c r="D50" s="1">
        <v>41567</v>
      </c>
      <c r="E50" s="1">
        <v>17675</v>
      </c>
      <c r="F50" s="2">
        <v>0.42521711934948397</v>
      </c>
      <c r="G50" s="1">
        <v>1012</v>
      </c>
      <c r="H50" s="2">
        <v>5.7256011315417299E-2</v>
      </c>
      <c r="I50" s="12">
        <v>2.4346236196983201E-2</v>
      </c>
    </row>
    <row r="51" spans="1:9" x14ac:dyDescent="0.25">
      <c r="A51" s="11">
        <v>45262</v>
      </c>
      <c r="B51" t="s">
        <v>339</v>
      </c>
      <c r="C51" t="s">
        <v>33</v>
      </c>
      <c r="D51" s="1">
        <v>3852</v>
      </c>
      <c r="E51" s="1">
        <v>1650</v>
      </c>
      <c r="F51" s="2">
        <v>0.42834890965732098</v>
      </c>
      <c r="G51" s="1">
        <v>112</v>
      </c>
      <c r="H51" s="2">
        <v>6.78787878787879E-2</v>
      </c>
      <c r="I51" s="12">
        <v>2.9075804776739399E-2</v>
      </c>
    </row>
    <row r="52" spans="1:9" x14ac:dyDescent="0.25">
      <c r="A52" s="11">
        <v>45264</v>
      </c>
      <c r="B52" t="s">
        <v>340</v>
      </c>
      <c r="C52" t="s">
        <v>32</v>
      </c>
      <c r="D52" s="1">
        <v>2469394</v>
      </c>
      <c r="E52" s="1">
        <v>937826</v>
      </c>
      <c r="F52" s="2">
        <v>0.37977981642459602</v>
      </c>
      <c r="G52" s="1">
        <v>12153</v>
      </c>
      <c r="H52" s="2">
        <v>1.2958693830198801E-2</v>
      </c>
      <c r="I52" s="12">
        <v>4.9214503639354399E-3</v>
      </c>
    </row>
    <row r="53" spans="1:9" x14ac:dyDescent="0.25">
      <c r="A53" s="11">
        <v>45264</v>
      </c>
      <c r="B53" t="s">
        <v>340</v>
      </c>
      <c r="C53" t="s">
        <v>33</v>
      </c>
      <c r="D53" s="1">
        <v>160449</v>
      </c>
      <c r="E53" s="1">
        <v>58222</v>
      </c>
      <c r="F53" s="2">
        <v>0.36286919831223602</v>
      </c>
      <c r="G53" s="1">
        <v>1512</v>
      </c>
      <c r="H53" s="2">
        <v>2.59695647693312E-2</v>
      </c>
      <c r="I53" s="12">
        <v>9.4235551483649004E-3</v>
      </c>
    </row>
    <row r="54" spans="1:9" x14ac:dyDescent="0.25">
      <c r="A54" s="11">
        <v>45264</v>
      </c>
      <c r="B54" t="s">
        <v>341</v>
      </c>
      <c r="C54" t="s">
        <v>32</v>
      </c>
      <c r="D54" s="1">
        <v>176772</v>
      </c>
      <c r="E54" s="1">
        <v>66639</v>
      </c>
      <c r="F54" s="2">
        <v>0.37697712307379</v>
      </c>
      <c r="G54" s="1">
        <v>856</v>
      </c>
      <c r="H54" s="2">
        <v>1.2845330812287101E-2</v>
      </c>
      <c r="I54" s="12">
        <v>4.8423958545471E-3</v>
      </c>
    </row>
    <row r="55" spans="1:9" x14ac:dyDescent="0.25">
      <c r="A55" s="11">
        <v>45264</v>
      </c>
      <c r="B55" t="s">
        <v>342</v>
      </c>
      <c r="C55" t="s">
        <v>32</v>
      </c>
      <c r="D55" s="1">
        <v>493</v>
      </c>
      <c r="E55" s="1">
        <v>223</v>
      </c>
      <c r="F55" s="2">
        <v>0.45233265720081101</v>
      </c>
      <c r="G55" s="1">
        <v>1</v>
      </c>
      <c r="H55" s="2">
        <v>4.4843049327354303E-3</v>
      </c>
      <c r="I55" s="12">
        <v>2.02839756592292E-3</v>
      </c>
    </row>
    <row r="56" spans="1:9" x14ac:dyDescent="0.25">
      <c r="A56" s="11">
        <v>45265</v>
      </c>
      <c r="B56" t="s">
        <v>344</v>
      </c>
      <c r="C56" t="s">
        <v>32</v>
      </c>
      <c r="D56" s="1">
        <v>40933</v>
      </c>
      <c r="E56" s="1">
        <v>15280</v>
      </c>
      <c r="F56" s="2">
        <v>0.37329294212493602</v>
      </c>
      <c r="G56" s="1">
        <v>180</v>
      </c>
      <c r="H56" s="2">
        <v>1.1780104712041901E-2</v>
      </c>
      <c r="I56" s="12">
        <v>4.3974299464979404E-3</v>
      </c>
    </row>
    <row r="57" spans="1:9" x14ac:dyDescent="0.25">
      <c r="A57" s="11">
        <v>45265</v>
      </c>
      <c r="B57" t="s">
        <v>345</v>
      </c>
      <c r="C57" t="s">
        <v>32</v>
      </c>
      <c r="D57" s="1">
        <v>34450</v>
      </c>
      <c r="E57" s="1">
        <v>18059</v>
      </c>
      <c r="F57" s="2">
        <v>0.52420899854862102</v>
      </c>
      <c r="G57" s="1">
        <v>922</v>
      </c>
      <c r="H57" s="2">
        <v>5.1054875685253902E-2</v>
      </c>
      <c r="I57" s="12">
        <v>2.6763425253991301E-2</v>
      </c>
    </row>
    <row r="58" spans="1:9" x14ac:dyDescent="0.25">
      <c r="A58" s="11">
        <v>45266</v>
      </c>
      <c r="B58" t="s">
        <v>346</v>
      </c>
      <c r="C58" t="s">
        <v>32</v>
      </c>
      <c r="D58" s="1">
        <v>308258</v>
      </c>
      <c r="E58" s="1">
        <v>121631</v>
      </c>
      <c r="F58" s="2">
        <v>0.39457532326817102</v>
      </c>
      <c r="G58" s="1">
        <v>1772</v>
      </c>
      <c r="H58" s="2">
        <v>1.45686543726517E-2</v>
      </c>
      <c r="I58" s="12">
        <v>5.74843150867131E-3</v>
      </c>
    </row>
    <row r="59" spans="1:9" x14ac:dyDescent="0.25">
      <c r="A59" s="11">
        <v>45266</v>
      </c>
      <c r="B59" t="s">
        <v>347</v>
      </c>
      <c r="C59" t="s">
        <v>32</v>
      </c>
      <c r="D59" s="1">
        <v>2113281</v>
      </c>
      <c r="E59" s="1">
        <v>784369</v>
      </c>
      <c r="F59" s="2">
        <v>0.37116171488789201</v>
      </c>
      <c r="G59" s="1">
        <v>9465</v>
      </c>
      <c r="H59" s="2">
        <v>1.2067024576443E-2</v>
      </c>
      <c r="I59" s="12">
        <v>4.4788175353869201E-3</v>
      </c>
    </row>
    <row r="60" spans="1:9" x14ac:dyDescent="0.25">
      <c r="A60" s="11">
        <v>45266</v>
      </c>
      <c r="B60" t="s">
        <v>347</v>
      </c>
      <c r="C60" t="s">
        <v>33</v>
      </c>
      <c r="D60" s="1">
        <v>122312</v>
      </c>
      <c r="E60" s="1">
        <v>43569</v>
      </c>
      <c r="F60" s="2">
        <v>0.35621198247105801</v>
      </c>
      <c r="G60" s="1">
        <v>860</v>
      </c>
      <c r="H60" s="2">
        <v>1.9738805113727699E-2</v>
      </c>
      <c r="I60" s="12">
        <v>7.0311989011707801E-3</v>
      </c>
    </row>
    <row r="61" spans="1:9" x14ac:dyDescent="0.25">
      <c r="A61" s="11">
        <v>45266</v>
      </c>
      <c r="B61" t="s">
        <v>348</v>
      </c>
      <c r="C61" t="s">
        <v>32</v>
      </c>
      <c r="D61" s="1">
        <v>30832</v>
      </c>
      <c r="E61" s="1">
        <v>14150</v>
      </c>
      <c r="F61" s="2">
        <v>0.45893876491956398</v>
      </c>
      <c r="G61" s="1">
        <v>291</v>
      </c>
      <c r="H61" s="2">
        <v>2.0565371024735001E-2</v>
      </c>
      <c r="I61" s="12">
        <v>9.4382459782044598E-3</v>
      </c>
    </row>
    <row r="62" spans="1:9" x14ac:dyDescent="0.25">
      <c r="A62" s="11">
        <v>45266</v>
      </c>
      <c r="B62" t="s">
        <v>348</v>
      </c>
      <c r="C62" t="s">
        <v>33</v>
      </c>
      <c r="D62" s="1">
        <v>2817</v>
      </c>
      <c r="E62" s="1">
        <v>1043</v>
      </c>
      <c r="F62" s="2">
        <v>0.37025204117855898</v>
      </c>
      <c r="G62" s="1">
        <v>26</v>
      </c>
      <c r="H62" s="2">
        <v>2.4928092042186E-2</v>
      </c>
      <c r="I62" s="12">
        <v>9.2296769613063497E-3</v>
      </c>
    </row>
    <row r="63" spans="1:9" x14ac:dyDescent="0.25">
      <c r="A63" s="11">
        <v>45266</v>
      </c>
      <c r="B63" t="s">
        <v>349</v>
      </c>
      <c r="C63" t="s">
        <v>32</v>
      </c>
      <c r="D63" s="1">
        <v>123135</v>
      </c>
      <c r="E63" s="1">
        <v>39737</v>
      </c>
      <c r="F63" s="2">
        <v>0.322710845819629</v>
      </c>
      <c r="G63" s="1">
        <v>1244</v>
      </c>
      <c r="H63" s="2">
        <v>3.1305835870850798E-2</v>
      </c>
      <c r="I63" s="12">
        <v>1.01027327729728E-2</v>
      </c>
    </row>
    <row r="64" spans="1:9" x14ac:dyDescent="0.25">
      <c r="A64" s="11">
        <v>45266</v>
      </c>
      <c r="B64" t="s">
        <v>349</v>
      </c>
      <c r="C64" t="s">
        <v>33</v>
      </c>
      <c r="D64" s="1">
        <v>4819</v>
      </c>
      <c r="E64" s="1">
        <v>1376</v>
      </c>
      <c r="F64" s="2">
        <v>0.28553641834405502</v>
      </c>
      <c r="G64" s="1">
        <v>57</v>
      </c>
      <c r="H64" s="2">
        <v>4.1424418604651202E-2</v>
      </c>
      <c r="I64" s="12">
        <v>1.18281801203569E-2</v>
      </c>
    </row>
    <row r="65" spans="1:9" x14ac:dyDescent="0.25">
      <c r="A65" s="11">
        <v>45267</v>
      </c>
      <c r="B65" t="s">
        <v>350</v>
      </c>
      <c r="C65" t="s">
        <v>32</v>
      </c>
      <c r="D65" s="1">
        <v>361</v>
      </c>
      <c r="E65" s="1">
        <v>109</v>
      </c>
      <c r="F65" s="2">
        <v>0.30193905817174499</v>
      </c>
      <c r="G65" s="1">
        <v>12</v>
      </c>
      <c r="H65" s="2">
        <v>0.11009174311926601</v>
      </c>
      <c r="I65" s="12">
        <v>3.3240997229916899E-2</v>
      </c>
    </row>
    <row r="66" spans="1:9" x14ac:dyDescent="0.25">
      <c r="A66" s="11">
        <v>45267</v>
      </c>
      <c r="B66" t="s">
        <v>351</v>
      </c>
      <c r="C66" t="s">
        <v>33</v>
      </c>
      <c r="D66" s="1">
        <v>30</v>
      </c>
      <c r="E66" s="1">
        <v>12</v>
      </c>
      <c r="F66" s="2">
        <v>0.4</v>
      </c>
      <c r="G66" s="1">
        <v>2</v>
      </c>
      <c r="H66" s="2">
        <v>0.16666666666666699</v>
      </c>
      <c r="I66" s="12">
        <v>6.6666666666666693E-2</v>
      </c>
    </row>
    <row r="67" spans="1:9" x14ac:dyDescent="0.25">
      <c r="A67" s="11">
        <v>45267</v>
      </c>
      <c r="B67" t="s">
        <v>352</v>
      </c>
      <c r="C67" t="s">
        <v>32</v>
      </c>
      <c r="D67" s="1">
        <v>387946</v>
      </c>
      <c r="E67" s="1">
        <v>139864</v>
      </c>
      <c r="F67" s="2">
        <v>0.360524402880813</v>
      </c>
      <c r="G67" s="1">
        <v>1745</v>
      </c>
      <c r="H67" s="2">
        <v>1.2476405651204E-2</v>
      </c>
      <c r="I67" s="12">
        <v>4.4980486974991402E-3</v>
      </c>
    </row>
    <row r="68" spans="1:9" ht="15.75" thickBot="1" x14ac:dyDescent="0.3">
      <c r="A68" s="17" t="s">
        <v>427</v>
      </c>
      <c r="B68" s="4"/>
      <c r="C68" s="4"/>
      <c r="D68" s="18">
        <f>SUM(D48:D67)</f>
        <v>6120373</v>
      </c>
      <c r="E68" s="18">
        <f>SUM(E48:E67)</f>
        <v>2301377</v>
      </c>
      <c r="F68" s="19">
        <f>AVERAGE(F48:F67)</f>
        <v>0.38644589748890484</v>
      </c>
      <c r="G68" s="18">
        <f>SUM(G48:G67)</f>
        <v>37035</v>
      </c>
      <c r="H68" s="19">
        <f>AVERAGE(H48:H67)</f>
        <v>4.9444196821285549E-2</v>
      </c>
      <c r="I68" s="21">
        <f>AVERAGE(I48:I67)</f>
        <v>1.9054613886646317E-2</v>
      </c>
    </row>
    <row r="69" spans="1:9" ht="3" customHeight="1" thickBot="1" x14ac:dyDescent="0.3">
      <c r="A69" s="143"/>
      <c r="B69" s="140"/>
      <c r="C69" s="140"/>
      <c r="D69" s="140"/>
      <c r="E69" s="140"/>
      <c r="F69" s="140"/>
      <c r="G69" s="140"/>
      <c r="H69" s="140"/>
      <c r="I69" s="144"/>
    </row>
    <row r="70" spans="1:9" x14ac:dyDescent="0.25">
      <c r="A70" s="22" t="s">
        <v>792</v>
      </c>
      <c r="B70" s="23"/>
      <c r="C70" s="23"/>
      <c r="D70" s="23"/>
      <c r="E70" s="23"/>
      <c r="F70" s="23"/>
      <c r="G70" s="23"/>
      <c r="H70" s="23"/>
      <c r="I70" s="24"/>
    </row>
    <row r="71" spans="1:9" x14ac:dyDescent="0.25">
      <c r="A71" s="11">
        <v>45267</v>
      </c>
      <c r="B71" t="s">
        <v>353</v>
      </c>
      <c r="C71" t="s">
        <v>32</v>
      </c>
      <c r="D71" s="1">
        <v>370738</v>
      </c>
      <c r="E71" s="1">
        <v>135067</v>
      </c>
      <c r="F71" s="3">
        <v>0.36430000000000001</v>
      </c>
      <c r="G71" s="1">
        <v>1657</v>
      </c>
      <c r="H71" s="3">
        <v>1.23E-2</v>
      </c>
      <c r="I71" s="16">
        <v>4.4999999999999997E-3</v>
      </c>
    </row>
    <row r="72" spans="1:9" x14ac:dyDescent="0.25">
      <c r="A72" s="11">
        <v>45267</v>
      </c>
      <c r="B72" t="s">
        <v>305</v>
      </c>
      <c r="C72" t="s">
        <v>32</v>
      </c>
      <c r="D72" s="1">
        <v>1654878</v>
      </c>
      <c r="E72" s="1">
        <v>570819</v>
      </c>
      <c r="F72" s="3">
        <v>0.34489999999999998</v>
      </c>
      <c r="G72" s="1">
        <v>3749</v>
      </c>
      <c r="H72" s="3">
        <v>6.6E-3</v>
      </c>
      <c r="I72" s="16">
        <v>2.3E-3</v>
      </c>
    </row>
    <row r="73" spans="1:9" x14ac:dyDescent="0.25">
      <c r="A73" s="11">
        <v>45267</v>
      </c>
      <c r="B73" t="s">
        <v>306</v>
      </c>
      <c r="C73" t="s">
        <v>33</v>
      </c>
      <c r="D73" s="1">
        <v>121143</v>
      </c>
      <c r="E73" s="1">
        <v>36961</v>
      </c>
      <c r="F73" s="3">
        <v>0.30509999999999998</v>
      </c>
      <c r="G73">
        <v>395</v>
      </c>
      <c r="H73" s="3">
        <v>1.0699999999999999E-2</v>
      </c>
      <c r="I73" s="16">
        <v>3.3E-3</v>
      </c>
    </row>
    <row r="74" spans="1:9" x14ac:dyDescent="0.25">
      <c r="A74" s="11">
        <v>45267</v>
      </c>
      <c r="B74" t="s">
        <v>327</v>
      </c>
      <c r="C74" t="s">
        <v>32</v>
      </c>
      <c r="D74" s="1">
        <v>721524</v>
      </c>
      <c r="E74" s="1">
        <v>260692</v>
      </c>
      <c r="F74" s="3">
        <v>0.36130000000000001</v>
      </c>
      <c r="G74" s="1">
        <v>2197</v>
      </c>
      <c r="H74" s="3">
        <v>8.3999999999999995E-3</v>
      </c>
      <c r="I74" s="16">
        <v>3.0000000000000001E-3</v>
      </c>
    </row>
    <row r="75" spans="1:9" x14ac:dyDescent="0.25">
      <c r="A75" s="11">
        <v>45267</v>
      </c>
      <c r="B75" t="s">
        <v>329</v>
      </c>
      <c r="C75" t="s">
        <v>33</v>
      </c>
      <c r="D75" s="1">
        <v>58623</v>
      </c>
      <c r="E75" s="1">
        <v>20814</v>
      </c>
      <c r="F75" s="3">
        <v>0.35499999999999998</v>
      </c>
      <c r="G75">
        <v>302</v>
      </c>
      <c r="H75" s="3">
        <v>1.4500000000000001E-2</v>
      </c>
      <c r="I75" s="16">
        <v>5.1999999999999998E-3</v>
      </c>
    </row>
    <row r="76" spans="1:9" x14ac:dyDescent="0.25">
      <c r="A76" s="11">
        <v>45267</v>
      </c>
      <c r="B76" t="s">
        <v>307</v>
      </c>
      <c r="C76" t="s">
        <v>32</v>
      </c>
      <c r="D76" s="1">
        <v>390673</v>
      </c>
      <c r="E76" s="1">
        <v>126620</v>
      </c>
      <c r="F76" s="3">
        <v>0.3241</v>
      </c>
      <c r="G76">
        <v>946</v>
      </c>
      <c r="H76" s="3">
        <v>7.4999999999999997E-3</v>
      </c>
      <c r="I76" s="16">
        <v>2.3999999999999998E-3</v>
      </c>
    </row>
    <row r="77" spans="1:9" x14ac:dyDescent="0.25">
      <c r="A77" s="11">
        <v>45267</v>
      </c>
      <c r="B77" t="s">
        <v>308</v>
      </c>
      <c r="C77" t="s">
        <v>33</v>
      </c>
      <c r="D77" s="1">
        <v>28036</v>
      </c>
      <c r="E77" s="1">
        <v>8374</v>
      </c>
      <c r="F77" s="3">
        <v>0.29870000000000002</v>
      </c>
      <c r="G77">
        <v>114</v>
      </c>
      <c r="H77" s="3">
        <v>1.3599999999999999E-2</v>
      </c>
      <c r="I77" s="16">
        <v>4.1000000000000003E-3</v>
      </c>
    </row>
    <row r="78" spans="1:9" x14ac:dyDescent="0.25">
      <c r="A78" s="11">
        <v>45267</v>
      </c>
      <c r="B78" t="s">
        <v>334</v>
      </c>
      <c r="C78" t="s">
        <v>32</v>
      </c>
      <c r="D78" s="1">
        <v>1348651</v>
      </c>
      <c r="E78" s="1">
        <v>465084</v>
      </c>
      <c r="F78" s="3">
        <v>0.34489999999999998</v>
      </c>
      <c r="G78" s="1">
        <v>2704</v>
      </c>
      <c r="H78" s="3">
        <v>5.7999999999999996E-3</v>
      </c>
      <c r="I78" s="16">
        <v>2E-3</v>
      </c>
    </row>
    <row r="79" spans="1:9" x14ac:dyDescent="0.25">
      <c r="A79" s="11">
        <v>45267</v>
      </c>
      <c r="B79" t="s">
        <v>335</v>
      </c>
      <c r="C79" t="s">
        <v>33</v>
      </c>
      <c r="D79" s="1">
        <v>104478</v>
      </c>
      <c r="E79" s="1">
        <v>31098</v>
      </c>
      <c r="F79" s="3">
        <v>0.29770000000000002</v>
      </c>
      <c r="G79">
        <v>321</v>
      </c>
      <c r="H79" s="3">
        <v>1.03E-2</v>
      </c>
      <c r="I79" s="16">
        <v>3.0999999999999999E-3</v>
      </c>
    </row>
    <row r="80" spans="1:9" ht="15.75" thickBot="1" x14ac:dyDescent="0.3">
      <c r="A80" s="17" t="s">
        <v>427</v>
      </c>
      <c r="B80" s="4"/>
      <c r="C80" s="4"/>
      <c r="D80" s="18">
        <f>SUM(D71:D79)</f>
        <v>4798744</v>
      </c>
      <c r="E80" s="18">
        <f>SUM(E71:E79)</f>
        <v>1655529</v>
      </c>
      <c r="F80" s="19">
        <f>AVERAGE(F71:F79)</f>
        <v>0.3328888888888889</v>
      </c>
      <c r="G80" s="18">
        <f>SUM(G71:G79)</f>
        <v>12385</v>
      </c>
      <c r="H80" s="19">
        <f>AVERAGE(H71:H79)</f>
        <v>9.9666666666666671E-3</v>
      </c>
      <c r="I80" s="21">
        <f>AVERAGE(I71:I79)</f>
        <v>3.3222222222222216E-3</v>
      </c>
    </row>
  </sheetData>
  <mergeCells count="3">
    <mergeCell ref="A37:I37"/>
    <mergeCell ref="A46:I46"/>
    <mergeCell ref="A69:I69"/>
  </mergeCells>
  <pageMargins left="0.7" right="0.7" top="0.75" bottom="0.75" header="0.3" footer="0.3"/>
  <ignoredErrors>
    <ignoredError sqref="F36:G36 F45:G45 F68:G68 F80:G80" formula="1"/>
  </ignoredErrors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2662-EE5F-4C6D-BC7C-F17E56AEFF45}">
  <dimension ref="A1:I74"/>
  <sheetViews>
    <sheetView workbookViewId="0">
      <selection activeCell="B28" sqref="B28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3" customWidth="1"/>
    <col min="5" max="5" width="14.5703125" customWidth="1"/>
    <col min="6" max="6" width="18.5703125" bestFit="1" customWidth="1"/>
    <col min="7" max="7" width="13.1406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45268</v>
      </c>
      <c r="B2" t="s">
        <v>354</v>
      </c>
      <c r="C2" t="s">
        <v>355</v>
      </c>
      <c r="D2" s="1">
        <v>475163</v>
      </c>
      <c r="E2" s="1">
        <v>175667</v>
      </c>
      <c r="F2" s="2">
        <v>0.36969839823386902</v>
      </c>
      <c r="G2" s="1">
        <v>8061</v>
      </c>
      <c r="H2" s="2">
        <v>4.5887958466871999E-2</v>
      </c>
      <c r="I2" s="2">
        <v>1.6964704743424899E-2</v>
      </c>
    </row>
    <row r="3" spans="1:9" x14ac:dyDescent="0.25">
      <c r="A3" s="26">
        <v>45268</v>
      </c>
      <c r="B3" t="s">
        <v>354</v>
      </c>
      <c r="C3" t="s">
        <v>356</v>
      </c>
      <c r="D3" s="1">
        <v>2795953</v>
      </c>
      <c r="E3" s="1">
        <v>969113</v>
      </c>
      <c r="F3" s="2">
        <v>0.346612764949912</v>
      </c>
      <c r="G3" s="1">
        <v>11508</v>
      </c>
      <c r="H3" s="2">
        <v>1.1874776212887499E-2</v>
      </c>
      <c r="I3" s="2">
        <v>4.11594901631036E-3</v>
      </c>
    </row>
    <row r="4" spans="1:9" x14ac:dyDescent="0.25">
      <c r="A4" s="26">
        <v>45268</v>
      </c>
      <c r="B4" t="s">
        <v>354</v>
      </c>
      <c r="C4" t="s">
        <v>357</v>
      </c>
      <c r="D4" s="1">
        <v>21927</v>
      </c>
      <c r="E4" s="1">
        <v>6074</v>
      </c>
      <c r="F4" s="2">
        <v>0.27701007889816198</v>
      </c>
      <c r="G4" s="1">
        <v>501</v>
      </c>
      <c r="H4" s="2">
        <v>8.2482713203819599E-2</v>
      </c>
      <c r="I4" s="2">
        <v>2.2848542892324498E-2</v>
      </c>
    </row>
    <row r="5" spans="1:9" x14ac:dyDescent="0.25">
      <c r="A5" s="26">
        <v>45268</v>
      </c>
      <c r="B5" t="s">
        <v>354</v>
      </c>
      <c r="C5" t="s">
        <v>358</v>
      </c>
      <c r="D5" s="1">
        <v>186362</v>
      </c>
      <c r="E5" s="1">
        <v>54009</v>
      </c>
      <c r="F5" s="2">
        <v>0.28980693489016002</v>
      </c>
      <c r="G5" s="1">
        <v>1117</v>
      </c>
      <c r="H5" s="2">
        <v>2.0681738228813699E-2</v>
      </c>
      <c r="I5" s="2">
        <v>5.9937111642931499E-3</v>
      </c>
    </row>
    <row r="6" spans="1:9" x14ac:dyDescent="0.25">
      <c r="A6" s="26">
        <v>45268</v>
      </c>
      <c r="B6" t="s">
        <v>359</v>
      </c>
      <c r="C6" t="s">
        <v>32</v>
      </c>
      <c r="D6" s="1">
        <v>309649</v>
      </c>
      <c r="E6" s="1">
        <v>117827</v>
      </c>
      <c r="F6" s="2">
        <v>0.38051794128190303</v>
      </c>
      <c r="G6" s="1">
        <v>1867</v>
      </c>
      <c r="H6" s="2">
        <v>1.58452646676908E-2</v>
      </c>
      <c r="I6" s="2">
        <v>6.0294074904165698E-3</v>
      </c>
    </row>
    <row r="7" spans="1:9" x14ac:dyDescent="0.25">
      <c r="A7" s="26">
        <v>45268</v>
      </c>
      <c r="B7" t="s">
        <v>359</v>
      </c>
      <c r="C7" t="s">
        <v>33</v>
      </c>
      <c r="D7" s="1">
        <v>17054</v>
      </c>
      <c r="E7" s="1">
        <v>5890</v>
      </c>
      <c r="F7" s="2">
        <v>0.34537351940893601</v>
      </c>
      <c r="G7" s="1">
        <v>196</v>
      </c>
      <c r="H7" s="2">
        <v>3.3276740237690998E-2</v>
      </c>
      <c r="I7" s="2">
        <v>1.14929048903483E-2</v>
      </c>
    </row>
    <row r="8" spans="1:9" x14ac:dyDescent="0.25">
      <c r="A8" s="26">
        <v>45268</v>
      </c>
      <c r="B8" t="s">
        <v>360</v>
      </c>
      <c r="C8" t="s">
        <v>32</v>
      </c>
      <c r="D8" s="1">
        <v>176346</v>
      </c>
      <c r="E8" s="1">
        <v>65684</v>
      </c>
      <c r="F8" s="2">
        <v>0.37247229877626897</v>
      </c>
      <c r="G8" s="1">
        <v>1081</v>
      </c>
      <c r="H8" s="2">
        <v>1.64575847999513E-2</v>
      </c>
      <c r="I8" s="2">
        <v>6.1299944427432402E-3</v>
      </c>
    </row>
    <row r="9" spans="1:9" x14ac:dyDescent="0.25">
      <c r="A9" s="26">
        <v>45268</v>
      </c>
      <c r="B9" t="s">
        <v>361</v>
      </c>
      <c r="C9" t="s">
        <v>32</v>
      </c>
      <c r="D9" s="1">
        <v>762477</v>
      </c>
      <c r="E9" s="1">
        <v>270016</v>
      </c>
      <c r="F9" s="2">
        <v>0.35413002621718398</v>
      </c>
      <c r="G9" s="1">
        <v>1954</v>
      </c>
      <c r="H9" s="2">
        <v>7.2366082009955E-3</v>
      </c>
      <c r="I9" s="2">
        <v>2.56270025194203E-3</v>
      </c>
    </row>
    <row r="10" spans="1:9" x14ac:dyDescent="0.25">
      <c r="A10" s="26">
        <v>45268</v>
      </c>
      <c r="B10" t="s">
        <v>361</v>
      </c>
      <c r="C10" t="s">
        <v>33</v>
      </c>
      <c r="D10" s="1">
        <v>59155</v>
      </c>
      <c r="E10" s="1">
        <v>17868</v>
      </c>
      <c r="F10" s="2">
        <v>0.30205392612627802</v>
      </c>
      <c r="G10" s="1">
        <v>182</v>
      </c>
      <c r="H10" s="2">
        <v>1.0185807029326199E-2</v>
      </c>
      <c r="I10" s="2">
        <v>3.0766630039726099E-3</v>
      </c>
    </row>
    <row r="11" spans="1:9" x14ac:dyDescent="0.25">
      <c r="A11" s="26">
        <v>45268</v>
      </c>
      <c r="B11" t="s">
        <v>362</v>
      </c>
      <c r="C11" t="s">
        <v>363</v>
      </c>
      <c r="D11" s="1">
        <v>559796</v>
      </c>
      <c r="E11" s="1">
        <v>216172</v>
      </c>
      <c r="F11" s="2">
        <v>0.38616210190855199</v>
      </c>
      <c r="G11" s="1">
        <v>2896</v>
      </c>
      <c r="H11" s="2">
        <v>1.3396739633255E-2</v>
      </c>
      <c r="I11" s="2">
        <v>5.1733131354993597E-3</v>
      </c>
    </row>
    <row r="12" spans="1:9" x14ac:dyDescent="0.25">
      <c r="A12" s="26">
        <v>45268</v>
      </c>
      <c r="B12" t="s">
        <v>364</v>
      </c>
      <c r="C12" t="s">
        <v>363</v>
      </c>
      <c r="D12" s="1">
        <v>280120</v>
      </c>
      <c r="E12" s="1">
        <v>104147</v>
      </c>
      <c r="F12" s="2">
        <v>0.37179423104383802</v>
      </c>
      <c r="G12" s="1">
        <v>1021</v>
      </c>
      <c r="H12" s="2">
        <v>9.8034508915283199E-3</v>
      </c>
      <c r="I12" s="2">
        <v>3.6448664857918001E-3</v>
      </c>
    </row>
    <row r="13" spans="1:9" x14ac:dyDescent="0.25">
      <c r="A13" s="26">
        <v>45268</v>
      </c>
      <c r="B13" t="s">
        <v>364</v>
      </c>
      <c r="C13" t="s">
        <v>365</v>
      </c>
      <c r="D13" s="1">
        <v>40105</v>
      </c>
      <c r="E13" s="1">
        <v>14810</v>
      </c>
      <c r="F13" s="2">
        <v>0.369280638324398</v>
      </c>
      <c r="G13" s="1">
        <v>576</v>
      </c>
      <c r="H13" s="2">
        <v>3.8892640108035101E-2</v>
      </c>
      <c r="I13" s="2">
        <v>1.43622989652163E-2</v>
      </c>
    </row>
    <row r="14" spans="1:9" x14ac:dyDescent="0.25">
      <c r="A14" s="26">
        <v>45270</v>
      </c>
      <c r="B14" t="s">
        <v>364</v>
      </c>
      <c r="C14" t="s">
        <v>366</v>
      </c>
      <c r="D14" s="1">
        <v>279895</v>
      </c>
      <c r="E14" s="1">
        <v>103792</v>
      </c>
      <c r="F14" s="2">
        <v>0.37082477357580501</v>
      </c>
      <c r="G14" s="1">
        <v>1359</v>
      </c>
      <c r="H14" s="2">
        <v>1.3093494681671E-2</v>
      </c>
      <c r="I14" s="2">
        <v>4.8553922006466703E-3</v>
      </c>
    </row>
    <row r="15" spans="1:9" x14ac:dyDescent="0.25">
      <c r="A15" s="26">
        <v>45270</v>
      </c>
      <c r="B15" t="s">
        <v>364</v>
      </c>
      <c r="C15" t="s">
        <v>367</v>
      </c>
      <c r="D15" s="1">
        <v>40034</v>
      </c>
      <c r="E15" s="1">
        <v>14583</v>
      </c>
      <c r="F15" s="2">
        <v>0.36426537443173301</v>
      </c>
      <c r="G15" s="1">
        <v>582</v>
      </c>
      <c r="H15" s="2">
        <v>3.9909483645340499E-2</v>
      </c>
      <c r="I15" s="2">
        <v>1.45376430034471E-2</v>
      </c>
    </row>
    <row r="16" spans="1:9" x14ac:dyDescent="0.25">
      <c r="A16" s="26">
        <v>45271</v>
      </c>
      <c r="B16" t="s">
        <v>368</v>
      </c>
      <c r="C16" t="s">
        <v>32</v>
      </c>
      <c r="D16" s="1">
        <v>42835</v>
      </c>
      <c r="E16" s="1">
        <v>15420</v>
      </c>
      <c r="F16" s="2">
        <v>0.36083020714402197</v>
      </c>
      <c r="G16" s="1">
        <v>204</v>
      </c>
      <c r="H16" s="2">
        <v>1.6047010961690599E-2</v>
      </c>
      <c r="I16" s="2">
        <v>5.7902462893492102E-3</v>
      </c>
    </row>
    <row r="17" spans="1:9" x14ac:dyDescent="0.25">
      <c r="A17" s="26">
        <v>45271</v>
      </c>
      <c r="B17" t="s">
        <v>369</v>
      </c>
      <c r="C17" t="s">
        <v>32</v>
      </c>
      <c r="D17" s="1">
        <v>13832</v>
      </c>
      <c r="E17" s="1">
        <v>5206</v>
      </c>
      <c r="F17" s="2">
        <v>0.37637362637362598</v>
      </c>
      <c r="G17" s="1">
        <v>46</v>
      </c>
      <c r="H17" s="2">
        <v>8.8359585094122204E-3</v>
      </c>
      <c r="I17" s="2">
        <v>3.3256217466743798E-3</v>
      </c>
    </row>
    <row r="18" spans="1:9" x14ac:dyDescent="0.25">
      <c r="A18" s="26">
        <v>45271</v>
      </c>
      <c r="B18" t="s">
        <v>370</v>
      </c>
      <c r="C18" t="s">
        <v>32</v>
      </c>
      <c r="D18" s="1">
        <v>14979</v>
      </c>
      <c r="E18" s="1">
        <v>5232</v>
      </c>
      <c r="F18" s="2">
        <v>0.34928900460644902</v>
      </c>
      <c r="G18" s="1">
        <v>65</v>
      </c>
      <c r="H18" s="2">
        <v>1.24235474006116E-2</v>
      </c>
      <c r="I18" s="2">
        <v>4.3394085052406699E-3</v>
      </c>
    </row>
    <row r="19" spans="1:9" x14ac:dyDescent="0.25">
      <c r="A19" s="26">
        <v>45272</v>
      </c>
      <c r="B19" t="s">
        <v>371</v>
      </c>
      <c r="C19" t="s">
        <v>32</v>
      </c>
      <c r="D19" s="1">
        <v>1055388</v>
      </c>
      <c r="E19" s="1">
        <v>384230</v>
      </c>
      <c r="F19" s="2">
        <v>0.36406515897470898</v>
      </c>
      <c r="G19" s="1">
        <v>5718</v>
      </c>
      <c r="H19" s="2">
        <v>1.48817114748978E-2</v>
      </c>
      <c r="I19" s="2">
        <v>5.4179126539244298E-3</v>
      </c>
    </row>
    <row r="20" spans="1:9" x14ac:dyDescent="0.25">
      <c r="A20" s="26">
        <v>45272</v>
      </c>
      <c r="B20" t="s">
        <v>371</v>
      </c>
      <c r="C20" t="s">
        <v>33</v>
      </c>
      <c r="D20" s="1">
        <v>80021</v>
      </c>
      <c r="E20" s="1">
        <v>27597</v>
      </c>
      <c r="F20" s="2">
        <v>0.344871971107584</v>
      </c>
      <c r="G20" s="1">
        <v>612</v>
      </c>
      <c r="H20" s="2">
        <v>2.2176323513425401E-2</v>
      </c>
      <c r="I20" s="2">
        <v>7.6479924019944804E-3</v>
      </c>
    </row>
    <row r="21" spans="1:9" x14ac:dyDescent="0.25">
      <c r="A21" s="26">
        <v>45272</v>
      </c>
      <c r="B21" t="s">
        <v>372</v>
      </c>
      <c r="C21" t="s">
        <v>163</v>
      </c>
      <c r="D21" s="1">
        <v>26594</v>
      </c>
      <c r="E21" s="1">
        <v>10161</v>
      </c>
      <c r="F21" s="2">
        <v>0.38207866436038201</v>
      </c>
      <c r="G21" s="1">
        <v>105</v>
      </c>
      <c r="H21" s="2">
        <v>1.0333628579864199E-2</v>
      </c>
      <c r="I21" s="2">
        <v>3.9482590057907802E-3</v>
      </c>
    </row>
    <row r="22" spans="1:9" x14ac:dyDescent="0.25">
      <c r="A22" s="26">
        <v>45272</v>
      </c>
      <c r="B22" t="s">
        <v>372</v>
      </c>
      <c r="C22" t="s">
        <v>162</v>
      </c>
      <c r="D22" s="1">
        <v>507253</v>
      </c>
      <c r="E22" s="1">
        <v>193318</v>
      </c>
      <c r="F22" s="2">
        <v>0.381107652394367</v>
      </c>
      <c r="G22" s="1">
        <v>2061</v>
      </c>
      <c r="H22" s="2">
        <v>1.06611903702707E-2</v>
      </c>
      <c r="I22" s="2">
        <v>4.0630612337433196E-3</v>
      </c>
    </row>
    <row r="23" spans="1:9" x14ac:dyDescent="0.25">
      <c r="A23" s="26">
        <v>45273</v>
      </c>
      <c r="B23" t="s">
        <v>373</v>
      </c>
      <c r="C23" t="s">
        <v>32</v>
      </c>
      <c r="D23" s="1">
        <v>2147205</v>
      </c>
      <c r="E23" s="1">
        <v>1017510</v>
      </c>
      <c r="F23" s="2">
        <v>0.47387650457222302</v>
      </c>
      <c r="G23" s="1">
        <v>11573</v>
      </c>
      <c r="H23" s="2">
        <v>1.13738439917052E-2</v>
      </c>
      <c r="I23" s="2">
        <v>5.3897974343390604E-3</v>
      </c>
    </row>
    <row r="24" spans="1:9" x14ac:dyDescent="0.25">
      <c r="A24" s="26">
        <v>45273</v>
      </c>
      <c r="B24" t="s">
        <v>374</v>
      </c>
      <c r="C24" t="s">
        <v>375</v>
      </c>
      <c r="D24" s="1">
        <v>805761</v>
      </c>
      <c r="E24" s="1">
        <v>330945</v>
      </c>
      <c r="F24" s="2">
        <v>0.41072352719975302</v>
      </c>
      <c r="G24" s="1">
        <v>3490</v>
      </c>
      <c r="H24" s="2">
        <v>1.05455589297315E-2</v>
      </c>
      <c r="I24" s="2">
        <v>4.3313091599121801E-3</v>
      </c>
    </row>
    <row r="25" spans="1:9" x14ac:dyDescent="0.25">
      <c r="A25" s="26">
        <v>45273</v>
      </c>
      <c r="B25" t="s">
        <v>374</v>
      </c>
      <c r="C25" t="s">
        <v>376</v>
      </c>
      <c r="D25" s="1">
        <v>46299</v>
      </c>
      <c r="E25" s="1">
        <v>17818</v>
      </c>
      <c r="F25" s="2">
        <v>0.38484632497462101</v>
      </c>
      <c r="G25" s="1">
        <v>334</v>
      </c>
      <c r="H25" s="2">
        <v>1.87450892356044E-2</v>
      </c>
      <c r="I25" s="2">
        <v>7.2139787036437104E-3</v>
      </c>
    </row>
    <row r="26" spans="1:9" x14ac:dyDescent="0.25">
      <c r="A26" s="26">
        <v>45273</v>
      </c>
      <c r="B26" t="s">
        <v>377</v>
      </c>
      <c r="C26" t="s">
        <v>375</v>
      </c>
      <c r="D26" s="1">
        <v>1569310</v>
      </c>
      <c r="E26" s="1">
        <v>578586</v>
      </c>
      <c r="F26" s="2">
        <v>0.36868814956891899</v>
      </c>
      <c r="G26" s="1">
        <v>4003</v>
      </c>
      <c r="H26" s="2">
        <v>6.9185911860985203E-3</v>
      </c>
      <c r="I26" s="2">
        <v>2.5508025820264999E-3</v>
      </c>
    </row>
    <row r="27" spans="1:9" x14ac:dyDescent="0.25">
      <c r="A27" s="26">
        <v>45273</v>
      </c>
      <c r="B27" t="s">
        <v>377</v>
      </c>
      <c r="C27" t="s">
        <v>376</v>
      </c>
      <c r="D27" s="1">
        <v>88615</v>
      </c>
      <c r="E27" s="1">
        <v>29568</v>
      </c>
      <c r="F27" s="2">
        <v>0.33366811487897102</v>
      </c>
      <c r="G27" s="1">
        <v>353</v>
      </c>
      <c r="H27" s="2">
        <v>1.19385822510823E-2</v>
      </c>
      <c r="I27" s="2">
        <v>3.9835242340461501E-3</v>
      </c>
    </row>
    <row r="28" spans="1:9" x14ac:dyDescent="0.25">
      <c r="A28" s="26">
        <v>45274</v>
      </c>
      <c r="B28" t="s">
        <v>353</v>
      </c>
      <c r="C28" t="s">
        <v>32</v>
      </c>
      <c r="D28" s="1">
        <v>305369</v>
      </c>
      <c r="E28" s="1">
        <v>106059</v>
      </c>
      <c r="F28" s="3">
        <v>0.3473</v>
      </c>
      <c r="G28">
        <v>735</v>
      </c>
      <c r="H28" s="3">
        <v>6.8999999999999999E-3</v>
      </c>
      <c r="I28" s="3">
        <v>2.3999999999999998E-3</v>
      </c>
    </row>
    <row r="29" spans="1:9" x14ac:dyDescent="0.25">
      <c r="A29" s="26">
        <v>45274</v>
      </c>
      <c r="B29" t="s">
        <v>327</v>
      </c>
      <c r="C29" t="s">
        <v>32</v>
      </c>
      <c r="D29" s="1">
        <v>718028</v>
      </c>
      <c r="E29" s="1">
        <v>266479</v>
      </c>
      <c r="F29" s="3">
        <v>0.37109999999999999</v>
      </c>
      <c r="G29" s="1">
        <v>2369</v>
      </c>
      <c r="H29" s="3">
        <v>8.8999999999999999E-3</v>
      </c>
      <c r="I29" s="3">
        <v>3.3E-3</v>
      </c>
    </row>
    <row r="30" spans="1:9" x14ac:dyDescent="0.25">
      <c r="A30" s="26">
        <v>45274</v>
      </c>
      <c r="B30" t="s">
        <v>329</v>
      </c>
      <c r="C30" t="s">
        <v>33</v>
      </c>
      <c r="D30" s="1">
        <v>23985</v>
      </c>
      <c r="E30" s="1">
        <v>8150</v>
      </c>
      <c r="F30" s="2">
        <v>0.33979570564936401</v>
      </c>
      <c r="G30" s="1">
        <v>112</v>
      </c>
      <c r="H30" s="2">
        <v>1.3742331288343601E-2</v>
      </c>
      <c r="I30" s="2">
        <v>4.6695851573900398E-3</v>
      </c>
    </row>
    <row r="31" spans="1:9" x14ac:dyDescent="0.25">
      <c r="A31" s="26">
        <v>45274</v>
      </c>
      <c r="B31" t="s">
        <v>334</v>
      </c>
      <c r="C31" t="s">
        <v>32</v>
      </c>
      <c r="D31" s="1">
        <v>1345065</v>
      </c>
      <c r="E31" s="1">
        <v>467460</v>
      </c>
      <c r="F31" s="3">
        <v>0.34749999999999998</v>
      </c>
      <c r="G31" s="1">
        <v>2906</v>
      </c>
      <c r="H31" s="3">
        <v>6.1999999999999998E-3</v>
      </c>
      <c r="I31" s="3">
        <v>2.2000000000000001E-3</v>
      </c>
    </row>
    <row r="32" spans="1:9" x14ac:dyDescent="0.25">
      <c r="A32" s="26">
        <v>45274</v>
      </c>
      <c r="B32" t="s">
        <v>335</v>
      </c>
      <c r="C32" t="s">
        <v>33</v>
      </c>
      <c r="D32" s="1">
        <v>104000</v>
      </c>
      <c r="E32" s="1">
        <v>31584</v>
      </c>
      <c r="F32" s="3">
        <v>0.30370000000000003</v>
      </c>
      <c r="G32">
        <v>302</v>
      </c>
      <c r="H32" s="3">
        <v>9.5999999999999992E-3</v>
      </c>
      <c r="I32" s="3">
        <v>2.8999999999999998E-3</v>
      </c>
    </row>
    <row r="33" spans="1:9" ht="15.75" thickBot="1" x14ac:dyDescent="0.3">
      <c r="A33" s="27" t="s">
        <v>427</v>
      </c>
      <c r="D33" s="14">
        <f>SUM(D2:D32)</f>
        <v>14898575</v>
      </c>
      <c r="E33" s="14">
        <f>SUM(E2:E32)</f>
        <v>5630975</v>
      </c>
      <c r="F33" s="111">
        <f>AVERAGE(F2:F32)</f>
        <v>0.35934895547974161</v>
      </c>
      <c r="G33" s="14">
        <f>SUM(G2:G32)</f>
        <v>67889</v>
      </c>
      <c r="H33" s="111">
        <f>AVERAGE(H2:H32)</f>
        <v>1.8040269925826313E-2</v>
      </c>
      <c r="I33" s="111">
        <f>AVERAGE(I2:I32)</f>
        <v>6.2986964772403812E-3</v>
      </c>
    </row>
    <row r="34" spans="1:9" ht="15.75" thickBot="1" x14ac:dyDescent="0.3">
      <c r="A34" s="140"/>
      <c r="B34" s="140"/>
      <c r="C34" s="140"/>
      <c r="D34" s="140"/>
      <c r="E34" s="140"/>
      <c r="F34" s="140"/>
      <c r="G34" s="140"/>
      <c r="H34" s="140"/>
      <c r="I34" s="140"/>
    </row>
    <row r="35" spans="1:9" ht="20.45" customHeight="1" x14ac:dyDescent="0.25">
      <c r="A35" s="76" t="s">
        <v>0</v>
      </c>
      <c r="B35" s="77" t="s">
        <v>1</v>
      </c>
      <c r="C35" s="77" t="s">
        <v>796</v>
      </c>
      <c r="D35" s="77" t="s">
        <v>3</v>
      </c>
      <c r="E35" s="77" t="s">
        <v>4</v>
      </c>
      <c r="F35" s="77" t="s">
        <v>5</v>
      </c>
      <c r="G35" s="77" t="s">
        <v>6</v>
      </c>
      <c r="H35" s="77" t="s">
        <v>7</v>
      </c>
      <c r="I35" s="78" t="s">
        <v>8</v>
      </c>
    </row>
    <row r="36" spans="1:9" x14ac:dyDescent="0.25">
      <c r="A36" s="8" t="s">
        <v>790</v>
      </c>
      <c r="B36" s="9"/>
      <c r="C36" s="9"/>
      <c r="D36" s="9"/>
      <c r="E36" s="9"/>
      <c r="F36" s="9"/>
      <c r="G36" s="9"/>
      <c r="H36" s="9"/>
      <c r="I36" s="10"/>
    </row>
    <row r="37" spans="1:9" x14ac:dyDescent="0.25">
      <c r="A37" s="11">
        <v>45268</v>
      </c>
      <c r="B37" t="s">
        <v>354</v>
      </c>
      <c r="C37" t="s">
        <v>355</v>
      </c>
      <c r="D37" s="1">
        <v>475163</v>
      </c>
      <c r="E37" s="1">
        <v>175667</v>
      </c>
      <c r="F37" s="2">
        <v>0.36969839823386902</v>
      </c>
      <c r="G37" s="1">
        <v>8061</v>
      </c>
      <c r="H37" s="2">
        <v>4.5887958466871999E-2</v>
      </c>
      <c r="I37" s="12">
        <v>1.6964704743424899E-2</v>
      </c>
    </row>
    <row r="38" spans="1:9" x14ac:dyDescent="0.25">
      <c r="A38" s="11">
        <v>45268</v>
      </c>
      <c r="B38" t="s">
        <v>354</v>
      </c>
      <c r="C38" t="s">
        <v>356</v>
      </c>
      <c r="D38" s="1">
        <v>2795953</v>
      </c>
      <c r="E38" s="1">
        <v>969113</v>
      </c>
      <c r="F38" s="2">
        <v>0.346612764949912</v>
      </c>
      <c r="G38" s="1">
        <v>11508</v>
      </c>
      <c r="H38" s="2">
        <v>1.1874776212887499E-2</v>
      </c>
      <c r="I38" s="12">
        <v>4.11594901631036E-3</v>
      </c>
    </row>
    <row r="39" spans="1:9" x14ac:dyDescent="0.25">
      <c r="A39" s="11">
        <v>45268</v>
      </c>
      <c r="B39" t="s">
        <v>354</v>
      </c>
      <c r="C39" t="s">
        <v>357</v>
      </c>
      <c r="D39" s="1">
        <v>21927</v>
      </c>
      <c r="E39" s="1">
        <v>6074</v>
      </c>
      <c r="F39" s="2">
        <v>0.27701007889816198</v>
      </c>
      <c r="G39" s="1">
        <v>501</v>
      </c>
      <c r="H39" s="2">
        <v>8.2482713203819599E-2</v>
      </c>
      <c r="I39" s="12">
        <v>2.2848542892324498E-2</v>
      </c>
    </row>
    <row r="40" spans="1:9" x14ac:dyDescent="0.25">
      <c r="A40" s="11">
        <v>45268</v>
      </c>
      <c r="B40" t="s">
        <v>354</v>
      </c>
      <c r="C40" t="s">
        <v>358</v>
      </c>
      <c r="D40" s="1">
        <v>186362</v>
      </c>
      <c r="E40" s="1">
        <v>54009</v>
      </c>
      <c r="F40" s="2">
        <v>0.28980693489016002</v>
      </c>
      <c r="G40" s="1">
        <v>1117</v>
      </c>
      <c r="H40" s="2">
        <v>2.0681738228813699E-2</v>
      </c>
      <c r="I40" s="12">
        <v>5.9937111642931499E-3</v>
      </c>
    </row>
    <row r="41" spans="1:9" x14ac:dyDescent="0.25">
      <c r="A41" s="11">
        <v>45268</v>
      </c>
      <c r="B41" t="s">
        <v>359</v>
      </c>
      <c r="C41" t="s">
        <v>32</v>
      </c>
      <c r="D41" s="1">
        <v>309649</v>
      </c>
      <c r="E41" s="1">
        <v>117827</v>
      </c>
      <c r="F41" s="2">
        <v>0.38051794128190303</v>
      </c>
      <c r="G41" s="1">
        <v>1867</v>
      </c>
      <c r="H41" s="2">
        <v>1.58452646676908E-2</v>
      </c>
      <c r="I41" s="12">
        <v>6.0294074904165698E-3</v>
      </c>
    </row>
    <row r="42" spans="1:9" x14ac:dyDescent="0.25">
      <c r="A42" s="11">
        <v>45268</v>
      </c>
      <c r="B42" t="s">
        <v>359</v>
      </c>
      <c r="C42" t="s">
        <v>33</v>
      </c>
      <c r="D42" s="1">
        <v>17054</v>
      </c>
      <c r="E42" s="1">
        <v>5890</v>
      </c>
      <c r="F42" s="2">
        <v>0.34537351940893601</v>
      </c>
      <c r="G42" s="1">
        <v>196</v>
      </c>
      <c r="H42" s="2">
        <v>3.3276740237690998E-2</v>
      </c>
      <c r="I42" s="12">
        <v>1.14929048903483E-2</v>
      </c>
    </row>
    <row r="43" spans="1:9" x14ac:dyDescent="0.25">
      <c r="A43" s="11">
        <v>45272</v>
      </c>
      <c r="B43" t="s">
        <v>371</v>
      </c>
      <c r="C43" t="s">
        <v>32</v>
      </c>
      <c r="D43" s="1">
        <v>1055388</v>
      </c>
      <c r="E43" s="1">
        <v>384230</v>
      </c>
      <c r="F43" s="2">
        <v>0.36406515897470898</v>
      </c>
      <c r="G43" s="1">
        <v>5718</v>
      </c>
      <c r="H43" s="2">
        <v>1.48817114748978E-2</v>
      </c>
      <c r="I43" s="12">
        <v>5.4179126539244298E-3</v>
      </c>
    </row>
    <row r="44" spans="1:9" x14ac:dyDescent="0.25">
      <c r="A44" s="11">
        <v>45272</v>
      </c>
      <c r="B44" t="s">
        <v>371</v>
      </c>
      <c r="C44" t="s">
        <v>33</v>
      </c>
      <c r="D44" s="1">
        <v>80021</v>
      </c>
      <c r="E44" s="1">
        <v>27597</v>
      </c>
      <c r="F44" s="2">
        <v>0.344871971107584</v>
      </c>
      <c r="G44" s="1">
        <v>612</v>
      </c>
      <c r="H44" s="2">
        <v>2.2176323513425401E-2</v>
      </c>
      <c r="I44" s="12">
        <v>7.6479924019944804E-3</v>
      </c>
    </row>
    <row r="45" spans="1:9" ht="15.75" thickBot="1" x14ac:dyDescent="0.3">
      <c r="A45" s="17" t="s">
        <v>427</v>
      </c>
      <c r="B45" s="4"/>
      <c r="C45" s="4"/>
      <c r="D45" s="18">
        <f>SUM(D37:D44)</f>
        <v>4941517</v>
      </c>
      <c r="E45" s="18">
        <f>SUM(E37:E44)</f>
        <v>1740407</v>
      </c>
      <c r="F45" s="19">
        <f>AVERAGE(F37:F44)</f>
        <v>0.33974459596815443</v>
      </c>
      <c r="G45" s="18">
        <f>SUM(G37:G44)</f>
        <v>29580</v>
      </c>
      <c r="H45" s="19">
        <f>AVERAGE(H37:H44)</f>
        <v>3.0888403250762225E-2</v>
      </c>
      <c r="I45" s="21">
        <f>AVERAGE(I37:I44)</f>
        <v>1.0063890656629585E-2</v>
      </c>
    </row>
    <row r="46" spans="1:9" ht="3" customHeight="1" thickBot="1" x14ac:dyDescent="0.3">
      <c r="A46" s="143"/>
      <c r="B46" s="140"/>
      <c r="C46" s="140"/>
      <c r="D46" s="140"/>
      <c r="E46" s="140"/>
      <c r="F46" s="140"/>
      <c r="G46" s="140"/>
      <c r="H46" s="140"/>
      <c r="I46" s="144"/>
    </row>
    <row r="47" spans="1:9" x14ac:dyDescent="0.25">
      <c r="A47" s="22" t="s">
        <v>795</v>
      </c>
      <c r="B47" s="23"/>
      <c r="C47" s="23"/>
      <c r="D47" s="23"/>
      <c r="E47" s="23"/>
      <c r="F47" s="23"/>
      <c r="G47" s="23"/>
      <c r="H47" s="23"/>
      <c r="I47" s="24"/>
    </row>
    <row r="48" spans="1:9" x14ac:dyDescent="0.25">
      <c r="A48" s="11">
        <v>45268</v>
      </c>
      <c r="B48" t="s">
        <v>360</v>
      </c>
      <c r="C48" t="s">
        <v>32</v>
      </c>
      <c r="D48" s="1">
        <v>176346</v>
      </c>
      <c r="E48" s="1">
        <v>65684</v>
      </c>
      <c r="F48" s="2">
        <v>0.37247229877626897</v>
      </c>
      <c r="G48" s="1">
        <v>1081</v>
      </c>
      <c r="H48" s="2">
        <v>1.64575847999513E-2</v>
      </c>
      <c r="I48" s="12">
        <v>6.1299944427432402E-3</v>
      </c>
    </row>
    <row r="49" spans="1:9" x14ac:dyDescent="0.25">
      <c r="A49" s="11">
        <v>45268</v>
      </c>
      <c r="B49" t="s">
        <v>361</v>
      </c>
      <c r="C49" t="s">
        <v>32</v>
      </c>
      <c r="D49" s="1">
        <v>762477</v>
      </c>
      <c r="E49" s="1">
        <v>270016</v>
      </c>
      <c r="F49" s="2">
        <v>0.35413002621718398</v>
      </c>
      <c r="G49" s="1">
        <v>1954</v>
      </c>
      <c r="H49" s="2">
        <v>7.2366082009955E-3</v>
      </c>
      <c r="I49" s="12">
        <v>2.56270025194203E-3</v>
      </c>
    </row>
    <row r="50" spans="1:9" x14ac:dyDescent="0.25">
      <c r="A50" s="11">
        <v>45268</v>
      </c>
      <c r="B50" t="s">
        <v>361</v>
      </c>
      <c r="C50" t="s">
        <v>33</v>
      </c>
      <c r="D50" s="1">
        <v>59155</v>
      </c>
      <c r="E50" s="1">
        <v>17868</v>
      </c>
      <c r="F50" s="2">
        <v>0.30205392612627802</v>
      </c>
      <c r="G50" s="1">
        <v>182</v>
      </c>
      <c r="H50" s="2">
        <v>1.0185807029326199E-2</v>
      </c>
      <c r="I50" s="12">
        <v>3.0766630039726099E-3</v>
      </c>
    </row>
    <row r="51" spans="1:9" x14ac:dyDescent="0.25">
      <c r="A51" s="11">
        <v>45268</v>
      </c>
      <c r="B51" t="s">
        <v>362</v>
      </c>
      <c r="C51" t="s">
        <v>363</v>
      </c>
      <c r="D51" s="1">
        <v>559796</v>
      </c>
      <c r="E51" s="1">
        <v>216172</v>
      </c>
      <c r="F51" s="2">
        <v>0.38616210190855199</v>
      </c>
      <c r="G51" s="1">
        <v>2896</v>
      </c>
      <c r="H51" s="2">
        <v>1.3396739633255E-2</v>
      </c>
      <c r="I51" s="12">
        <v>5.1733131354993597E-3</v>
      </c>
    </row>
    <row r="52" spans="1:9" x14ac:dyDescent="0.25">
      <c r="A52" s="11">
        <v>45268</v>
      </c>
      <c r="B52" t="s">
        <v>364</v>
      </c>
      <c r="C52" t="s">
        <v>363</v>
      </c>
      <c r="D52" s="1">
        <v>280120</v>
      </c>
      <c r="E52" s="1">
        <v>104147</v>
      </c>
      <c r="F52" s="2">
        <v>0.37179423104383802</v>
      </c>
      <c r="G52" s="1">
        <v>1021</v>
      </c>
      <c r="H52" s="2">
        <v>9.8034508915283199E-3</v>
      </c>
      <c r="I52" s="12">
        <v>3.6448664857918001E-3</v>
      </c>
    </row>
    <row r="53" spans="1:9" x14ac:dyDescent="0.25">
      <c r="A53" s="11">
        <v>45268</v>
      </c>
      <c r="B53" t="s">
        <v>364</v>
      </c>
      <c r="C53" t="s">
        <v>365</v>
      </c>
      <c r="D53" s="1">
        <v>40105</v>
      </c>
      <c r="E53" s="1">
        <v>14810</v>
      </c>
      <c r="F53" s="2">
        <v>0.369280638324398</v>
      </c>
      <c r="G53" s="1">
        <v>576</v>
      </c>
      <c r="H53" s="2">
        <v>3.8892640108035101E-2</v>
      </c>
      <c r="I53" s="12">
        <v>1.43622989652163E-2</v>
      </c>
    </row>
    <row r="54" spans="1:9" x14ac:dyDescent="0.25">
      <c r="A54" s="11">
        <v>45270</v>
      </c>
      <c r="B54" t="s">
        <v>364</v>
      </c>
      <c r="C54" t="s">
        <v>366</v>
      </c>
      <c r="D54" s="1">
        <v>279895</v>
      </c>
      <c r="E54" s="1">
        <v>103792</v>
      </c>
      <c r="F54" s="2">
        <v>0.37082477357580501</v>
      </c>
      <c r="G54" s="1">
        <v>1359</v>
      </c>
      <c r="H54" s="2">
        <v>1.3093494681671E-2</v>
      </c>
      <c r="I54" s="12">
        <v>4.8553922006466703E-3</v>
      </c>
    </row>
    <row r="55" spans="1:9" x14ac:dyDescent="0.25">
      <c r="A55" s="11">
        <v>45270</v>
      </c>
      <c r="B55" t="s">
        <v>364</v>
      </c>
      <c r="C55" t="s">
        <v>367</v>
      </c>
      <c r="D55" s="1">
        <v>40034</v>
      </c>
      <c r="E55" s="1">
        <v>14583</v>
      </c>
      <c r="F55" s="2">
        <v>0.36426537443173301</v>
      </c>
      <c r="G55" s="1">
        <v>582</v>
      </c>
      <c r="H55" s="2">
        <v>3.9909483645340499E-2</v>
      </c>
      <c r="I55" s="12">
        <v>1.45376430034471E-2</v>
      </c>
    </row>
    <row r="56" spans="1:9" x14ac:dyDescent="0.25">
      <c r="A56" s="11">
        <v>45271</v>
      </c>
      <c r="B56" t="s">
        <v>368</v>
      </c>
      <c r="C56" t="s">
        <v>32</v>
      </c>
      <c r="D56" s="1">
        <v>42835</v>
      </c>
      <c r="E56" s="1">
        <v>15420</v>
      </c>
      <c r="F56" s="2">
        <v>0.36083020714402197</v>
      </c>
      <c r="G56" s="1">
        <v>204</v>
      </c>
      <c r="H56" s="2">
        <v>1.6047010961690599E-2</v>
      </c>
      <c r="I56" s="12">
        <v>5.7902462893492102E-3</v>
      </c>
    </row>
    <row r="57" spans="1:9" x14ac:dyDescent="0.25">
      <c r="A57" s="11">
        <v>45271</v>
      </c>
      <c r="B57" t="s">
        <v>369</v>
      </c>
      <c r="C57" t="s">
        <v>32</v>
      </c>
      <c r="D57" s="1">
        <v>13832</v>
      </c>
      <c r="E57" s="1">
        <v>5206</v>
      </c>
      <c r="F57" s="2">
        <v>0.37637362637362598</v>
      </c>
      <c r="G57" s="1">
        <v>46</v>
      </c>
      <c r="H57" s="2">
        <v>8.8359585094122204E-3</v>
      </c>
      <c r="I57" s="12">
        <v>3.3256217466743798E-3</v>
      </c>
    </row>
    <row r="58" spans="1:9" x14ac:dyDescent="0.25">
      <c r="A58" s="11">
        <v>45271</v>
      </c>
      <c r="B58" t="s">
        <v>370</v>
      </c>
      <c r="C58" t="s">
        <v>32</v>
      </c>
      <c r="D58" s="1">
        <v>14979</v>
      </c>
      <c r="E58" s="1">
        <v>5232</v>
      </c>
      <c r="F58" s="2">
        <v>0.34928900460644902</v>
      </c>
      <c r="G58" s="1">
        <v>65</v>
      </c>
      <c r="H58" s="2">
        <v>1.24235474006116E-2</v>
      </c>
      <c r="I58" s="12">
        <v>4.3394085052406699E-3</v>
      </c>
    </row>
    <row r="59" spans="1:9" x14ac:dyDescent="0.25">
      <c r="A59" s="11">
        <v>45272</v>
      </c>
      <c r="B59" t="s">
        <v>372</v>
      </c>
      <c r="C59" t="s">
        <v>163</v>
      </c>
      <c r="D59" s="1">
        <v>26594</v>
      </c>
      <c r="E59" s="1">
        <v>10161</v>
      </c>
      <c r="F59" s="2">
        <v>0.38207866436038201</v>
      </c>
      <c r="G59" s="1">
        <v>105</v>
      </c>
      <c r="H59" s="2">
        <v>1.0333628579864199E-2</v>
      </c>
      <c r="I59" s="12">
        <v>3.9482590057907802E-3</v>
      </c>
    </row>
    <row r="60" spans="1:9" x14ac:dyDescent="0.25">
      <c r="A60" s="11">
        <v>45272</v>
      </c>
      <c r="B60" t="s">
        <v>372</v>
      </c>
      <c r="C60" t="s">
        <v>162</v>
      </c>
      <c r="D60" s="1">
        <v>507253</v>
      </c>
      <c r="E60" s="1">
        <v>193318</v>
      </c>
      <c r="F60" s="2">
        <v>0.381107652394367</v>
      </c>
      <c r="G60" s="1">
        <v>2061</v>
      </c>
      <c r="H60" s="2">
        <v>1.06611903702707E-2</v>
      </c>
      <c r="I60" s="12">
        <v>4.0630612337433196E-3</v>
      </c>
    </row>
    <row r="61" spans="1:9" x14ac:dyDescent="0.25">
      <c r="A61" s="11">
        <v>45273</v>
      </c>
      <c r="B61" t="s">
        <v>373</v>
      </c>
      <c r="C61" t="s">
        <v>32</v>
      </c>
      <c r="D61" s="1">
        <v>2147205</v>
      </c>
      <c r="E61" s="1">
        <v>1017510</v>
      </c>
      <c r="F61" s="2">
        <v>0.47387650457222302</v>
      </c>
      <c r="G61" s="1">
        <v>11573</v>
      </c>
      <c r="H61" s="2">
        <v>1.13738439917052E-2</v>
      </c>
      <c r="I61" s="12">
        <v>5.3897974343390604E-3</v>
      </c>
    </row>
    <row r="62" spans="1:9" x14ac:dyDescent="0.25">
      <c r="A62" s="11">
        <v>45273</v>
      </c>
      <c r="B62" t="s">
        <v>374</v>
      </c>
      <c r="C62" t="s">
        <v>375</v>
      </c>
      <c r="D62" s="1">
        <v>805761</v>
      </c>
      <c r="E62" s="1">
        <v>330945</v>
      </c>
      <c r="F62" s="2">
        <v>0.41072352719975302</v>
      </c>
      <c r="G62" s="1">
        <v>3490</v>
      </c>
      <c r="H62" s="2">
        <v>1.05455589297315E-2</v>
      </c>
      <c r="I62" s="12">
        <v>4.3313091599121801E-3</v>
      </c>
    </row>
    <row r="63" spans="1:9" x14ac:dyDescent="0.25">
      <c r="A63" s="11">
        <v>45273</v>
      </c>
      <c r="B63" t="s">
        <v>374</v>
      </c>
      <c r="C63" t="s">
        <v>376</v>
      </c>
      <c r="D63" s="1">
        <v>46299</v>
      </c>
      <c r="E63" s="1">
        <v>17818</v>
      </c>
      <c r="F63" s="2">
        <v>0.38484632497462101</v>
      </c>
      <c r="G63" s="1">
        <v>334</v>
      </c>
      <c r="H63" s="2">
        <v>1.87450892356044E-2</v>
      </c>
      <c r="I63" s="12">
        <v>7.2139787036437104E-3</v>
      </c>
    </row>
    <row r="64" spans="1:9" x14ac:dyDescent="0.25">
      <c r="A64" s="11">
        <v>45273</v>
      </c>
      <c r="B64" t="s">
        <v>377</v>
      </c>
      <c r="C64" t="s">
        <v>375</v>
      </c>
      <c r="D64" s="1">
        <v>1569310</v>
      </c>
      <c r="E64" s="1">
        <v>578586</v>
      </c>
      <c r="F64" s="2">
        <v>0.36868814956891899</v>
      </c>
      <c r="G64" s="1">
        <v>4003</v>
      </c>
      <c r="H64" s="2">
        <v>6.9185911860985203E-3</v>
      </c>
      <c r="I64" s="12">
        <v>2.5508025820264999E-3</v>
      </c>
    </row>
    <row r="65" spans="1:9" x14ac:dyDescent="0.25">
      <c r="A65" s="11">
        <v>45273</v>
      </c>
      <c r="B65" t="s">
        <v>377</v>
      </c>
      <c r="C65" t="s">
        <v>376</v>
      </c>
      <c r="D65" s="1">
        <v>88615</v>
      </c>
      <c r="E65" s="1">
        <v>29568</v>
      </c>
      <c r="F65" s="2">
        <v>0.33366811487897102</v>
      </c>
      <c r="G65" s="1">
        <v>353</v>
      </c>
      <c r="H65" s="2">
        <v>1.19385822510823E-2</v>
      </c>
      <c r="I65" s="12">
        <v>3.9835242340461501E-3</v>
      </c>
    </row>
    <row r="66" spans="1:9" ht="15.75" thickBot="1" x14ac:dyDescent="0.3">
      <c r="A66" s="17" t="s">
        <v>427</v>
      </c>
      <c r="B66" s="4"/>
      <c r="C66" s="4"/>
      <c r="D66" s="18">
        <f>SUM(D48:D65)</f>
        <v>7460611</v>
      </c>
      <c r="E66" s="18">
        <f>SUM(E48:E65)</f>
        <v>3010836</v>
      </c>
      <c r="F66" s="19">
        <f>AVERAGE(F48:F65)</f>
        <v>0.37291473035985495</v>
      </c>
      <c r="G66" s="18">
        <f>SUM(G48:G65)</f>
        <v>31885</v>
      </c>
      <c r="H66" s="19">
        <f>AVERAGE(H48:H65)</f>
        <v>1.4822156133676342E-2</v>
      </c>
      <c r="I66" s="21">
        <f>AVERAGE(I48:I65)</f>
        <v>5.5154933546680603E-3</v>
      </c>
    </row>
    <row r="67" spans="1:9" ht="3" customHeight="1" thickBot="1" x14ac:dyDescent="0.3">
      <c r="A67" s="143"/>
      <c r="B67" s="140"/>
      <c r="C67" s="140"/>
      <c r="D67" s="140"/>
      <c r="E67" s="140"/>
      <c r="F67" s="140"/>
      <c r="G67" s="140"/>
      <c r="H67" s="140"/>
      <c r="I67" s="144"/>
    </row>
    <row r="68" spans="1:9" x14ac:dyDescent="0.25">
      <c r="A68" s="22" t="s">
        <v>792</v>
      </c>
      <c r="B68" s="23"/>
      <c r="C68" s="23"/>
      <c r="D68" s="23"/>
      <c r="E68" s="23"/>
      <c r="F68" s="23"/>
      <c r="G68" s="23"/>
      <c r="H68" s="23"/>
      <c r="I68" s="24"/>
    </row>
    <row r="69" spans="1:9" x14ac:dyDescent="0.25">
      <c r="A69" s="11">
        <v>45274</v>
      </c>
      <c r="B69" t="s">
        <v>353</v>
      </c>
      <c r="C69" t="s">
        <v>325</v>
      </c>
      <c r="D69" s="1">
        <v>305369</v>
      </c>
      <c r="E69" s="1">
        <v>106059</v>
      </c>
      <c r="F69" s="3">
        <v>0.3473</v>
      </c>
      <c r="G69">
        <v>735</v>
      </c>
      <c r="H69" s="3">
        <v>6.8999999999999999E-3</v>
      </c>
      <c r="I69" s="16">
        <v>2.3999999999999998E-3</v>
      </c>
    </row>
    <row r="70" spans="1:9" x14ac:dyDescent="0.25">
      <c r="A70" s="11">
        <v>45274</v>
      </c>
      <c r="B70" t="s">
        <v>327</v>
      </c>
      <c r="C70" t="s">
        <v>332</v>
      </c>
      <c r="D70" s="1">
        <v>718028</v>
      </c>
      <c r="E70" s="1">
        <v>266479</v>
      </c>
      <c r="F70" s="3">
        <v>0.37109999999999999</v>
      </c>
      <c r="G70" s="1">
        <v>2369</v>
      </c>
      <c r="H70" s="3">
        <v>8.8999999999999999E-3</v>
      </c>
      <c r="I70" s="16">
        <v>3.3E-3</v>
      </c>
    </row>
    <row r="71" spans="1:9" x14ac:dyDescent="0.25">
      <c r="A71" s="11">
        <v>45274</v>
      </c>
      <c r="B71" t="s">
        <v>329</v>
      </c>
      <c r="C71" t="s">
        <v>333</v>
      </c>
      <c r="D71" s="1">
        <v>23985</v>
      </c>
      <c r="E71" s="1">
        <v>8150</v>
      </c>
      <c r="F71" s="2">
        <v>0.33979570564936401</v>
      </c>
      <c r="G71" s="1">
        <v>112</v>
      </c>
      <c r="H71" s="2">
        <v>1.3742331288343601E-2</v>
      </c>
      <c r="I71" s="12">
        <v>4.6695851573900398E-3</v>
      </c>
    </row>
    <row r="72" spans="1:9" x14ac:dyDescent="0.25">
      <c r="A72" s="11">
        <v>45274</v>
      </c>
      <c r="B72" t="s">
        <v>334</v>
      </c>
      <c r="C72" t="s">
        <v>332</v>
      </c>
      <c r="D72" s="1">
        <v>1345065</v>
      </c>
      <c r="E72" s="1">
        <v>467460</v>
      </c>
      <c r="F72" s="3">
        <v>0.34749999999999998</v>
      </c>
      <c r="G72" s="1">
        <v>2906</v>
      </c>
      <c r="H72" s="3">
        <v>6.1999999999999998E-3</v>
      </c>
      <c r="I72" s="16">
        <v>2.2000000000000001E-3</v>
      </c>
    </row>
    <row r="73" spans="1:9" x14ac:dyDescent="0.25">
      <c r="A73" s="11">
        <v>45274</v>
      </c>
      <c r="B73" t="s">
        <v>335</v>
      </c>
      <c r="C73" t="s">
        <v>333</v>
      </c>
      <c r="D73" s="1">
        <v>104000</v>
      </c>
      <c r="E73" s="1">
        <v>31584</v>
      </c>
      <c r="F73" s="3">
        <v>0.30370000000000003</v>
      </c>
      <c r="G73">
        <v>302</v>
      </c>
      <c r="H73" s="3">
        <v>9.5999999999999992E-3</v>
      </c>
      <c r="I73" s="16">
        <v>2.8999999999999998E-3</v>
      </c>
    </row>
    <row r="74" spans="1:9" ht="15.75" thickBot="1" x14ac:dyDescent="0.3">
      <c r="A74" s="17" t="s">
        <v>427</v>
      </c>
      <c r="B74" s="4"/>
      <c r="C74" s="4"/>
      <c r="D74" s="18">
        <f>SUM(D69:D73)</f>
        <v>2496447</v>
      </c>
      <c r="E74" s="18">
        <f>SUM(E69:E73)</f>
        <v>879732</v>
      </c>
      <c r="F74" s="19">
        <f>AVERAGE(F69:F73)</f>
        <v>0.34187914112987278</v>
      </c>
      <c r="G74" s="18">
        <f>SUM(G69:G73)</f>
        <v>6424</v>
      </c>
      <c r="H74" s="19">
        <f>AVERAGE(H69:H73)</f>
        <v>9.0684662576687204E-3</v>
      </c>
      <c r="I74" s="21">
        <f>AVERAGE(I69:I73)</f>
        <v>3.093917031478008E-3</v>
      </c>
    </row>
  </sheetData>
  <mergeCells count="3">
    <mergeCell ref="A34:I34"/>
    <mergeCell ref="A46:I46"/>
    <mergeCell ref="A67:I67"/>
  </mergeCells>
  <pageMargins left="0.7" right="0.7" top="0.75" bottom="0.75" header="0.3" footer="0.3"/>
  <ignoredErrors>
    <ignoredError sqref="F33:G33 F45:G45 F66:G66 F74:G74" formula="1"/>
  </ignoredErrors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A480-7A43-49D7-8DF7-B3F8DFEF1ABD}">
  <dimension ref="A1:I70"/>
  <sheetViews>
    <sheetView workbookViewId="0">
      <selection activeCell="B28" sqref="B28"/>
    </sheetView>
  </sheetViews>
  <sheetFormatPr defaultRowHeight="15" x14ac:dyDescent="0.25"/>
  <cols>
    <col min="1" max="1" width="11.85546875" customWidth="1"/>
    <col min="2" max="2" width="78.5703125" customWidth="1"/>
    <col min="3" max="3" width="38.42578125" bestFit="1" customWidth="1"/>
    <col min="4" max="4" width="13" customWidth="1"/>
    <col min="5" max="5" width="14.5703125" customWidth="1"/>
    <col min="6" max="6" width="18.5703125" bestFit="1" customWidth="1"/>
    <col min="7" max="7" width="13.1406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45641</v>
      </c>
      <c r="B2" t="s">
        <v>378</v>
      </c>
      <c r="C2" t="s">
        <v>32</v>
      </c>
      <c r="D2" s="1">
        <v>3440418</v>
      </c>
      <c r="E2" s="1">
        <v>1227983</v>
      </c>
      <c r="F2" s="2">
        <v>0.36659999999999998</v>
      </c>
      <c r="G2" s="1">
        <v>21234</v>
      </c>
      <c r="H2" s="2">
        <v>2.6100000000000002E-2</v>
      </c>
      <c r="I2" s="2">
        <v>9.7999999999999997E-3</v>
      </c>
    </row>
    <row r="3" spans="1:9" x14ac:dyDescent="0.25">
      <c r="A3" s="26">
        <v>45641</v>
      </c>
      <c r="B3" t="s">
        <v>378</v>
      </c>
      <c r="C3" t="s">
        <v>33</v>
      </c>
      <c r="D3" s="1">
        <v>214842</v>
      </c>
      <c r="E3" s="1">
        <v>31279</v>
      </c>
      <c r="F3" s="2">
        <v>0.2873</v>
      </c>
      <c r="G3" s="1">
        <v>1439</v>
      </c>
      <c r="H3" s="2">
        <v>4.2099999999999999E-2</v>
      </c>
      <c r="I3" s="2">
        <v>1.2E-2</v>
      </c>
    </row>
    <row r="4" spans="1:9" x14ac:dyDescent="0.25">
      <c r="A4" s="26">
        <v>45641</v>
      </c>
      <c r="B4" t="s">
        <v>379</v>
      </c>
      <c r="C4" t="s">
        <v>32</v>
      </c>
      <c r="D4" s="1">
        <v>309171</v>
      </c>
      <c r="E4" s="1">
        <v>115370</v>
      </c>
      <c r="F4" s="2">
        <v>0.373159190221593</v>
      </c>
      <c r="G4" s="1">
        <v>1613</v>
      </c>
      <c r="H4" s="2">
        <v>1.39811042732079E-2</v>
      </c>
      <c r="I4" s="2">
        <v>5.2171775489939197E-3</v>
      </c>
    </row>
    <row r="5" spans="1:9" x14ac:dyDescent="0.25">
      <c r="A5" s="26">
        <v>45641</v>
      </c>
      <c r="B5" t="s">
        <v>380</v>
      </c>
      <c r="C5" t="s">
        <v>312</v>
      </c>
      <c r="D5" s="1">
        <v>3780155</v>
      </c>
      <c r="E5" s="1">
        <v>1341908</v>
      </c>
      <c r="F5" s="2">
        <v>0.35498756003391402</v>
      </c>
      <c r="G5" s="1">
        <v>8777</v>
      </c>
      <c r="H5" s="2">
        <v>6.5406868429132197E-3</v>
      </c>
      <c r="I5" s="2">
        <v>2.3218624633116899E-3</v>
      </c>
    </row>
    <row r="6" spans="1:9" x14ac:dyDescent="0.25">
      <c r="A6" s="26">
        <v>45641</v>
      </c>
      <c r="B6" t="s">
        <v>380</v>
      </c>
      <c r="C6" t="s">
        <v>313</v>
      </c>
      <c r="D6" s="1">
        <v>258964</v>
      </c>
      <c r="E6" s="1">
        <v>82935</v>
      </c>
      <c r="F6" s="2">
        <v>0.32025686968072797</v>
      </c>
      <c r="G6" s="1">
        <v>1001</v>
      </c>
      <c r="H6" s="2">
        <v>1.2069693133176599E-2</v>
      </c>
      <c r="I6" s="2">
        <v>3.8654021408381098E-3</v>
      </c>
    </row>
    <row r="7" spans="1:9" x14ac:dyDescent="0.25">
      <c r="A7" s="26">
        <v>45641</v>
      </c>
      <c r="B7" t="s">
        <v>380</v>
      </c>
      <c r="C7" t="s">
        <v>314</v>
      </c>
      <c r="D7" s="1">
        <v>78782</v>
      </c>
      <c r="E7" s="1">
        <v>33726</v>
      </c>
      <c r="F7" s="2">
        <v>0.42809271153309097</v>
      </c>
      <c r="G7" s="1">
        <v>645</v>
      </c>
      <c r="H7" s="2">
        <v>1.9124710905532801E-2</v>
      </c>
      <c r="I7" s="2">
        <v>8.1871493488360307E-3</v>
      </c>
    </row>
    <row r="8" spans="1:9" x14ac:dyDescent="0.25">
      <c r="A8" s="26">
        <v>45641</v>
      </c>
      <c r="B8" t="s">
        <v>380</v>
      </c>
      <c r="C8" t="s">
        <v>315</v>
      </c>
      <c r="D8" s="1">
        <v>3818</v>
      </c>
      <c r="E8" s="1">
        <v>1664</v>
      </c>
      <c r="F8" s="2">
        <v>0.435830277632268</v>
      </c>
      <c r="G8" s="1">
        <v>48</v>
      </c>
      <c r="H8" s="2">
        <v>2.8846153846153799E-2</v>
      </c>
      <c r="I8" s="2">
        <v>1.25720272393924E-2</v>
      </c>
    </row>
    <row r="9" spans="1:9" x14ac:dyDescent="0.25">
      <c r="A9" s="26">
        <v>45642</v>
      </c>
      <c r="B9" t="s">
        <v>381</v>
      </c>
      <c r="C9" t="s">
        <v>32</v>
      </c>
      <c r="D9" s="1">
        <v>1021104</v>
      </c>
      <c r="E9" s="1">
        <v>369347</v>
      </c>
      <c r="F9" s="2">
        <v>0.36171340039800098</v>
      </c>
      <c r="G9" s="1">
        <v>3921</v>
      </c>
      <c r="H9" s="2">
        <v>1.0616033161227801E-2</v>
      </c>
      <c r="I9" s="2">
        <v>3.8399614534856399E-3</v>
      </c>
    </row>
    <row r="10" spans="1:9" x14ac:dyDescent="0.25">
      <c r="A10" s="26">
        <v>45642</v>
      </c>
      <c r="B10" t="s">
        <v>381</v>
      </c>
      <c r="C10" t="s">
        <v>33</v>
      </c>
      <c r="D10" s="1">
        <v>83852</v>
      </c>
      <c r="E10" s="1">
        <v>26076</v>
      </c>
      <c r="F10" s="2">
        <v>0.31097648237370601</v>
      </c>
      <c r="G10" s="1">
        <v>539</v>
      </c>
      <c r="H10" s="2">
        <v>2.06703482129161E-2</v>
      </c>
      <c r="I10" s="2">
        <v>6.4279921766922698E-3</v>
      </c>
    </row>
    <row r="11" spans="1:9" x14ac:dyDescent="0.25">
      <c r="A11" s="26">
        <v>45643</v>
      </c>
      <c r="B11" t="s">
        <v>382</v>
      </c>
      <c r="C11" t="s">
        <v>32</v>
      </c>
      <c r="D11" s="1">
        <v>40461</v>
      </c>
      <c r="E11" s="1">
        <v>15095</v>
      </c>
      <c r="F11" s="2">
        <v>0.37307530708583603</v>
      </c>
      <c r="G11" s="1">
        <v>424</v>
      </c>
      <c r="H11" s="2">
        <v>2.8088771116263699E-2</v>
      </c>
      <c r="I11" s="2">
        <v>1.04792269098638E-2</v>
      </c>
    </row>
    <row r="12" spans="1:9" x14ac:dyDescent="0.25">
      <c r="A12" s="26">
        <v>45644</v>
      </c>
      <c r="B12" t="s">
        <v>383</v>
      </c>
      <c r="C12" t="s">
        <v>32</v>
      </c>
      <c r="D12" s="1">
        <v>2409495</v>
      </c>
      <c r="E12" s="1">
        <v>916607</v>
      </c>
      <c r="F12" s="2">
        <v>0.38041456819789998</v>
      </c>
      <c r="G12" s="1">
        <v>10853</v>
      </c>
      <c r="H12" s="2">
        <v>1.18404070664963E-2</v>
      </c>
      <c r="I12" s="2">
        <v>4.5042633414885697E-3</v>
      </c>
    </row>
    <row r="13" spans="1:9" x14ac:dyDescent="0.25">
      <c r="A13" s="26">
        <v>45644</v>
      </c>
      <c r="B13" t="s">
        <v>383</v>
      </c>
      <c r="C13" t="s">
        <v>33</v>
      </c>
      <c r="D13" s="1">
        <v>156951</v>
      </c>
      <c r="E13" s="1">
        <v>56513</v>
      </c>
      <c r="F13" s="2">
        <v>0.36006779185860599</v>
      </c>
      <c r="G13" s="1">
        <v>1122</v>
      </c>
      <c r="H13" s="2">
        <v>1.9853838939713001E-2</v>
      </c>
      <c r="I13" s="2">
        <v>7.1487279469388499E-3</v>
      </c>
    </row>
    <row r="14" spans="1:9" x14ac:dyDescent="0.25">
      <c r="A14" s="26">
        <v>45645</v>
      </c>
      <c r="B14" t="s">
        <v>384</v>
      </c>
      <c r="C14" t="s">
        <v>32</v>
      </c>
      <c r="D14" s="1">
        <v>1026043</v>
      </c>
      <c r="E14" s="1">
        <v>380300</v>
      </c>
      <c r="F14" s="2">
        <v>0.370647234082782</v>
      </c>
      <c r="G14" s="1">
        <v>5171</v>
      </c>
      <c r="H14" s="2">
        <v>1.3597160136734201E-2</v>
      </c>
      <c r="I14" s="2">
        <v>5.0397497960611801E-3</v>
      </c>
    </row>
    <row r="15" spans="1:9" x14ac:dyDescent="0.25">
      <c r="A15" s="26">
        <v>45645</v>
      </c>
      <c r="B15" t="s">
        <v>384</v>
      </c>
      <c r="C15" t="s">
        <v>33</v>
      </c>
      <c r="D15" s="1">
        <v>78403</v>
      </c>
      <c r="E15" s="1">
        <v>25253</v>
      </c>
      <c r="F15" s="2">
        <v>0.322092266877543</v>
      </c>
      <c r="G15" s="1">
        <v>581</v>
      </c>
      <c r="H15" s="2">
        <v>2.30071674652517E-2</v>
      </c>
      <c r="I15" s="2">
        <v>7.4104307233141603E-3</v>
      </c>
    </row>
    <row r="16" spans="1:9" x14ac:dyDescent="0.25">
      <c r="A16" s="26">
        <v>45645</v>
      </c>
      <c r="B16" t="s">
        <v>385</v>
      </c>
      <c r="C16" t="s">
        <v>32</v>
      </c>
      <c r="D16" s="1">
        <v>169187</v>
      </c>
      <c r="E16" s="1">
        <v>61670</v>
      </c>
      <c r="F16" s="2">
        <v>0.36450791136434801</v>
      </c>
      <c r="G16" s="1">
        <v>966</v>
      </c>
      <c r="H16" s="2">
        <v>1.5664018161180501E-2</v>
      </c>
      <c r="I16" s="2">
        <v>5.7096585435051197E-3</v>
      </c>
    </row>
    <row r="17" spans="1:9" x14ac:dyDescent="0.25">
      <c r="A17" s="26">
        <v>45645</v>
      </c>
      <c r="B17" t="s">
        <v>386</v>
      </c>
      <c r="C17" t="s">
        <v>32</v>
      </c>
      <c r="D17" s="1">
        <v>489309</v>
      </c>
      <c r="E17" s="1">
        <v>194129</v>
      </c>
      <c r="F17" s="2">
        <v>0.39674111859785899</v>
      </c>
      <c r="G17" s="1">
        <v>1563</v>
      </c>
      <c r="H17" s="2">
        <v>8.0513472999912405E-3</v>
      </c>
      <c r="I17" s="2">
        <v>3.19430053401838E-3</v>
      </c>
    </row>
    <row r="18" spans="1:9" x14ac:dyDescent="0.25">
      <c r="A18" s="26">
        <v>45645</v>
      </c>
      <c r="B18" t="s">
        <v>386</v>
      </c>
      <c r="C18" t="s">
        <v>33</v>
      </c>
      <c r="D18" s="1">
        <v>33311</v>
      </c>
      <c r="E18" s="1">
        <v>11384</v>
      </c>
      <c r="F18" s="2">
        <v>0.34174897181111302</v>
      </c>
      <c r="G18" s="1">
        <v>170</v>
      </c>
      <c r="H18" s="2">
        <v>1.49332396345748E-2</v>
      </c>
      <c r="I18" s="2">
        <v>5.1034192909249201E-3</v>
      </c>
    </row>
    <row r="19" spans="1:9" x14ac:dyDescent="0.25">
      <c r="A19" s="26">
        <v>45646</v>
      </c>
      <c r="B19" t="s">
        <v>387</v>
      </c>
      <c r="C19" t="s">
        <v>32</v>
      </c>
      <c r="D19" s="1">
        <v>384730</v>
      </c>
      <c r="E19" s="1">
        <v>152518</v>
      </c>
      <c r="F19" s="2">
        <v>0.39642866425805101</v>
      </c>
      <c r="G19" s="1">
        <v>2641</v>
      </c>
      <c r="H19" s="2">
        <v>1.73159889324539E-2</v>
      </c>
      <c r="I19" s="2">
        <v>6.8645543627998901E-3</v>
      </c>
    </row>
    <row r="20" spans="1:9" x14ac:dyDescent="0.25">
      <c r="A20" s="26">
        <v>45646</v>
      </c>
      <c r="B20" t="s">
        <v>388</v>
      </c>
      <c r="C20" t="s">
        <v>32</v>
      </c>
      <c r="D20" s="1">
        <v>186662</v>
      </c>
      <c r="E20" s="1">
        <v>83468</v>
      </c>
      <c r="F20" s="2">
        <v>0.447161179029476</v>
      </c>
      <c r="G20" s="1">
        <v>1434</v>
      </c>
      <c r="H20" s="2">
        <v>1.7180236737432301E-2</v>
      </c>
      <c r="I20" s="2">
        <v>7.6823349155157403E-3</v>
      </c>
    </row>
    <row r="21" spans="1:9" x14ac:dyDescent="0.25">
      <c r="A21" s="26">
        <v>45646</v>
      </c>
      <c r="B21" t="s">
        <v>388</v>
      </c>
      <c r="C21" t="s">
        <v>33</v>
      </c>
      <c r="D21" s="1">
        <v>11154</v>
      </c>
      <c r="E21" s="1">
        <v>5163</v>
      </c>
      <c r="F21" s="2">
        <v>0.46288327057557799</v>
      </c>
      <c r="G21" s="1">
        <v>161</v>
      </c>
      <c r="H21" s="2">
        <v>3.1183420491961999E-2</v>
      </c>
      <c r="I21" s="2">
        <v>1.4434283665052901E-2</v>
      </c>
    </row>
    <row r="22" spans="1:9" x14ac:dyDescent="0.25">
      <c r="A22" s="26">
        <v>45646</v>
      </c>
      <c r="B22" t="s">
        <v>389</v>
      </c>
      <c r="C22" t="s">
        <v>32</v>
      </c>
      <c r="D22" s="1">
        <v>197685</v>
      </c>
      <c r="E22" s="1">
        <v>76720</v>
      </c>
      <c r="F22" s="2">
        <v>0.38809216683107001</v>
      </c>
      <c r="G22" s="1">
        <v>412</v>
      </c>
      <c r="H22" s="2">
        <v>5.3701772679874901E-3</v>
      </c>
      <c r="I22" s="2">
        <v>2.08412373220022E-3</v>
      </c>
    </row>
    <row r="23" spans="1:9" x14ac:dyDescent="0.25">
      <c r="A23" s="26">
        <v>45646</v>
      </c>
      <c r="B23" t="s">
        <v>389</v>
      </c>
      <c r="C23" t="s">
        <v>33</v>
      </c>
      <c r="D23" s="1">
        <v>11167</v>
      </c>
      <c r="E23" s="1">
        <v>4169</v>
      </c>
      <c r="F23" s="2">
        <v>0.37333213933912401</v>
      </c>
      <c r="G23" s="1">
        <v>43</v>
      </c>
      <c r="H23" s="2">
        <v>1.03142240345407E-2</v>
      </c>
      <c r="I23" s="2">
        <v>3.8506313244380799E-3</v>
      </c>
    </row>
    <row r="24" spans="1:9" x14ac:dyDescent="0.25">
      <c r="A24" s="26">
        <v>45646</v>
      </c>
      <c r="B24" t="s">
        <v>390</v>
      </c>
      <c r="C24" t="s">
        <v>32</v>
      </c>
      <c r="D24" s="1">
        <v>2024144</v>
      </c>
      <c r="E24" s="1">
        <v>773052</v>
      </c>
      <c r="F24" s="2">
        <v>0.4783</v>
      </c>
      <c r="G24" s="1">
        <v>3371</v>
      </c>
      <c r="H24" s="2">
        <v>5.0700000000000002E-2</v>
      </c>
      <c r="I24" s="2">
        <v>3.2099999999999997E-2</v>
      </c>
    </row>
    <row r="25" spans="1:9" x14ac:dyDescent="0.25">
      <c r="A25" s="26">
        <v>45646</v>
      </c>
      <c r="B25" t="s">
        <v>390</v>
      </c>
      <c r="C25" t="s">
        <v>33</v>
      </c>
      <c r="D25" s="1">
        <v>117757</v>
      </c>
      <c r="E25" s="1">
        <v>42513</v>
      </c>
      <c r="F25" s="3">
        <v>0.36099999999999999</v>
      </c>
      <c r="G25">
        <v>503</v>
      </c>
      <c r="H25" s="3">
        <v>1.18E-2</v>
      </c>
      <c r="I25" s="3">
        <v>4.3E-3</v>
      </c>
    </row>
    <row r="26" spans="1:9" x14ac:dyDescent="0.25">
      <c r="A26" s="26">
        <v>45647</v>
      </c>
      <c r="B26" t="s">
        <v>391</v>
      </c>
      <c r="C26" t="s">
        <v>32</v>
      </c>
      <c r="D26" s="1">
        <v>729767</v>
      </c>
      <c r="E26" s="1">
        <v>249264</v>
      </c>
      <c r="F26" s="3">
        <v>0.34160000000000001</v>
      </c>
      <c r="G26" s="1">
        <v>1529</v>
      </c>
      <c r="H26" s="3">
        <v>6.1000000000000004E-3</v>
      </c>
      <c r="I26" s="3">
        <v>2.0999999999999999E-3</v>
      </c>
    </row>
    <row r="27" spans="1:9" x14ac:dyDescent="0.25">
      <c r="A27" s="26">
        <v>45647</v>
      </c>
      <c r="B27" t="s">
        <v>392</v>
      </c>
      <c r="C27" t="s">
        <v>33</v>
      </c>
      <c r="D27" s="1">
        <v>47158</v>
      </c>
      <c r="E27" s="1">
        <v>13591</v>
      </c>
      <c r="F27" s="3">
        <v>0.28820000000000001</v>
      </c>
      <c r="G27">
        <v>117</v>
      </c>
      <c r="H27" s="3">
        <v>8.6E-3</v>
      </c>
      <c r="I27" s="3">
        <v>2.5000000000000001E-3</v>
      </c>
    </row>
    <row r="28" spans="1:9" x14ac:dyDescent="0.25">
      <c r="A28" s="26">
        <v>45647</v>
      </c>
      <c r="B28" t="s">
        <v>393</v>
      </c>
      <c r="C28" t="s">
        <v>32</v>
      </c>
      <c r="D28" s="1">
        <v>424380</v>
      </c>
      <c r="E28" s="1">
        <v>159395</v>
      </c>
      <c r="F28" s="2">
        <v>0.37559498562609001</v>
      </c>
      <c r="G28" s="1">
        <v>1813</v>
      </c>
      <c r="H28" s="2">
        <v>1.13742589165281E-2</v>
      </c>
      <c r="I28" s="2">
        <v>4.2721146142607998E-3</v>
      </c>
    </row>
    <row r="29" spans="1:9" x14ac:dyDescent="0.25">
      <c r="A29" s="26">
        <v>45647</v>
      </c>
      <c r="B29" t="s">
        <v>393</v>
      </c>
      <c r="C29" t="s">
        <v>33</v>
      </c>
      <c r="D29" s="1">
        <v>27085</v>
      </c>
      <c r="E29" s="1">
        <v>9531</v>
      </c>
      <c r="F29" s="2">
        <v>0.351892191249769</v>
      </c>
      <c r="G29" s="1">
        <v>171</v>
      </c>
      <c r="H29" s="2">
        <v>1.7941454202077399E-2</v>
      </c>
      <c r="I29" s="2">
        <v>6.3134576333764101E-3</v>
      </c>
    </row>
    <row r="30" spans="1:9" x14ac:dyDescent="0.25">
      <c r="A30" s="26">
        <v>45647</v>
      </c>
      <c r="B30" t="s">
        <v>353</v>
      </c>
      <c r="C30" t="s">
        <v>32</v>
      </c>
      <c r="D30" s="1">
        <v>127060</v>
      </c>
      <c r="E30" s="1">
        <v>48209</v>
      </c>
      <c r="F30" s="2">
        <v>0.37941917204470299</v>
      </c>
      <c r="G30" s="1">
        <v>264</v>
      </c>
      <c r="H30" s="2">
        <v>5.4761559044991604E-3</v>
      </c>
      <c r="I30" s="2">
        <v>2.0777585392727799E-3</v>
      </c>
    </row>
    <row r="31" spans="1:9" ht="15.75" thickBot="1" x14ac:dyDescent="0.3">
      <c r="A31" s="27" t="s">
        <v>427</v>
      </c>
      <c r="D31" s="14">
        <f>SUM(D2:D30)</f>
        <v>17883015</v>
      </c>
      <c r="E31" s="14">
        <f>SUM(E2:E30)</f>
        <v>6508832</v>
      </c>
      <c r="F31" s="111">
        <f>AVERAGE(F2:F30)</f>
        <v>0.37214191140355685</v>
      </c>
      <c r="G31" s="14">
        <f>SUM(G2:G30)</f>
        <v>72526</v>
      </c>
      <c r="H31" s="111">
        <f>AVERAGE(H2:H30)</f>
        <v>1.7532434368372922E-2</v>
      </c>
      <c r="I31" s="111">
        <f>AVERAGE(I2:I30)</f>
        <v>6.9448485601579946E-3</v>
      </c>
    </row>
    <row r="32" spans="1:9" ht="15.75" thickBot="1" x14ac:dyDescent="0.3">
      <c r="A32" s="140"/>
      <c r="B32" s="140"/>
      <c r="C32" s="140"/>
      <c r="D32" s="140"/>
      <c r="E32" s="140"/>
      <c r="F32" s="140"/>
      <c r="G32" s="140"/>
      <c r="H32" s="140"/>
      <c r="I32" s="140"/>
    </row>
    <row r="33" spans="1:9" ht="20.45" customHeight="1" x14ac:dyDescent="0.25">
      <c r="A33" s="76" t="s">
        <v>0</v>
      </c>
      <c r="B33" s="77" t="s">
        <v>1</v>
      </c>
      <c r="C33" s="77" t="s">
        <v>796</v>
      </c>
      <c r="D33" s="77" t="s">
        <v>3</v>
      </c>
      <c r="E33" s="77" t="s">
        <v>4</v>
      </c>
      <c r="F33" s="77" t="s">
        <v>5</v>
      </c>
      <c r="G33" s="77" t="s">
        <v>6</v>
      </c>
      <c r="H33" s="77" t="s">
        <v>7</v>
      </c>
      <c r="I33" s="78" t="s">
        <v>8</v>
      </c>
    </row>
    <row r="34" spans="1:9" x14ac:dyDescent="0.25">
      <c r="A34" s="8" t="s">
        <v>790</v>
      </c>
      <c r="B34" s="9"/>
      <c r="C34" s="9"/>
      <c r="D34" s="9"/>
      <c r="E34" s="9"/>
      <c r="F34" s="9"/>
      <c r="G34" s="9"/>
      <c r="H34" s="9"/>
      <c r="I34" s="10"/>
    </row>
    <row r="35" spans="1:9" x14ac:dyDescent="0.25">
      <c r="A35" s="11">
        <v>45641</v>
      </c>
      <c r="B35" t="s">
        <v>378</v>
      </c>
      <c r="C35" t="s">
        <v>32</v>
      </c>
      <c r="D35" s="1">
        <v>3440418</v>
      </c>
      <c r="E35" s="1">
        <v>1227983</v>
      </c>
      <c r="F35" s="2">
        <v>0.36659999999999998</v>
      </c>
      <c r="G35" s="1">
        <v>21234</v>
      </c>
      <c r="H35" s="2">
        <v>2.6100000000000002E-2</v>
      </c>
      <c r="I35" s="12">
        <v>9.7999999999999997E-3</v>
      </c>
    </row>
    <row r="36" spans="1:9" x14ac:dyDescent="0.25">
      <c r="A36" s="11">
        <v>45641</v>
      </c>
      <c r="B36" t="s">
        <v>378</v>
      </c>
      <c r="C36" t="s">
        <v>33</v>
      </c>
      <c r="D36" s="1">
        <v>214842</v>
      </c>
      <c r="E36" s="1">
        <v>31279</v>
      </c>
      <c r="F36" s="2">
        <v>0.2873</v>
      </c>
      <c r="G36" s="1">
        <v>1439</v>
      </c>
      <c r="H36" s="2">
        <v>4.2099999999999999E-2</v>
      </c>
      <c r="I36" s="12">
        <v>1.2E-2</v>
      </c>
    </row>
    <row r="37" spans="1:9" x14ac:dyDescent="0.25">
      <c r="A37" s="11">
        <v>45641</v>
      </c>
      <c r="B37" t="s">
        <v>379</v>
      </c>
      <c r="C37" t="s">
        <v>32</v>
      </c>
      <c r="D37" s="1">
        <v>309171</v>
      </c>
      <c r="E37" s="1">
        <v>115370</v>
      </c>
      <c r="F37" s="2">
        <v>0.373159190221593</v>
      </c>
      <c r="G37" s="1">
        <v>1613</v>
      </c>
      <c r="H37" s="2">
        <v>1.39811042732079E-2</v>
      </c>
      <c r="I37" s="12">
        <v>5.2171775489939197E-3</v>
      </c>
    </row>
    <row r="38" spans="1:9" x14ac:dyDescent="0.25">
      <c r="A38" s="11">
        <v>45645</v>
      </c>
      <c r="B38" t="s">
        <v>384</v>
      </c>
      <c r="C38" t="s">
        <v>32</v>
      </c>
      <c r="D38" s="1">
        <v>1026043</v>
      </c>
      <c r="E38" s="1">
        <v>380300</v>
      </c>
      <c r="F38" s="2">
        <v>0.370647234082782</v>
      </c>
      <c r="G38" s="1">
        <v>5171</v>
      </c>
      <c r="H38" s="2">
        <v>1.3597160136734201E-2</v>
      </c>
      <c r="I38" s="12">
        <v>5.0397497960611801E-3</v>
      </c>
    </row>
    <row r="39" spans="1:9" x14ac:dyDescent="0.25">
      <c r="A39" s="11">
        <v>45645</v>
      </c>
      <c r="B39" t="s">
        <v>384</v>
      </c>
      <c r="C39" t="s">
        <v>33</v>
      </c>
      <c r="D39" s="1">
        <v>78403</v>
      </c>
      <c r="E39" s="1">
        <v>25253</v>
      </c>
      <c r="F39" s="2">
        <v>0.322092266877543</v>
      </c>
      <c r="G39" s="1">
        <v>581</v>
      </c>
      <c r="H39" s="2">
        <v>2.30071674652517E-2</v>
      </c>
      <c r="I39" s="12">
        <v>7.4104307233141603E-3</v>
      </c>
    </row>
    <row r="40" spans="1:9" ht="15.75" thickBot="1" x14ac:dyDescent="0.3">
      <c r="A40" s="17" t="s">
        <v>427</v>
      </c>
      <c r="B40" s="4"/>
      <c r="C40" s="4"/>
      <c r="D40" s="18">
        <f>SUM(D35:D39)</f>
        <v>5068877</v>
      </c>
      <c r="E40" s="18">
        <f>SUM(E35:E39)</f>
        <v>1780185</v>
      </c>
      <c r="F40" s="19">
        <f>AVERAGE(F35:F39)</f>
        <v>0.34395973823638359</v>
      </c>
      <c r="G40" s="18">
        <f>SUM(G35:G39)</f>
        <v>30038</v>
      </c>
      <c r="H40" s="19">
        <f>AVERAGE(H35:H39)</f>
        <v>2.3757086375038761E-2</v>
      </c>
      <c r="I40" s="21">
        <f>AVERAGE(I35:I39)</f>
        <v>7.8934716136738522E-3</v>
      </c>
    </row>
    <row r="41" spans="1:9" ht="3" customHeight="1" thickBot="1" x14ac:dyDescent="0.3">
      <c r="A41" s="143"/>
      <c r="B41" s="140"/>
      <c r="C41" s="140"/>
      <c r="D41" s="140"/>
      <c r="E41" s="140"/>
      <c r="F41" s="140"/>
      <c r="G41" s="140"/>
      <c r="H41" s="140"/>
      <c r="I41" s="144"/>
    </row>
    <row r="42" spans="1:9" x14ac:dyDescent="0.25">
      <c r="A42" s="22" t="s">
        <v>795</v>
      </c>
      <c r="B42" s="23"/>
      <c r="C42" s="23"/>
      <c r="D42" s="23"/>
      <c r="E42" s="23"/>
      <c r="F42" s="23"/>
      <c r="G42" s="23"/>
      <c r="H42" s="23"/>
      <c r="I42" s="24"/>
    </row>
    <row r="43" spans="1:9" x14ac:dyDescent="0.25">
      <c r="A43" s="11">
        <v>45641</v>
      </c>
      <c r="B43" t="s">
        <v>380</v>
      </c>
      <c r="C43" t="s">
        <v>312</v>
      </c>
      <c r="D43" s="1">
        <v>3780155</v>
      </c>
      <c r="E43" s="1">
        <v>1341908</v>
      </c>
      <c r="F43" s="2">
        <v>0.35498756003391402</v>
      </c>
      <c r="G43" s="1">
        <v>8777</v>
      </c>
      <c r="H43" s="2">
        <v>6.5406868429132197E-3</v>
      </c>
      <c r="I43" s="12">
        <v>2.3218624633116899E-3</v>
      </c>
    </row>
    <row r="44" spans="1:9" x14ac:dyDescent="0.25">
      <c r="A44" s="11">
        <v>45641</v>
      </c>
      <c r="B44" t="s">
        <v>380</v>
      </c>
      <c r="C44" t="s">
        <v>313</v>
      </c>
      <c r="D44" s="1">
        <v>258964</v>
      </c>
      <c r="E44" s="1">
        <v>82935</v>
      </c>
      <c r="F44" s="2">
        <v>0.32025686968072797</v>
      </c>
      <c r="G44" s="1">
        <v>1001</v>
      </c>
      <c r="H44" s="2">
        <v>1.2069693133176599E-2</v>
      </c>
      <c r="I44" s="12">
        <v>3.8654021408381098E-3</v>
      </c>
    </row>
    <row r="45" spans="1:9" x14ac:dyDescent="0.25">
      <c r="A45" s="11">
        <v>45641</v>
      </c>
      <c r="B45" t="s">
        <v>380</v>
      </c>
      <c r="C45" t="s">
        <v>314</v>
      </c>
      <c r="D45" s="1">
        <v>78782</v>
      </c>
      <c r="E45" s="1">
        <v>33726</v>
      </c>
      <c r="F45" s="2">
        <v>0.42809271153309097</v>
      </c>
      <c r="G45" s="1">
        <v>645</v>
      </c>
      <c r="H45" s="2">
        <v>1.9124710905532801E-2</v>
      </c>
      <c r="I45" s="12">
        <v>8.1871493488360307E-3</v>
      </c>
    </row>
    <row r="46" spans="1:9" x14ac:dyDescent="0.25">
      <c r="A46" s="11">
        <v>45641</v>
      </c>
      <c r="B46" t="s">
        <v>380</v>
      </c>
      <c r="C46" t="s">
        <v>315</v>
      </c>
      <c r="D46" s="1">
        <v>3818</v>
      </c>
      <c r="E46" s="1">
        <v>1664</v>
      </c>
      <c r="F46" s="2">
        <v>0.435830277632268</v>
      </c>
      <c r="G46" s="1">
        <v>48</v>
      </c>
      <c r="H46" s="2">
        <v>2.8846153846153799E-2</v>
      </c>
      <c r="I46" s="12">
        <v>1.25720272393924E-2</v>
      </c>
    </row>
    <row r="47" spans="1:9" x14ac:dyDescent="0.25">
      <c r="A47" s="11">
        <v>45642</v>
      </c>
      <c r="B47" t="s">
        <v>381</v>
      </c>
      <c r="C47" t="s">
        <v>32</v>
      </c>
      <c r="D47" s="1">
        <v>1021104</v>
      </c>
      <c r="E47" s="1">
        <v>369347</v>
      </c>
      <c r="F47" s="2">
        <v>0.36171340039800098</v>
      </c>
      <c r="G47" s="1">
        <v>3921</v>
      </c>
      <c r="H47" s="2">
        <v>1.0616033161227801E-2</v>
      </c>
      <c r="I47" s="12">
        <v>3.8399614534856399E-3</v>
      </c>
    </row>
    <row r="48" spans="1:9" x14ac:dyDescent="0.25">
      <c r="A48" s="11">
        <v>45642</v>
      </c>
      <c r="B48" t="s">
        <v>381</v>
      </c>
      <c r="C48" t="s">
        <v>33</v>
      </c>
      <c r="D48" s="1">
        <v>83852</v>
      </c>
      <c r="E48" s="1">
        <v>26076</v>
      </c>
      <c r="F48" s="2">
        <v>0.31097648237370601</v>
      </c>
      <c r="G48" s="1">
        <v>539</v>
      </c>
      <c r="H48" s="2">
        <v>2.06703482129161E-2</v>
      </c>
      <c r="I48" s="12">
        <v>6.4279921766922698E-3</v>
      </c>
    </row>
    <row r="49" spans="1:9" x14ac:dyDescent="0.25">
      <c r="A49" s="11">
        <v>45643</v>
      </c>
      <c r="B49" t="s">
        <v>382</v>
      </c>
      <c r="C49" t="s">
        <v>32</v>
      </c>
      <c r="D49" s="1">
        <v>40461</v>
      </c>
      <c r="E49" s="1">
        <v>15095</v>
      </c>
      <c r="F49" s="2">
        <v>0.37307530708583603</v>
      </c>
      <c r="G49" s="1">
        <v>424</v>
      </c>
      <c r="H49" s="2">
        <v>2.8088771116263699E-2</v>
      </c>
      <c r="I49" s="12">
        <v>1.04792269098638E-2</v>
      </c>
    </row>
    <row r="50" spans="1:9" x14ac:dyDescent="0.25">
      <c r="A50" s="11">
        <v>45644</v>
      </c>
      <c r="B50" t="s">
        <v>383</v>
      </c>
      <c r="C50" t="s">
        <v>32</v>
      </c>
      <c r="D50" s="1">
        <v>2409495</v>
      </c>
      <c r="E50" s="1">
        <v>916607</v>
      </c>
      <c r="F50" s="2">
        <v>0.38041456819789998</v>
      </c>
      <c r="G50" s="1">
        <v>10853</v>
      </c>
      <c r="H50" s="2">
        <v>1.18404070664963E-2</v>
      </c>
      <c r="I50" s="12">
        <v>4.5042633414885697E-3</v>
      </c>
    </row>
    <row r="51" spans="1:9" x14ac:dyDescent="0.25">
      <c r="A51" s="11">
        <v>45644</v>
      </c>
      <c r="B51" t="s">
        <v>383</v>
      </c>
      <c r="C51" t="s">
        <v>33</v>
      </c>
      <c r="D51" s="1">
        <v>156951</v>
      </c>
      <c r="E51" s="1">
        <v>56513</v>
      </c>
      <c r="F51" s="2">
        <v>0.36006779185860599</v>
      </c>
      <c r="G51" s="1">
        <v>1122</v>
      </c>
      <c r="H51" s="2">
        <v>1.9853838939713001E-2</v>
      </c>
      <c r="I51" s="12">
        <v>7.1487279469388499E-3</v>
      </c>
    </row>
    <row r="52" spans="1:9" x14ac:dyDescent="0.25">
      <c r="A52" s="11">
        <v>45645</v>
      </c>
      <c r="B52" t="s">
        <v>385</v>
      </c>
      <c r="C52" t="s">
        <v>32</v>
      </c>
      <c r="D52" s="1">
        <v>169187</v>
      </c>
      <c r="E52" s="1">
        <v>61670</v>
      </c>
      <c r="F52" s="2">
        <v>0.36450791136434801</v>
      </c>
      <c r="G52" s="1">
        <v>966</v>
      </c>
      <c r="H52" s="2">
        <v>1.5664018161180501E-2</v>
      </c>
      <c r="I52" s="12">
        <v>5.7096585435051197E-3</v>
      </c>
    </row>
    <row r="53" spans="1:9" x14ac:dyDescent="0.25">
      <c r="A53" s="11">
        <v>45645</v>
      </c>
      <c r="B53" t="s">
        <v>386</v>
      </c>
      <c r="C53" t="s">
        <v>32</v>
      </c>
      <c r="D53" s="1">
        <v>489309</v>
      </c>
      <c r="E53" s="1">
        <v>194129</v>
      </c>
      <c r="F53" s="2">
        <v>0.39674111859785899</v>
      </c>
      <c r="G53" s="1">
        <v>1563</v>
      </c>
      <c r="H53" s="2">
        <v>8.0513472999912405E-3</v>
      </c>
      <c r="I53" s="12">
        <v>3.19430053401838E-3</v>
      </c>
    </row>
    <row r="54" spans="1:9" x14ac:dyDescent="0.25">
      <c r="A54" s="11">
        <v>45645</v>
      </c>
      <c r="B54" t="s">
        <v>386</v>
      </c>
      <c r="C54" t="s">
        <v>33</v>
      </c>
      <c r="D54" s="1">
        <v>33311</v>
      </c>
      <c r="E54" s="1">
        <v>11384</v>
      </c>
      <c r="F54" s="2">
        <v>0.34174897181111302</v>
      </c>
      <c r="G54" s="1">
        <v>170</v>
      </c>
      <c r="H54" s="2">
        <v>1.49332396345748E-2</v>
      </c>
      <c r="I54" s="12">
        <v>5.1034192909249201E-3</v>
      </c>
    </row>
    <row r="55" spans="1:9" x14ac:dyDescent="0.25">
      <c r="A55" s="11">
        <v>45646</v>
      </c>
      <c r="B55" t="s">
        <v>387</v>
      </c>
      <c r="C55" t="s">
        <v>32</v>
      </c>
      <c r="D55" s="1">
        <v>384730</v>
      </c>
      <c r="E55" s="1">
        <v>152518</v>
      </c>
      <c r="F55" s="2">
        <v>0.39642866425805101</v>
      </c>
      <c r="G55" s="1">
        <v>2641</v>
      </c>
      <c r="H55" s="2">
        <v>1.73159889324539E-2</v>
      </c>
      <c r="I55" s="12">
        <v>6.8645543627998901E-3</v>
      </c>
    </row>
    <row r="56" spans="1:9" x14ac:dyDescent="0.25">
      <c r="A56" s="11">
        <v>45646</v>
      </c>
      <c r="B56" t="s">
        <v>388</v>
      </c>
      <c r="C56" t="s">
        <v>32</v>
      </c>
      <c r="D56" s="1">
        <v>186662</v>
      </c>
      <c r="E56" s="1">
        <v>83468</v>
      </c>
      <c r="F56" s="2">
        <v>0.447161179029476</v>
      </c>
      <c r="G56" s="1">
        <v>1434</v>
      </c>
      <c r="H56" s="2">
        <v>1.7180236737432301E-2</v>
      </c>
      <c r="I56" s="12">
        <v>7.6823349155157403E-3</v>
      </c>
    </row>
    <row r="57" spans="1:9" x14ac:dyDescent="0.25">
      <c r="A57" s="11">
        <v>45646</v>
      </c>
      <c r="B57" t="s">
        <v>388</v>
      </c>
      <c r="C57" t="s">
        <v>33</v>
      </c>
      <c r="D57" s="1">
        <v>11154</v>
      </c>
      <c r="E57" s="1">
        <v>5163</v>
      </c>
      <c r="F57" s="2">
        <v>0.46288327057557799</v>
      </c>
      <c r="G57" s="1">
        <v>161</v>
      </c>
      <c r="H57" s="2">
        <v>3.1183420491961999E-2</v>
      </c>
      <c r="I57" s="12">
        <v>1.4434283665052901E-2</v>
      </c>
    </row>
    <row r="58" spans="1:9" x14ac:dyDescent="0.25">
      <c r="A58" s="11">
        <v>45646</v>
      </c>
      <c r="B58" t="s">
        <v>389</v>
      </c>
      <c r="C58" t="s">
        <v>32</v>
      </c>
      <c r="D58" s="1">
        <v>197685</v>
      </c>
      <c r="E58" s="1">
        <v>76720</v>
      </c>
      <c r="F58" s="2">
        <v>0.38809216683107001</v>
      </c>
      <c r="G58" s="1">
        <v>412</v>
      </c>
      <c r="H58" s="2">
        <v>5.3701772679874901E-3</v>
      </c>
      <c r="I58" s="12">
        <v>2.08412373220022E-3</v>
      </c>
    </row>
    <row r="59" spans="1:9" x14ac:dyDescent="0.25">
      <c r="A59" s="11">
        <v>45646</v>
      </c>
      <c r="B59" t="s">
        <v>389</v>
      </c>
      <c r="C59" t="s">
        <v>33</v>
      </c>
      <c r="D59" s="1">
        <v>11167</v>
      </c>
      <c r="E59" s="1">
        <v>4169</v>
      </c>
      <c r="F59" s="2">
        <v>0.37333213933912401</v>
      </c>
      <c r="G59" s="1">
        <v>43</v>
      </c>
      <c r="H59" s="2">
        <v>1.03142240345407E-2</v>
      </c>
      <c r="I59" s="12">
        <v>3.8506313244380799E-3</v>
      </c>
    </row>
    <row r="60" spans="1:9" x14ac:dyDescent="0.25">
      <c r="A60" s="11">
        <v>45646</v>
      </c>
      <c r="B60" t="s">
        <v>390</v>
      </c>
      <c r="C60" t="s">
        <v>32</v>
      </c>
      <c r="D60" s="1">
        <v>2024144</v>
      </c>
      <c r="E60" s="1">
        <v>773052</v>
      </c>
      <c r="F60" s="2">
        <v>0.4783</v>
      </c>
      <c r="G60" s="1">
        <v>3371</v>
      </c>
      <c r="H60" s="2">
        <v>5.0700000000000002E-2</v>
      </c>
      <c r="I60" s="12">
        <v>3.2099999999999997E-2</v>
      </c>
    </row>
    <row r="61" spans="1:9" x14ac:dyDescent="0.25">
      <c r="A61" s="11">
        <v>45646</v>
      </c>
      <c r="B61" t="s">
        <v>390</v>
      </c>
      <c r="C61" t="s">
        <v>33</v>
      </c>
      <c r="D61" s="1">
        <v>117757</v>
      </c>
      <c r="E61" s="1">
        <v>42513</v>
      </c>
      <c r="F61" s="3">
        <v>0.36099999999999999</v>
      </c>
      <c r="G61">
        <v>503</v>
      </c>
      <c r="H61" s="3">
        <v>1.18E-2</v>
      </c>
      <c r="I61" s="16">
        <v>4.3E-3</v>
      </c>
    </row>
    <row r="62" spans="1:9" x14ac:dyDescent="0.25">
      <c r="A62" s="11">
        <v>45647</v>
      </c>
      <c r="B62" t="s">
        <v>393</v>
      </c>
      <c r="C62" t="s">
        <v>32</v>
      </c>
      <c r="D62" s="1">
        <v>424380</v>
      </c>
      <c r="E62" s="1">
        <v>159395</v>
      </c>
      <c r="F62" s="2">
        <v>0.37559498562609001</v>
      </c>
      <c r="G62" s="1">
        <v>1813</v>
      </c>
      <c r="H62" s="2">
        <v>1.13742589165281E-2</v>
      </c>
      <c r="I62" s="12">
        <v>4.2721146142607998E-3</v>
      </c>
    </row>
    <row r="63" spans="1:9" x14ac:dyDescent="0.25">
      <c r="A63" s="11">
        <v>45647</v>
      </c>
      <c r="B63" t="s">
        <v>393</v>
      </c>
      <c r="C63" t="s">
        <v>33</v>
      </c>
      <c r="D63" s="1">
        <v>27085</v>
      </c>
      <c r="E63" s="1">
        <v>9531</v>
      </c>
      <c r="F63" s="2">
        <v>0.351892191249769</v>
      </c>
      <c r="G63" s="1">
        <v>171</v>
      </c>
      <c r="H63" s="2">
        <v>1.7941454202077399E-2</v>
      </c>
      <c r="I63" s="12">
        <v>6.3134576333764101E-3</v>
      </c>
    </row>
    <row r="64" spans="1:9" ht="15.75" thickBot="1" x14ac:dyDescent="0.3">
      <c r="A64" s="17" t="s">
        <v>427</v>
      </c>
      <c r="B64" s="4"/>
      <c r="C64" s="4"/>
      <c r="D64" s="18">
        <f>SUM(D43:D63)</f>
        <v>11910153</v>
      </c>
      <c r="E64" s="18">
        <f>SUM(E43:E63)</f>
        <v>4417583</v>
      </c>
      <c r="F64" s="19">
        <f>AVERAGE(F43:F63)</f>
        <v>0.38395702702269174</v>
      </c>
      <c r="G64" s="18">
        <f>SUM(G43:G63)</f>
        <v>40578</v>
      </c>
      <c r="H64" s="19">
        <f>AVERAGE(H43:H63)</f>
        <v>1.7594238519196274E-2</v>
      </c>
      <c r="I64" s="21">
        <f>AVERAGE(I43:I63)</f>
        <v>7.3931186493780875E-3</v>
      </c>
    </row>
    <row r="65" spans="1:9" ht="3" customHeight="1" thickBot="1" x14ac:dyDescent="0.3">
      <c r="A65" s="143"/>
      <c r="B65" s="140"/>
      <c r="C65" s="140"/>
      <c r="D65" s="140"/>
      <c r="E65" s="140"/>
      <c r="F65" s="140"/>
      <c r="G65" s="140"/>
      <c r="H65" s="140"/>
      <c r="I65" s="144"/>
    </row>
    <row r="66" spans="1:9" x14ac:dyDescent="0.25">
      <c r="A66" s="22" t="s">
        <v>792</v>
      </c>
      <c r="B66" s="23"/>
      <c r="C66" s="23"/>
      <c r="D66" s="23"/>
      <c r="E66" s="23"/>
      <c r="F66" s="23"/>
      <c r="G66" s="23"/>
      <c r="H66" s="23"/>
      <c r="I66" s="24"/>
    </row>
    <row r="67" spans="1:9" x14ac:dyDescent="0.25">
      <c r="A67" s="11">
        <v>45647</v>
      </c>
      <c r="B67" t="s">
        <v>391</v>
      </c>
      <c r="C67" t="s">
        <v>415</v>
      </c>
      <c r="D67" s="1">
        <v>729767</v>
      </c>
      <c r="E67" s="1">
        <v>249264</v>
      </c>
      <c r="F67" s="3">
        <v>0.34160000000000001</v>
      </c>
      <c r="G67" s="1">
        <v>1529</v>
      </c>
      <c r="H67" s="3">
        <v>6.1000000000000004E-3</v>
      </c>
      <c r="I67" s="16">
        <v>2.0999999999999999E-3</v>
      </c>
    </row>
    <row r="68" spans="1:9" x14ac:dyDescent="0.25">
      <c r="A68" s="11">
        <v>45647</v>
      </c>
      <c r="B68" t="s">
        <v>392</v>
      </c>
      <c r="C68" t="s">
        <v>417</v>
      </c>
      <c r="D68" s="1">
        <v>47158</v>
      </c>
      <c r="E68" s="1">
        <v>13591</v>
      </c>
      <c r="F68" s="3">
        <v>0.28820000000000001</v>
      </c>
      <c r="G68">
        <v>117</v>
      </c>
      <c r="H68" s="3">
        <v>8.6E-3</v>
      </c>
      <c r="I68" s="16">
        <v>2.5000000000000001E-3</v>
      </c>
    </row>
    <row r="69" spans="1:9" x14ac:dyDescent="0.25">
      <c r="A69" s="11">
        <v>45647</v>
      </c>
      <c r="B69" t="s">
        <v>353</v>
      </c>
      <c r="C69" t="s">
        <v>332</v>
      </c>
      <c r="D69" s="1">
        <v>127060</v>
      </c>
      <c r="E69" s="1">
        <v>48209</v>
      </c>
      <c r="F69" s="2">
        <v>0.37941917204470299</v>
      </c>
      <c r="G69" s="1">
        <v>264</v>
      </c>
      <c r="H69" s="2">
        <v>5.4761559044991604E-3</v>
      </c>
      <c r="I69" s="12">
        <v>2.0777585392727799E-3</v>
      </c>
    </row>
    <row r="70" spans="1:9" ht="15.75" thickBot="1" x14ac:dyDescent="0.3">
      <c r="A70" s="17" t="s">
        <v>427</v>
      </c>
      <c r="B70" s="4"/>
      <c r="C70" s="4"/>
      <c r="D70" s="18">
        <f>SUM(D67:D69)</f>
        <v>903985</v>
      </c>
      <c r="E70" s="18">
        <f>SUM(E67:E69)</f>
        <v>311064</v>
      </c>
      <c r="F70" s="19">
        <f>AVERAGE(F67:F69)</f>
        <v>0.33640639068156769</v>
      </c>
      <c r="G70" s="18">
        <f>SUM(G67:G69)</f>
        <v>1910</v>
      </c>
      <c r="H70" s="19">
        <f>AVERAGE(H67:H69)</f>
        <v>6.7253853014997205E-3</v>
      </c>
      <c r="I70" s="21">
        <f>AVERAGE(I67:I69)</f>
        <v>2.2259195130909268E-3</v>
      </c>
    </row>
  </sheetData>
  <mergeCells count="3">
    <mergeCell ref="A32:I32"/>
    <mergeCell ref="A41:I41"/>
    <mergeCell ref="A65:I65"/>
  </mergeCells>
  <pageMargins left="0.7" right="0.7" top="0.75" bottom="0.75" header="0.3" footer="0.3"/>
  <ignoredErrors>
    <ignoredError sqref="F31:G31 F40:G40 F64:G64 F70:G70" formula="1"/>
  </ignoredErrors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D2A0-2897-48F3-B192-C670E6A38CC8}">
  <dimension ref="A1:I80"/>
  <sheetViews>
    <sheetView zoomScale="90" zoomScaleNormal="90" workbookViewId="0">
      <selection activeCell="B28" sqref="B28"/>
    </sheetView>
  </sheetViews>
  <sheetFormatPr defaultRowHeight="15" x14ac:dyDescent="0.25"/>
  <cols>
    <col min="1" max="1" width="11.85546875" customWidth="1"/>
    <col min="2" max="2" width="78.5703125" customWidth="1"/>
    <col min="3" max="3" width="43.42578125" bestFit="1" customWidth="1"/>
    <col min="4" max="4" width="13" customWidth="1"/>
    <col min="5" max="5" width="14.5703125" customWidth="1"/>
    <col min="6" max="6" width="18.5703125" bestFit="1" customWidth="1"/>
    <col min="7" max="7" width="13.1406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45648</v>
      </c>
      <c r="B2" t="s">
        <v>394</v>
      </c>
      <c r="C2" t="s">
        <v>32</v>
      </c>
      <c r="D2" s="1">
        <v>3250360</v>
      </c>
      <c r="E2" s="1">
        <v>1117103</v>
      </c>
      <c r="F2" s="3">
        <v>0.35289999999999999</v>
      </c>
      <c r="G2" s="1">
        <v>15997</v>
      </c>
      <c r="H2" s="3">
        <v>2.35E-2</v>
      </c>
      <c r="I2" s="3">
        <v>8.5000000000000006E-3</v>
      </c>
    </row>
    <row r="3" spans="1:9" x14ac:dyDescent="0.25">
      <c r="A3" s="26">
        <v>45648</v>
      </c>
      <c r="B3" t="s">
        <v>394</v>
      </c>
      <c r="C3" t="s">
        <v>33</v>
      </c>
      <c r="D3" s="1">
        <v>204841</v>
      </c>
      <c r="E3" s="1">
        <v>54689</v>
      </c>
      <c r="F3" s="3">
        <v>0.2641</v>
      </c>
      <c r="G3" s="1">
        <v>1229</v>
      </c>
      <c r="H3" s="3">
        <v>4.2900000000000001E-2</v>
      </c>
      <c r="I3" s="3">
        <v>1.12E-2</v>
      </c>
    </row>
    <row r="4" spans="1:9" x14ac:dyDescent="0.25">
      <c r="A4" s="26">
        <v>45648</v>
      </c>
      <c r="B4" t="s">
        <v>395</v>
      </c>
      <c r="C4" t="s">
        <v>32</v>
      </c>
      <c r="D4" s="1">
        <v>288805</v>
      </c>
      <c r="E4" s="1">
        <v>103259</v>
      </c>
      <c r="F4" s="2">
        <v>0.35753882377382701</v>
      </c>
      <c r="G4" s="1">
        <v>1571</v>
      </c>
      <c r="H4" s="2">
        <v>1.52141701933972E-2</v>
      </c>
      <c r="I4" s="2">
        <v>5.4396565156420397E-3</v>
      </c>
    </row>
    <row r="5" spans="1:9" x14ac:dyDescent="0.25">
      <c r="A5" s="26">
        <v>45648</v>
      </c>
      <c r="B5" t="s">
        <v>395</v>
      </c>
      <c r="C5" t="s">
        <v>33</v>
      </c>
      <c r="D5" s="1">
        <v>16012</v>
      </c>
      <c r="E5" s="1">
        <v>4919</v>
      </c>
      <c r="F5" s="2">
        <v>0.30720709467899099</v>
      </c>
      <c r="G5" s="1">
        <v>155</v>
      </c>
      <c r="H5" s="2">
        <v>3.1510469607643803E-2</v>
      </c>
      <c r="I5" s="2">
        <v>9.6802398201348994E-3</v>
      </c>
    </row>
    <row r="6" spans="1:9" x14ac:dyDescent="0.25">
      <c r="A6" s="26">
        <v>45648</v>
      </c>
      <c r="B6" t="s">
        <v>396</v>
      </c>
      <c r="C6" t="s">
        <v>32</v>
      </c>
      <c r="D6" s="1">
        <v>34260</v>
      </c>
      <c r="E6" s="1">
        <v>15467</v>
      </c>
      <c r="F6" s="2">
        <v>0.45145942790426202</v>
      </c>
      <c r="G6" s="1">
        <v>290</v>
      </c>
      <c r="H6" s="2">
        <v>1.8749595913881201E-2</v>
      </c>
      <c r="I6" s="2">
        <v>8.4646818447168693E-3</v>
      </c>
    </row>
    <row r="7" spans="1:9" x14ac:dyDescent="0.25">
      <c r="A7" s="26">
        <v>45648</v>
      </c>
      <c r="B7" t="s">
        <v>396</v>
      </c>
      <c r="C7" t="s">
        <v>33</v>
      </c>
      <c r="D7" s="1">
        <v>3497</v>
      </c>
      <c r="E7" s="1">
        <v>1248</v>
      </c>
      <c r="F7" s="2">
        <v>0.356877323420074</v>
      </c>
      <c r="G7" s="1">
        <v>22</v>
      </c>
      <c r="H7" s="2">
        <v>1.76282051282051E-2</v>
      </c>
      <c r="I7" s="2">
        <v>6.2911066628538702E-3</v>
      </c>
    </row>
    <row r="8" spans="1:9" x14ac:dyDescent="0.25">
      <c r="A8" s="26">
        <v>45648</v>
      </c>
      <c r="B8" t="s">
        <v>397</v>
      </c>
      <c r="C8" t="s">
        <v>32</v>
      </c>
      <c r="D8" s="1">
        <v>725026</v>
      </c>
      <c r="E8" s="1">
        <v>252497</v>
      </c>
      <c r="F8" s="2">
        <v>0.348259234841233</v>
      </c>
      <c r="G8" s="1">
        <v>2167</v>
      </c>
      <c r="H8" s="2">
        <v>8.5822801855071507E-3</v>
      </c>
      <c r="I8" s="2">
        <v>2.9888583305978001E-3</v>
      </c>
    </row>
    <row r="9" spans="1:9" x14ac:dyDescent="0.25">
      <c r="A9" s="26">
        <v>45648</v>
      </c>
      <c r="B9" t="s">
        <v>397</v>
      </c>
      <c r="C9" t="s">
        <v>33</v>
      </c>
      <c r="D9" s="1">
        <v>56883</v>
      </c>
      <c r="E9" s="1">
        <v>16507</v>
      </c>
      <c r="F9" s="2">
        <v>0.290192148796653</v>
      </c>
      <c r="G9" s="1">
        <v>212</v>
      </c>
      <c r="H9" s="2">
        <v>1.2843036287635499E-2</v>
      </c>
      <c r="I9" s="2">
        <v>3.72694829738235E-3</v>
      </c>
    </row>
    <row r="10" spans="1:9" x14ac:dyDescent="0.25">
      <c r="A10" s="26">
        <v>45648</v>
      </c>
      <c r="B10" t="s">
        <v>380</v>
      </c>
      <c r="C10" t="s">
        <v>398</v>
      </c>
      <c r="D10" s="1">
        <v>3772169</v>
      </c>
      <c r="E10" s="1">
        <v>1305857</v>
      </c>
      <c r="F10" s="2">
        <v>0.34618199767825902</v>
      </c>
      <c r="G10" s="1">
        <v>8958</v>
      </c>
      <c r="H10" s="2">
        <v>6.8598629099510897E-3</v>
      </c>
      <c r="I10" s="2">
        <v>2.37476104596586E-3</v>
      </c>
    </row>
    <row r="11" spans="1:9" x14ac:dyDescent="0.25">
      <c r="A11" s="26">
        <v>45648</v>
      </c>
      <c r="B11" t="s">
        <v>380</v>
      </c>
      <c r="C11" t="s">
        <v>399</v>
      </c>
      <c r="D11" s="1">
        <v>258582</v>
      </c>
      <c r="E11" s="1">
        <v>80643</v>
      </c>
      <c r="F11" s="2">
        <v>0.31186625519177702</v>
      </c>
      <c r="G11" s="1">
        <v>1032</v>
      </c>
      <c r="H11" s="2">
        <v>1.27971429634314E-2</v>
      </c>
      <c r="I11" s="2">
        <v>3.9909970531591503E-3</v>
      </c>
    </row>
    <row r="12" spans="1:9" x14ac:dyDescent="0.25">
      <c r="A12" s="26">
        <v>45648</v>
      </c>
      <c r="B12" t="s">
        <v>380</v>
      </c>
      <c r="C12" t="s">
        <v>400</v>
      </c>
      <c r="D12" s="1">
        <v>77147</v>
      </c>
      <c r="E12" s="1">
        <v>33951</v>
      </c>
      <c r="F12" s="2">
        <v>0.44008192152643699</v>
      </c>
      <c r="G12" s="1">
        <v>610</v>
      </c>
      <c r="H12" s="2">
        <v>1.7967070189390599E-2</v>
      </c>
      <c r="I12" s="2">
        <v>7.9069827731473707E-3</v>
      </c>
    </row>
    <row r="13" spans="1:9" x14ac:dyDescent="0.25">
      <c r="A13" s="26">
        <v>45648</v>
      </c>
      <c r="B13" t="s">
        <v>380</v>
      </c>
      <c r="C13" t="s">
        <v>401</v>
      </c>
      <c r="D13" s="1">
        <v>3729</v>
      </c>
      <c r="E13" s="1">
        <v>1636</v>
      </c>
      <c r="F13" s="2">
        <v>0.43872351836953599</v>
      </c>
      <c r="G13" s="1">
        <v>45</v>
      </c>
      <c r="H13" s="2">
        <v>2.75061124694377E-2</v>
      </c>
      <c r="I13" s="2">
        <v>1.20675784392599E-2</v>
      </c>
    </row>
    <row r="14" spans="1:9" x14ac:dyDescent="0.25">
      <c r="A14" s="26">
        <v>45648</v>
      </c>
      <c r="B14" t="s">
        <v>402</v>
      </c>
      <c r="C14" t="s">
        <v>32</v>
      </c>
      <c r="D14" s="1">
        <v>7902</v>
      </c>
      <c r="E14" s="1">
        <v>3263</v>
      </c>
      <c r="F14" s="2">
        <v>0.41293343457352599</v>
      </c>
      <c r="G14" s="1">
        <v>82</v>
      </c>
      <c r="H14" s="2">
        <v>2.5130248237817999E-2</v>
      </c>
      <c r="I14" s="2">
        <v>1.0377119716527499E-2</v>
      </c>
    </row>
    <row r="15" spans="1:9" x14ac:dyDescent="0.25">
      <c r="A15" s="26">
        <v>45649</v>
      </c>
      <c r="B15" t="s">
        <v>403</v>
      </c>
      <c r="C15" t="s">
        <v>32</v>
      </c>
      <c r="D15" s="1">
        <v>150125</v>
      </c>
      <c r="E15" s="1">
        <v>51569</v>
      </c>
      <c r="F15" s="2">
        <v>0.34350707743546999</v>
      </c>
      <c r="G15" s="1">
        <v>1260</v>
      </c>
      <c r="H15" s="2">
        <v>2.4433283561829802E-2</v>
      </c>
      <c r="I15" s="2">
        <v>8.3930058284762705E-3</v>
      </c>
    </row>
    <row r="16" spans="1:9" x14ac:dyDescent="0.25">
      <c r="A16" s="26">
        <v>45650</v>
      </c>
      <c r="B16" t="s">
        <v>404</v>
      </c>
      <c r="C16" t="s">
        <v>32</v>
      </c>
      <c r="D16" s="1">
        <v>6256</v>
      </c>
      <c r="E16" s="1">
        <v>1907</v>
      </c>
      <c r="F16" s="2">
        <v>0.30482736572890001</v>
      </c>
      <c r="G16" s="1">
        <v>158</v>
      </c>
      <c r="H16" s="2">
        <v>8.2852648138437304E-2</v>
      </c>
      <c r="I16" s="2">
        <v>2.5255754475703301E-2</v>
      </c>
    </row>
    <row r="17" spans="1:9" x14ac:dyDescent="0.25">
      <c r="A17" s="26">
        <v>45652</v>
      </c>
      <c r="B17" t="s">
        <v>405</v>
      </c>
      <c r="C17" t="s">
        <v>32</v>
      </c>
      <c r="D17" s="1">
        <v>994133</v>
      </c>
      <c r="E17" s="1">
        <v>273204</v>
      </c>
      <c r="F17" s="2">
        <v>0.27481634751084599</v>
      </c>
      <c r="G17" s="1">
        <v>3783</v>
      </c>
      <c r="H17" s="2">
        <v>1.384679580094E-2</v>
      </c>
      <c r="I17" s="2">
        <v>3.8053258467428399E-3</v>
      </c>
    </row>
    <row r="18" spans="1:9" x14ac:dyDescent="0.25">
      <c r="A18" s="26">
        <v>45652</v>
      </c>
      <c r="B18" t="s">
        <v>405</v>
      </c>
      <c r="C18" t="s">
        <v>33</v>
      </c>
      <c r="D18" s="1">
        <v>73434</v>
      </c>
      <c r="E18" s="1">
        <v>11305</v>
      </c>
      <c r="F18" s="2">
        <v>0.15394776261677201</v>
      </c>
      <c r="G18" s="1">
        <v>320</v>
      </c>
      <c r="H18" s="2">
        <v>2.83060592658116E-2</v>
      </c>
      <c r="I18" s="2">
        <v>4.3576544924694297E-3</v>
      </c>
    </row>
    <row r="19" spans="1:9" x14ac:dyDescent="0.25">
      <c r="A19" s="26">
        <v>45652</v>
      </c>
      <c r="B19" t="s">
        <v>406</v>
      </c>
      <c r="C19" t="s">
        <v>407</v>
      </c>
      <c r="D19" s="1">
        <v>3826915</v>
      </c>
      <c r="E19" s="1">
        <v>959490</v>
      </c>
      <c r="F19" s="2">
        <v>0.25072153418615301</v>
      </c>
      <c r="G19" s="1">
        <v>6087</v>
      </c>
      <c r="H19" s="2">
        <v>6.3439952474752198E-3</v>
      </c>
      <c r="I19" s="2">
        <v>1.5905762213166499E-3</v>
      </c>
    </row>
    <row r="20" spans="1:9" x14ac:dyDescent="0.25">
      <c r="A20" s="26">
        <v>45652</v>
      </c>
      <c r="B20" t="s">
        <v>406</v>
      </c>
      <c r="C20" t="s">
        <v>408</v>
      </c>
      <c r="D20" s="1">
        <v>254703</v>
      </c>
      <c r="E20" s="1">
        <v>38109</v>
      </c>
      <c r="F20" s="2">
        <v>0.14962132365932099</v>
      </c>
      <c r="G20" s="1">
        <v>304</v>
      </c>
      <c r="H20" s="2">
        <v>7.9771182660264006E-3</v>
      </c>
      <c r="I20" s="2">
        <v>1.19354699394982E-3</v>
      </c>
    </row>
    <row r="21" spans="1:9" x14ac:dyDescent="0.25">
      <c r="A21" s="26">
        <v>45652</v>
      </c>
      <c r="B21" t="s">
        <v>406</v>
      </c>
      <c r="C21" t="s">
        <v>409</v>
      </c>
      <c r="D21" s="1">
        <v>62841</v>
      </c>
      <c r="E21" s="1">
        <v>19478</v>
      </c>
      <c r="F21" s="2">
        <v>0.30995687528842603</v>
      </c>
      <c r="G21" s="1">
        <v>260</v>
      </c>
      <c r="H21" s="2">
        <v>1.33483930588356E-2</v>
      </c>
      <c r="I21" s="2">
        <v>4.1374262026383996E-3</v>
      </c>
    </row>
    <row r="22" spans="1:9" x14ac:dyDescent="0.25">
      <c r="A22" s="26">
        <v>45652</v>
      </c>
      <c r="B22" t="s">
        <v>406</v>
      </c>
      <c r="C22" t="s">
        <v>410</v>
      </c>
      <c r="D22" s="1">
        <v>2968</v>
      </c>
      <c r="E22" s="1">
        <v>536</v>
      </c>
      <c r="F22" s="2">
        <v>0.180592991913747</v>
      </c>
      <c r="G22" s="1">
        <v>6</v>
      </c>
      <c r="H22" s="2">
        <v>1.1194029850746299E-2</v>
      </c>
      <c r="I22" s="2">
        <v>2.0215633423180598E-3</v>
      </c>
    </row>
    <row r="23" spans="1:9" x14ac:dyDescent="0.25">
      <c r="A23" s="26">
        <v>45653</v>
      </c>
      <c r="B23" t="s">
        <v>411</v>
      </c>
      <c r="C23" t="s">
        <v>412</v>
      </c>
      <c r="D23" s="1">
        <v>164514</v>
      </c>
      <c r="E23" s="1">
        <v>41434</v>
      </c>
      <c r="F23" s="2">
        <v>0.25185698481588198</v>
      </c>
      <c r="G23" s="1">
        <v>436</v>
      </c>
      <c r="H23" s="2">
        <v>1.0522759086740399E-2</v>
      </c>
      <c r="I23" s="2">
        <v>2.6502303755303498E-3</v>
      </c>
    </row>
    <row r="24" spans="1:9" x14ac:dyDescent="0.25">
      <c r="A24" s="26">
        <v>45653</v>
      </c>
      <c r="B24" t="s">
        <v>390</v>
      </c>
      <c r="C24" t="s">
        <v>412</v>
      </c>
      <c r="D24" s="1">
        <v>1996468</v>
      </c>
      <c r="E24" s="1">
        <v>535695</v>
      </c>
      <c r="F24" s="3">
        <v>0.31719999999999998</v>
      </c>
      <c r="G24">
        <v>2619</v>
      </c>
      <c r="H24" s="3">
        <v>5.5100000000000003E-2</v>
      </c>
      <c r="I24" s="3">
        <v>1.7899999999999999E-2</v>
      </c>
    </row>
    <row r="25" spans="1:9" x14ac:dyDescent="0.25">
      <c r="A25" s="26">
        <v>45653</v>
      </c>
      <c r="B25" t="s">
        <v>390</v>
      </c>
      <c r="C25" t="s">
        <v>413</v>
      </c>
      <c r="D25" s="1">
        <v>110171</v>
      </c>
      <c r="E25" s="1">
        <v>21185</v>
      </c>
      <c r="F25" s="3">
        <v>0.1923</v>
      </c>
      <c r="G25">
        <v>245</v>
      </c>
      <c r="H25" s="3">
        <v>1.1599999999999999E-2</v>
      </c>
      <c r="I25" s="3">
        <v>2.2000000000000001E-3</v>
      </c>
    </row>
    <row r="26" spans="1:9" x14ac:dyDescent="0.25">
      <c r="A26" s="26">
        <v>45654</v>
      </c>
      <c r="B26" t="s">
        <v>414</v>
      </c>
      <c r="C26" t="s">
        <v>415</v>
      </c>
      <c r="D26" s="1">
        <v>705849</v>
      </c>
      <c r="E26" s="1">
        <v>172984</v>
      </c>
      <c r="F26" s="3">
        <v>0.24510000000000001</v>
      </c>
      <c r="G26" s="1">
        <v>1144</v>
      </c>
      <c r="H26" s="3">
        <v>6.6E-3</v>
      </c>
      <c r="I26" s="3">
        <v>1.6000000000000001E-3</v>
      </c>
    </row>
    <row r="27" spans="1:9" x14ac:dyDescent="0.25">
      <c r="A27" s="26">
        <v>45654</v>
      </c>
      <c r="B27" t="s">
        <v>416</v>
      </c>
      <c r="C27" t="s">
        <v>417</v>
      </c>
      <c r="D27" s="1">
        <v>53602</v>
      </c>
      <c r="E27" s="1">
        <v>8387</v>
      </c>
      <c r="F27" s="3">
        <v>0.1565</v>
      </c>
      <c r="G27">
        <v>62</v>
      </c>
      <c r="H27" s="3">
        <v>7.4000000000000003E-3</v>
      </c>
      <c r="I27" s="3">
        <v>1.1999999999999999E-3</v>
      </c>
    </row>
    <row r="28" spans="1:9" x14ac:dyDescent="0.25">
      <c r="A28" s="26">
        <v>45654</v>
      </c>
      <c r="B28" t="s">
        <v>418</v>
      </c>
      <c r="C28" t="s">
        <v>415</v>
      </c>
      <c r="D28" s="1">
        <v>378485</v>
      </c>
      <c r="E28" s="1">
        <v>98095</v>
      </c>
      <c r="F28" s="3">
        <v>0.25919999999999999</v>
      </c>
      <c r="G28">
        <v>830</v>
      </c>
      <c r="H28" s="3">
        <v>8.5000000000000006E-3</v>
      </c>
      <c r="I28" s="3">
        <v>2.2000000000000001E-3</v>
      </c>
    </row>
    <row r="29" spans="1:9" x14ac:dyDescent="0.25">
      <c r="A29" s="26">
        <v>45654</v>
      </c>
      <c r="B29" t="s">
        <v>419</v>
      </c>
      <c r="C29" t="s">
        <v>417</v>
      </c>
      <c r="D29" s="1">
        <v>25645</v>
      </c>
      <c r="E29" s="1">
        <v>4237</v>
      </c>
      <c r="F29" s="3">
        <v>0.16520000000000001</v>
      </c>
      <c r="G29">
        <v>54</v>
      </c>
      <c r="H29" s="3">
        <v>1.2699999999999999E-2</v>
      </c>
      <c r="I29" s="3">
        <v>2.0999999999999999E-3</v>
      </c>
    </row>
    <row r="30" spans="1:9" x14ac:dyDescent="0.25">
      <c r="A30" s="26">
        <v>45654</v>
      </c>
      <c r="B30" t="s">
        <v>391</v>
      </c>
      <c r="C30" t="s">
        <v>325</v>
      </c>
      <c r="D30" s="1">
        <v>634200</v>
      </c>
      <c r="E30" s="1">
        <v>151509</v>
      </c>
      <c r="F30" s="3">
        <v>0.2389</v>
      </c>
      <c r="G30" s="1">
        <v>1001</v>
      </c>
      <c r="H30" s="3">
        <v>6.6E-3</v>
      </c>
      <c r="I30" s="3">
        <v>1.6000000000000001E-3</v>
      </c>
    </row>
    <row r="31" spans="1:9" x14ac:dyDescent="0.25">
      <c r="A31" s="26">
        <v>45654</v>
      </c>
      <c r="B31" t="s">
        <v>392</v>
      </c>
      <c r="C31" t="s">
        <v>326</v>
      </c>
      <c r="D31" s="1">
        <v>41195</v>
      </c>
      <c r="E31" s="1">
        <v>6181</v>
      </c>
      <c r="F31" s="3">
        <v>0.15</v>
      </c>
      <c r="G31">
        <v>65</v>
      </c>
      <c r="H31" s="3">
        <v>1.0500000000000001E-2</v>
      </c>
      <c r="I31" s="3">
        <v>1.6000000000000001E-3</v>
      </c>
    </row>
    <row r="32" spans="1:9" x14ac:dyDescent="0.25">
      <c r="A32" s="26">
        <v>45654</v>
      </c>
      <c r="B32" t="s">
        <v>420</v>
      </c>
      <c r="C32" t="s">
        <v>415</v>
      </c>
      <c r="D32" s="1">
        <v>909774</v>
      </c>
      <c r="E32" s="1">
        <v>251008</v>
      </c>
      <c r="F32" s="3">
        <v>0.27589999999999998</v>
      </c>
      <c r="G32" s="1">
        <v>1359</v>
      </c>
      <c r="H32" s="3">
        <v>5.4000000000000003E-3</v>
      </c>
      <c r="I32" s="3">
        <v>1.5E-3</v>
      </c>
    </row>
    <row r="33" spans="1:9" x14ac:dyDescent="0.25">
      <c r="A33" s="26">
        <v>45654</v>
      </c>
      <c r="B33" t="s">
        <v>421</v>
      </c>
      <c r="C33" t="s">
        <v>417</v>
      </c>
      <c r="D33" s="1">
        <v>65644</v>
      </c>
      <c r="E33" s="1">
        <v>12519</v>
      </c>
      <c r="F33" s="3">
        <v>0.19070000000000001</v>
      </c>
      <c r="G33">
        <v>86</v>
      </c>
      <c r="H33" s="3">
        <v>6.8999999999999999E-3</v>
      </c>
      <c r="I33" s="3">
        <v>1.2999999999999999E-3</v>
      </c>
    </row>
    <row r="34" spans="1:9" x14ac:dyDescent="0.25">
      <c r="A34" s="26">
        <v>45654</v>
      </c>
      <c r="B34" t="s">
        <v>422</v>
      </c>
      <c r="C34" t="s">
        <v>415</v>
      </c>
      <c r="D34" s="1">
        <v>220497</v>
      </c>
      <c r="E34" s="1">
        <v>74689</v>
      </c>
      <c r="F34" s="2">
        <v>0.33873023215735398</v>
      </c>
      <c r="G34" s="1">
        <v>668</v>
      </c>
      <c r="H34" s="2">
        <v>8.9437534308934395E-3</v>
      </c>
      <c r="I34" s="2">
        <v>3.0295196760046599E-3</v>
      </c>
    </row>
    <row r="35" spans="1:9" x14ac:dyDescent="0.25">
      <c r="A35" s="26">
        <v>45654</v>
      </c>
      <c r="B35" t="s">
        <v>423</v>
      </c>
      <c r="C35" t="s">
        <v>412</v>
      </c>
      <c r="D35" s="1">
        <v>39703</v>
      </c>
      <c r="E35" s="1">
        <v>9705</v>
      </c>
      <c r="F35" s="2">
        <v>0.244439966753142</v>
      </c>
      <c r="G35" s="1">
        <v>102</v>
      </c>
      <c r="H35" s="2">
        <v>1.05100463678516E-2</v>
      </c>
      <c r="I35" s="2">
        <v>2.5690753847316299E-3</v>
      </c>
    </row>
    <row r="36" spans="1:9" ht="15.75" thickBot="1" x14ac:dyDescent="0.3">
      <c r="A36" s="27" t="s">
        <v>427</v>
      </c>
      <c r="D36" s="14">
        <f>SUM(D2:D35)</f>
        <v>19416335</v>
      </c>
      <c r="E36" s="14">
        <f>SUM(E2:E35)</f>
        <v>5734265</v>
      </c>
      <c r="F36" s="111">
        <f>AVERAGE(F2:F35)</f>
        <v>0.28448057773001739</v>
      </c>
      <c r="G36" s="14">
        <f>SUM(G2:G35)</f>
        <v>53219</v>
      </c>
      <c r="H36" s="111">
        <f>AVERAGE(H2:H35)</f>
        <v>1.7963737534173126E-2</v>
      </c>
      <c r="I36" s="111">
        <f>AVERAGE(I2:I35)</f>
        <v>5.4474296864490887E-3</v>
      </c>
    </row>
    <row r="37" spans="1:9" ht="15.75" thickBot="1" x14ac:dyDescent="0.3">
      <c r="A37" s="140"/>
      <c r="B37" s="140"/>
      <c r="C37" s="140"/>
      <c r="D37" s="140"/>
      <c r="E37" s="140"/>
      <c r="F37" s="140"/>
      <c r="G37" s="140"/>
      <c r="H37" s="140"/>
      <c r="I37" s="140"/>
    </row>
    <row r="38" spans="1:9" ht="20.45" customHeight="1" x14ac:dyDescent="0.25">
      <c r="A38" s="76" t="s">
        <v>0</v>
      </c>
      <c r="B38" s="77" t="s">
        <v>1</v>
      </c>
      <c r="C38" s="77" t="s">
        <v>796</v>
      </c>
      <c r="D38" s="77" t="s">
        <v>3</v>
      </c>
      <c r="E38" s="77" t="s">
        <v>4</v>
      </c>
      <c r="F38" s="77" t="s">
        <v>5</v>
      </c>
      <c r="G38" s="77" t="s">
        <v>6</v>
      </c>
      <c r="H38" s="77" t="s">
        <v>7</v>
      </c>
      <c r="I38" s="78" t="s">
        <v>8</v>
      </c>
    </row>
    <row r="39" spans="1:9" x14ac:dyDescent="0.25">
      <c r="A39" s="8" t="s">
        <v>790</v>
      </c>
      <c r="B39" s="9"/>
      <c r="C39" s="9"/>
      <c r="D39" s="9"/>
      <c r="E39" s="9"/>
      <c r="F39" s="9"/>
      <c r="G39" s="9"/>
      <c r="H39" s="9"/>
      <c r="I39" s="10"/>
    </row>
    <row r="40" spans="1:9" x14ac:dyDescent="0.25">
      <c r="A40" s="11">
        <v>45648</v>
      </c>
      <c r="B40" t="s">
        <v>394</v>
      </c>
      <c r="C40" t="s">
        <v>32</v>
      </c>
      <c r="D40" s="1">
        <v>3250360</v>
      </c>
      <c r="E40" s="1">
        <v>1117103</v>
      </c>
      <c r="F40" s="3">
        <v>0.35289999999999999</v>
      </c>
      <c r="G40" s="1">
        <v>15997</v>
      </c>
      <c r="H40" s="3">
        <v>2.35E-2</v>
      </c>
      <c r="I40" s="16">
        <v>8.5000000000000006E-3</v>
      </c>
    </row>
    <row r="41" spans="1:9" x14ac:dyDescent="0.25">
      <c r="A41" s="11">
        <v>45648</v>
      </c>
      <c r="B41" t="s">
        <v>394</v>
      </c>
      <c r="C41" t="s">
        <v>33</v>
      </c>
      <c r="D41" s="1">
        <v>204841</v>
      </c>
      <c r="E41" s="1">
        <v>54689</v>
      </c>
      <c r="F41" s="3">
        <v>0.2641</v>
      </c>
      <c r="G41" s="1">
        <v>1229</v>
      </c>
      <c r="H41" s="3">
        <v>4.2900000000000001E-2</v>
      </c>
      <c r="I41" s="16">
        <v>1.12E-2</v>
      </c>
    </row>
    <row r="42" spans="1:9" x14ac:dyDescent="0.25">
      <c r="A42" s="11">
        <v>45648</v>
      </c>
      <c r="B42" t="s">
        <v>395</v>
      </c>
      <c r="C42" t="s">
        <v>32</v>
      </c>
      <c r="D42" s="1">
        <v>288805</v>
      </c>
      <c r="E42" s="1">
        <v>103259</v>
      </c>
      <c r="F42" s="2">
        <v>0.35753882377382701</v>
      </c>
      <c r="G42" s="1">
        <v>1571</v>
      </c>
      <c r="H42" s="2">
        <v>1.52141701933972E-2</v>
      </c>
      <c r="I42" s="12">
        <v>5.4396565156420397E-3</v>
      </c>
    </row>
    <row r="43" spans="1:9" x14ac:dyDescent="0.25">
      <c r="A43" s="11">
        <v>45648</v>
      </c>
      <c r="B43" t="s">
        <v>395</v>
      </c>
      <c r="C43" t="s">
        <v>33</v>
      </c>
      <c r="D43" s="1">
        <v>16012</v>
      </c>
      <c r="E43" s="1">
        <v>4919</v>
      </c>
      <c r="F43" s="2">
        <v>0.30720709467899099</v>
      </c>
      <c r="G43" s="1">
        <v>155</v>
      </c>
      <c r="H43" s="2">
        <v>3.1510469607643803E-2</v>
      </c>
      <c r="I43" s="12">
        <v>9.6802398201348994E-3</v>
      </c>
    </row>
    <row r="44" spans="1:9" x14ac:dyDescent="0.25">
      <c r="A44" s="11">
        <v>45652</v>
      </c>
      <c r="B44" t="s">
        <v>405</v>
      </c>
      <c r="C44" t="s">
        <v>32</v>
      </c>
      <c r="D44" s="1">
        <v>994133</v>
      </c>
      <c r="E44" s="1">
        <v>273204</v>
      </c>
      <c r="F44" s="2">
        <v>0.27481634751084599</v>
      </c>
      <c r="G44" s="1">
        <v>3783</v>
      </c>
      <c r="H44" s="2">
        <v>1.384679580094E-2</v>
      </c>
      <c r="I44" s="12">
        <v>3.8053258467428399E-3</v>
      </c>
    </row>
    <row r="45" spans="1:9" x14ac:dyDescent="0.25">
      <c r="A45" s="11">
        <v>45652</v>
      </c>
      <c r="B45" t="s">
        <v>405</v>
      </c>
      <c r="C45" t="s">
        <v>33</v>
      </c>
      <c r="D45" s="1">
        <v>73434</v>
      </c>
      <c r="E45" s="1">
        <v>11305</v>
      </c>
      <c r="F45" s="2">
        <v>0.15394776261677201</v>
      </c>
      <c r="G45" s="1">
        <v>320</v>
      </c>
      <c r="H45" s="2">
        <v>2.83060592658116E-2</v>
      </c>
      <c r="I45" s="12">
        <v>4.3576544924694297E-3</v>
      </c>
    </row>
    <row r="46" spans="1:9" ht="15.75" thickBot="1" x14ac:dyDescent="0.3">
      <c r="A46" s="17" t="s">
        <v>427</v>
      </c>
      <c r="B46" s="4"/>
      <c r="C46" s="4"/>
      <c r="D46" s="18">
        <f>SUM(D40:D45)</f>
        <v>4827585</v>
      </c>
      <c r="E46" s="18">
        <f>SUM(E40:E45)</f>
        <v>1564479</v>
      </c>
      <c r="F46" s="19">
        <f>AVERAGE(F40:F45)</f>
        <v>0.28508500476340604</v>
      </c>
      <c r="G46" s="18">
        <f>SUM(G40:G45)</f>
        <v>23055</v>
      </c>
      <c r="H46" s="19">
        <f>AVERAGE(H40:H45)</f>
        <v>2.5879582477965433E-2</v>
      </c>
      <c r="I46" s="21">
        <f>AVERAGE(I40:I45)</f>
        <v>7.1638127791648692E-3</v>
      </c>
    </row>
    <row r="47" spans="1:9" ht="3" customHeight="1" thickBot="1" x14ac:dyDescent="0.3">
      <c r="A47" s="143"/>
      <c r="B47" s="140"/>
      <c r="C47" s="140"/>
      <c r="D47" s="140"/>
      <c r="E47" s="140"/>
      <c r="F47" s="140"/>
      <c r="G47" s="140"/>
      <c r="H47" s="140"/>
      <c r="I47" s="144"/>
    </row>
    <row r="48" spans="1:9" x14ac:dyDescent="0.25">
      <c r="A48" s="22" t="s">
        <v>795</v>
      </c>
      <c r="B48" s="23"/>
      <c r="C48" s="23"/>
      <c r="D48" s="23"/>
      <c r="E48" s="23"/>
      <c r="F48" s="23"/>
      <c r="G48" s="23"/>
      <c r="H48" s="23"/>
      <c r="I48" s="24"/>
    </row>
    <row r="49" spans="1:9" x14ac:dyDescent="0.25">
      <c r="A49" s="11">
        <v>45648</v>
      </c>
      <c r="B49" t="s">
        <v>396</v>
      </c>
      <c r="C49" t="s">
        <v>32</v>
      </c>
      <c r="D49" s="1">
        <v>34260</v>
      </c>
      <c r="E49" s="1">
        <v>15467</v>
      </c>
      <c r="F49" s="2">
        <v>0.45145942790426202</v>
      </c>
      <c r="G49" s="1">
        <v>290</v>
      </c>
      <c r="H49" s="2">
        <v>1.8749595913881201E-2</v>
      </c>
      <c r="I49" s="12">
        <v>8.4646818447168693E-3</v>
      </c>
    </row>
    <row r="50" spans="1:9" x14ac:dyDescent="0.25">
      <c r="A50" s="11">
        <v>45648</v>
      </c>
      <c r="B50" t="s">
        <v>396</v>
      </c>
      <c r="C50" t="s">
        <v>33</v>
      </c>
      <c r="D50" s="1">
        <v>3497</v>
      </c>
      <c r="E50" s="1">
        <v>1248</v>
      </c>
      <c r="F50" s="2">
        <v>0.356877323420074</v>
      </c>
      <c r="G50" s="1">
        <v>22</v>
      </c>
      <c r="H50" s="2">
        <v>1.76282051282051E-2</v>
      </c>
      <c r="I50" s="12">
        <v>6.2911066628538702E-3</v>
      </c>
    </row>
    <row r="51" spans="1:9" x14ac:dyDescent="0.25">
      <c r="A51" s="11">
        <v>45648</v>
      </c>
      <c r="B51" t="s">
        <v>397</v>
      </c>
      <c r="C51" t="s">
        <v>32</v>
      </c>
      <c r="D51" s="1">
        <v>725026</v>
      </c>
      <c r="E51" s="1">
        <v>252497</v>
      </c>
      <c r="F51" s="2">
        <v>0.348259234841233</v>
      </c>
      <c r="G51" s="1">
        <v>2167</v>
      </c>
      <c r="H51" s="2">
        <v>8.5822801855071507E-3</v>
      </c>
      <c r="I51" s="12">
        <v>2.9888583305978001E-3</v>
      </c>
    </row>
    <row r="52" spans="1:9" x14ac:dyDescent="0.25">
      <c r="A52" s="11">
        <v>45648</v>
      </c>
      <c r="B52" t="s">
        <v>397</v>
      </c>
      <c r="C52" t="s">
        <v>33</v>
      </c>
      <c r="D52" s="1">
        <v>56883</v>
      </c>
      <c r="E52" s="1">
        <v>16507</v>
      </c>
      <c r="F52" s="2">
        <v>0.290192148796653</v>
      </c>
      <c r="G52" s="1">
        <v>212</v>
      </c>
      <c r="H52" s="2">
        <v>1.2843036287635499E-2</v>
      </c>
      <c r="I52" s="12">
        <v>3.72694829738235E-3</v>
      </c>
    </row>
    <row r="53" spans="1:9" x14ac:dyDescent="0.25">
      <c r="A53" s="11">
        <v>45648</v>
      </c>
      <c r="B53" t="s">
        <v>380</v>
      </c>
      <c r="C53" t="s">
        <v>398</v>
      </c>
      <c r="D53" s="1">
        <v>3772169</v>
      </c>
      <c r="E53" s="1">
        <v>1305857</v>
      </c>
      <c r="F53" s="2">
        <v>0.34618199767825902</v>
      </c>
      <c r="G53" s="1">
        <v>8958</v>
      </c>
      <c r="H53" s="2">
        <v>6.8598629099510897E-3</v>
      </c>
      <c r="I53" s="12">
        <v>2.37476104596586E-3</v>
      </c>
    </row>
    <row r="54" spans="1:9" x14ac:dyDescent="0.25">
      <c r="A54" s="11">
        <v>45648</v>
      </c>
      <c r="B54" t="s">
        <v>380</v>
      </c>
      <c r="C54" t="s">
        <v>399</v>
      </c>
      <c r="D54" s="1">
        <v>258582</v>
      </c>
      <c r="E54" s="1">
        <v>80643</v>
      </c>
      <c r="F54" s="2">
        <v>0.31186625519177702</v>
      </c>
      <c r="G54" s="1">
        <v>1032</v>
      </c>
      <c r="H54" s="2">
        <v>1.27971429634314E-2</v>
      </c>
      <c r="I54" s="12">
        <v>3.9909970531591503E-3</v>
      </c>
    </row>
    <row r="55" spans="1:9" x14ac:dyDescent="0.25">
      <c r="A55" s="11">
        <v>45648</v>
      </c>
      <c r="B55" t="s">
        <v>380</v>
      </c>
      <c r="C55" t="s">
        <v>400</v>
      </c>
      <c r="D55" s="1">
        <v>77147</v>
      </c>
      <c r="E55" s="1">
        <v>33951</v>
      </c>
      <c r="F55" s="2">
        <v>0.44008192152643699</v>
      </c>
      <c r="G55" s="1">
        <v>610</v>
      </c>
      <c r="H55" s="2">
        <v>1.7967070189390599E-2</v>
      </c>
      <c r="I55" s="12">
        <v>7.9069827731473707E-3</v>
      </c>
    </row>
    <row r="56" spans="1:9" x14ac:dyDescent="0.25">
      <c r="A56" s="11">
        <v>45648</v>
      </c>
      <c r="B56" t="s">
        <v>380</v>
      </c>
      <c r="C56" t="s">
        <v>401</v>
      </c>
      <c r="D56" s="1">
        <v>3729</v>
      </c>
      <c r="E56" s="1">
        <v>1636</v>
      </c>
      <c r="F56" s="2">
        <v>0.43872351836953599</v>
      </c>
      <c r="G56" s="1">
        <v>45</v>
      </c>
      <c r="H56" s="2">
        <v>2.75061124694377E-2</v>
      </c>
      <c r="I56" s="12">
        <v>1.20675784392599E-2</v>
      </c>
    </row>
    <row r="57" spans="1:9" x14ac:dyDescent="0.25">
      <c r="A57" s="11">
        <v>45648</v>
      </c>
      <c r="B57" t="s">
        <v>402</v>
      </c>
      <c r="C57" t="s">
        <v>32</v>
      </c>
      <c r="D57" s="1">
        <v>7902</v>
      </c>
      <c r="E57" s="1">
        <v>3263</v>
      </c>
      <c r="F57" s="2">
        <v>0.41293343457352599</v>
      </c>
      <c r="G57" s="1">
        <v>82</v>
      </c>
      <c r="H57" s="2">
        <v>2.5130248237817999E-2</v>
      </c>
      <c r="I57" s="12">
        <v>1.0377119716527499E-2</v>
      </c>
    </row>
    <row r="58" spans="1:9" x14ac:dyDescent="0.25">
      <c r="A58" s="11">
        <v>45649</v>
      </c>
      <c r="B58" t="s">
        <v>403</v>
      </c>
      <c r="C58" t="s">
        <v>32</v>
      </c>
      <c r="D58" s="1">
        <v>150125</v>
      </c>
      <c r="E58" s="1">
        <v>51569</v>
      </c>
      <c r="F58" s="2">
        <v>0.34350707743546999</v>
      </c>
      <c r="G58" s="1">
        <v>1260</v>
      </c>
      <c r="H58" s="2">
        <v>2.4433283561829802E-2</v>
      </c>
      <c r="I58" s="12">
        <v>8.3930058284762705E-3</v>
      </c>
    </row>
    <row r="59" spans="1:9" x14ac:dyDescent="0.25">
      <c r="A59" s="11">
        <v>45650</v>
      </c>
      <c r="B59" t="s">
        <v>404</v>
      </c>
      <c r="C59" t="s">
        <v>32</v>
      </c>
      <c r="D59" s="1">
        <v>6256</v>
      </c>
      <c r="E59" s="1">
        <v>1907</v>
      </c>
      <c r="F59" s="2">
        <v>0.30482736572890001</v>
      </c>
      <c r="G59" s="1">
        <v>158</v>
      </c>
      <c r="H59" s="2">
        <v>8.2852648138437304E-2</v>
      </c>
      <c r="I59" s="12">
        <v>2.5255754475703301E-2</v>
      </c>
    </row>
    <row r="60" spans="1:9" x14ac:dyDescent="0.25">
      <c r="A60" s="11">
        <v>45652</v>
      </c>
      <c r="B60" t="s">
        <v>406</v>
      </c>
      <c r="C60" t="s">
        <v>407</v>
      </c>
      <c r="D60" s="1">
        <v>3826915</v>
      </c>
      <c r="E60" s="1">
        <v>959490</v>
      </c>
      <c r="F60" s="2">
        <v>0.25072153418615301</v>
      </c>
      <c r="G60" s="1">
        <v>6087</v>
      </c>
      <c r="H60" s="2">
        <v>6.3439952474752198E-3</v>
      </c>
      <c r="I60" s="12">
        <v>1.5905762213166499E-3</v>
      </c>
    </row>
    <row r="61" spans="1:9" x14ac:dyDescent="0.25">
      <c r="A61" s="11">
        <v>45652</v>
      </c>
      <c r="B61" t="s">
        <v>406</v>
      </c>
      <c r="C61" t="s">
        <v>408</v>
      </c>
      <c r="D61" s="1">
        <v>254703</v>
      </c>
      <c r="E61" s="1">
        <v>38109</v>
      </c>
      <c r="F61" s="2">
        <v>0.14962132365932099</v>
      </c>
      <c r="G61" s="1">
        <v>304</v>
      </c>
      <c r="H61" s="2">
        <v>7.9771182660264006E-3</v>
      </c>
      <c r="I61" s="12">
        <v>1.19354699394982E-3</v>
      </c>
    </row>
    <row r="62" spans="1:9" x14ac:dyDescent="0.25">
      <c r="A62" s="11">
        <v>45652</v>
      </c>
      <c r="B62" t="s">
        <v>406</v>
      </c>
      <c r="C62" t="s">
        <v>409</v>
      </c>
      <c r="D62" s="1">
        <v>62841</v>
      </c>
      <c r="E62" s="1">
        <v>19478</v>
      </c>
      <c r="F62" s="2">
        <v>0.30995687528842603</v>
      </c>
      <c r="G62" s="1">
        <v>260</v>
      </c>
      <c r="H62" s="2">
        <v>1.33483930588356E-2</v>
      </c>
      <c r="I62" s="12">
        <v>4.1374262026383996E-3</v>
      </c>
    </row>
    <row r="63" spans="1:9" x14ac:dyDescent="0.25">
      <c r="A63" s="11">
        <v>45652</v>
      </c>
      <c r="B63" t="s">
        <v>406</v>
      </c>
      <c r="C63" t="s">
        <v>410</v>
      </c>
      <c r="D63" s="1">
        <v>2968</v>
      </c>
      <c r="E63" s="1">
        <v>536</v>
      </c>
      <c r="F63" s="2">
        <v>0.180592991913747</v>
      </c>
      <c r="G63" s="1">
        <v>6</v>
      </c>
      <c r="H63" s="2">
        <v>1.1194029850746299E-2</v>
      </c>
      <c r="I63" s="12">
        <v>2.0215633423180598E-3</v>
      </c>
    </row>
    <row r="64" spans="1:9" x14ac:dyDescent="0.25">
      <c r="A64" s="11">
        <v>45653</v>
      </c>
      <c r="B64" t="s">
        <v>411</v>
      </c>
      <c r="C64" t="s">
        <v>412</v>
      </c>
      <c r="D64" s="1">
        <v>164514</v>
      </c>
      <c r="E64" s="1">
        <v>41434</v>
      </c>
      <c r="F64" s="2">
        <v>0.25185698481588198</v>
      </c>
      <c r="G64" s="1">
        <v>436</v>
      </c>
      <c r="H64" s="2">
        <v>1.0522759086740399E-2</v>
      </c>
      <c r="I64" s="12">
        <v>2.6502303755303498E-3</v>
      </c>
    </row>
    <row r="65" spans="1:9" x14ac:dyDescent="0.25">
      <c r="A65" s="11">
        <v>45653</v>
      </c>
      <c r="B65" t="s">
        <v>390</v>
      </c>
      <c r="C65" t="s">
        <v>412</v>
      </c>
      <c r="D65" s="1">
        <v>1996468</v>
      </c>
      <c r="E65" s="1">
        <v>535695</v>
      </c>
      <c r="F65" s="3">
        <v>0.31719999999999998</v>
      </c>
      <c r="G65">
        <v>2619</v>
      </c>
      <c r="H65" s="3">
        <v>5.5100000000000003E-2</v>
      </c>
      <c r="I65" s="16">
        <v>1.7899999999999999E-2</v>
      </c>
    </row>
    <row r="66" spans="1:9" x14ac:dyDescent="0.25">
      <c r="A66" s="11">
        <v>45653</v>
      </c>
      <c r="B66" t="s">
        <v>390</v>
      </c>
      <c r="C66" t="s">
        <v>413</v>
      </c>
      <c r="D66" s="1">
        <v>110171</v>
      </c>
      <c r="E66" s="1">
        <v>21185</v>
      </c>
      <c r="F66" s="3">
        <v>0.1923</v>
      </c>
      <c r="G66">
        <v>245</v>
      </c>
      <c r="H66" s="3">
        <v>1.1599999999999999E-2</v>
      </c>
      <c r="I66" s="16">
        <v>2.2000000000000001E-3</v>
      </c>
    </row>
    <row r="67" spans="1:9" x14ac:dyDescent="0.25">
      <c r="A67" s="11">
        <v>45654</v>
      </c>
      <c r="B67" t="s">
        <v>423</v>
      </c>
      <c r="C67" t="s">
        <v>412</v>
      </c>
      <c r="D67" s="1">
        <v>39703</v>
      </c>
      <c r="E67" s="1">
        <v>9705</v>
      </c>
      <c r="F67" s="2">
        <v>0.244439966753142</v>
      </c>
      <c r="G67" s="1">
        <v>102</v>
      </c>
      <c r="H67" s="2">
        <v>1.05100463678516E-2</v>
      </c>
      <c r="I67" s="12">
        <v>2.5690753847316299E-3</v>
      </c>
    </row>
    <row r="68" spans="1:9" ht="15.75" thickBot="1" x14ac:dyDescent="0.3">
      <c r="A68" s="17" t="s">
        <v>427</v>
      </c>
      <c r="B68" s="4"/>
      <c r="C68" s="4"/>
      <c r="D68" s="18">
        <f>SUM(D49:D67)</f>
        <v>11553859</v>
      </c>
      <c r="E68" s="18">
        <f>SUM(E49:E67)</f>
        <v>3390177</v>
      </c>
      <c r="F68" s="19">
        <f>AVERAGE(F49:F67)</f>
        <v>0.31271575695172626</v>
      </c>
      <c r="G68" s="18">
        <f>SUM(G49:G67)</f>
        <v>24895</v>
      </c>
      <c r="H68" s="19">
        <f>AVERAGE(H49:H67)</f>
        <v>2.010241199280002E-2</v>
      </c>
      <c r="I68" s="21">
        <f>AVERAGE(I49:I67)</f>
        <v>6.6368533151723776E-3</v>
      </c>
    </row>
    <row r="69" spans="1:9" ht="3" customHeight="1" thickBot="1" x14ac:dyDescent="0.3">
      <c r="A69" s="143"/>
      <c r="B69" s="140"/>
      <c r="C69" s="140"/>
      <c r="D69" s="140"/>
      <c r="E69" s="140"/>
      <c r="F69" s="140"/>
      <c r="G69" s="140"/>
      <c r="H69" s="140"/>
      <c r="I69" s="144"/>
    </row>
    <row r="70" spans="1:9" x14ac:dyDescent="0.25">
      <c r="A70" s="22" t="s">
        <v>792</v>
      </c>
      <c r="B70" s="23"/>
      <c r="C70" s="23"/>
      <c r="D70" s="23"/>
      <c r="E70" s="23"/>
      <c r="F70" s="23"/>
      <c r="G70" s="23"/>
      <c r="H70" s="23"/>
      <c r="I70" s="24"/>
    </row>
    <row r="71" spans="1:9" x14ac:dyDescent="0.25">
      <c r="A71" s="11">
        <v>45654</v>
      </c>
      <c r="B71" t="s">
        <v>414</v>
      </c>
      <c r="C71" t="s">
        <v>415</v>
      </c>
      <c r="D71" s="1">
        <v>705849</v>
      </c>
      <c r="E71" s="1">
        <v>172984</v>
      </c>
      <c r="F71" s="3">
        <v>0.24510000000000001</v>
      </c>
      <c r="G71" s="1">
        <v>1144</v>
      </c>
      <c r="H71" s="3">
        <v>6.6E-3</v>
      </c>
      <c r="I71" s="16">
        <v>1.6000000000000001E-3</v>
      </c>
    </row>
    <row r="72" spans="1:9" x14ac:dyDescent="0.25">
      <c r="A72" s="11">
        <v>45654</v>
      </c>
      <c r="B72" t="s">
        <v>416</v>
      </c>
      <c r="C72" t="s">
        <v>417</v>
      </c>
      <c r="D72" s="1">
        <v>53602</v>
      </c>
      <c r="E72" s="1">
        <v>8387</v>
      </c>
      <c r="F72" s="3">
        <v>0.1565</v>
      </c>
      <c r="G72">
        <v>62</v>
      </c>
      <c r="H72" s="3">
        <v>7.4000000000000003E-3</v>
      </c>
      <c r="I72" s="16">
        <v>1.1999999999999999E-3</v>
      </c>
    </row>
    <row r="73" spans="1:9" x14ac:dyDescent="0.25">
      <c r="A73" s="11">
        <v>45654</v>
      </c>
      <c r="B73" t="s">
        <v>418</v>
      </c>
      <c r="C73" t="s">
        <v>415</v>
      </c>
      <c r="D73" s="1">
        <v>378485</v>
      </c>
      <c r="E73" s="1">
        <v>98095</v>
      </c>
      <c r="F73" s="3">
        <v>0.25919999999999999</v>
      </c>
      <c r="G73">
        <v>830</v>
      </c>
      <c r="H73" s="3">
        <v>8.5000000000000006E-3</v>
      </c>
      <c r="I73" s="16">
        <v>2.2000000000000001E-3</v>
      </c>
    </row>
    <row r="74" spans="1:9" x14ac:dyDescent="0.25">
      <c r="A74" s="11">
        <v>45654</v>
      </c>
      <c r="B74" t="s">
        <v>419</v>
      </c>
      <c r="C74" t="s">
        <v>417</v>
      </c>
      <c r="D74" s="1">
        <v>25645</v>
      </c>
      <c r="E74" s="1">
        <v>4237</v>
      </c>
      <c r="F74" s="3">
        <v>0.16520000000000001</v>
      </c>
      <c r="G74">
        <v>54</v>
      </c>
      <c r="H74" s="3">
        <v>1.2699999999999999E-2</v>
      </c>
      <c r="I74" s="16">
        <v>2.0999999999999999E-3</v>
      </c>
    </row>
    <row r="75" spans="1:9" x14ac:dyDescent="0.25">
      <c r="A75" s="11">
        <v>45654</v>
      </c>
      <c r="B75" t="s">
        <v>391</v>
      </c>
      <c r="C75" t="s">
        <v>325</v>
      </c>
      <c r="D75" s="1">
        <v>634200</v>
      </c>
      <c r="E75" s="1">
        <v>151509</v>
      </c>
      <c r="F75" s="3">
        <v>0.2389</v>
      </c>
      <c r="G75" s="1">
        <v>1001</v>
      </c>
      <c r="H75" s="3">
        <v>6.6E-3</v>
      </c>
      <c r="I75" s="16">
        <v>1.6000000000000001E-3</v>
      </c>
    </row>
    <row r="76" spans="1:9" x14ac:dyDescent="0.25">
      <c r="A76" s="11">
        <v>45654</v>
      </c>
      <c r="B76" t="s">
        <v>392</v>
      </c>
      <c r="C76" t="s">
        <v>326</v>
      </c>
      <c r="D76" s="1">
        <v>41195</v>
      </c>
      <c r="E76" s="1">
        <v>6181</v>
      </c>
      <c r="F76" s="3">
        <v>0.15</v>
      </c>
      <c r="G76">
        <v>65</v>
      </c>
      <c r="H76" s="3">
        <v>1.0500000000000001E-2</v>
      </c>
      <c r="I76" s="16">
        <v>1.6000000000000001E-3</v>
      </c>
    </row>
    <row r="77" spans="1:9" x14ac:dyDescent="0.25">
      <c r="A77" s="11">
        <v>45654</v>
      </c>
      <c r="B77" t="s">
        <v>420</v>
      </c>
      <c r="C77" t="s">
        <v>415</v>
      </c>
      <c r="D77" s="1">
        <v>909774</v>
      </c>
      <c r="E77" s="1">
        <v>251008</v>
      </c>
      <c r="F77" s="3">
        <v>0.27589999999999998</v>
      </c>
      <c r="G77" s="1">
        <v>1359</v>
      </c>
      <c r="H77" s="3">
        <v>5.4000000000000003E-3</v>
      </c>
      <c r="I77" s="16">
        <v>1.5E-3</v>
      </c>
    </row>
    <row r="78" spans="1:9" x14ac:dyDescent="0.25">
      <c r="A78" s="11">
        <v>45654</v>
      </c>
      <c r="B78" t="s">
        <v>421</v>
      </c>
      <c r="C78" t="s">
        <v>417</v>
      </c>
      <c r="D78" s="1">
        <v>65644</v>
      </c>
      <c r="E78" s="1">
        <v>12519</v>
      </c>
      <c r="F78" s="3">
        <v>0.19070000000000001</v>
      </c>
      <c r="G78">
        <v>86</v>
      </c>
      <c r="H78" s="3">
        <v>6.8999999999999999E-3</v>
      </c>
      <c r="I78" s="16">
        <v>1.2999999999999999E-3</v>
      </c>
    </row>
    <row r="79" spans="1:9" x14ac:dyDescent="0.25">
      <c r="A79" s="11">
        <v>45654</v>
      </c>
      <c r="B79" t="s">
        <v>422</v>
      </c>
      <c r="C79" t="s">
        <v>415</v>
      </c>
      <c r="D79" s="1">
        <v>220497</v>
      </c>
      <c r="E79" s="1">
        <v>74689</v>
      </c>
      <c r="F79" s="2">
        <v>0.33873023215735398</v>
      </c>
      <c r="G79" s="1">
        <v>668</v>
      </c>
      <c r="H79" s="2">
        <v>8.9437534308934395E-3</v>
      </c>
      <c r="I79" s="12">
        <v>3.0295196760046599E-3</v>
      </c>
    </row>
    <row r="80" spans="1:9" ht="15.75" thickBot="1" x14ac:dyDescent="0.3">
      <c r="A80" s="17" t="s">
        <v>427</v>
      </c>
      <c r="B80" s="4"/>
      <c r="C80" s="4"/>
      <c r="D80" s="18">
        <f>SUM(D71:D79)</f>
        <v>3034891</v>
      </c>
      <c r="E80" s="18">
        <f>SUM(E71:E79)</f>
        <v>779609</v>
      </c>
      <c r="F80" s="19">
        <f>AVERAGE(F71:F79)</f>
        <v>0.2244700257952616</v>
      </c>
      <c r="G80" s="18">
        <f>SUM(G71:G79)</f>
        <v>5269</v>
      </c>
      <c r="H80" s="19">
        <f>AVERAGE(H71:H79)</f>
        <v>8.1715281589881603E-3</v>
      </c>
      <c r="I80" s="21">
        <f>AVERAGE(I71:I79)</f>
        <v>1.7921688528894067E-3</v>
      </c>
    </row>
  </sheetData>
  <mergeCells count="3">
    <mergeCell ref="A37:I37"/>
    <mergeCell ref="A47:I47"/>
    <mergeCell ref="A69:I69"/>
  </mergeCells>
  <pageMargins left="0.7" right="0.7" top="0.75" bottom="0.75" header="0.3" footer="0.3"/>
  <ignoredErrors>
    <ignoredError sqref="F36:G36 F46:G46 F68:G68 F80:G80" formula="1"/>
  </ignoredErrors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0228-D12A-4AF1-B02B-997CEC4A080E}">
  <dimension ref="A1:I58"/>
  <sheetViews>
    <sheetView workbookViewId="0">
      <selection activeCell="B28" sqref="B28"/>
    </sheetView>
  </sheetViews>
  <sheetFormatPr defaultRowHeight="15" x14ac:dyDescent="0.25"/>
  <cols>
    <col min="1" max="1" width="11.85546875" customWidth="1"/>
    <col min="2" max="2" width="78.5703125" customWidth="1"/>
    <col min="3" max="3" width="43.42578125" bestFit="1" customWidth="1"/>
    <col min="4" max="4" width="13" customWidth="1"/>
    <col min="5" max="5" width="14.5703125" customWidth="1"/>
    <col min="6" max="6" width="18.5703125" bestFit="1" customWidth="1"/>
    <col min="7" max="7" width="13.140625" customWidth="1"/>
    <col min="8" max="8" width="9.42578125" customWidth="1"/>
    <col min="9" max="9" width="8" customWidth="1"/>
  </cols>
  <sheetData>
    <row r="1" spans="1:9" ht="20.45" customHeight="1" x14ac:dyDescent="0.25">
      <c r="A1" s="72" t="s">
        <v>0</v>
      </c>
      <c r="B1" s="73" t="s">
        <v>1</v>
      </c>
      <c r="C1" s="73" t="s">
        <v>796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4" t="s">
        <v>8</v>
      </c>
    </row>
    <row r="2" spans="1:9" x14ac:dyDescent="0.25">
      <c r="A2" s="26">
        <v>45655</v>
      </c>
      <c r="B2" t="s">
        <v>424</v>
      </c>
      <c r="C2" t="s">
        <v>32</v>
      </c>
      <c r="D2" s="1">
        <v>4070697</v>
      </c>
      <c r="E2" s="1">
        <v>1128162</v>
      </c>
      <c r="F2" s="2">
        <v>0.27714221913347997</v>
      </c>
      <c r="G2" s="1">
        <v>25678</v>
      </c>
      <c r="H2" s="2">
        <v>2.2760915542271401E-2</v>
      </c>
      <c r="I2" s="2">
        <v>6.30801064289482E-3</v>
      </c>
    </row>
    <row r="3" spans="1:9" x14ac:dyDescent="0.25">
      <c r="A3" s="26">
        <v>45655</v>
      </c>
      <c r="B3" t="s">
        <v>424</v>
      </c>
      <c r="C3" t="s">
        <v>33</v>
      </c>
      <c r="D3" s="1">
        <v>237550</v>
      </c>
      <c r="E3" s="1">
        <v>36601</v>
      </c>
      <c r="F3" s="2">
        <v>0.15407703641338699</v>
      </c>
      <c r="G3" s="1">
        <v>1260</v>
      </c>
      <c r="H3" s="2">
        <v>3.4425288926532099E-2</v>
      </c>
      <c r="I3" s="2">
        <v>5.3041464954746396E-3</v>
      </c>
    </row>
    <row r="4" spans="1:9" x14ac:dyDescent="0.25">
      <c r="A4" s="26">
        <v>45655</v>
      </c>
      <c r="B4" t="s">
        <v>425</v>
      </c>
      <c r="C4" t="s">
        <v>32</v>
      </c>
      <c r="D4" s="1">
        <v>293018</v>
      </c>
      <c r="E4" s="1">
        <v>71794</v>
      </c>
      <c r="F4" s="2">
        <v>0.245015664566682</v>
      </c>
      <c r="G4" s="1">
        <v>1086</v>
      </c>
      <c r="H4" s="2">
        <v>1.51266122517202E-2</v>
      </c>
      <c r="I4" s="2">
        <v>3.7062569534977402E-3</v>
      </c>
    </row>
    <row r="5" spans="1:9" x14ac:dyDescent="0.25">
      <c r="A5" s="26">
        <v>45656</v>
      </c>
      <c r="B5" t="s">
        <v>404</v>
      </c>
      <c r="C5" t="s">
        <v>426</v>
      </c>
      <c r="D5" s="1">
        <v>6111</v>
      </c>
      <c r="E5" s="1">
        <v>1752</v>
      </c>
      <c r="F5" s="2">
        <v>0.28669612174766801</v>
      </c>
      <c r="G5" s="1">
        <v>93</v>
      </c>
      <c r="H5" s="2">
        <v>5.3082191780821901E-2</v>
      </c>
      <c r="I5" s="2">
        <v>1.52184585174276E-2</v>
      </c>
    </row>
    <row r="6" spans="1:9" x14ac:dyDescent="0.25">
      <c r="A6" s="26">
        <v>45292</v>
      </c>
      <c r="B6" t="s">
        <v>810</v>
      </c>
      <c r="C6" t="s">
        <v>32</v>
      </c>
      <c r="D6" s="1">
        <v>88514</v>
      </c>
      <c r="E6" s="1">
        <v>36552</v>
      </c>
      <c r="F6" s="2">
        <v>0.41295162347199299</v>
      </c>
      <c r="G6" s="1">
        <v>4703</v>
      </c>
      <c r="H6" s="2">
        <v>0.128666010067849</v>
      </c>
      <c r="I6" s="2">
        <v>5.31328377431819E-2</v>
      </c>
    </row>
    <row r="7" spans="1:9" x14ac:dyDescent="0.25">
      <c r="A7" s="26">
        <v>45292</v>
      </c>
      <c r="B7" t="s">
        <v>810</v>
      </c>
      <c r="C7" t="s">
        <v>33</v>
      </c>
      <c r="D7" s="1">
        <v>9858</v>
      </c>
      <c r="E7" s="1">
        <v>3731</v>
      </c>
      <c r="F7" s="2">
        <v>0.37847433556502302</v>
      </c>
      <c r="G7" s="1">
        <v>643</v>
      </c>
      <c r="H7" s="2">
        <v>0.17233985526668499</v>
      </c>
      <c r="I7" s="2">
        <v>6.5226212213430695E-2</v>
      </c>
    </row>
    <row r="8" spans="1:9" x14ac:dyDescent="0.25">
      <c r="A8" s="26">
        <v>45293</v>
      </c>
      <c r="B8" t="s">
        <v>811</v>
      </c>
      <c r="C8" t="s">
        <v>32</v>
      </c>
      <c r="D8" s="1">
        <v>1009160</v>
      </c>
      <c r="E8" s="1">
        <v>373012</v>
      </c>
      <c r="F8" s="2">
        <v>0.36962622379008298</v>
      </c>
      <c r="G8" s="1">
        <v>6289</v>
      </c>
      <c r="H8" s="2">
        <v>1.68600473979389E-2</v>
      </c>
      <c r="I8" s="2">
        <v>6.2319156526219801E-3</v>
      </c>
    </row>
    <row r="9" spans="1:9" x14ac:dyDescent="0.25">
      <c r="A9" s="26">
        <v>45293</v>
      </c>
      <c r="B9" t="s">
        <v>811</v>
      </c>
      <c r="C9" t="s">
        <v>33</v>
      </c>
      <c r="D9" s="1">
        <v>79165</v>
      </c>
      <c r="E9" s="1">
        <v>25552</v>
      </c>
      <c r="F9" s="2">
        <v>0.32276890039790301</v>
      </c>
      <c r="G9" s="1">
        <v>808</v>
      </c>
      <c r="H9" s="2">
        <v>3.1621790857858503E-2</v>
      </c>
      <c r="I9" s="2">
        <v>1.02065306638034E-2</v>
      </c>
    </row>
    <row r="10" spans="1:9" x14ac:dyDescent="0.25">
      <c r="A10" s="26">
        <v>45294</v>
      </c>
      <c r="B10" t="s">
        <v>812</v>
      </c>
      <c r="C10" t="s">
        <v>32</v>
      </c>
      <c r="D10" s="1">
        <v>311954</v>
      </c>
      <c r="E10" s="1">
        <v>111066</v>
      </c>
      <c r="F10" s="2">
        <v>0.35603326131416801</v>
      </c>
      <c r="G10" s="1">
        <v>1000</v>
      </c>
      <c r="H10" s="2">
        <v>9.0036554841265593E-3</v>
      </c>
      <c r="I10" s="2">
        <v>3.2056008257627701E-3</v>
      </c>
    </row>
    <row r="11" spans="1:9" x14ac:dyDescent="0.25">
      <c r="A11" s="26">
        <v>45294</v>
      </c>
      <c r="B11" t="s">
        <v>812</v>
      </c>
      <c r="C11" t="s">
        <v>33</v>
      </c>
      <c r="D11" s="1">
        <v>16728</v>
      </c>
      <c r="E11" s="1">
        <v>5267</v>
      </c>
      <c r="F11" s="2">
        <v>0.31486131037781001</v>
      </c>
      <c r="G11" s="1">
        <v>78</v>
      </c>
      <c r="H11" s="2">
        <v>1.4809189291817E-2</v>
      </c>
      <c r="I11" s="2">
        <v>4.6628407460545199E-3</v>
      </c>
    </row>
    <row r="12" spans="1:9" x14ac:dyDescent="0.25">
      <c r="A12" s="26">
        <v>45295</v>
      </c>
      <c r="B12" t="s">
        <v>414</v>
      </c>
      <c r="C12" t="s">
        <v>813</v>
      </c>
      <c r="D12" s="1">
        <v>625792</v>
      </c>
      <c r="E12" s="1">
        <v>196666</v>
      </c>
      <c r="F12" s="3">
        <v>0.31430000000000002</v>
      </c>
      <c r="G12" s="1">
        <v>1423</v>
      </c>
      <c r="H12" s="3">
        <v>7.1999999999999998E-3</v>
      </c>
      <c r="I12" s="3">
        <v>2.3E-3</v>
      </c>
    </row>
    <row r="13" spans="1:9" x14ac:dyDescent="0.25">
      <c r="A13" s="26">
        <v>45295</v>
      </c>
      <c r="B13" t="s">
        <v>416</v>
      </c>
      <c r="C13" t="s">
        <v>326</v>
      </c>
      <c r="D13" s="1">
        <v>50557</v>
      </c>
      <c r="E13" s="1">
        <v>13149</v>
      </c>
      <c r="F13" s="3">
        <v>0.2601</v>
      </c>
      <c r="G13">
        <v>145</v>
      </c>
      <c r="H13" s="3">
        <v>1.0999999999999999E-2</v>
      </c>
      <c r="I13" s="3">
        <v>2.8999999999999998E-3</v>
      </c>
    </row>
    <row r="14" spans="1:9" x14ac:dyDescent="0.25">
      <c r="A14" s="26">
        <v>45295</v>
      </c>
      <c r="B14" t="s">
        <v>814</v>
      </c>
      <c r="C14" t="s">
        <v>415</v>
      </c>
      <c r="D14" s="1">
        <v>199925</v>
      </c>
      <c r="E14" s="1">
        <v>83797</v>
      </c>
      <c r="F14" s="3">
        <v>0.41909999999999997</v>
      </c>
      <c r="G14" s="1">
        <v>1275</v>
      </c>
      <c r="H14" s="3">
        <v>1.52E-2</v>
      </c>
      <c r="I14" s="3">
        <v>6.4000000000000003E-3</v>
      </c>
    </row>
    <row r="15" spans="1:9" x14ac:dyDescent="0.25">
      <c r="A15" s="26">
        <v>45295</v>
      </c>
      <c r="B15" t="s">
        <v>815</v>
      </c>
      <c r="C15" t="s">
        <v>417</v>
      </c>
      <c r="D15" s="1">
        <v>15255</v>
      </c>
      <c r="E15" s="1">
        <v>5936</v>
      </c>
      <c r="F15" s="3">
        <v>0.3891</v>
      </c>
      <c r="G15">
        <v>92</v>
      </c>
      <c r="H15" s="3">
        <v>1.55E-2</v>
      </c>
      <c r="I15" s="3">
        <v>6.0000000000000001E-3</v>
      </c>
    </row>
    <row r="16" spans="1:9" x14ac:dyDescent="0.25">
      <c r="A16" s="26">
        <v>45295</v>
      </c>
      <c r="B16" t="s">
        <v>418</v>
      </c>
      <c r="C16" t="s">
        <v>325</v>
      </c>
      <c r="D16" s="1">
        <v>302289</v>
      </c>
      <c r="E16" s="1">
        <v>103737</v>
      </c>
      <c r="F16" s="3">
        <v>0.34320000000000001</v>
      </c>
      <c r="G16">
        <v>727</v>
      </c>
      <c r="H16" s="3">
        <v>7.0000000000000001E-3</v>
      </c>
      <c r="I16" s="3">
        <v>2.3999999999999998E-3</v>
      </c>
    </row>
    <row r="17" spans="1:9" x14ac:dyDescent="0.25">
      <c r="A17" s="26">
        <v>45295</v>
      </c>
      <c r="B17" t="s">
        <v>419</v>
      </c>
      <c r="C17" t="s">
        <v>326</v>
      </c>
      <c r="D17" s="1">
        <v>21059</v>
      </c>
      <c r="E17" s="1">
        <v>6341</v>
      </c>
      <c r="F17" s="3">
        <v>0.30109999999999998</v>
      </c>
      <c r="G17">
        <v>95</v>
      </c>
      <c r="H17" s="3">
        <v>1.4999999999999999E-2</v>
      </c>
      <c r="I17" s="3">
        <v>4.4999999999999997E-3</v>
      </c>
    </row>
    <row r="18" spans="1:9" x14ac:dyDescent="0.25">
      <c r="A18" s="26">
        <v>45295</v>
      </c>
      <c r="B18" t="s">
        <v>816</v>
      </c>
      <c r="C18" t="s">
        <v>415</v>
      </c>
      <c r="D18" s="1">
        <v>53876</v>
      </c>
      <c r="E18" s="1">
        <v>20331</v>
      </c>
      <c r="F18" s="3">
        <v>0.37740000000000001</v>
      </c>
      <c r="G18">
        <v>258</v>
      </c>
      <c r="H18" s="3">
        <v>1.2699999999999999E-2</v>
      </c>
      <c r="I18" s="3">
        <v>4.7999999999999996E-3</v>
      </c>
    </row>
    <row r="19" spans="1:9" x14ac:dyDescent="0.25">
      <c r="A19" s="26">
        <v>45295</v>
      </c>
      <c r="B19" t="s">
        <v>816</v>
      </c>
      <c r="C19" t="s">
        <v>417</v>
      </c>
      <c r="D19" s="1">
        <v>4059</v>
      </c>
      <c r="E19" s="1">
        <v>1544</v>
      </c>
      <c r="F19" s="3">
        <v>0.38040000000000002</v>
      </c>
      <c r="G19">
        <v>18</v>
      </c>
      <c r="H19" s="3">
        <v>1.17E-2</v>
      </c>
      <c r="I19" s="3">
        <v>4.4000000000000003E-3</v>
      </c>
    </row>
    <row r="20" spans="1:9" x14ac:dyDescent="0.25">
      <c r="A20" s="26">
        <v>45295</v>
      </c>
      <c r="B20" t="s">
        <v>391</v>
      </c>
      <c r="C20" t="s">
        <v>332</v>
      </c>
      <c r="D20" s="1">
        <v>627469</v>
      </c>
      <c r="E20" s="1">
        <v>184040</v>
      </c>
      <c r="F20" s="3">
        <v>0.29330000000000001</v>
      </c>
      <c r="G20" s="1">
        <v>1337</v>
      </c>
      <c r="H20" s="3">
        <v>7.3000000000000001E-3</v>
      </c>
      <c r="I20" s="3">
        <v>2.0999999999999999E-3</v>
      </c>
    </row>
    <row r="21" spans="1:9" x14ac:dyDescent="0.25">
      <c r="A21" s="26">
        <v>45295</v>
      </c>
      <c r="B21" t="s">
        <v>391</v>
      </c>
      <c r="C21" t="s">
        <v>333</v>
      </c>
      <c r="D21" s="1">
        <v>41781</v>
      </c>
      <c r="E21" s="1">
        <v>9914</v>
      </c>
      <c r="F21" s="3">
        <v>0.23730000000000001</v>
      </c>
      <c r="G21">
        <v>108</v>
      </c>
      <c r="H21" s="3">
        <v>1.09E-2</v>
      </c>
      <c r="I21" s="3">
        <v>2.5999999999999999E-3</v>
      </c>
    </row>
    <row r="22" spans="1:9" x14ac:dyDescent="0.25">
      <c r="A22" s="26">
        <v>45295</v>
      </c>
      <c r="B22" t="s">
        <v>420</v>
      </c>
      <c r="C22" t="s">
        <v>325</v>
      </c>
      <c r="D22" s="1">
        <v>799352</v>
      </c>
      <c r="E22" s="1">
        <v>302561</v>
      </c>
      <c r="F22" s="3">
        <v>0.3785</v>
      </c>
      <c r="G22" s="1">
        <v>2212</v>
      </c>
      <c r="H22" s="3">
        <v>7.3000000000000001E-3</v>
      </c>
      <c r="I22" s="3">
        <v>2.8E-3</v>
      </c>
    </row>
    <row r="23" spans="1:9" x14ac:dyDescent="0.25">
      <c r="A23" s="26">
        <v>45295</v>
      </c>
      <c r="B23" t="s">
        <v>420</v>
      </c>
      <c r="C23" t="s">
        <v>326</v>
      </c>
      <c r="D23" s="1">
        <v>59737</v>
      </c>
      <c r="E23" s="1">
        <v>20579</v>
      </c>
      <c r="F23" s="3">
        <v>0.34449999999999997</v>
      </c>
      <c r="G23">
        <v>257</v>
      </c>
      <c r="H23" s="3">
        <v>1.2500000000000001E-2</v>
      </c>
      <c r="I23" s="3">
        <v>4.3E-3</v>
      </c>
    </row>
    <row r="24" spans="1:9" x14ac:dyDescent="0.25">
      <c r="A24" s="26">
        <v>45295</v>
      </c>
      <c r="B24" t="s">
        <v>422</v>
      </c>
      <c r="C24" t="s">
        <v>325</v>
      </c>
      <c r="D24" s="1">
        <v>325095</v>
      </c>
      <c r="E24" s="1">
        <v>120015</v>
      </c>
      <c r="F24" s="3">
        <v>0.36919999999999997</v>
      </c>
      <c r="G24">
        <v>778</v>
      </c>
      <c r="H24" s="3">
        <v>6.4999999999999997E-3</v>
      </c>
      <c r="I24" s="3">
        <v>2.3999999999999998E-3</v>
      </c>
    </row>
    <row r="25" spans="1:9" ht="15.75" thickBot="1" x14ac:dyDescent="0.3">
      <c r="A25" s="27" t="s">
        <v>427</v>
      </c>
      <c r="D25" s="14">
        <f>SUM(D2:D24)</f>
        <v>9249001</v>
      </c>
      <c r="E25" s="14">
        <f>SUM(E2:E24)</f>
        <v>2862099</v>
      </c>
      <c r="F25" s="111">
        <f>AVERAGE(F2:F24)</f>
        <v>0.32718029116426944</v>
      </c>
      <c r="G25" s="14">
        <f>SUM(G2:G24)</f>
        <v>50363</v>
      </c>
      <c r="H25" s="111">
        <f>AVERAGE(H2:H24)</f>
        <v>2.7760676385548716E-2</v>
      </c>
      <c r="I25" s="111">
        <f>AVERAGE(I2:I24)</f>
        <v>9.6131656719195685E-3</v>
      </c>
    </row>
    <row r="26" spans="1:9" ht="15.75" thickBot="1" x14ac:dyDescent="0.3">
      <c r="A26" s="140"/>
      <c r="B26" s="140"/>
      <c r="C26" s="140"/>
      <c r="D26" s="140"/>
      <c r="E26" s="140"/>
      <c r="F26" s="140"/>
      <c r="G26" s="140"/>
      <c r="H26" s="140"/>
      <c r="I26" s="140"/>
    </row>
    <row r="27" spans="1:9" ht="20.45" customHeight="1" x14ac:dyDescent="0.25">
      <c r="A27" s="76" t="s">
        <v>0</v>
      </c>
      <c r="B27" s="77" t="s">
        <v>1</v>
      </c>
      <c r="C27" s="77" t="s">
        <v>796</v>
      </c>
      <c r="D27" s="77" t="s">
        <v>3</v>
      </c>
      <c r="E27" s="77" t="s">
        <v>4</v>
      </c>
      <c r="F27" s="77" t="s">
        <v>5</v>
      </c>
      <c r="G27" s="77" t="s">
        <v>6</v>
      </c>
      <c r="H27" s="77" t="s">
        <v>7</v>
      </c>
      <c r="I27" s="78" t="s">
        <v>8</v>
      </c>
    </row>
    <row r="28" spans="1:9" x14ac:dyDescent="0.25">
      <c r="A28" s="8" t="s">
        <v>790</v>
      </c>
      <c r="B28" s="9"/>
      <c r="C28" s="9"/>
      <c r="D28" s="9"/>
      <c r="E28" s="9"/>
      <c r="F28" s="9"/>
      <c r="G28" s="9"/>
      <c r="H28" s="9"/>
      <c r="I28" s="10"/>
    </row>
    <row r="29" spans="1:9" x14ac:dyDescent="0.25">
      <c r="A29" s="11">
        <v>45655</v>
      </c>
      <c r="B29" t="s">
        <v>424</v>
      </c>
      <c r="C29" t="s">
        <v>32</v>
      </c>
      <c r="D29" s="1">
        <v>4070697</v>
      </c>
      <c r="E29" s="1">
        <v>1128162</v>
      </c>
      <c r="F29" s="2">
        <v>0.27714221913347997</v>
      </c>
      <c r="G29" s="1">
        <v>25678</v>
      </c>
      <c r="H29" s="2">
        <v>2.2760915542271401E-2</v>
      </c>
      <c r="I29" s="12">
        <v>6.30801064289482E-3</v>
      </c>
    </row>
    <row r="30" spans="1:9" x14ac:dyDescent="0.25">
      <c r="A30" s="11">
        <v>45655</v>
      </c>
      <c r="B30" t="s">
        <v>424</v>
      </c>
      <c r="C30" t="s">
        <v>33</v>
      </c>
      <c r="D30" s="1">
        <v>237550</v>
      </c>
      <c r="E30" s="1">
        <v>36601</v>
      </c>
      <c r="F30" s="2">
        <v>0.15407703641338699</v>
      </c>
      <c r="G30" s="1">
        <v>1260</v>
      </c>
      <c r="H30" s="2">
        <v>3.4425288926532099E-2</v>
      </c>
      <c r="I30" s="12">
        <v>5.3041464954746396E-3</v>
      </c>
    </row>
    <row r="31" spans="1:9" x14ac:dyDescent="0.25">
      <c r="A31" s="11">
        <v>45655</v>
      </c>
      <c r="B31" t="s">
        <v>425</v>
      </c>
      <c r="C31" t="s">
        <v>32</v>
      </c>
      <c r="D31" s="1">
        <v>293018</v>
      </c>
      <c r="E31" s="1">
        <v>71794</v>
      </c>
      <c r="F31" s="2">
        <v>0.245015664566682</v>
      </c>
      <c r="G31" s="1">
        <v>1086</v>
      </c>
      <c r="H31" s="2">
        <v>1.51266122517202E-2</v>
      </c>
      <c r="I31" s="12">
        <v>3.7062569534977402E-3</v>
      </c>
    </row>
    <row r="32" spans="1:9" x14ac:dyDescent="0.25">
      <c r="A32" s="11">
        <v>45293</v>
      </c>
      <c r="B32" t="s">
        <v>811</v>
      </c>
      <c r="C32" t="s">
        <v>32</v>
      </c>
      <c r="D32" s="1">
        <v>1009160</v>
      </c>
      <c r="E32" s="1">
        <v>373012</v>
      </c>
      <c r="F32" s="2">
        <v>0.36962622379008298</v>
      </c>
      <c r="G32" s="1">
        <v>6289</v>
      </c>
      <c r="H32" s="2">
        <v>1.68600473979389E-2</v>
      </c>
      <c r="I32" s="12">
        <v>6.2319156526219801E-3</v>
      </c>
    </row>
    <row r="33" spans="1:9" x14ac:dyDescent="0.25">
      <c r="A33" s="11">
        <v>45293</v>
      </c>
      <c r="B33" t="s">
        <v>811</v>
      </c>
      <c r="C33" t="s">
        <v>33</v>
      </c>
      <c r="D33" s="1">
        <v>79165</v>
      </c>
      <c r="E33" s="1">
        <v>25552</v>
      </c>
      <c r="F33" s="2">
        <v>0.32276890039790301</v>
      </c>
      <c r="G33" s="1">
        <v>808</v>
      </c>
      <c r="H33" s="2">
        <v>3.1621790857858503E-2</v>
      </c>
      <c r="I33" s="12">
        <v>1.02065306638034E-2</v>
      </c>
    </row>
    <row r="34" spans="1:9" ht="15.75" thickBot="1" x14ac:dyDescent="0.3">
      <c r="A34" s="17" t="s">
        <v>427</v>
      </c>
      <c r="B34" s="4"/>
      <c r="C34" s="4"/>
      <c r="D34" s="18">
        <f>SUM(D29:D33)</f>
        <v>5689590</v>
      </c>
      <c r="E34" s="18">
        <f>SUM(E29:E33)</f>
        <v>1635121</v>
      </c>
      <c r="F34" s="19">
        <f>AVERAGE(F29:F33)</f>
        <v>0.27372600886030696</v>
      </c>
      <c r="G34" s="18">
        <f>SUM(G29:G33)</f>
        <v>35121</v>
      </c>
      <c r="H34" s="19">
        <f>AVERAGE(H29:H33)</f>
        <v>2.415893099526422E-2</v>
      </c>
      <c r="I34" s="21">
        <f>AVERAGE(I29:I33)</f>
        <v>6.351372081658516E-3</v>
      </c>
    </row>
    <row r="35" spans="1:9" ht="3" customHeight="1" thickBot="1" x14ac:dyDescent="0.3">
      <c r="A35" s="143"/>
      <c r="B35" s="140"/>
      <c r="C35" s="140"/>
      <c r="D35" s="140"/>
      <c r="E35" s="140"/>
      <c r="F35" s="140"/>
      <c r="G35" s="140"/>
      <c r="H35" s="140"/>
      <c r="I35" s="144"/>
    </row>
    <row r="36" spans="1:9" x14ac:dyDescent="0.25">
      <c r="A36" s="22" t="s">
        <v>795</v>
      </c>
      <c r="B36" s="23"/>
      <c r="C36" s="23"/>
      <c r="D36" s="23"/>
      <c r="E36" s="23"/>
      <c r="F36" s="23"/>
      <c r="G36" s="23"/>
      <c r="H36" s="23"/>
      <c r="I36" s="24"/>
    </row>
    <row r="37" spans="1:9" x14ac:dyDescent="0.25">
      <c r="A37" s="11">
        <v>45656</v>
      </c>
      <c r="B37" t="s">
        <v>404</v>
      </c>
      <c r="C37" t="s">
        <v>426</v>
      </c>
      <c r="D37" s="1">
        <v>6111</v>
      </c>
      <c r="E37" s="1">
        <v>1752</v>
      </c>
      <c r="F37" s="2">
        <v>0.28669612174766801</v>
      </c>
      <c r="G37" s="1">
        <v>93</v>
      </c>
      <c r="H37" s="2">
        <v>5.3082191780821901E-2</v>
      </c>
      <c r="I37" s="12">
        <v>1.52184585174276E-2</v>
      </c>
    </row>
    <row r="38" spans="1:9" x14ac:dyDescent="0.25">
      <c r="A38" s="11">
        <v>45292</v>
      </c>
      <c r="B38" t="s">
        <v>810</v>
      </c>
      <c r="C38" t="s">
        <v>32</v>
      </c>
      <c r="D38" s="1">
        <v>88514</v>
      </c>
      <c r="E38" s="1">
        <v>36552</v>
      </c>
      <c r="F38" s="2">
        <v>0.41295162347199299</v>
      </c>
      <c r="G38" s="1">
        <v>4703</v>
      </c>
      <c r="H38" s="2">
        <v>0.128666010067849</v>
      </c>
      <c r="I38" s="12">
        <v>5.31328377431819E-2</v>
      </c>
    </row>
    <row r="39" spans="1:9" x14ac:dyDescent="0.25">
      <c r="A39" s="11">
        <v>45292</v>
      </c>
      <c r="B39" t="s">
        <v>810</v>
      </c>
      <c r="C39" t="s">
        <v>33</v>
      </c>
      <c r="D39" s="1">
        <v>9858</v>
      </c>
      <c r="E39" s="1">
        <v>3731</v>
      </c>
      <c r="F39" s="2">
        <v>0.37847433556502302</v>
      </c>
      <c r="G39" s="1">
        <v>643</v>
      </c>
      <c r="H39" s="2">
        <v>0.17233985526668499</v>
      </c>
      <c r="I39" s="12">
        <v>6.5226212213430695E-2</v>
      </c>
    </row>
    <row r="40" spans="1:9" x14ac:dyDescent="0.25">
      <c r="A40" s="11">
        <v>45294</v>
      </c>
      <c r="B40" t="s">
        <v>812</v>
      </c>
      <c r="C40" t="s">
        <v>32</v>
      </c>
      <c r="D40" s="1">
        <v>311954</v>
      </c>
      <c r="E40" s="1">
        <v>111066</v>
      </c>
      <c r="F40" s="2">
        <v>0.35603326131416801</v>
      </c>
      <c r="G40" s="1">
        <v>1000</v>
      </c>
      <c r="H40" s="2">
        <v>9.0036554841265593E-3</v>
      </c>
      <c r="I40" s="12">
        <v>3.2056008257627701E-3</v>
      </c>
    </row>
    <row r="41" spans="1:9" x14ac:dyDescent="0.25">
      <c r="A41" s="11">
        <v>45294</v>
      </c>
      <c r="B41" t="s">
        <v>812</v>
      </c>
      <c r="C41" t="s">
        <v>33</v>
      </c>
      <c r="D41" s="1">
        <v>16728</v>
      </c>
      <c r="E41" s="1">
        <v>5267</v>
      </c>
      <c r="F41" s="2">
        <v>0.31486131037781001</v>
      </c>
      <c r="G41" s="1">
        <v>78</v>
      </c>
      <c r="H41" s="2">
        <v>1.4809189291817E-2</v>
      </c>
      <c r="I41" s="12">
        <v>4.6628407460545199E-3</v>
      </c>
    </row>
    <row r="42" spans="1:9" ht="15.75" thickBot="1" x14ac:dyDescent="0.3">
      <c r="A42" s="17" t="s">
        <v>427</v>
      </c>
      <c r="B42" s="4"/>
      <c r="C42" s="4"/>
      <c r="D42" s="18">
        <f>SUM(D37:D41)</f>
        <v>433165</v>
      </c>
      <c r="E42" s="18">
        <f>SUM(E37:E41)</f>
        <v>158368</v>
      </c>
      <c r="F42" s="19">
        <f>AVERAGE(F37:F41)</f>
        <v>0.34980333049533241</v>
      </c>
      <c r="G42" s="18">
        <f>SUM(G37:G41)</f>
        <v>6517</v>
      </c>
      <c r="H42" s="19">
        <f>AVERAGE(H37:H41)</f>
        <v>7.5580180378259892E-2</v>
      </c>
      <c r="I42" s="21">
        <f>AVERAGE(I37:I41)</f>
        <v>2.8289190009171499E-2</v>
      </c>
    </row>
    <row r="43" spans="1:9" ht="3" customHeight="1" thickBot="1" x14ac:dyDescent="0.3">
      <c r="A43" s="143"/>
      <c r="B43" s="140"/>
      <c r="C43" s="140"/>
      <c r="D43" s="140"/>
      <c r="E43" s="140"/>
      <c r="F43" s="140"/>
      <c r="G43" s="140"/>
      <c r="H43" s="140"/>
      <c r="I43" s="144"/>
    </row>
    <row r="44" spans="1:9" x14ac:dyDescent="0.25">
      <c r="A44" s="22" t="s">
        <v>792</v>
      </c>
      <c r="B44" s="23"/>
      <c r="C44" s="23"/>
      <c r="D44" s="23"/>
      <c r="E44" s="23"/>
      <c r="F44" s="23"/>
      <c r="G44" s="23"/>
      <c r="H44" s="23"/>
      <c r="I44" s="24"/>
    </row>
    <row r="45" spans="1:9" x14ac:dyDescent="0.25">
      <c r="A45" s="11">
        <v>45295</v>
      </c>
      <c r="B45" t="s">
        <v>414</v>
      </c>
      <c r="C45" t="s">
        <v>813</v>
      </c>
      <c r="D45" s="1">
        <v>625792</v>
      </c>
      <c r="E45" s="1">
        <v>196666</v>
      </c>
      <c r="F45" s="3">
        <v>0.31430000000000002</v>
      </c>
      <c r="G45" s="1">
        <v>1423</v>
      </c>
      <c r="H45" s="3">
        <v>7.1999999999999998E-3</v>
      </c>
      <c r="I45" s="16">
        <v>2.3E-3</v>
      </c>
    </row>
    <row r="46" spans="1:9" x14ac:dyDescent="0.25">
      <c r="A46" s="11">
        <v>45295</v>
      </c>
      <c r="B46" t="s">
        <v>416</v>
      </c>
      <c r="C46" t="s">
        <v>326</v>
      </c>
      <c r="D46" s="1">
        <v>50557</v>
      </c>
      <c r="E46" s="1">
        <v>13149</v>
      </c>
      <c r="F46" s="3">
        <v>0.2601</v>
      </c>
      <c r="G46">
        <v>145</v>
      </c>
      <c r="H46" s="3">
        <v>1.0999999999999999E-2</v>
      </c>
      <c r="I46" s="16">
        <v>2.8999999999999998E-3</v>
      </c>
    </row>
    <row r="47" spans="1:9" x14ac:dyDescent="0.25">
      <c r="A47" s="11">
        <v>45295</v>
      </c>
      <c r="B47" t="s">
        <v>814</v>
      </c>
      <c r="C47" t="s">
        <v>415</v>
      </c>
      <c r="D47" s="1">
        <v>199925</v>
      </c>
      <c r="E47" s="1">
        <v>83797</v>
      </c>
      <c r="F47" s="3">
        <v>0.41909999999999997</v>
      </c>
      <c r="G47" s="1">
        <v>1275</v>
      </c>
      <c r="H47" s="3">
        <v>1.52E-2</v>
      </c>
      <c r="I47" s="16">
        <v>6.4000000000000003E-3</v>
      </c>
    </row>
    <row r="48" spans="1:9" x14ac:dyDescent="0.25">
      <c r="A48" s="11">
        <v>45295</v>
      </c>
      <c r="B48" t="s">
        <v>815</v>
      </c>
      <c r="C48" t="s">
        <v>417</v>
      </c>
      <c r="D48" s="1">
        <v>15255</v>
      </c>
      <c r="E48" s="1">
        <v>5936</v>
      </c>
      <c r="F48" s="3">
        <v>0.3891</v>
      </c>
      <c r="G48">
        <v>92</v>
      </c>
      <c r="H48" s="3">
        <v>1.55E-2</v>
      </c>
      <c r="I48" s="16">
        <v>6.0000000000000001E-3</v>
      </c>
    </row>
    <row r="49" spans="1:9" x14ac:dyDescent="0.25">
      <c r="A49" s="11">
        <v>45295</v>
      </c>
      <c r="B49" t="s">
        <v>418</v>
      </c>
      <c r="C49" t="s">
        <v>325</v>
      </c>
      <c r="D49" s="1">
        <v>302289</v>
      </c>
      <c r="E49" s="1">
        <v>103737</v>
      </c>
      <c r="F49" s="3">
        <v>0.34320000000000001</v>
      </c>
      <c r="G49">
        <v>727</v>
      </c>
      <c r="H49" s="3">
        <v>7.0000000000000001E-3</v>
      </c>
      <c r="I49" s="16">
        <v>2.3999999999999998E-3</v>
      </c>
    </row>
    <row r="50" spans="1:9" x14ac:dyDescent="0.25">
      <c r="A50" s="11">
        <v>45295</v>
      </c>
      <c r="B50" t="s">
        <v>419</v>
      </c>
      <c r="C50" t="s">
        <v>326</v>
      </c>
      <c r="D50" s="1">
        <v>21059</v>
      </c>
      <c r="E50" s="1">
        <v>6341</v>
      </c>
      <c r="F50" s="3">
        <v>0.30109999999999998</v>
      </c>
      <c r="G50">
        <v>95</v>
      </c>
      <c r="H50" s="3">
        <v>1.4999999999999999E-2</v>
      </c>
      <c r="I50" s="16">
        <v>4.4999999999999997E-3</v>
      </c>
    </row>
    <row r="51" spans="1:9" x14ac:dyDescent="0.25">
      <c r="A51" s="11">
        <v>45295</v>
      </c>
      <c r="B51" t="s">
        <v>816</v>
      </c>
      <c r="C51" t="s">
        <v>415</v>
      </c>
      <c r="D51" s="1">
        <v>53876</v>
      </c>
      <c r="E51" s="1">
        <v>20331</v>
      </c>
      <c r="F51" s="3">
        <v>0.37740000000000001</v>
      </c>
      <c r="G51">
        <v>258</v>
      </c>
      <c r="H51" s="3">
        <v>1.2699999999999999E-2</v>
      </c>
      <c r="I51" s="16">
        <v>4.7999999999999996E-3</v>
      </c>
    </row>
    <row r="52" spans="1:9" x14ac:dyDescent="0.25">
      <c r="A52" s="11">
        <v>45295</v>
      </c>
      <c r="B52" t="s">
        <v>816</v>
      </c>
      <c r="C52" t="s">
        <v>417</v>
      </c>
      <c r="D52" s="1">
        <v>4059</v>
      </c>
      <c r="E52" s="1">
        <v>1544</v>
      </c>
      <c r="F52" s="3">
        <v>0.38040000000000002</v>
      </c>
      <c r="G52">
        <v>18</v>
      </c>
      <c r="H52" s="3">
        <v>1.17E-2</v>
      </c>
      <c r="I52" s="16">
        <v>4.4000000000000003E-3</v>
      </c>
    </row>
    <row r="53" spans="1:9" x14ac:dyDescent="0.25">
      <c r="A53" s="11">
        <v>45295</v>
      </c>
      <c r="B53" t="s">
        <v>391</v>
      </c>
      <c r="C53" t="s">
        <v>332</v>
      </c>
      <c r="D53" s="1">
        <v>627469</v>
      </c>
      <c r="E53" s="1">
        <v>184040</v>
      </c>
      <c r="F53" s="3">
        <v>0.29330000000000001</v>
      </c>
      <c r="G53" s="1">
        <v>1337</v>
      </c>
      <c r="H53" s="3">
        <v>7.3000000000000001E-3</v>
      </c>
      <c r="I53" s="16">
        <v>2.0999999999999999E-3</v>
      </c>
    </row>
    <row r="54" spans="1:9" x14ac:dyDescent="0.25">
      <c r="A54" s="11">
        <v>45295</v>
      </c>
      <c r="B54" t="s">
        <v>391</v>
      </c>
      <c r="C54" t="s">
        <v>333</v>
      </c>
      <c r="D54" s="1">
        <v>41781</v>
      </c>
      <c r="E54" s="1">
        <v>9914</v>
      </c>
      <c r="F54" s="3">
        <v>0.23730000000000001</v>
      </c>
      <c r="G54">
        <v>108</v>
      </c>
      <c r="H54" s="3">
        <v>1.09E-2</v>
      </c>
      <c r="I54" s="16">
        <v>2.5999999999999999E-3</v>
      </c>
    </row>
    <row r="55" spans="1:9" x14ac:dyDescent="0.25">
      <c r="A55" s="11">
        <v>45295</v>
      </c>
      <c r="B55" t="s">
        <v>420</v>
      </c>
      <c r="C55" t="s">
        <v>325</v>
      </c>
      <c r="D55" s="1">
        <v>799352</v>
      </c>
      <c r="E55" s="1">
        <v>302561</v>
      </c>
      <c r="F55" s="3">
        <v>0.3785</v>
      </c>
      <c r="G55" s="1">
        <v>2212</v>
      </c>
      <c r="H55" s="3">
        <v>7.3000000000000001E-3</v>
      </c>
      <c r="I55" s="16">
        <v>2.8E-3</v>
      </c>
    </row>
    <row r="56" spans="1:9" x14ac:dyDescent="0.25">
      <c r="A56" s="11">
        <v>45295</v>
      </c>
      <c r="B56" t="s">
        <v>420</v>
      </c>
      <c r="C56" t="s">
        <v>326</v>
      </c>
      <c r="D56" s="1">
        <v>59737</v>
      </c>
      <c r="E56" s="1">
        <v>20579</v>
      </c>
      <c r="F56" s="3">
        <v>0.34449999999999997</v>
      </c>
      <c r="G56">
        <v>257</v>
      </c>
      <c r="H56" s="3">
        <v>1.2500000000000001E-2</v>
      </c>
      <c r="I56" s="16">
        <v>4.3E-3</v>
      </c>
    </row>
    <row r="57" spans="1:9" x14ac:dyDescent="0.25">
      <c r="A57" s="11">
        <v>45295</v>
      </c>
      <c r="B57" t="s">
        <v>422</v>
      </c>
      <c r="C57" t="s">
        <v>325</v>
      </c>
      <c r="D57" s="1">
        <v>325095</v>
      </c>
      <c r="E57" s="1">
        <v>120015</v>
      </c>
      <c r="F57" s="3">
        <v>0.36919999999999997</v>
      </c>
      <c r="G57">
        <v>778</v>
      </c>
      <c r="H57" s="3">
        <v>6.4999999999999997E-3</v>
      </c>
      <c r="I57" s="16">
        <v>2.3999999999999998E-3</v>
      </c>
    </row>
    <row r="58" spans="1:9" ht="15.75" thickBot="1" x14ac:dyDescent="0.3">
      <c r="A58" s="17" t="s">
        <v>427</v>
      </c>
      <c r="B58" s="4"/>
      <c r="C58" s="4"/>
      <c r="D58" s="18">
        <f>SUM(D45:D57)</f>
        <v>3126246</v>
      </c>
      <c r="E58" s="18">
        <f>SUM(E45:E57)</f>
        <v>1068610</v>
      </c>
      <c r="F58" s="19">
        <f>AVERAGE(F45:F57)</f>
        <v>0.33903846153846151</v>
      </c>
      <c r="G58" s="18">
        <f>SUM(G45:G57)</f>
        <v>8725</v>
      </c>
      <c r="H58" s="19">
        <f>AVERAGE(H45:H57)</f>
        <v>1.0753846153846154E-2</v>
      </c>
      <c r="I58" s="21">
        <f>AVERAGE(I45:I57)</f>
        <v>3.6846153846153834E-3</v>
      </c>
    </row>
  </sheetData>
  <mergeCells count="3">
    <mergeCell ref="A26:I26"/>
    <mergeCell ref="A35:I35"/>
    <mergeCell ref="A43:I43"/>
  </mergeCells>
  <pageMargins left="0.7" right="0.7" top="0.75" bottom="0.75" header="0.3" footer="0.3"/>
  <ignoredErrors>
    <ignoredError sqref="F34:G34 F25:G25 F42:G42 F58:G58" formula="1"/>
  </ignoredErrors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2982-B35E-4D49-A13C-668E95BB8AA8}">
  <sheetPr filterMode="1"/>
  <dimension ref="A2:I38"/>
  <sheetViews>
    <sheetView workbookViewId="0">
      <selection activeCell="B28" sqref="B28"/>
    </sheetView>
  </sheetViews>
  <sheetFormatPr defaultRowHeight="15" x14ac:dyDescent="0.25"/>
  <cols>
    <col min="1" max="1" width="9.5703125" bestFit="1" customWidth="1"/>
    <col min="2" max="2" width="74.5703125" bestFit="1" customWidth="1"/>
    <col min="3" max="3" width="13.42578125" bestFit="1" customWidth="1"/>
    <col min="4" max="4" width="9.140625" bestFit="1" customWidth="1"/>
    <col min="5" max="5" width="13.42578125" bestFit="1" customWidth="1"/>
    <col min="6" max="6" width="17.140625" bestFit="1" customWidth="1"/>
    <col min="7" max="7" width="12.85546875" bestFit="1" customWidth="1"/>
  </cols>
  <sheetData>
    <row r="2" spans="1:9" ht="16.5" thickBot="1" x14ac:dyDescent="0.3">
      <c r="B2" s="122" t="s">
        <v>817</v>
      </c>
    </row>
    <row r="3" spans="1:9" ht="15.75" thickBot="1" x14ac:dyDescent="0.3">
      <c r="A3" s="130" t="s">
        <v>0</v>
      </c>
      <c r="B3" s="131" t="s">
        <v>1</v>
      </c>
      <c r="C3" s="131" t="s">
        <v>796</v>
      </c>
      <c r="D3" s="131" t="s">
        <v>3</v>
      </c>
      <c r="E3" s="131" t="s">
        <v>4</v>
      </c>
      <c r="F3" s="131" t="s">
        <v>5</v>
      </c>
      <c r="G3" s="131" t="s">
        <v>6</v>
      </c>
      <c r="H3" s="131" t="s">
        <v>7</v>
      </c>
      <c r="I3" s="132" t="s">
        <v>8</v>
      </c>
    </row>
    <row r="4" spans="1:9" x14ac:dyDescent="0.25">
      <c r="A4" s="38">
        <v>45205</v>
      </c>
      <c r="B4" s="34" t="s">
        <v>194</v>
      </c>
      <c r="C4" s="34" t="s">
        <v>32</v>
      </c>
      <c r="D4" s="39">
        <v>320980</v>
      </c>
      <c r="E4" s="39">
        <v>99686</v>
      </c>
      <c r="F4" s="133">
        <v>0.31056763661287301</v>
      </c>
      <c r="G4" s="39">
        <v>1212</v>
      </c>
      <c r="H4" s="133">
        <v>1.21581766747587E-2</v>
      </c>
      <c r="I4" s="134">
        <v>3.77593619540158E-3</v>
      </c>
    </row>
    <row r="5" spans="1:9" hidden="1" x14ac:dyDescent="0.25">
      <c r="A5" s="11">
        <v>45210</v>
      </c>
      <c r="B5" t="s">
        <v>197</v>
      </c>
      <c r="C5" t="s">
        <v>32</v>
      </c>
      <c r="D5" s="1">
        <v>747453</v>
      </c>
      <c r="E5" s="1">
        <v>309240</v>
      </c>
      <c r="F5" s="2">
        <v>0.41372501013441598</v>
      </c>
      <c r="G5" s="1">
        <v>2405</v>
      </c>
      <c r="H5" s="2">
        <v>7.7771310309144998E-3</v>
      </c>
      <c r="I5" s="12">
        <v>3.2175936145817899E-3</v>
      </c>
    </row>
    <row r="6" spans="1:9" hidden="1" x14ac:dyDescent="0.25">
      <c r="A6" s="11">
        <v>45210</v>
      </c>
      <c r="B6" t="s">
        <v>197</v>
      </c>
      <c r="C6" t="s">
        <v>33</v>
      </c>
      <c r="D6" s="1">
        <v>53558</v>
      </c>
      <c r="E6" s="1">
        <v>15243</v>
      </c>
      <c r="F6" s="2">
        <v>0.284607341573621</v>
      </c>
      <c r="G6" s="1">
        <v>252</v>
      </c>
      <c r="H6" s="2">
        <v>1.6532178704979299E-2</v>
      </c>
      <c r="I6" s="12">
        <v>4.7051794316441999E-3</v>
      </c>
    </row>
    <row r="7" spans="1:9" hidden="1" x14ac:dyDescent="0.25">
      <c r="A7" s="11">
        <v>45210</v>
      </c>
      <c r="B7" t="s">
        <v>198</v>
      </c>
      <c r="C7" t="s">
        <v>32</v>
      </c>
      <c r="D7" s="1">
        <v>243300</v>
      </c>
      <c r="E7" s="1">
        <v>125352</v>
      </c>
      <c r="F7" s="2">
        <v>0.51521578298396997</v>
      </c>
      <c r="G7" s="1">
        <v>1296</v>
      </c>
      <c r="H7" s="2">
        <v>1.03388856978748E-2</v>
      </c>
      <c r="I7" s="12">
        <v>5.3267570900123297E-3</v>
      </c>
    </row>
    <row r="8" spans="1:9" hidden="1" x14ac:dyDescent="0.25">
      <c r="A8" s="11">
        <v>45210</v>
      </c>
      <c r="B8" t="s">
        <v>198</v>
      </c>
      <c r="C8" t="s">
        <v>33</v>
      </c>
      <c r="D8" s="1">
        <v>19869</v>
      </c>
      <c r="E8" s="1">
        <v>7897</v>
      </c>
      <c r="F8" s="2">
        <v>0.397453319241029</v>
      </c>
      <c r="G8" s="1">
        <v>124</v>
      </c>
      <c r="H8" s="2">
        <v>1.57021653792579E-2</v>
      </c>
      <c r="I8" s="12">
        <v>6.24087774925764E-3</v>
      </c>
    </row>
    <row r="9" spans="1:9" x14ac:dyDescent="0.25">
      <c r="A9" s="104">
        <v>45212</v>
      </c>
      <c r="B9" s="105" t="s">
        <v>208</v>
      </c>
      <c r="C9" s="105" t="s">
        <v>32</v>
      </c>
      <c r="D9" s="25">
        <v>309073</v>
      </c>
      <c r="E9" s="25">
        <v>115609</v>
      </c>
      <c r="F9" s="106">
        <v>0.37405079058992502</v>
      </c>
      <c r="G9" s="25">
        <v>2030</v>
      </c>
      <c r="H9" s="106">
        <v>1.7559186568519802E-2</v>
      </c>
      <c r="I9" s="110">
        <v>6.5680276180708104E-3</v>
      </c>
    </row>
    <row r="10" spans="1:9" x14ac:dyDescent="0.25">
      <c r="A10" s="104">
        <v>45212</v>
      </c>
      <c r="B10" s="105" t="s">
        <v>208</v>
      </c>
      <c r="C10" s="105" t="s">
        <v>33</v>
      </c>
      <c r="D10" s="25">
        <v>16950</v>
      </c>
      <c r="E10" s="25">
        <v>5799</v>
      </c>
      <c r="F10" s="106">
        <v>0.34212389380531</v>
      </c>
      <c r="G10" s="25">
        <v>189</v>
      </c>
      <c r="H10" s="106">
        <v>3.2591826176927102E-2</v>
      </c>
      <c r="I10" s="110">
        <v>1.11504424778761E-2</v>
      </c>
    </row>
    <row r="11" spans="1:9" x14ac:dyDescent="0.25">
      <c r="A11" s="11">
        <v>45219</v>
      </c>
      <c r="B11" t="s">
        <v>222</v>
      </c>
      <c r="C11" t="s">
        <v>32</v>
      </c>
      <c r="D11" s="1">
        <v>308247</v>
      </c>
      <c r="E11" s="1">
        <v>119171</v>
      </c>
      <c r="F11" s="3">
        <v>0.3866</v>
      </c>
      <c r="G11" s="1">
        <v>1612</v>
      </c>
      <c r="H11" s="3">
        <v>1.35E-2</v>
      </c>
      <c r="I11" s="16">
        <v>5.1999999999999998E-3</v>
      </c>
    </row>
    <row r="12" spans="1:9" x14ac:dyDescent="0.25">
      <c r="A12" s="11">
        <v>45226</v>
      </c>
      <c r="B12" t="s">
        <v>236</v>
      </c>
      <c r="C12" t="s">
        <v>32</v>
      </c>
      <c r="D12" s="1">
        <v>307848</v>
      </c>
      <c r="E12" s="1">
        <v>108356</v>
      </c>
      <c r="F12" s="2">
        <v>0.351978898677269</v>
      </c>
      <c r="G12" s="1">
        <v>1308</v>
      </c>
      <c r="H12" s="2">
        <v>1.20713204621802E-2</v>
      </c>
      <c r="I12" s="12">
        <v>4.24885008185858E-3</v>
      </c>
    </row>
    <row r="13" spans="1:9" x14ac:dyDescent="0.25">
      <c r="A13" s="11">
        <v>45226</v>
      </c>
      <c r="B13" t="s">
        <v>236</v>
      </c>
      <c r="C13" t="s">
        <v>33</v>
      </c>
      <c r="D13" s="1">
        <v>16947</v>
      </c>
      <c r="E13" s="1">
        <v>5788</v>
      </c>
      <c r="F13" s="2">
        <v>0.34153537499262399</v>
      </c>
      <c r="G13" s="1">
        <v>169</v>
      </c>
      <c r="H13" s="2">
        <v>2.91983413959917E-2</v>
      </c>
      <c r="I13" s="12">
        <v>9.9722664778426895E-3</v>
      </c>
    </row>
    <row r="14" spans="1:9" x14ac:dyDescent="0.25">
      <c r="A14" s="11">
        <v>45233</v>
      </c>
      <c r="B14" t="s">
        <v>262</v>
      </c>
      <c r="C14" t="s">
        <v>32</v>
      </c>
      <c r="D14" s="1">
        <v>299800</v>
      </c>
      <c r="E14" s="1">
        <v>73400</v>
      </c>
      <c r="F14" s="2">
        <v>0.244829886591061</v>
      </c>
      <c r="G14" s="1">
        <v>739</v>
      </c>
      <c r="H14" s="2">
        <v>1.00681198910082E-2</v>
      </c>
      <c r="I14" s="12">
        <v>2.46497665110073E-3</v>
      </c>
    </row>
    <row r="15" spans="1:9" x14ac:dyDescent="0.25">
      <c r="A15" s="11">
        <v>45240</v>
      </c>
      <c r="B15" t="s">
        <v>275</v>
      </c>
      <c r="C15" t="s">
        <v>32</v>
      </c>
      <c r="D15" s="1">
        <v>308606</v>
      </c>
      <c r="E15" s="1">
        <v>94904</v>
      </c>
      <c r="F15" s="2">
        <v>0.30752480509128099</v>
      </c>
      <c r="G15" s="1">
        <v>1351</v>
      </c>
      <c r="H15" s="2">
        <v>1.4235437916210099E-2</v>
      </c>
      <c r="I15" s="12">
        <v>4.3777502705715397E-3</v>
      </c>
    </row>
    <row r="16" spans="1:9" x14ac:dyDescent="0.25">
      <c r="A16" s="11">
        <v>45240</v>
      </c>
      <c r="B16" t="s">
        <v>275</v>
      </c>
      <c r="C16" t="s">
        <v>33</v>
      </c>
      <c r="D16" s="1">
        <v>16982</v>
      </c>
      <c r="E16" s="1">
        <v>5756</v>
      </c>
      <c r="F16" s="2">
        <v>0.33894712048050901</v>
      </c>
      <c r="G16" s="1">
        <v>150</v>
      </c>
      <c r="H16" s="2">
        <v>2.60597637248089E-2</v>
      </c>
      <c r="I16" s="12">
        <v>8.8328818749263908E-3</v>
      </c>
    </row>
    <row r="17" spans="1:9" x14ac:dyDescent="0.25">
      <c r="A17" s="11">
        <v>45247</v>
      </c>
      <c r="B17" t="s">
        <v>291</v>
      </c>
      <c r="C17" t="s">
        <v>32</v>
      </c>
      <c r="D17" s="1">
        <v>312358</v>
      </c>
      <c r="E17" s="1">
        <v>94896</v>
      </c>
      <c r="F17" s="2">
        <v>0.30380524910519302</v>
      </c>
      <c r="G17" s="1">
        <v>1234</v>
      </c>
      <c r="H17" s="2">
        <v>1.30037093238914E-2</v>
      </c>
      <c r="I17" s="12">
        <v>3.9505951504363599E-3</v>
      </c>
    </row>
    <row r="18" spans="1:9" x14ac:dyDescent="0.25">
      <c r="A18" s="11">
        <v>45254</v>
      </c>
      <c r="B18" t="s">
        <v>310</v>
      </c>
      <c r="C18" t="s">
        <v>32</v>
      </c>
      <c r="D18" s="1">
        <v>312591</v>
      </c>
      <c r="E18" s="1">
        <v>94685</v>
      </c>
      <c r="F18" s="2">
        <v>0.30290379441506599</v>
      </c>
      <c r="G18" s="1">
        <v>1845</v>
      </c>
      <c r="H18" s="2">
        <v>1.9485662987801699E-2</v>
      </c>
      <c r="I18" s="12">
        <v>5.9022812556983398E-3</v>
      </c>
    </row>
    <row r="19" spans="1:9" x14ac:dyDescent="0.25">
      <c r="A19" s="11">
        <v>45254</v>
      </c>
      <c r="B19" t="s">
        <v>310</v>
      </c>
      <c r="C19" t="s">
        <v>33</v>
      </c>
      <c r="D19" s="1">
        <v>17169</v>
      </c>
      <c r="E19" s="1">
        <v>5771</v>
      </c>
      <c r="F19" s="2">
        <v>0.33612906983516799</v>
      </c>
      <c r="G19" s="1">
        <v>253</v>
      </c>
      <c r="H19" s="2">
        <v>4.3839889100675801E-2</v>
      </c>
      <c r="I19" s="12">
        <v>1.47358611450871E-2</v>
      </c>
    </row>
    <row r="20" spans="1:9" hidden="1" x14ac:dyDescent="0.25">
      <c r="A20" s="11">
        <v>45260</v>
      </c>
      <c r="B20" t="s">
        <v>331</v>
      </c>
      <c r="C20" t="s">
        <v>32</v>
      </c>
      <c r="D20" s="1">
        <v>20120</v>
      </c>
      <c r="E20" s="1">
        <v>7293</v>
      </c>
      <c r="F20" s="2">
        <v>0.36247514910536799</v>
      </c>
      <c r="G20" s="1">
        <v>182</v>
      </c>
      <c r="H20" s="2">
        <v>2.4955436720142599E-2</v>
      </c>
      <c r="I20" s="12">
        <v>9.04572564612326E-3</v>
      </c>
    </row>
    <row r="21" spans="1:9" hidden="1" x14ac:dyDescent="0.25">
      <c r="A21" s="11">
        <v>45260</v>
      </c>
      <c r="B21" t="s">
        <v>331</v>
      </c>
      <c r="C21" t="s">
        <v>33</v>
      </c>
      <c r="D21" s="1">
        <v>20962</v>
      </c>
      <c r="E21" s="1">
        <v>8396</v>
      </c>
      <c r="F21" s="2">
        <v>0.40053430016219799</v>
      </c>
      <c r="G21" s="1">
        <v>266</v>
      </c>
      <c r="H21" s="2">
        <v>3.16817532158171E-2</v>
      </c>
      <c r="I21" s="12">
        <v>1.26896288522088E-2</v>
      </c>
    </row>
    <row r="22" spans="1:9" x14ac:dyDescent="0.25">
      <c r="A22" s="11">
        <v>45262</v>
      </c>
      <c r="B22" t="s">
        <v>337</v>
      </c>
      <c r="C22" t="s">
        <v>32</v>
      </c>
      <c r="D22" s="1">
        <v>310998</v>
      </c>
      <c r="E22" s="1">
        <v>118145</v>
      </c>
      <c r="F22" s="2">
        <v>0.37988990282895702</v>
      </c>
      <c r="G22" s="1">
        <v>1811</v>
      </c>
      <c r="H22" s="2">
        <v>1.5328621609039699E-2</v>
      </c>
      <c r="I22" s="12">
        <v>5.8231885735599599E-3</v>
      </c>
    </row>
    <row r="23" spans="1:9" hidden="1" x14ac:dyDescent="0.25">
      <c r="A23" s="11">
        <v>45266</v>
      </c>
      <c r="B23" t="s">
        <v>348</v>
      </c>
      <c r="C23" t="s">
        <v>32</v>
      </c>
      <c r="D23" s="1">
        <v>30832</v>
      </c>
      <c r="E23" s="1">
        <v>14150</v>
      </c>
      <c r="F23" s="2">
        <v>0.45893876491956398</v>
      </c>
      <c r="G23" s="1">
        <v>291</v>
      </c>
      <c r="H23" s="2">
        <v>2.0565371024735001E-2</v>
      </c>
      <c r="I23" s="12">
        <v>9.4382459782044598E-3</v>
      </c>
    </row>
    <row r="24" spans="1:9" hidden="1" x14ac:dyDescent="0.25">
      <c r="A24" s="11">
        <v>45266</v>
      </c>
      <c r="B24" t="s">
        <v>348</v>
      </c>
      <c r="C24" t="s">
        <v>33</v>
      </c>
      <c r="D24" s="1">
        <v>2817</v>
      </c>
      <c r="E24" s="1">
        <v>1043</v>
      </c>
      <c r="F24" s="2">
        <v>0.37025204117855898</v>
      </c>
      <c r="G24" s="1">
        <v>26</v>
      </c>
      <c r="H24" s="2">
        <v>2.4928092042186E-2</v>
      </c>
      <c r="I24" s="12">
        <v>9.2296769613063497E-3</v>
      </c>
    </row>
    <row r="25" spans="1:9" x14ac:dyDescent="0.25">
      <c r="A25" s="11">
        <v>45268</v>
      </c>
      <c r="B25" t="s">
        <v>359</v>
      </c>
      <c r="C25" t="s">
        <v>32</v>
      </c>
      <c r="D25" s="1">
        <v>309649</v>
      </c>
      <c r="E25" s="1">
        <v>117827</v>
      </c>
      <c r="F25" s="2">
        <v>0.38051794128190303</v>
      </c>
      <c r="G25" s="1">
        <v>1867</v>
      </c>
      <c r="H25" s="2">
        <v>1.58452646676908E-2</v>
      </c>
      <c r="I25" s="12">
        <v>6.0294074904165698E-3</v>
      </c>
    </row>
    <row r="26" spans="1:9" x14ac:dyDescent="0.25">
      <c r="A26" s="11">
        <v>45268</v>
      </c>
      <c r="B26" t="s">
        <v>359</v>
      </c>
      <c r="C26" t="s">
        <v>33</v>
      </c>
      <c r="D26" s="1">
        <v>17054</v>
      </c>
      <c r="E26" s="1">
        <v>5890</v>
      </c>
      <c r="F26" s="2">
        <v>0.34537351940893601</v>
      </c>
      <c r="G26" s="1">
        <v>196</v>
      </c>
      <c r="H26" s="2">
        <v>3.3276740237690998E-2</v>
      </c>
      <c r="I26" s="12">
        <v>1.14929048903483E-2</v>
      </c>
    </row>
    <row r="27" spans="1:9" hidden="1" x14ac:dyDescent="0.25">
      <c r="A27" s="11">
        <v>45273</v>
      </c>
      <c r="B27" t="s">
        <v>373</v>
      </c>
      <c r="C27" t="s">
        <v>32</v>
      </c>
      <c r="D27" s="1">
        <v>2147205</v>
      </c>
      <c r="E27" s="1">
        <v>1017510</v>
      </c>
      <c r="F27" s="2">
        <v>0.47387650457222302</v>
      </c>
      <c r="G27" s="1">
        <v>11573</v>
      </c>
      <c r="H27" s="2">
        <v>1.13738439917052E-2</v>
      </c>
      <c r="I27" s="12">
        <v>5.3897974343390604E-3</v>
      </c>
    </row>
    <row r="28" spans="1:9" x14ac:dyDescent="0.25">
      <c r="A28" s="11">
        <v>45641</v>
      </c>
      <c r="B28" t="s">
        <v>379</v>
      </c>
      <c r="C28" t="s">
        <v>32</v>
      </c>
      <c r="D28" s="1">
        <v>309171</v>
      </c>
      <c r="E28" s="1">
        <v>115370</v>
      </c>
      <c r="F28" s="2">
        <v>0.373159190221593</v>
      </c>
      <c r="G28" s="1">
        <v>1613</v>
      </c>
      <c r="H28" s="2">
        <v>1.39811042732079E-2</v>
      </c>
      <c r="I28" s="12">
        <v>5.2171775489939197E-3</v>
      </c>
    </row>
    <row r="29" spans="1:9" hidden="1" x14ac:dyDescent="0.25">
      <c r="A29" s="11">
        <v>45645</v>
      </c>
      <c r="B29" t="s">
        <v>386</v>
      </c>
      <c r="C29" t="s">
        <v>32</v>
      </c>
      <c r="D29" s="1">
        <v>489309</v>
      </c>
      <c r="E29" s="1">
        <v>194129</v>
      </c>
      <c r="F29" s="2">
        <v>0.39674111859785899</v>
      </c>
      <c r="G29" s="1">
        <v>1563</v>
      </c>
      <c r="H29" s="2">
        <v>8.0513472999912405E-3</v>
      </c>
      <c r="I29" s="12">
        <v>3.19430053401838E-3</v>
      </c>
    </row>
    <row r="30" spans="1:9" hidden="1" x14ac:dyDescent="0.25">
      <c r="A30" s="11">
        <v>45645</v>
      </c>
      <c r="B30" t="s">
        <v>386</v>
      </c>
      <c r="C30" t="s">
        <v>33</v>
      </c>
      <c r="D30" s="1">
        <v>33311</v>
      </c>
      <c r="E30" s="1">
        <v>11384</v>
      </c>
      <c r="F30" s="2">
        <v>0.34174897181111302</v>
      </c>
      <c r="G30" s="1">
        <v>170</v>
      </c>
      <c r="H30" s="2">
        <v>1.49332396345748E-2</v>
      </c>
      <c r="I30" s="12">
        <v>5.1034192909249201E-3</v>
      </c>
    </row>
    <row r="31" spans="1:9" hidden="1" x14ac:dyDescent="0.25">
      <c r="A31" s="11">
        <v>45647</v>
      </c>
      <c r="B31" t="s">
        <v>393</v>
      </c>
      <c r="C31" t="s">
        <v>32</v>
      </c>
      <c r="D31" s="1">
        <v>424380</v>
      </c>
      <c r="E31" s="1">
        <v>159395</v>
      </c>
      <c r="F31" s="2">
        <v>0.37559498562609001</v>
      </c>
      <c r="G31" s="1">
        <v>1813</v>
      </c>
      <c r="H31" s="2">
        <v>1.13742589165281E-2</v>
      </c>
      <c r="I31" s="12">
        <v>4.2721146142607998E-3</v>
      </c>
    </row>
    <row r="32" spans="1:9" hidden="1" x14ac:dyDescent="0.25">
      <c r="A32" s="11">
        <v>45647</v>
      </c>
      <c r="B32" t="s">
        <v>393</v>
      </c>
      <c r="C32" t="s">
        <v>33</v>
      </c>
      <c r="D32" s="1">
        <v>27085</v>
      </c>
      <c r="E32" s="1">
        <v>9531</v>
      </c>
      <c r="F32" s="2">
        <v>0.351892191249769</v>
      </c>
      <c r="G32" s="1">
        <v>171</v>
      </c>
      <c r="H32" s="2">
        <v>1.7941454202077399E-2</v>
      </c>
      <c r="I32" s="12">
        <v>6.3134576333764101E-3</v>
      </c>
    </row>
    <row r="33" spans="1:9" x14ac:dyDescent="0.25">
      <c r="A33" s="11">
        <v>45648</v>
      </c>
      <c r="B33" t="s">
        <v>395</v>
      </c>
      <c r="C33" t="s">
        <v>32</v>
      </c>
      <c r="D33" s="1">
        <v>288805</v>
      </c>
      <c r="E33" s="1">
        <v>103259</v>
      </c>
      <c r="F33" s="2">
        <v>0.35753882377382701</v>
      </c>
      <c r="G33" s="1">
        <v>1571</v>
      </c>
      <c r="H33" s="2">
        <v>1.52141701933972E-2</v>
      </c>
      <c r="I33" s="12">
        <v>5.4396565156420397E-3</v>
      </c>
    </row>
    <row r="34" spans="1:9" x14ac:dyDescent="0.25">
      <c r="A34" s="11">
        <v>45648</v>
      </c>
      <c r="B34" t="s">
        <v>395</v>
      </c>
      <c r="C34" t="s">
        <v>33</v>
      </c>
      <c r="D34" s="1">
        <v>16012</v>
      </c>
      <c r="E34" s="1">
        <v>4919</v>
      </c>
      <c r="F34" s="2">
        <v>0.30720709467899099</v>
      </c>
      <c r="G34" s="1">
        <v>155</v>
      </c>
      <c r="H34" s="2">
        <v>3.1510469607643803E-2</v>
      </c>
      <c r="I34" s="12">
        <v>9.6802398201348994E-3</v>
      </c>
    </row>
    <row r="35" spans="1:9" hidden="1" x14ac:dyDescent="0.25">
      <c r="A35" s="11">
        <v>45648</v>
      </c>
      <c r="B35" t="s">
        <v>396</v>
      </c>
      <c r="C35" t="s">
        <v>32</v>
      </c>
      <c r="D35" s="1">
        <v>34260</v>
      </c>
      <c r="E35" s="1">
        <v>15467</v>
      </c>
      <c r="F35" s="2">
        <v>0.45145942790426202</v>
      </c>
      <c r="G35" s="1">
        <v>290</v>
      </c>
      <c r="H35" s="2">
        <v>1.8749595913881201E-2</v>
      </c>
      <c r="I35" s="12">
        <v>8.4646818447168693E-3</v>
      </c>
    </row>
    <row r="36" spans="1:9" hidden="1" x14ac:dyDescent="0.25">
      <c r="A36" s="11">
        <v>45648</v>
      </c>
      <c r="B36" t="s">
        <v>396</v>
      </c>
      <c r="C36" t="s">
        <v>33</v>
      </c>
      <c r="D36" s="1">
        <v>3497</v>
      </c>
      <c r="E36" s="1">
        <v>1248</v>
      </c>
      <c r="F36" s="2">
        <v>0.356877323420074</v>
      </c>
      <c r="G36" s="1">
        <v>22</v>
      </c>
      <c r="H36" s="2">
        <v>1.76282051282051E-2</v>
      </c>
      <c r="I36" s="12">
        <v>6.2911066628538702E-3</v>
      </c>
    </row>
    <row r="37" spans="1:9" x14ac:dyDescent="0.25">
      <c r="A37" s="11">
        <v>45655</v>
      </c>
      <c r="B37" t="s">
        <v>425</v>
      </c>
      <c r="C37" t="s">
        <v>32</v>
      </c>
      <c r="D37" s="1">
        <v>293018</v>
      </c>
      <c r="E37" s="1">
        <v>71794</v>
      </c>
      <c r="F37" s="2">
        <v>0.245015664566682</v>
      </c>
      <c r="G37" s="1">
        <v>1086</v>
      </c>
      <c r="H37" s="2">
        <v>1.51266122517202E-2</v>
      </c>
      <c r="I37" s="12">
        <v>3.7062569534977402E-3</v>
      </c>
    </row>
    <row r="38" spans="1:9" ht="15.75" hidden="1" thickBot="1" x14ac:dyDescent="0.3">
      <c r="A38" s="17" t="s">
        <v>427</v>
      </c>
      <c r="B38" s="4"/>
      <c r="C38" s="4"/>
      <c r="D38" s="18">
        <f>SUM(D4:D37)</f>
        <v>8390216</v>
      </c>
      <c r="E38" s="18">
        <f>SUM(E4:E37)</f>
        <v>3258303</v>
      </c>
      <c r="F38" s="19">
        <f>AVERAGE(F4:F37)</f>
        <v>0.3612085555716848</v>
      </c>
      <c r="G38" s="18">
        <f>SUM(G4:G37)</f>
        <v>40835</v>
      </c>
      <c r="H38" s="19">
        <f>AVERAGE(H4:H37)</f>
        <v>1.8723158116648073E-2</v>
      </c>
      <c r="I38" s="21">
        <f>AVERAGE(I4:I37)</f>
        <v>6.6909195390968479E-3</v>
      </c>
    </row>
  </sheetData>
  <autoFilter ref="A3:I38" xr:uid="{4FAC2982-B35E-4D49-A13C-668E95BB8AA8}">
    <filterColumn colId="1">
      <filters>
        <filter val="[Production] 23_Store_Newsletter_100623_NoPersonalization"/>
        <filter val="[Production] 23_Store_Newsletter_101323"/>
        <filter val="[Production] 23_Store_Newsletter_102023"/>
        <filter val="[Production] 23_Store_Newsletter_1103_V2"/>
        <filter val="[Production] 23_Store_Newsletter_111023"/>
        <filter val="[Production] 23_Store_Newsletter_1117"/>
        <filter val="[Production] 23_Store_Newsletter_1124"/>
        <filter val="[Production] 23_Store_Newsletter_120123 v2"/>
        <filter val="[Production] 23_Store_Newsletter_120823"/>
        <filter val="[Production] 23_Store_Newsletter_121523"/>
        <filter val="[Production] 23-0564-Store_Newsletter_Dec22"/>
        <filter val="[Production] 23-0564-Store_Newsletter_Dec29"/>
        <filter val="Production] 23_Store_Newsletter_102723"/>
      </filters>
    </filterColumn>
    <sortState xmlns:xlrd2="http://schemas.microsoft.com/office/spreadsheetml/2017/richdata2" ref="A4:I38">
      <sortCondition ref="A3"/>
    </sortState>
  </autoFilter>
  <pageMargins left="0.7" right="0.7" top="0.75" bottom="0.75" header="0.3" footer="0.3"/>
  <ignoredErrors>
    <ignoredError sqref="F38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B57F-22B1-469B-8F37-50361C45EF83}">
  <dimension ref="A1:H64"/>
  <sheetViews>
    <sheetView workbookViewId="0">
      <pane ySplit="1" topLeftCell="A2" activePane="bottomLeft" state="frozen"/>
      <selection activeCell="B28" sqref="B28"/>
      <selection pane="bottomLeft" activeCell="B28" sqref="B28"/>
    </sheetView>
  </sheetViews>
  <sheetFormatPr defaultRowHeight="15" x14ac:dyDescent="0.25"/>
  <cols>
    <col min="1" max="1" width="9.5703125" bestFit="1" customWidth="1"/>
    <col min="2" max="2" width="74.5703125" bestFit="1" customWidth="1"/>
    <col min="3" max="3" width="10.140625" bestFit="1" customWidth="1"/>
    <col min="4" max="4" width="13.42578125" bestFit="1" customWidth="1"/>
    <col min="5" max="5" width="18.85546875" customWidth="1"/>
    <col min="6" max="6" width="12.85546875" bestFit="1" customWidth="1"/>
    <col min="7" max="7" width="9" bestFit="1" customWidth="1"/>
    <col min="8" max="8" width="11" customWidth="1"/>
  </cols>
  <sheetData>
    <row r="1" spans="1:8" x14ac:dyDescent="0.25">
      <c r="A1" s="116" t="s">
        <v>0</v>
      </c>
      <c r="B1" s="117" t="s">
        <v>1</v>
      </c>
      <c r="C1" s="117" t="s">
        <v>3</v>
      </c>
      <c r="D1" s="117" t="s">
        <v>4</v>
      </c>
      <c r="E1" s="117" t="s">
        <v>5</v>
      </c>
      <c r="F1" s="117" t="s">
        <v>6</v>
      </c>
      <c r="G1" s="117" t="s">
        <v>7</v>
      </c>
      <c r="H1" s="118" t="s">
        <v>8</v>
      </c>
    </row>
    <row r="2" spans="1:8" x14ac:dyDescent="0.25">
      <c r="A2" s="11">
        <v>45205</v>
      </c>
      <c r="B2" s="58" t="s">
        <v>454</v>
      </c>
      <c r="C2" s="123">
        <v>13310</v>
      </c>
      <c r="D2" s="123">
        <v>3384</v>
      </c>
      <c r="E2" s="56">
        <f>D2/C2</f>
        <v>0.2542449286250939</v>
      </c>
      <c r="F2" s="123">
        <v>131</v>
      </c>
      <c r="G2" s="56">
        <f>F2/D2</f>
        <v>3.8711583924349882E-2</v>
      </c>
      <c r="H2" s="56">
        <f>F2/C2</f>
        <v>9.8422238918106694E-3</v>
      </c>
    </row>
    <row r="3" spans="1:8" x14ac:dyDescent="0.25">
      <c r="A3" s="11">
        <v>45210</v>
      </c>
      <c r="B3" s="58" t="s">
        <v>451</v>
      </c>
      <c r="C3" s="55">
        <v>232975</v>
      </c>
      <c r="D3" s="55">
        <v>92423</v>
      </c>
      <c r="E3" s="56">
        <f t="shared" ref="E3:E62" si="0">D3/C3</f>
        <v>0.39670780126623029</v>
      </c>
      <c r="F3" s="55">
        <v>2817</v>
      </c>
      <c r="G3" s="56">
        <f t="shared" ref="G3:G63" si="1">F3/D3</f>
        <v>3.0479426116875669E-2</v>
      </c>
      <c r="H3" s="56">
        <f t="shared" ref="H3:H63" si="2">F3/C3</f>
        <v>1.2091426118682263E-2</v>
      </c>
    </row>
    <row r="4" spans="1:8" x14ac:dyDescent="0.25">
      <c r="A4" s="11">
        <v>45210</v>
      </c>
      <c r="B4" s="58" t="s">
        <v>453</v>
      </c>
      <c r="C4" s="55">
        <v>189838</v>
      </c>
      <c r="D4" s="55">
        <v>71938</v>
      </c>
      <c r="E4" s="56">
        <f t="shared" si="0"/>
        <v>0.37894415238255774</v>
      </c>
      <c r="F4" s="55">
        <v>2283</v>
      </c>
      <c r="G4" s="56">
        <f t="shared" si="1"/>
        <v>3.1735661263866108E-2</v>
      </c>
      <c r="H4" s="56">
        <f t="shared" si="2"/>
        <v>1.2026043257935713E-2</v>
      </c>
    </row>
    <row r="5" spans="1:8" x14ac:dyDescent="0.25">
      <c r="A5" s="11">
        <v>45210</v>
      </c>
      <c r="B5" s="58" t="s">
        <v>454</v>
      </c>
      <c r="C5" s="55">
        <v>13223</v>
      </c>
      <c r="D5" s="55">
        <v>4627</v>
      </c>
      <c r="E5" s="56">
        <f t="shared" si="0"/>
        <v>0.34992059290629962</v>
      </c>
      <c r="F5" s="55">
        <v>179</v>
      </c>
      <c r="G5" s="56">
        <f t="shared" si="1"/>
        <v>3.8685973633023556E-2</v>
      </c>
      <c r="H5" s="56">
        <f t="shared" si="2"/>
        <v>1.3537018830825077E-2</v>
      </c>
    </row>
    <row r="6" spans="1:8" x14ac:dyDescent="0.25">
      <c r="A6" s="11"/>
      <c r="B6" s="58" t="s">
        <v>818</v>
      </c>
      <c r="C6" s="55">
        <v>21564</v>
      </c>
      <c r="D6" s="55">
        <v>6896</v>
      </c>
      <c r="E6" s="56">
        <f t="shared" si="0"/>
        <v>0.31979224633648673</v>
      </c>
      <c r="F6" s="55">
        <v>180</v>
      </c>
      <c r="G6" s="56">
        <f t="shared" si="1"/>
        <v>2.6102088167053363E-2</v>
      </c>
      <c r="H6" s="56">
        <f t="shared" si="2"/>
        <v>8.3472454090150246E-3</v>
      </c>
    </row>
    <row r="7" spans="1:8" x14ac:dyDescent="0.25">
      <c r="A7" s="11"/>
      <c r="B7" s="58" t="s">
        <v>818</v>
      </c>
      <c r="C7" s="55">
        <v>11368</v>
      </c>
      <c r="D7" s="55">
        <v>3694</v>
      </c>
      <c r="E7" s="56">
        <f t="shared" si="0"/>
        <v>0.32494722026741729</v>
      </c>
      <c r="F7" s="55">
        <v>85</v>
      </c>
      <c r="G7" s="56">
        <f t="shared" si="1"/>
        <v>2.3010286951813751E-2</v>
      </c>
      <c r="H7" s="56">
        <f t="shared" si="2"/>
        <v>7.477128782547502E-3</v>
      </c>
    </row>
    <row r="8" spans="1:8" x14ac:dyDescent="0.25">
      <c r="A8" s="11"/>
      <c r="B8" s="58" t="s">
        <v>819</v>
      </c>
      <c r="C8" s="55">
        <v>410668</v>
      </c>
      <c r="D8" s="55">
        <v>171206</v>
      </c>
      <c r="E8" s="56">
        <f t="shared" si="0"/>
        <v>0.41689637371307237</v>
      </c>
      <c r="F8" s="55">
        <v>2900</v>
      </c>
      <c r="G8" s="56">
        <f t="shared" si="1"/>
        <v>1.6938658691868277E-2</v>
      </c>
      <c r="H8" s="56">
        <f t="shared" si="2"/>
        <v>7.0616653842032985E-3</v>
      </c>
    </row>
    <row r="9" spans="1:8" x14ac:dyDescent="0.25">
      <c r="A9" s="11"/>
      <c r="B9" s="58" t="s">
        <v>819</v>
      </c>
      <c r="C9" s="55">
        <v>235736</v>
      </c>
      <c r="D9" s="55">
        <v>106759</v>
      </c>
      <c r="E9" s="56">
        <f t="shared" si="0"/>
        <v>0.45287525027997422</v>
      </c>
      <c r="F9" s="55">
        <v>1881</v>
      </c>
      <c r="G9" s="56">
        <f t="shared" si="1"/>
        <v>1.7619123446266826E-2</v>
      </c>
      <c r="H9" s="56">
        <f t="shared" si="2"/>
        <v>7.9792649404418509E-3</v>
      </c>
    </row>
    <row r="10" spans="1:8" x14ac:dyDescent="0.25">
      <c r="A10" s="11"/>
      <c r="B10" s="58" t="s">
        <v>451</v>
      </c>
      <c r="C10" s="55">
        <v>232122</v>
      </c>
      <c r="D10" s="55">
        <v>78326</v>
      </c>
      <c r="E10" s="56">
        <f t="shared" si="0"/>
        <v>0.33743462489552906</v>
      </c>
      <c r="F10" s="55">
        <v>1508</v>
      </c>
      <c r="G10" s="56">
        <f t="shared" si="1"/>
        <v>1.9252866225774327E-2</v>
      </c>
      <c r="H10" s="56">
        <f t="shared" si="2"/>
        <v>6.4965836930579611E-3</v>
      </c>
    </row>
    <row r="11" spans="1:8" x14ac:dyDescent="0.25">
      <c r="A11" s="11"/>
      <c r="B11" s="58" t="s">
        <v>453</v>
      </c>
      <c r="C11" s="55">
        <v>232983</v>
      </c>
      <c r="D11" s="55">
        <v>72308</v>
      </c>
      <c r="E11" s="56">
        <f t="shared" si="0"/>
        <v>0.31035740805123119</v>
      </c>
      <c r="F11" s="55">
        <v>1711</v>
      </c>
      <c r="G11" s="56">
        <f t="shared" si="1"/>
        <v>2.366266526525419E-2</v>
      </c>
      <c r="H11" s="56">
        <f t="shared" si="2"/>
        <v>7.3438834593081903E-3</v>
      </c>
    </row>
    <row r="12" spans="1:8" x14ac:dyDescent="0.25">
      <c r="A12" s="11"/>
      <c r="B12" s="58" t="s">
        <v>820</v>
      </c>
      <c r="C12" s="55">
        <v>70001</v>
      </c>
      <c r="D12" s="55">
        <v>20877</v>
      </c>
      <c r="E12" s="56">
        <f t="shared" si="0"/>
        <v>0.29823859659147728</v>
      </c>
      <c r="F12" s="55">
        <v>436</v>
      </c>
      <c r="G12" s="56">
        <f t="shared" si="1"/>
        <v>2.0884226660918714E-2</v>
      </c>
      <c r="H12" s="56">
        <f t="shared" si="2"/>
        <v>6.2284824502507104E-3</v>
      </c>
    </row>
    <row r="13" spans="1:8" x14ac:dyDescent="0.25">
      <c r="A13" s="11"/>
      <c r="B13" s="58" t="s">
        <v>820</v>
      </c>
      <c r="C13" s="55">
        <v>118067</v>
      </c>
      <c r="D13" s="55">
        <v>32553</v>
      </c>
      <c r="E13" s="56">
        <f t="shared" si="0"/>
        <v>0.27571633055807299</v>
      </c>
      <c r="F13" s="55">
        <v>678</v>
      </c>
      <c r="G13" s="56">
        <f t="shared" si="1"/>
        <v>2.0827573495530365E-2</v>
      </c>
      <c r="H13" s="56">
        <f t="shared" si="2"/>
        <v>5.7425021386162097E-3</v>
      </c>
    </row>
    <row r="14" spans="1:8" x14ac:dyDescent="0.25">
      <c r="A14" s="11"/>
      <c r="B14" s="58" t="s">
        <v>821</v>
      </c>
      <c r="C14" s="55">
        <v>1099310</v>
      </c>
      <c r="D14" s="55">
        <v>465487</v>
      </c>
      <c r="E14" s="56">
        <f t="shared" si="0"/>
        <v>0.42343560960966425</v>
      </c>
      <c r="F14" s="55">
        <v>6069</v>
      </c>
      <c r="G14" s="56">
        <f t="shared" si="1"/>
        <v>1.3037958095499982E-2</v>
      </c>
      <c r="H14" s="56">
        <f t="shared" si="2"/>
        <v>5.5207357342332919E-3</v>
      </c>
    </row>
    <row r="15" spans="1:8" x14ac:dyDescent="0.25">
      <c r="A15" s="11"/>
      <c r="B15" s="58" t="s">
        <v>821</v>
      </c>
      <c r="C15" s="55">
        <v>1745598</v>
      </c>
      <c r="D15" s="55">
        <v>673472</v>
      </c>
      <c r="E15" s="56">
        <f t="shared" si="0"/>
        <v>0.38581162444044964</v>
      </c>
      <c r="F15" s="55">
        <v>6886</v>
      </c>
      <c r="G15" s="56">
        <f t="shared" si="1"/>
        <v>1.0224627007507365E-2</v>
      </c>
      <c r="H15" s="56">
        <f t="shared" si="2"/>
        <v>3.9447799550641101E-3</v>
      </c>
    </row>
    <row r="16" spans="1:8" x14ac:dyDescent="0.25">
      <c r="A16" s="11"/>
      <c r="B16" s="58" t="s">
        <v>451</v>
      </c>
      <c r="C16" s="55">
        <v>231562</v>
      </c>
      <c r="D16" s="55">
        <v>86715</v>
      </c>
      <c r="E16" s="56">
        <f t="shared" si="0"/>
        <v>0.37447854138416492</v>
      </c>
      <c r="F16" s="55">
        <v>1553</v>
      </c>
      <c r="G16" s="56">
        <f t="shared" si="1"/>
        <v>1.7909242922216455E-2</v>
      </c>
      <c r="H16" s="56">
        <f t="shared" si="2"/>
        <v>6.7066271668062977E-3</v>
      </c>
    </row>
    <row r="17" spans="1:8" x14ac:dyDescent="0.25">
      <c r="A17" s="11"/>
      <c r="B17" s="58" t="s">
        <v>453</v>
      </c>
      <c r="C17" s="55">
        <v>292678</v>
      </c>
      <c r="D17" s="55">
        <v>95178</v>
      </c>
      <c r="E17" s="56">
        <f t="shared" si="0"/>
        <v>0.32519697414906484</v>
      </c>
      <c r="F17" s="55">
        <v>1824</v>
      </c>
      <c r="G17" s="56">
        <f t="shared" si="1"/>
        <v>1.9164092542394252E-2</v>
      </c>
      <c r="H17" s="56">
        <f t="shared" si="2"/>
        <v>6.2321049070992694E-3</v>
      </c>
    </row>
    <row r="18" spans="1:8" x14ac:dyDescent="0.25">
      <c r="A18" s="11"/>
      <c r="B18" s="58" t="s">
        <v>454</v>
      </c>
      <c r="C18" s="55">
        <v>13091</v>
      </c>
      <c r="D18" s="55">
        <v>4748</v>
      </c>
      <c r="E18" s="56">
        <f t="shared" si="0"/>
        <v>0.36269192575051562</v>
      </c>
      <c r="F18" s="55">
        <v>166</v>
      </c>
      <c r="G18" s="56">
        <f t="shared" si="1"/>
        <v>3.4962089300758212E-2</v>
      </c>
      <c r="H18" s="56">
        <f t="shared" si="2"/>
        <v>1.2680467496753495E-2</v>
      </c>
    </row>
    <row r="19" spans="1:8" x14ac:dyDescent="0.25">
      <c r="A19" s="11"/>
      <c r="B19" s="58" t="s">
        <v>451</v>
      </c>
      <c r="C19" s="55">
        <v>231205</v>
      </c>
      <c r="D19" s="55">
        <v>90981</v>
      </c>
      <c r="E19" s="56">
        <f t="shared" si="0"/>
        <v>0.39350792586665512</v>
      </c>
      <c r="F19" s="55">
        <v>1425</v>
      </c>
      <c r="G19" s="56">
        <f t="shared" si="1"/>
        <v>1.5662610874798033E-2</v>
      </c>
      <c r="H19" s="56">
        <f t="shared" si="2"/>
        <v>6.1633615189982914E-3</v>
      </c>
    </row>
    <row r="20" spans="1:8" x14ac:dyDescent="0.25">
      <c r="A20" s="11"/>
      <c r="B20" s="58" t="s">
        <v>453</v>
      </c>
      <c r="C20" s="55">
        <v>292361</v>
      </c>
      <c r="D20" s="55">
        <v>99835</v>
      </c>
      <c r="E20" s="56">
        <f t="shared" si="0"/>
        <v>0.34147851457615758</v>
      </c>
      <c r="F20" s="55">
        <v>1764</v>
      </c>
      <c r="G20" s="56">
        <f t="shared" si="1"/>
        <v>1.7669154104272049E-2</v>
      </c>
      <c r="H20" s="56">
        <f t="shared" si="2"/>
        <v>6.0336364973440368E-3</v>
      </c>
    </row>
    <row r="21" spans="1:8" x14ac:dyDescent="0.25">
      <c r="A21" s="11"/>
      <c r="B21" s="58" t="s">
        <v>451</v>
      </c>
      <c r="C21" s="55">
        <v>230972</v>
      </c>
      <c r="D21" s="55">
        <v>92377</v>
      </c>
      <c r="E21" s="56">
        <f t="shared" si="0"/>
        <v>0.39994891155637913</v>
      </c>
      <c r="F21" s="55">
        <v>2325</v>
      </c>
      <c r="G21" s="56">
        <f t="shared" si="1"/>
        <v>2.5168602574233846E-2</v>
      </c>
      <c r="H21" s="56">
        <f t="shared" si="2"/>
        <v>1.0066155204959909E-2</v>
      </c>
    </row>
    <row r="22" spans="1:8" x14ac:dyDescent="0.25">
      <c r="A22" s="11"/>
      <c r="B22" s="58" t="s">
        <v>453</v>
      </c>
      <c r="C22" s="55">
        <v>292134</v>
      </c>
      <c r="D22" s="55">
        <v>101867</v>
      </c>
      <c r="E22" s="56">
        <f t="shared" si="0"/>
        <v>0.34869956937569746</v>
      </c>
      <c r="F22" s="55">
        <v>3097</v>
      </c>
      <c r="G22" s="56">
        <f t="shared" si="1"/>
        <v>3.0402387426742714E-2</v>
      </c>
      <c r="H22" s="56">
        <f t="shared" si="2"/>
        <v>1.0601299403698302E-2</v>
      </c>
    </row>
    <row r="23" spans="1:8" x14ac:dyDescent="0.25">
      <c r="A23" s="11"/>
      <c r="B23" s="58" t="s">
        <v>454</v>
      </c>
      <c r="C23" s="55">
        <v>13005</v>
      </c>
      <c r="D23" s="55">
        <v>4577</v>
      </c>
      <c r="E23" s="56">
        <f t="shared" si="0"/>
        <v>0.35194156093810075</v>
      </c>
      <c r="F23" s="55">
        <v>200</v>
      </c>
      <c r="G23" s="56">
        <f t="shared" si="1"/>
        <v>4.3696744592527856E-2</v>
      </c>
      <c r="H23" s="56">
        <f t="shared" si="2"/>
        <v>1.5378700499807767E-2</v>
      </c>
    </row>
    <row r="24" spans="1:8" x14ac:dyDescent="0.25">
      <c r="A24" s="11"/>
      <c r="B24" s="58" t="s">
        <v>451</v>
      </c>
      <c r="C24" s="55">
        <v>230977</v>
      </c>
      <c r="D24" s="55">
        <v>104996</v>
      </c>
      <c r="E24" s="56">
        <f t="shared" si="0"/>
        <v>0.45457339908302558</v>
      </c>
      <c r="F24" s="55">
        <v>2103</v>
      </c>
      <c r="G24" s="56">
        <f t="shared" si="1"/>
        <v>2.0029334450836222E-2</v>
      </c>
      <c r="H24" s="56">
        <f t="shared" si="2"/>
        <v>9.1048026426873672E-3</v>
      </c>
    </row>
    <row r="25" spans="1:8" x14ac:dyDescent="0.25">
      <c r="A25" s="11"/>
      <c r="B25" s="58" t="s">
        <v>453</v>
      </c>
      <c r="C25" s="55">
        <v>291823</v>
      </c>
      <c r="D25" s="55">
        <v>109724</v>
      </c>
      <c r="E25" s="56">
        <f t="shared" si="0"/>
        <v>0.37599503808815615</v>
      </c>
      <c r="F25" s="55">
        <v>2707</v>
      </c>
      <c r="G25" s="56">
        <f t="shared" si="1"/>
        <v>2.4670992672523786E-2</v>
      </c>
      <c r="H25" s="56">
        <f t="shared" si="2"/>
        <v>9.2761708295782033E-3</v>
      </c>
    </row>
    <row r="26" spans="1:8" x14ac:dyDescent="0.25">
      <c r="A26" s="11"/>
      <c r="B26" s="58" t="s">
        <v>822</v>
      </c>
      <c r="C26" s="55">
        <v>1422</v>
      </c>
      <c r="D26" s="55">
        <v>353</v>
      </c>
      <c r="E26" s="56">
        <f t="shared" si="0"/>
        <v>0.24824191279887484</v>
      </c>
      <c r="F26" s="55">
        <v>43</v>
      </c>
      <c r="G26" s="56">
        <f t="shared" si="1"/>
        <v>0.12181303116147309</v>
      </c>
      <c r="H26" s="56">
        <f t="shared" si="2"/>
        <v>3.0239099859353025E-2</v>
      </c>
    </row>
    <row r="27" spans="1:8" x14ac:dyDescent="0.25">
      <c r="A27" s="11"/>
      <c r="B27" s="58" t="s">
        <v>823</v>
      </c>
      <c r="C27" s="55">
        <v>174792</v>
      </c>
      <c r="D27" s="55">
        <v>83464</v>
      </c>
      <c r="E27" s="56">
        <f t="shared" si="0"/>
        <v>0.47750469129021922</v>
      </c>
      <c r="F27" s="55">
        <v>1505</v>
      </c>
      <c r="G27" s="56">
        <f t="shared" si="1"/>
        <v>1.8031726253234927E-2</v>
      </c>
      <c r="H27" s="56">
        <f t="shared" si="2"/>
        <v>8.6102338779806848E-3</v>
      </c>
    </row>
    <row r="28" spans="1:8" x14ac:dyDescent="0.25">
      <c r="A28" s="11"/>
      <c r="B28" s="58" t="s">
        <v>823</v>
      </c>
      <c r="C28" s="55">
        <v>275428</v>
      </c>
      <c r="D28" s="55">
        <v>124819</v>
      </c>
      <c r="E28" s="56">
        <f t="shared" si="0"/>
        <v>0.453181956809039</v>
      </c>
      <c r="F28" s="55">
        <v>2143</v>
      </c>
      <c r="G28" s="56">
        <f t="shared" si="1"/>
        <v>1.7168860510018508E-2</v>
      </c>
      <c r="H28" s="56">
        <f t="shared" si="2"/>
        <v>7.7806178021116229E-3</v>
      </c>
    </row>
    <row r="29" spans="1:8" x14ac:dyDescent="0.25">
      <c r="A29" s="11"/>
      <c r="B29" s="58" t="s">
        <v>824</v>
      </c>
      <c r="C29" s="55">
        <v>8891</v>
      </c>
      <c r="D29" s="55">
        <v>3009</v>
      </c>
      <c r="E29" s="56">
        <f t="shared" si="0"/>
        <v>0.33843212237093689</v>
      </c>
      <c r="F29" s="55">
        <v>183</v>
      </c>
      <c r="G29" s="56">
        <f t="shared" si="1"/>
        <v>6.0817547357926223E-2</v>
      </c>
      <c r="H29" s="56">
        <f t="shared" si="2"/>
        <v>2.0582611629737936E-2</v>
      </c>
    </row>
    <row r="30" spans="1:8" x14ac:dyDescent="0.25">
      <c r="A30" s="11">
        <v>45210</v>
      </c>
      <c r="B30" s="58" t="s">
        <v>824</v>
      </c>
      <c r="C30" s="55">
        <v>13873</v>
      </c>
      <c r="D30" s="55">
        <v>5028</v>
      </c>
      <c r="E30" s="56">
        <f t="shared" si="0"/>
        <v>0.3624306206300007</v>
      </c>
      <c r="F30" s="55">
        <v>264</v>
      </c>
      <c r="G30" s="56">
        <f t="shared" si="1"/>
        <v>5.2505966587112173E-2</v>
      </c>
      <c r="H30" s="56">
        <f t="shared" si="2"/>
        <v>1.9029770056945144E-2</v>
      </c>
    </row>
    <row r="31" spans="1:8" x14ac:dyDescent="0.25">
      <c r="A31" s="104">
        <v>45212</v>
      </c>
      <c r="B31" s="58" t="s">
        <v>825</v>
      </c>
      <c r="C31" s="55">
        <v>174745</v>
      </c>
      <c r="D31" s="55">
        <v>83531</v>
      </c>
      <c r="E31" s="56">
        <f t="shared" si="0"/>
        <v>0.47801653838450314</v>
      </c>
      <c r="F31" s="55">
        <v>2980</v>
      </c>
      <c r="G31" s="56">
        <f t="shared" si="1"/>
        <v>3.5675378003375995E-2</v>
      </c>
      <c r="H31" s="56">
        <f t="shared" si="2"/>
        <v>1.705342069873244E-2</v>
      </c>
    </row>
    <row r="32" spans="1:8" x14ac:dyDescent="0.25">
      <c r="A32" s="104">
        <v>45212</v>
      </c>
      <c r="B32" s="58" t="s">
        <v>825</v>
      </c>
      <c r="C32" s="55">
        <v>275027</v>
      </c>
      <c r="D32" s="55">
        <v>124382</v>
      </c>
      <c r="E32" s="56">
        <f t="shared" si="0"/>
        <v>0.45225377871990752</v>
      </c>
      <c r="F32" s="55">
        <v>4198</v>
      </c>
      <c r="G32" s="56">
        <f t="shared" si="1"/>
        <v>3.3750864272965544E-2</v>
      </c>
      <c r="H32" s="56">
        <f t="shared" si="2"/>
        <v>1.5263955902511389E-2</v>
      </c>
    </row>
    <row r="33" spans="1:8" x14ac:dyDescent="0.25">
      <c r="A33" s="11">
        <v>45219</v>
      </c>
      <c r="B33" s="58" t="s">
        <v>826</v>
      </c>
      <c r="C33" s="55">
        <v>8885</v>
      </c>
      <c r="D33" s="55">
        <v>2781</v>
      </c>
      <c r="E33" s="56">
        <f t="shared" si="0"/>
        <v>0.31299943725379853</v>
      </c>
      <c r="F33" s="55">
        <v>83</v>
      </c>
      <c r="G33" s="56">
        <f t="shared" si="1"/>
        <v>2.9845379359942466E-2</v>
      </c>
      <c r="H33" s="56">
        <f t="shared" si="2"/>
        <v>9.3415869442881258E-3</v>
      </c>
    </row>
    <row r="34" spans="1:8" x14ac:dyDescent="0.25">
      <c r="A34" s="11">
        <v>45226</v>
      </c>
      <c r="B34" s="58" t="s">
        <v>826</v>
      </c>
      <c r="C34" s="55">
        <v>13853</v>
      </c>
      <c r="D34" s="55">
        <v>4546</v>
      </c>
      <c r="E34" s="56">
        <f t="shared" si="0"/>
        <v>0.3281599653504656</v>
      </c>
      <c r="F34" s="55">
        <v>92</v>
      </c>
      <c r="G34" s="56">
        <f t="shared" si="1"/>
        <v>2.0237571491421028E-2</v>
      </c>
      <c r="H34" s="56">
        <f t="shared" si="2"/>
        <v>6.6411607594022955E-3</v>
      </c>
    </row>
    <row r="35" spans="1:8" x14ac:dyDescent="0.25">
      <c r="A35" s="11"/>
      <c r="B35" s="58" t="s">
        <v>451</v>
      </c>
      <c r="C35" s="55">
        <v>229626</v>
      </c>
      <c r="D35" s="55">
        <v>88485</v>
      </c>
      <c r="E35" s="56">
        <f t="shared" si="0"/>
        <v>0.38534399414700427</v>
      </c>
      <c r="F35" s="55">
        <v>2072</v>
      </c>
      <c r="G35" s="56">
        <f t="shared" si="1"/>
        <v>2.3416398259592023E-2</v>
      </c>
      <c r="H35" s="56">
        <f>F35/C35</f>
        <v>9.023368433888148E-3</v>
      </c>
    </row>
    <row r="36" spans="1:8" x14ac:dyDescent="0.25">
      <c r="A36" s="11">
        <v>45226</v>
      </c>
      <c r="B36" s="58" t="s">
        <v>453</v>
      </c>
      <c r="C36" s="55">
        <v>291593</v>
      </c>
      <c r="D36" s="55">
        <v>97633</v>
      </c>
      <c r="E36" s="56">
        <f t="shared" si="0"/>
        <v>0.33482628183804136</v>
      </c>
      <c r="F36" s="55">
        <v>2640</v>
      </c>
      <c r="G36" s="56">
        <f t="shared" si="1"/>
        <v>2.7040037692173752E-2</v>
      </c>
      <c r="H36" s="56">
        <f t="shared" si="2"/>
        <v>9.0537152812310302E-3</v>
      </c>
    </row>
    <row r="37" spans="1:8" x14ac:dyDescent="0.25">
      <c r="A37" s="11">
        <v>45233</v>
      </c>
      <c r="B37" s="58" t="s">
        <v>454</v>
      </c>
      <c r="C37" s="55">
        <v>12902</v>
      </c>
      <c r="D37" s="55">
        <v>3439</v>
      </c>
      <c r="E37" s="56">
        <f t="shared" si="0"/>
        <v>0.26654782204309407</v>
      </c>
      <c r="F37" s="55">
        <v>169</v>
      </c>
      <c r="G37" s="56">
        <f>F37/D37</f>
        <v>4.9142192497819134E-2</v>
      </c>
      <c r="H37" s="56">
        <f t="shared" si="2"/>
        <v>1.3098744380716168E-2</v>
      </c>
    </row>
    <row r="38" spans="1:8" x14ac:dyDescent="0.25">
      <c r="A38" s="11">
        <v>45240</v>
      </c>
      <c r="B38" s="58" t="s">
        <v>451</v>
      </c>
      <c r="C38" s="55">
        <v>228598</v>
      </c>
      <c r="D38" s="55">
        <v>102415</v>
      </c>
      <c r="E38" s="56">
        <f t="shared" si="0"/>
        <v>0.44801354342557675</v>
      </c>
      <c r="F38" s="55">
        <v>1330</v>
      </c>
      <c r="G38" s="56">
        <f t="shared" si="1"/>
        <v>1.2986378948396231E-2</v>
      </c>
      <c r="H38" s="56">
        <f t="shared" si="2"/>
        <v>5.8180736489383111E-3</v>
      </c>
    </row>
    <row r="39" spans="1:8" x14ac:dyDescent="0.25">
      <c r="A39" s="11">
        <v>45240</v>
      </c>
      <c r="B39" s="58" t="s">
        <v>453</v>
      </c>
      <c r="C39" s="55">
        <v>291178</v>
      </c>
      <c r="D39" s="55">
        <v>107207</v>
      </c>
      <c r="E39" s="56">
        <f t="shared" si="0"/>
        <v>0.36818372267135568</v>
      </c>
      <c r="F39" s="55">
        <v>1774</v>
      </c>
      <c r="G39" s="56">
        <f t="shared" si="1"/>
        <v>1.6547426940405011E-2</v>
      </c>
      <c r="H39" s="56">
        <f t="shared" si="2"/>
        <v>6.0924932515505981E-3</v>
      </c>
    </row>
    <row r="40" spans="1:8" x14ac:dyDescent="0.25">
      <c r="A40" s="11">
        <v>45247</v>
      </c>
      <c r="B40" s="58" t="s">
        <v>451</v>
      </c>
      <c r="C40" s="55">
        <v>227605</v>
      </c>
      <c r="D40" s="55">
        <v>101834</v>
      </c>
      <c r="E40" s="56">
        <f t="shared" si="0"/>
        <v>0.44741547857033015</v>
      </c>
      <c r="F40" s="55">
        <v>1544</v>
      </c>
      <c r="G40" s="56">
        <f t="shared" si="1"/>
        <v>1.5161930200129623E-2</v>
      </c>
      <c r="H40" s="56">
        <f t="shared" si="2"/>
        <v>6.783682256540937E-3</v>
      </c>
    </row>
    <row r="41" spans="1:8" x14ac:dyDescent="0.25">
      <c r="A41" s="11"/>
      <c r="B41" s="58" t="s">
        <v>453</v>
      </c>
      <c r="C41" s="55">
        <v>290400</v>
      </c>
      <c r="D41" s="55">
        <v>107216</v>
      </c>
      <c r="E41" s="56">
        <f t="shared" si="0"/>
        <v>0.36920110192837463</v>
      </c>
      <c r="F41" s="55">
        <v>1932</v>
      </c>
      <c r="G41" s="56">
        <f t="shared" si="1"/>
        <v>1.8019698552454857E-2</v>
      </c>
      <c r="H41" s="56">
        <f t="shared" si="2"/>
        <v>6.6528925619834707E-3</v>
      </c>
    </row>
    <row r="42" spans="1:8" x14ac:dyDescent="0.25">
      <c r="A42" s="11"/>
      <c r="B42" s="58" t="s">
        <v>454</v>
      </c>
      <c r="C42" s="55">
        <v>12839</v>
      </c>
      <c r="D42" s="55">
        <v>3530</v>
      </c>
      <c r="E42" s="56">
        <f t="shared" si="0"/>
        <v>0.2749435314276813</v>
      </c>
      <c r="F42" s="55">
        <v>154</v>
      </c>
      <c r="G42" s="56">
        <f t="shared" si="1"/>
        <v>4.3626062322946177E-2</v>
      </c>
      <c r="H42" s="56">
        <f t="shared" si="2"/>
        <v>1.1994703637354933E-2</v>
      </c>
    </row>
    <row r="43" spans="1:8" x14ac:dyDescent="0.25">
      <c r="A43" s="11"/>
      <c r="B43" s="58" t="s">
        <v>827</v>
      </c>
      <c r="C43" s="55">
        <v>7753</v>
      </c>
      <c r="D43" s="55">
        <v>4159</v>
      </c>
      <c r="E43" s="56">
        <f t="shared" si="0"/>
        <v>0.53643750806139556</v>
      </c>
      <c r="F43" s="55">
        <v>62</v>
      </c>
      <c r="G43" s="56">
        <f t="shared" si="1"/>
        <v>1.4907429670593893E-2</v>
      </c>
      <c r="H43" s="56">
        <f t="shared" si="2"/>
        <v>7.9969044240938997E-3</v>
      </c>
    </row>
    <row r="44" spans="1:8" x14ac:dyDescent="0.25">
      <c r="A44" s="11"/>
      <c r="B44" s="58" t="s">
        <v>827</v>
      </c>
      <c r="C44" s="55">
        <v>17018</v>
      </c>
      <c r="D44" s="55">
        <v>7672</v>
      </c>
      <c r="E44" s="56">
        <f t="shared" si="0"/>
        <v>0.45081678223057936</v>
      </c>
      <c r="F44" s="55">
        <v>126</v>
      </c>
      <c r="G44" s="56">
        <f t="shared" si="1"/>
        <v>1.6423357664233577E-2</v>
      </c>
      <c r="H44" s="56">
        <f t="shared" si="2"/>
        <v>7.403925255611705E-3</v>
      </c>
    </row>
    <row r="45" spans="1:8" x14ac:dyDescent="0.25">
      <c r="A45" s="11"/>
      <c r="B45" s="58" t="s">
        <v>828</v>
      </c>
      <c r="C45" s="55">
        <v>519</v>
      </c>
      <c r="D45" s="55">
        <v>188</v>
      </c>
      <c r="E45" s="56">
        <f t="shared" si="0"/>
        <v>0.3622350674373796</v>
      </c>
      <c r="F45" s="55">
        <v>5</v>
      </c>
      <c r="G45" s="56">
        <f t="shared" si="1"/>
        <v>2.6595744680851064E-2</v>
      </c>
      <c r="H45" s="56">
        <f t="shared" si="2"/>
        <v>9.6339113680154135E-3</v>
      </c>
    </row>
    <row r="46" spans="1:8" x14ac:dyDescent="0.25">
      <c r="A46" s="11"/>
      <c r="B46" s="58" t="s">
        <v>828</v>
      </c>
      <c r="C46" s="55">
        <v>1257</v>
      </c>
      <c r="D46" s="55">
        <v>455</v>
      </c>
      <c r="E46" s="56">
        <f t="shared" si="0"/>
        <v>0.36197295147175818</v>
      </c>
      <c r="F46" s="55">
        <v>13</v>
      </c>
      <c r="G46" s="56">
        <f t="shared" si="1"/>
        <v>2.8571428571428571E-2</v>
      </c>
      <c r="H46" s="56">
        <f t="shared" si="2"/>
        <v>1.0342084327764518E-2</v>
      </c>
    </row>
    <row r="47" spans="1:8" x14ac:dyDescent="0.25">
      <c r="A47" s="11"/>
      <c r="B47" s="58" t="s">
        <v>451</v>
      </c>
      <c r="C47" s="55">
        <v>238338</v>
      </c>
      <c r="D47" s="55">
        <v>107321</v>
      </c>
      <c r="E47" s="56">
        <f t="shared" si="0"/>
        <v>0.45028908524868044</v>
      </c>
      <c r="F47" s="55">
        <v>1880</v>
      </c>
      <c r="G47" s="56">
        <f t="shared" si="1"/>
        <v>1.7517540835437613E-2</v>
      </c>
      <c r="H47" s="56">
        <f t="shared" si="2"/>
        <v>7.8879574385956087E-3</v>
      </c>
    </row>
    <row r="48" spans="1:8" x14ac:dyDescent="0.25">
      <c r="A48" s="11"/>
      <c r="B48" s="58" t="s">
        <v>453</v>
      </c>
      <c r="C48" s="55">
        <v>327256</v>
      </c>
      <c r="D48" s="55">
        <v>122143</v>
      </c>
      <c r="E48" s="56">
        <f t="shared" si="0"/>
        <v>0.37323379861637374</v>
      </c>
      <c r="F48" s="55">
        <v>2824</v>
      </c>
      <c r="G48" s="56">
        <f t="shared" si="1"/>
        <v>2.3120440794806088E-2</v>
      </c>
      <c r="H48" s="56">
        <f t="shared" si="2"/>
        <v>8.6293299435304463E-3</v>
      </c>
    </row>
    <row r="49" spans="1:8" x14ac:dyDescent="0.25">
      <c r="A49" s="11"/>
      <c r="B49" s="126" t="s">
        <v>829</v>
      </c>
      <c r="C49" s="70">
        <v>13562</v>
      </c>
      <c r="D49" s="70">
        <v>4520</v>
      </c>
      <c r="E49" s="56">
        <f t="shared" si="0"/>
        <v>0.33328417637516589</v>
      </c>
      <c r="F49" s="70">
        <v>63</v>
      </c>
      <c r="G49" s="56">
        <f t="shared" si="1"/>
        <v>1.3938053097345133E-2</v>
      </c>
      <c r="H49" s="56">
        <f t="shared" si="2"/>
        <v>4.6453325468220029E-3</v>
      </c>
    </row>
    <row r="50" spans="1:8" x14ac:dyDescent="0.25">
      <c r="A50" s="11"/>
      <c r="B50" s="126" t="s">
        <v>829</v>
      </c>
      <c r="C50" s="70">
        <v>9530</v>
      </c>
      <c r="D50" s="70">
        <v>3292</v>
      </c>
      <c r="E50" s="56">
        <f>D50/C50</f>
        <v>0.3454354669464848</v>
      </c>
      <c r="F50" s="70">
        <v>70</v>
      </c>
      <c r="G50" s="56">
        <f t="shared" si="1"/>
        <v>2.12636695018226E-2</v>
      </c>
      <c r="H50" s="56">
        <f t="shared" si="2"/>
        <v>7.3452256033578172E-3</v>
      </c>
    </row>
    <row r="51" spans="1:8" ht="17.45" customHeight="1" x14ac:dyDescent="0.25">
      <c r="A51" s="11">
        <v>45254</v>
      </c>
      <c r="B51" s="126" t="s">
        <v>830</v>
      </c>
      <c r="C51" s="70">
        <v>269719</v>
      </c>
      <c r="D51" s="70">
        <v>121299</v>
      </c>
      <c r="E51" s="56">
        <f t="shared" si="0"/>
        <v>0.44972360122942767</v>
      </c>
      <c r="F51" s="70">
        <v>1664</v>
      </c>
      <c r="G51" s="56">
        <f t="shared" si="1"/>
        <v>1.3718167503441908E-2</v>
      </c>
      <c r="H51" s="56">
        <f t="shared" si="2"/>
        <v>6.1693836919164023E-3</v>
      </c>
    </row>
    <row r="52" spans="1:8" x14ac:dyDescent="0.25">
      <c r="A52" s="11">
        <v>45254</v>
      </c>
      <c r="B52" s="126" t="s">
        <v>830</v>
      </c>
      <c r="C52" s="70">
        <v>181858</v>
      </c>
      <c r="D52" s="70">
        <v>86936</v>
      </c>
      <c r="E52" s="56">
        <f t="shared" si="0"/>
        <v>0.47804330851543514</v>
      </c>
      <c r="F52" s="70">
        <v>1497</v>
      </c>
      <c r="G52" s="56">
        <f t="shared" si="1"/>
        <v>1.7219563817060825E-2</v>
      </c>
      <c r="H52" s="56">
        <f t="shared" si="2"/>
        <v>8.2316972583004328E-3</v>
      </c>
    </row>
    <row r="53" spans="1:8" x14ac:dyDescent="0.25">
      <c r="A53" s="11">
        <v>45260</v>
      </c>
      <c r="B53" s="126" t="s">
        <v>831</v>
      </c>
      <c r="C53" s="70">
        <v>8190</v>
      </c>
      <c r="D53" s="70">
        <v>2880</v>
      </c>
      <c r="E53" s="56">
        <f t="shared" si="0"/>
        <v>0.35164835164835168</v>
      </c>
      <c r="F53" s="70">
        <v>62</v>
      </c>
      <c r="G53" s="56">
        <f t="shared" si="1"/>
        <v>2.1527777777777778E-2</v>
      </c>
      <c r="H53" s="56">
        <f t="shared" si="2"/>
        <v>7.5702075702075702E-3</v>
      </c>
    </row>
    <row r="54" spans="1:8" x14ac:dyDescent="0.25">
      <c r="A54" s="11">
        <v>45260</v>
      </c>
      <c r="B54" s="126" t="s">
        <v>831</v>
      </c>
      <c r="C54" s="70">
        <v>9515</v>
      </c>
      <c r="D54" s="70">
        <v>3219</v>
      </c>
      <c r="E54" s="56">
        <f t="shared" si="0"/>
        <v>0.33830793483972676</v>
      </c>
      <c r="F54" s="70">
        <v>70</v>
      </c>
      <c r="G54" s="56">
        <f t="shared" si="1"/>
        <v>2.1745883814849331E-2</v>
      </c>
      <c r="H54" s="56">
        <f>F54/C54</f>
        <v>7.3568050446663168E-3</v>
      </c>
    </row>
    <row r="55" spans="1:8" x14ac:dyDescent="0.25">
      <c r="A55" s="112">
        <v>45262</v>
      </c>
      <c r="B55" s="126" t="s">
        <v>832</v>
      </c>
      <c r="C55" s="70">
        <v>150857</v>
      </c>
      <c r="D55" s="70">
        <v>71111</v>
      </c>
      <c r="E55" s="56">
        <f t="shared" si="0"/>
        <v>0.47138018123123221</v>
      </c>
      <c r="F55" s="70">
        <v>1332</v>
      </c>
      <c r="G55" s="56">
        <f>F55/D55</f>
        <v>1.8731279267623857E-2</v>
      </c>
      <c r="H55" s="56">
        <f t="shared" si="2"/>
        <v>8.8295538158653566E-3</v>
      </c>
    </row>
    <row r="56" spans="1:8" x14ac:dyDescent="0.25">
      <c r="A56" s="112">
        <v>45266</v>
      </c>
      <c r="B56" s="126" t="s">
        <v>832</v>
      </c>
      <c r="C56" s="70">
        <v>185049</v>
      </c>
      <c r="D56" s="70">
        <v>79946</v>
      </c>
      <c r="E56" s="56">
        <f t="shared" si="0"/>
        <v>0.43202611200276686</v>
      </c>
      <c r="F56" s="70">
        <v>1421</v>
      </c>
      <c r="G56" s="56">
        <f t="shared" si="1"/>
        <v>1.7774497786005553E-2</v>
      </c>
      <c r="H56" s="56">
        <f t="shared" si="2"/>
        <v>7.6790471712897667E-3</v>
      </c>
    </row>
    <row r="57" spans="1:8" x14ac:dyDescent="0.25">
      <c r="A57" s="112">
        <v>45266</v>
      </c>
      <c r="B57" s="126" t="s">
        <v>451</v>
      </c>
      <c r="C57" s="70">
        <v>236539</v>
      </c>
      <c r="D57" s="70">
        <v>105180</v>
      </c>
      <c r="E57" s="56">
        <f t="shared" si="0"/>
        <v>0.44466240239453114</v>
      </c>
      <c r="F57" s="70">
        <v>2038</v>
      </c>
      <c r="G57" s="56">
        <f t="shared" si="1"/>
        <v>1.9376307282753375E-2</v>
      </c>
      <c r="H57" s="56">
        <f t="shared" si="2"/>
        <v>8.6159153458837661E-3</v>
      </c>
    </row>
    <row r="58" spans="1:8" x14ac:dyDescent="0.25">
      <c r="A58" s="112">
        <v>45268</v>
      </c>
      <c r="B58" s="126" t="s">
        <v>453</v>
      </c>
      <c r="C58" s="70">
        <v>327024</v>
      </c>
      <c r="D58" s="70">
        <v>121200</v>
      </c>
      <c r="E58" s="56">
        <f t="shared" si="0"/>
        <v>0.37061500073389109</v>
      </c>
      <c r="F58" s="70">
        <v>2862</v>
      </c>
      <c r="G58" s="56">
        <f t="shared" si="1"/>
        <v>2.3613861386138614E-2</v>
      </c>
      <c r="H58" s="56">
        <f t="shared" si="2"/>
        <v>8.7516512549537656E-3</v>
      </c>
    </row>
    <row r="59" spans="1:8" x14ac:dyDescent="0.25">
      <c r="A59" s="112">
        <v>45268</v>
      </c>
      <c r="B59" s="126" t="s">
        <v>454</v>
      </c>
      <c r="C59" s="70">
        <v>13558</v>
      </c>
      <c r="D59" s="70">
        <v>4197</v>
      </c>
      <c r="E59" s="56">
        <f t="shared" si="0"/>
        <v>0.30955893199586959</v>
      </c>
      <c r="F59" s="70">
        <v>148</v>
      </c>
      <c r="G59" s="56">
        <f t="shared" si="1"/>
        <v>3.5263283297593519E-2</v>
      </c>
      <c r="H59" s="56">
        <f t="shared" si="2"/>
        <v>1.0916064316270837E-2</v>
      </c>
    </row>
    <row r="60" spans="1:8" x14ac:dyDescent="0.25">
      <c r="A60" s="112">
        <v>45273</v>
      </c>
      <c r="B60" s="126" t="s">
        <v>833</v>
      </c>
      <c r="C60" s="70">
        <v>1795864</v>
      </c>
      <c r="D60" s="70">
        <v>815895</v>
      </c>
      <c r="E60" s="56">
        <f t="shared" si="0"/>
        <v>0.45431892392742435</v>
      </c>
      <c r="F60" s="70">
        <v>8988</v>
      </c>
      <c r="G60" s="56">
        <f t="shared" si="1"/>
        <v>1.101612339823139E-2</v>
      </c>
      <c r="H60" s="56">
        <f t="shared" si="2"/>
        <v>5.0048333281362059E-3</v>
      </c>
    </row>
    <row r="61" spans="1:8" x14ac:dyDescent="0.25">
      <c r="A61" s="26">
        <v>45645</v>
      </c>
      <c r="B61" s="126" t="s">
        <v>833</v>
      </c>
      <c r="C61" s="70">
        <v>1118001</v>
      </c>
      <c r="D61" s="70">
        <v>556274</v>
      </c>
      <c r="E61" s="56">
        <f t="shared" si="0"/>
        <v>0.49756127230655428</v>
      </c>
      <c r="F61" s="70">
        <v>9516</v>
      </c>
      <c r="G61" s="56">
        <f t="shared" si="1"/>
        <v>1.7106677644470172E-2</v>
      </c>
      <c r="H61" s="56">
        <f t="shared" si="2"/>
        <v>8.5116202937206668E-3</v>
      </c>
    </row>
    <row r="62" spans="1:8" x14ac:dyDescent="0.25">
      <c r="A62" s="26">
        <v>45645</v>
      </c>
      <c r="B62" s="126" t="s">
        <v>451</v>
      </c>
      <c r="C62" s="70">
        <v>230931</v>
      </c>
      <c r="D62" s="70">
        <v>109744</v>
      </c>
      <c r="E62" s="56">
        <f t="shared" si="0"/>
        <v>0.47522420116831432</v>
      </c>
      <c r="F62" s="70">
        <v>2921</v>
      </c>
      <c r="G62" s="56">
        <f t="shared" si="1"/>
        <v>2.6616489284152209E-2</v>
      </c>
      <c r="H62" s="56">
        <f t="shared" si="2"/>
        <v>1.2648799857966232E-2</v>
      </c>
    </row>
    <row r="63" spans="1:8" x14ac:dyDescent="0.25">
      <c r="A63" s="26">
        <v>45647</v>
      </c>
      <c r="B63" s="126" t="s">
        <v>453</v>
      </c>
      <c r="C63" s="70">
        <v>327281</v>
      </c>
      <c r="D63" s="70">
        <v>128452</v>
      </c>
      <c r="E63" s="56">
        <f>D63/C63</f>
        <v>0.39248230114183225</v>
      </c>
      <c r="F63" s="70">
        <v>4232</v>
      </c>
      <c r="G63" s="56">
        <f t="shared" si="1"/>
        <v>3.2946158876467471E-2</v>
      </c>
      <c r="H63" s="56">
        <f t="shared" si="2"/>
        <v>1.2930784249620356E-2</v>
      </c>
    </row>
    <row r="64" spans="1:8" ht="15.75" thickBot="1" x14ac:dyDescent="0.3">
      <c r="A64" s="119" t="s">
        <v>427</v>
      </c>
      <c r="B64" s="115"/>
      <c r="C64" s="120">
        <f>SUM(C2:C63)</f>
        <v>14747847</v>
      </c>
      <c r="D64" s="120">
        <f>SUM(D2:D63)</f>
        <v>6094703</v>
      </c>
      <c r="E64" s="111">
        <f>AVERAGE(E2:E63)</f>
        <v>0.38191595128828792</v>
      </c>
      <c r="F64" s="120">
        <f>SUM(F2:F63)</f>
        <v>109808</v>
      </c>
      <c r="G64" s="111">
        <f>AVERAGE(G2:G63)</f>
        <v>2.605303478663511E-2</v>
      </c>
      <c r="H64" s="121">
        <f>AVERAGE(H2:H63)</f>
        <v>9.4523141177996779E-3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3240-A737-497E-BD3A-9922202AEABB}">
  <sheetPr filterMode="1"/>
  <dimension ref="A1:O63"/>
  <sheetViews>
    <sheetView workbookViewId="0">
      <pane ySplit="1" topLeftCell="A2" activePane="bottomLeft" state="frozen"/>
      <selection activeCell="B28" sqref="B28"/>
      <selection pane="bottomLeft" activeCell="B28" sqref="B28"/>
    </sheetView>
  </sheetViews>
  <sheetFormatPr defaultRowHeight="15" x14ac:dyDescent="0.25"/>
  <cols>
    <col min="1" max="1" width="31" bestFit="1" customWidth="1"/>
    <col min="3" max="3" width="13.85546875" bestFit="1" customWidth="1"/>
    <col min="4" max="4" width="10.42578125" bestFit="1" customWidth="1"/>
    <col min="6" max="6" width="12.42578125" bestFit="1" customWidth="1"/>
    <col min="7" max="7" width="15" bestFit="1" customWidth="1"/>
    <col min="8" max="8" width="13.42578125" bestFit="1" customWidth="1"/>
    <col min="9" max="9" width="10" bestFit="1" customWidth="1"/>
    <col min="10" max="10" width="12.85546875" bestFit="1" customWidth="1"/>
    <col min="11" max="11" width="6" bestFit="1" customWidth="1"/>
    <col min="12" max="12" width="7" bestFit="1" customWidth="1"/>
    <col min="13" max="13" width="12.42578125" bestFit="1" customWidth="1"/>
    <col min="14" max="14" width="16.140625" bestFit="1" customWidth="1"/>
    <col min="15" max="15" width="9.42578125" bestFit="1" customWidth="1"/>
  </cols>
  <sheetData>
    <row r="1" spans="1:15" x14ac:dyDescent="0.25">
      <c r="A1" s="50" t="s">
        <v>428</v>
      </c>
      <c r="B1" s="128" t="s">
        <v>429</v>
      </c>
      <c r="C1" s="50" t="s">
        <v>430</v>
      </c>
      <c r="D1" s="129" t="s">
        <v>0</v>
      </c>
      <c r="E1" s="30" t="s">
        <v>431</v>
      </c>
      <c r="F1" s="31" t="s">
        <v>432</v>
      </c>
      <c r="G1" s="30" t="s">
        <v>433</v>
      </c>
      <c r="H1" s="30" t="s">
        <v>4</v>
      </c>
      <c r="I1" s="31" t="s">
        <v>434</v>
      </c>
      <c r="J1" s="30" t="s">
        <v>6</v>
      </c>
      <c r="K1" s="31" t="s">
        <v>8</v>
      </c>
      <c r="L1" s="31" t="s">
        <v>7</v>
      </c>
      <c r="M1" s="30" t="s">
        <v>435</v>
      </c>
      <c r="N1" s="31" t="s">
        <v>436</v>
      </c>
      <c r="O1" s="31" t="s">
        <v>437</v>
      </c>
    </row>
    <row r="2" spans="1:15" x14ac:dyDescent="0.25">
      <c r="A2" s="58" t="s">
        <v>454</v>
      </c>
      <c r="B2" s="53" t="s">
        <v>444</v>
      </c>
      <c r="C2" s="53" t="s">
        <v>834</v>
      </c>
      <c r="D2" s="54">
        <v>44835</v>
      </c>
      <c r="E2" s="123">
        <v>13310</v>
      </c>
      <c r="F2" s="56">
        <f t="shared" ref="F2:F63" si="0">(E2-G2)/E2</f>
        <v>0.99894815927873781</v>
      </c>
      <c r="G2" s="123">
        <v>14</v>
      </c>
      <c r="H2" s="123">
        <v>3384</v>
      </c>
      <c r="I2" s="56">
        <f t="shared" ref="I2:I63" si="1">H2/E2</f>
        <v>0.2542449286250939</v>
      </c>
      <c r="J2" s="123">
        <v>131</v>
      </c>
      <c r="K2" s="56">
        <f>J2/E2</f>
        <v>9.8422238918106694E-3</v>
      </c>
      <c r="L2" s="56">
        <f>J2/H2</f>
        <v>3.8711583924349882E-2</v>
      </c>
      <c r="M2" s="124">
        <v>17</v>
      </c>
      <c r="N2" s="56">
        <f t="shared" ref="N2:N63" si="2">M2/E2</f>
        <v>1.2772351615326822E-3</v>
      </c>
      <c r="O2" s="53" t="s">
        <v>452</v>
      </c>
    </row>
    <row r="3" spans="1:15" x14ac:dyDescent="0.25">
      <c r="A3" s="58" t="s">
        <v>451</v>
      </c>
      <c r="B3" s="53" t="s">
        <v>444</v>
      </c>
      <c r="C3" s="53" t="s">
        <v>834</v>
      </c>
      <c r="D3" s="54">
        <v>44848</v>
      </c>
      <c r="E3" s="55">
        <v>232975</v>
      </c>
      <c r="F3" s="56">
        <f t="shared" si="0"/>
        <v>0.99865650820903529</v>
      </c>
      <c r="G3" s="55">
        <v>313</v>
      </c>
      <c r="H3" s="55">
        <v>92423</v>
      </c>
      <c r="I3" s="56">
        <f t="shared" si="1"/>
        <v>0.39670780126623029</v>
      </c>
      <c r="J3" s="55">
        <v>2817</v>
      </c>
      <c r="K3" s="56">
        <f t="shared" ref="K3:K63" si="3">J3/E3</f>
        <v>1.2091426118682263E-2</v>
      </c>
      <c r="L3" s="56">
        <f t="shared" ref="L3:L63" si="4">J3/H3</f>
        <v>3.0479426116875669E-2</v>
      </c>
      <c r="M3" s="55">
        <v>195</v>
      </c>
      <c r="N3" s="56">
        <f t="shared" si="2"/>
        <v>8.3699967807704693E-4</v>
      </c>
      <c r="O3" s="53" t="s">
        <v>452</v>
      </c>
    </row>
    <row r="4" spans="1:15" x14ac:dyDescent="0.25">
      <c r="A4" s="58" t="s">
        <v>453</v>
      </c>
      <c r="B4" s="53" t="s">
        <v>444</v>
      </c>
      <c r="C4" s="53" t="s">
        <v>834</v>
      </c>
      <c r="D4" s="54">
        <v>44848</v>
      </c>
      <c r="E4" s="55">
        <v>189838</v>
      </c>
      <c r="F4" s="56">
        <f t="shared" si="0"/>
        <v>0.9981194492145935</v>
      </c>
      <c r="G4" s="55">
        <v>357</v>
      </c>
      <c r="H4" s="55">
        <v>71938</v>
      </c>
      <c r="I4" s="56">
        <f t="shared" si="1"/>
        <v>0.37894415238255774</v>
      </c>
      <c r="J4" s="55">
        <v>2283</v>
      </c>
      <c r="K4" s="56">
        <f t="shared" si="3"/>
        <v>1.2026043257935713E-2</v>
      </c>
      <c r="L4" s="56">
        <f t="shared" si="4"/>
        <v>3.1735661263866108E-2</v>
      </c>
      <c r="M4" s="55">
        <v>169</v>
      </c>
      <c r="N4" s="56">
        <f t="shared" si="2"/>
        <v>8.9023272474425563E-4</v>
      </c>
      <c r="O4" s="53" t="s">
        <v>452</v>
      </c>
    </row>
    <row r="5" spans="1:15" x14ac:dyDescent="0.25">
      <c r="A5" s="58" t="s">
        <v>454</v>
      </c>
      <c r="B5" s="53" t="s">
        <v>444</v>
      </c>
      <c r="C5" s="53" t="s">
        <v>834</v>
      </c>
      <c r="D5" s="54">
        <v>44849</v>
      </c>
      <c r="E5" s="55">
        <v>13223</v>
      </c>
      <c r="F5" s="56">
        <f t="shared" si="0"/>
        <v>0.99878998714361344</v>
      </c>
      <c r="G5" s="55">
        <v>16</v>
      </c>
      <c r="H5" s="55">
        <v>4627</v>
      </c>
      <c r="I5" s="56">
        <f t="shared" si="1"/>
        <v>0.34992059290629962</v>
      </c>
      <c r="J5" s="55">
        <v>179</v>
      </c>
      <c r="K5" s="56">
        <f t="shared" si="3"/>
        <v>1.3537018830825077E-2</v>
      </c>
      <c r="L5" s="56">
        <f t="shared" si="4"/>
        <v>3.8685973633023556E-2</v>
      </c>
      <c r="M5" s="55">
        <v>18</v>
      </c>
      <c r="N5" s="56">
        <f t="shared" si="2"/>
        <v>1.361264463434924E-3</v>
      </c>
      <c r="O5" s="53" t="s">
        <v>452</v>
      </c>
    </row>
    <row r="6" spans="1:15" hidden="1" x14ac:dyDescent="0.25">
      <c r="A6" s="58" t="s">
        <v>818</v>
      </c>
      <c r="B6" s="53" t="s">
        <v>439</v>
      </c>
      <c r="C6" s="53" t="s">
        <v>834</v>
      </c>
      <c r="D6" s="54">
        <v>44853</v>
      </c>
      <c r="E6" s="55">
        <v>21564</v>
      </c>
      <c r="F6" s="56">
        <f t="shared" si="0"/>
        <v>0.99930439621591538</v>
      </c>
      <c r="G6" s="55">
        <v>15</v>
      </c>
      <c r="H6" s="55">
        <v>6896</v>
      </c>
      <c r="I6" s="56">
        <f t="shared" si="1"/>
        <v>0.31979224633648673</v>
      </c>
      <c r="J6" s="55">
        <v>180</v>
      </c>
      <c r="K6" s="56">
        <f t="shared" si="3"/>
        <v>8.3472454090150246E-3</v>
      </c>
      <c r="L6" s="56">
        <f t="shared" si="4"/>
        <v>2.6102088167053363E-2</v>
      </c>
      <c r="M6" s="55">
        <v>18</v>
      </c>
      <c r="N6" s="56">
        <f t="shared" si="2"/>
        <v>8.3472454090150253E-4</v>
      </c>
      <c r="O6" s="53" t="s">
        <v>452</v>
      </c>
    </row>
    <row r="7" spans="1:15" hidden="1" x14ac:dyDescent="0.25">
      <c r="A7" s="58" t="s">
        <v>818</v>
      </c>
      <c r="B7" s="53" t="s">
        <v>444</v>
      </c>
      <c r="C7" s="53" t="s">
        <v>834</v>
      </c>
      <c r="D7" s="54">
        <v>44853</v>
      </c>
      <c r="E7" s="55">
        <v>11368</v>
      </c>
      <c r="F7" s="56">
        <f t="shared" si="0"/>
        <v>0.99920830401125971</v>
      </c>
      <c r="G7" s="55">
        <v>9</v>
      </c>
      <c r="H7" s="55">
        <v>3694</v>
      </c>
      <c r="I7" s="56">
        <f t="shared" si="1"/>
        <v>0.32494722026741729</v>
      </c>
      <c r="J7" s="55">
        <v>85</v>
      </c>
      <c r="K7" s="56">
        <f t="shared" si="3"/>
        <v>7.477128782547502E-3</v>
      </c>
      <c r="L7" s="56">
        <f t="shared" si="4"/>
        <v>2.3010286951813751E-2</v>
      </c>
      <c r="M7" s="55">
        <v>20</v>
      </c>
      <c r="N7" s="56">
        <f t="shared" si="2"/>
        <v>1.7593244194229415E-3</v>
      </c>
      <c r="O7" s="53" t="s">
        <v>452</v>
      </c>
    </row>
    <row r="8" spans="1:15" hidden="1" x14ac:dyDescent="0.25">
      <c r="A8" s="58" t="s">
        <v>819</v>
      </c>
      <c r="B8" s="53" t="s">
        <v>439</v>
      </c>
      <c r="C8" s="53" t="s">
        <v>834</v>
      </c>
      <c r="D8" s="54">
        <v>44853</v>
      </c>
      <c r="E8" s="55">
        <v>410668</v>
      </c>
      <c r="F8" s="56">
        <f t="shared" si="0"/>
        <v>0.99857062152395604</v>
      </c>
      <c r="G8" s="55">
        <v>587</v>
      </c>
      <c r="H8" s="55">
        <v>171206</v>
      </c>
      <c r="I8" s="56">
        <f t="shared" si="1"/>
        <v>0.41689637371307237</v>
      </c>
      <c r="J8" s="55">
        <v>2900</v>
      </c>
      <c r="K8" s="56">
        <f t="shared" si="3"/>
        <v>7.0616653842032985E-3</v>
      </c>
      <c r="L8" s="56">
        <f t="shared" si="4"/>
        <v>1.6938658691868277E-2</v>
      </c>
      <c r="M8" s="55">
        <v>400</v>
      </c>
      <c r="N8" s="56">
        <f t="shared" si="2"/>
        <v>9.7402281161424798E-4</v>
      </c>
      <c r="O8" s="53" t="s">
        <v>452</v>
      </c>
    </row>
    <row r="9" spans="1:15" hidden="1" x14ac:dyDescent="0.25">
      <c r="A9" s="58" t="s">
        <v>819</v>
      </c>
      <c r="B9" s="53" t="s">
        <v>444</v>
      </c>
      <c r="C9" s="53" t="s">
        <v>834</v>
      </c>
      <c r="D9" s="54">
        <v>44853</v>
      </c>
      <c r="E9" s="55">
        <v>235736</v>
      </c>
      <c r="F9" s="56">
        <f t="shared" si="0"/>
        <v>0.99851528828859404</v>
      </c>
      <c r="G9" s="55">
        <v>350</v>
      </c>
      <c r="H9" s="55">
        <v>106759</v>
      </c>
      <c r="I9" s="56">
        <f t="shared" si="1"/>
        <v>0.45287525027997422</v>
      </c>
      <c r="J9" s="55">
        <v>1881</v>
      </c>
      <c r="K9" s="56">
        <f t="shared" si="3"/>
        <v>7.9792649404418509E-3</v>
      </c>
      <c r="L9" s="56">
        <f t="shared" si="4"/>
        <v>1.7619123446266826E-2</v>
      </c>
      <c r="M9" s="55">
        <v>524</v>
      </c>
      <c r="N9" s="56">
        <f t="shared" si="2"/>
        <v>2.2228255336478094E-3</v>
      </c>
      <c r="O9" s="53" t="s">
        <v>452</v>
      </c>
    </row>
    <row r="10" spans="1:15" x14ac:dyDescent="0.25">
      <c r="A10" s="58" t="s">
        <v>451</v>
      </c>
      <c r="B10" s="53" t="s">
        <v>444</v>
      </c>
      <c r="C10" s="53" t="s">
        <v>834</v>
      </c>
      <c r="D10" s="54">
        <v>44855</v>
      </c>
      <c r="E10" s="55">
        <v>232122</v>
      </c>
      <c r="F10" s="56">
        <f t="shared" si="0"/>
        <v>0.99879804585519683</v>
      </c>
      <c r="G10" s="55">
        <v>279</v>
      </c>
      <c r="H10" s="55">
        <v>78326</v>
      </c>
      <c r="I10" s="56">
        <f t="shared" si="1"/>
        <v>0.33743462489552906</v>
      </c>
      <c r="J10" s="55">
        <v>1508</v>
      </c>
      <c r="K10" s="56">
        <f t="shared" si="3"/>
        <v>6.4965836930579611E-3</v>
      </c>
      <c r="L10" s="56">
        <f t="shared" si="4"/>
        <v>1.9252866225774327E-2</v>
      </c>
      <c r="M10" s="55">
        <v>258</v>
      </c>
      <c r="N10" s="56">
        <f t="shared" si="2"/>
        <v>1.1114844779900224E-3</v>
      </c>
      <c r="O10" s="53" t="s">
        <v>452</v>
      </c>
    </row>
    <row r="11" spans="1:15" x14ac:dyDescent="0.25">
      <c r="A11" s="58" t="s">
        <v>453</v>
      </c>
      <c r="B11" s="53" t="s">
        <v>444</v>
      </c>
      <c r="C11" s="53" t="s">
        <v>834</v>
      </c>
      <c r="D11" s="54">
        <v>44855</v>
      </c>
      <c r="E11" s="55">
        <v>232983</v>
      </c>
      <c r="F11" s="56">
        <f t="shared" si="0"/>
        <v>0.99651476717185372</v>
      </c>
      <c r="G11" s="55">
        <v>812</v>
      </c>
      <c r="H11" s="55">
        <v>72308</v>
      </c>
      <c r="I11" s="56">
        <f t="shared" si="1"/>
        <v>0.31035740805123119</v>
      </c>
      <c r="J11" s="55">
        <v>1711</v>
      </c>
      <c r="K11" s="56">
        <f t="shared" si="3"/>
        <v>7.3438834593081903E-3</v>
      </c>
      <c r="L11" s="56">
        <f t="shared" si="4"/>
        <v>2.366266526525419E-2</v>
      </c>
      <c r="M11" s="55">
        <v>238</v>
      </c>
      <c r="N11" s="56">
        <f t="shared" si="2"/>
        <v>1.0215337599739037E-3</v>
      </c>
      <c r="O11" s="53" t="s">
        <v>452</v>
      </c>
    </row>
    <row r="12" spans="1:15" hidden="1" x14ac:dyDescent="0.25">
      <c r="A12" s="58" t="s">
        <v>820</v>
      </c>
      <c r="B12" s="53" t="s">
        <v>444</v>
      </c>
      <c r="C12" s="53" t="s">
        <v>834</v>
      </c>
      <c r="D12" s="54">
        <v>44861</v>
      </c>
      <c r="E12" s="55">
        <v>70001</v>
      </c>
      <c r="F12" s="56">
        <f t="shared" si="0"/>
        <v>0.99910001285695915</v>
      </c>
      <c r="G12" s="55">
        <v>63</v>
      </c>
      <c r="H12" s="55">
        <v>20877</v>
      </c>
      <c r="I12" s="56">
        <f t="shared" si="1"/>
        <v>0.29823859659147728</v>
      </c>
      <c r="J12" s="55">
        <v>436</v>
      </c>
      <c r="K12" s="56">
        <f t="shared" si="3"/>
        <v>6.2284824502507104E-3</v>
      </c>
      <c r="L12" s="56">
        <f t="shared" si="4"/>
        <v>2.0884226660918714E-2</v>
      </c>
      <c r="M12" s="55">
        <v>145</v>
      </c>
      <c r="N12" s="56">
        <f t="shared" si="2"/>
        <v>2.0713989800145711E-3</v>
      </c>
      <c r="O12" s="53" t="s">
        <v>452</v>
      </c>
    </row>
    <row r="13" spans="1:15" hidden="1" x14ac:dyDescent="0.25">
      <c r="A13" s="58" t="s">
        <v>820</v>
      </c>
      <c r="B13" s="53" t="s">
        <v>439</v>
      </c>
      <c r="C13" s="53" t="s">
        <v>834</v>
      </c>
      <c r="D13" s="54">
        <v>44861</v>
      </c>
      <c r="E13" s="55">
        <v>118067</v>
      </c>
      <c r="F13" s="56">
        <f t="shared" si="0"/>
        <v>0.99897515817290183</v>
      </c>
      <c r="G13" s="55">
        <v>121</v>
      </c>
      <c r="H13" s="55">
        <v>32553</v>
      </c>
      <c r="I13" s="56">
        <f t="shared" si="1"/>
        <v>0.27571633055807299</v>
      </c>
      <c r="J13" s="55">
        <v>678</v>
      </c>
      <c r="K13" s="56">
        <f t="shared" si="3"/>
        <v>5.7425021386162097E-3</v>
      </c>
      <c r="L13" s="56">
        <f t="shared" si="4"/>
        <v>2.0827573495530365E-2</v>
      </c>
      <c r="M13" s="55">
        <v>171</v>
      </c>
      <c r="N13" s="56">
        <f t="shared" si="2"/>
        <v>1.4483301854032033E-3</v>
      </c>
      <c r="O13" s="53" t="s">
        <v>452</v>
      </c>
    </row>
    <row r="14" spans="1:15" hidden="1" x14ac:dyDescent="0.25">
      <c r="A14" s="58" t="s">
        <v>821</v>
      </c>
      <c r="B14" s="53" t="s">
        <v>444</v>
      </c>
      <c r="C14" s="53" t="s">
        <v>834</v>
      </c>
      <c r="D14" s="54">
        <v>44861</v>
      </c>
      <c r="E14" s="55">
        <v>1099310</v>
      </c>
      <c r="F14" s="56">
        <f t="shared" si="0"/>
        <v>0.99859639228243169</v>
      </c>
      <c r="G14" s="55">
        <v>1543</v>
      </c>
      <c r="H14" s="55">
        <v>465487</v>
      </c>
      <c r="I14" s="56">
        <f t="shared" si="1"/>
        <v>0.42343560960966425</v>
      </c>
      <c r="J14" s="55">
        <v>6069</v>
      </c>
      <c r="K14" s="56">
        <f t="shared" si="3"/>
        <v>5.5207357342332919E-3</v>
      </c>
      <c r="L14" s="56">
        <f t="shared" si="4"/>
        <v>1.3037958095499982E-2</v>
      </c>
      <c r="M14" s="55">
        <v>3726</v>
      </c>
      <c r="N14" s="56">
        <f t="shared" si="2"/>
        <v>3.3893988047047695E-3</v>
      </c>
      <c r="O14" s="53" t="s">
        <v>452</v>
      </c>
    </row>
    <row r="15" spans="1:15" hidden="1" x14ac:dyDescent="0.25">
      <c r="A15" s="58" t="s">
        <v>821</v>
      </c>
      <c r="B15" s="53" t="s">
        <v>439</v>
      </c>
      <c r="C15" s="53" t="s">
        <v>834</v>
      </c>
      <c r="D15" s="54">
        <v>44861</v>
      </c>
      <c r="E15" s="55">
        <v>1745598</v>
      </c>
      <c r="F15" s="56">
        <f t="shared" si="0"/>
        <v>0.99835529142448609</v>
      </c>
      <c r="G15" s="55">
        <v>2871</v>
      </c>
      <c r="H15" s="55">
        <v>673472</v>
      </c>
      <c r="I15" s="56">
        <f t="shared" si="1"/>
        <v>0.38581162444044964</v>
      </c>
      <c r="J15" s="55">
        <v>6886</v>
      </c>
      <c r="K15" s="56">
        <f t="shared" si="3"/>
        <v>3.9447799550641101E-3</v>
      </c>
      <c r="L15" s="56">
        <f t="shared" si="4"/>
        <v>1.0224627007507365E-2</v>
      </c>
      <c r="M15" s="55">
        <v>2100</v>
      </c>
      <c r="N15" s="56">
        <f t="shared" si="2"/>
        <v>1.2030261262902455E-3</v>
      </c>
      <c r="O15" s="53" t="s">
        <v>452</v>
      </c>
    </row>
    <row r="16" spans="1:15" x14ac:dyDescent="0.25">
      <c r="A16" s="58" t="s">
        <v>451</v>
      </c>
      <c r="B16" s="53" t="s">
        <v>444</v>
      </c>
      <c r="C16" s="53" t="s">
        <v>834</v>
      </c>
      <c r="D16" s="54">
        <v>44862</v>
      </c>
      <c r="E16" s="55">
        <v>231562</v>
      </c>
      <c r="F16" s="56">
        <f t="shared" si="0"/>
        <v>0.99884264257520661</v>
      </c>
      <c r="G16" s="55">
        <v>268</v>
      </c>
      <c r="H16" s="55">
        <v>86715</v>
      </c>
      <c r="I16" s="56">
        <f t="shared" si="1"/>
        <v>0.37447854138416492</v>
      </c>
      <c r="J16" s="55">
        <v>1553</v>
      </c>
      <c r="K16" s="56">
        <f t="shared" si="3"/>
        <v>6.7066271668062977E-3</v>
      </c>
      <c r="L16" s="56">
        <f t="shared" si="4"/>
        <v>1.7909242922216455E-2</v>
      </c>
      <c r="M16" s="55">
        <v>219</v>
      </c>
      <c r="N16" s="56">
        <f t="shared" si="2"/>
        <v>9.4575102996173816E-4</v>
      </c>
      <c r="O16" s="53" t="s">
        <v>452</v>
      </c>
    </row>
    <row r="17" spans="1:15" x14ac:dyDescent="0.25">
      <c r="A17" s="58" t="s">
        <v>453</v>
      </c>
      <c r="B17" s="53" t="s">
        <v>444</v>
      </c>
      <c r="C17" s="53" t="s">
        <v>834</v>
      </c>
      <c r="D17" s="54">
        <v>44862</v>
      </c>
      <c r="E17" s="55">
        <v>292678</v>
      </c>
      <c r="F17" s="56">
        <f t="shared" si="0"/>
        <v>0.99503549976424599</v>
      </c>
      <c r="G17" s="55">
        <v>1453</v>
      </c>
      <c r="H17" s="55">
        <v>95178</v>
      </c>
      <c r="I17" s="56">
        <f t="shared" si="1"/>
        <v>0.32519697414906484</v>
      </c>
      <c r="J17" s="55">
        <v>1824</v>
      </c>
      <c r="K17" s="56">
        <f t="shared" si="3"/>
        <v>6.2321049070992694E-3</v>
      </c>
      <c r="L17" s="56">
        <f t="shared" si="4"/>
        <v>1.9164092542394252E-2</v>
      </c>
      <c r="M17" s="55">
        <v>247</v>
      </c>
      <c r="N17" s="56">
        <f t="shared" si="2"/>
        <v>8.439308728363594E-4</v>
      </c>
      <c r="O17" s="53" t="s">
        <v>452</v>
      </c>
    </row>
    <row r="18" spans="1:15" x14ac:dyDescent="0.25">
      <c r="A18" s="58" t="s">
        <v>454</v>
      </c>
      <c r="B18" s="53" t="s">
        <v>444</v>
      </c>
      <c r="C18" s="53" t="s">
        <v>834</v>
      </c>
      <c r="D18" s="54">
        <v>44863</v>
      </c>
      <c r="E18" s="55">
        <v>13091</v>
      </c>
      <c r="F18" s="56">
        <f t="shared" si="0"/>
        <v>0.99877778626537317</v>
      </c>
      <c r="G18" s="55">
        <v>16</v>
      </c>
      <c r="H18" s="55">
        <v>4748</v>
      </c>
      <c r="I18" s="56">
        <f t="shared" si="1"/>
        <v>0.36269192575051562</v>
      </c>
      <c r="J18" s="55">
        <v>166</v>
      </c>
      <c r="K18" s="56">
        <f t="shared" si="3"/>
        <v>1.2680467496753495E-2</v>
      </c>
      <c r="L18" s="56">
        <f t="shared" si="4"/>
        <v>3.4962089300758212E-2</v>
      </c>
      <c r="M18" s="55">
        <v>19</v>
      </c>
      <c r="N18" s="56">
        <f t="shared" si="2"/>
        <v>1.4513788098693759E-3</v>
      </c>
      <c r="O18" s="53" t="s">
        <v>452</v>
      </c>
    </row>
    <row r="19" spans="1:15" x14ac:dyDescent="0.25">
      <c r="A19" s="58" t="s">
        <v>451</v>
      </c>
      <c r="B19" s="53" t="s">
        <v>444</v>
      </c>
      <c r="C19" s="53" t="s">
        <v>834</v>
      </c>
      <c r="D19" s="54">
        <v>44869</v>
      </c>
      <c r="E19" s="55">
        <v>231205</v>
      </c>
      <c r="F19" s="56">
        <f t="shared" si="0"/>
        <v>0.99880625419000457</v>
      </c>
      <c r="G19" s="55">
        <v>276</v>
      </c>
      <c r="H19" s="55">
        <v>90981</v>
      </c>
      <c r="I19" s="56">
        <f t="shared" si="1"/>
        <v>0.39350792586665512</v>
      </c>
      <c r="J19" s="55">
        <v>1425</v>
      </c>
      <c r="K19" s="56">
        <f t="shared" si="3"/>
        <v>6.1633615189982914E-3</v>
      </c>
      <c r="L19" s="56">
        <f t="shared" si="4"/>
        <v>1.5662610874798033E-2</v>
      </c>
      <c r="M19" s="55">
        <v>240</v>
      </c>
      <c r="N19" s="56">
        <f t="shared" si="2"/>
        <v>1.0380398347786595E-3</v>
      </c>
      <c r="O19" s="53" t="s">
        <v>452</v>
      </c>
    </row>
    <row r="20" spans="1:15" x14ac:dyDescent="0.25">
      <c r="A20" s="58" t="s">
        <v>453</v>
      </c>
      <c r="B20" s="53" t="s">
        <v>444</v>
      </c>
      <c r="C20" s="53" t="s">
        <v>834</v>
      </c>
      <c r="D20" s="54">
        <v>44869</v>
      </c>
      <c r="E20" s="55">
        <v>292361</v>
      </c>
      <c r="F20" s="56">
        <f t="shared" si="0"/>
        <v>0.99516693403018874</v>
      </c>
      <c r="G20" s="55">
        <v>1413</v>
      </c>
      <c r="H20" s="55">
        <v>99835</v>
      </c>
      <c r="I20" s="56">
        <f t="shared" si="1"/>
        <v>0.34147851457615758</v>
      </c>
      <c r="J20" s="55">
        <v>1764</v>
      </c>
      <c r="K20" s="56">
        <f t="shared" si="3"/>
        <v>6.0336364973440368E-3</v>
      </c>
      <c r="L20" s="56">
        <f t="shared" si="4"/>
        <v>1.7669154104272049E-2</v>
      </c>
      <c r="M20" s="55">
        <v>208</v>
      </c>
      <c r="N20" s="56">
        <f t="shared" si="2"/>
        <v>7.1144920150088419E-4</v>
      </c>
      <c r="O20" s="53" t="s">
        <v>452</v>
      </c>
    </row>
    <row r="21" spans="1:15" x14ac:dyDescent="0.25">
      <c r="A21" s="58" t="s">
        <v>451</v>
      </c>
      <c r="B21" s="53" t="s">
        <v>444</v>
      </c>
      <c r="C21" s="53" t="s">
        <v>834</v>
      </c>
      <c r="D21" s="125">
        <v>44876</v>
      </c>
      <c r="E21" s="55">
        <v>230972</v>
      </c>
      <c r="F21" s="56">
        <f t="shared" si="0"/>
        <v>0.99868382314739446</v>
      </c>
      <c r="G21" s="55">
        <v>304</v>
      </c>
      <c r="H21" s="55">
        <v>92377</v>
      </c>
      <c r="I21" s="56">
        <f t="shared" si="1"/>
        <v>0.39994891155637913</v>
      </c>
      <c r="J21" s="55">
        <v>2325</v>
      </c>
      <c r="K21" s="56">
        <f t="shared" si="3"/>
        <v>1.0066155204959909E-2</v>
      </c>
      <c r="L21" s="56">
        <f t="shared" si="4"/>
        <v>2.5168602574233846E-2</v>
      </c>
      <c r="M21" s="55">
        <v>205</v>
      </c>
      <c r="N21" s="56">
        <f t="shared" si="2"/>
        <v>8.8755346968463712E-4</v>
      </c>
      <c r="O21" s="53" t="s">
        <v>452</v>
      </c>
    </row>
    <row r="22" spans="1:15" x14ac:dyDescent="0.25">
      <c r="A22" s="58" t="s">
        <v>453</v>
      </c>
      <c r="B22" s="53" t="s">
        <v>444</v>
      </c>
      <c r="C22" s="53" t="s">
        <v>834</v>
      </c>
      <c r="D22" s="125">
        <v>44876</v>
      </c>
      <c r="E22" s="55">
        <v>292134</v>
      </c>
      <c r="F22" s="56">
        <f t="shared" si="0"/>
        <v>0.9951768708880171</v>
      </c>
      <c r="G22" s="55">
        <v>1409</v>
      </c>
      <c r="H22" s="55">
        <v>101867</v>
      </c>
      <c r="I22" s="56">
        <f t="shared" si="1"/>
        <v>0.34869956937569746</v>
      </c>
      <c r="J22" s="55">
        <v>3097</v>
      </c>
      <c r="K22" s="56">
        <f t="shared" si="3"/>
        <v>1.0601299403698302E-2</v>
      </c>
      <c r="L22" s="56">
        <f t="shared" si="4"/>
        <v>3.0402387426742714E-2</v>
      </c>
      <c r="M22" s="55">
        <v>248</v>
      </c>
      <c r="N22" s="56">
        <f t="shared" si="2"/>
        <v>8.4892549309563414E-4</v>
      </c>
      <c r="O22" s="53" t="s">
        <v>452</v>
      </c>
    </row>
    <row r="23" spans="1:15" x14ac:dyDescent="0.25">
      <c r="A23" s="58" t="s">
        <v>454</v>
      </c>
      <c r="B23" s="53" t="s">
        <v>444</v>
      </c>
      <c r="C23" s="53" t="s">
        <v>834</v>
      </c>
      <c r="D23" s="125">
        <v>44877</v>
      </c>
      <c r="E23" s="55">
        <v>13005</v>
      </c>
      <c r="F23" s="56">
        <f t="shared" si="0"/>
        <v>0.99892349096501343</v>
      </c>
      <c r="G23" s="55">
        <v>14</v>
      </c>
      <c r="H23" s="55">
        <v>4577</v>
      </c>
      <c r="I23" s="56">
        <f t="shared" si="1"/>
        <v>0.35194156093810075</v>
      </c>
      <c r="J23" s="55">
        <v>200</v>
      </c>
      <c r="K23" s="56">
        <f t="shared" si="3"/>
        <v>1.5378700499807767E-2</v>
      </c>
      <c r="L23" s="56">
        <f t="shared" si="4"/>
        <v>4.3696744592527856E-2</v>
      </c>
      <c r="M23" s="55">
        <v>19</v>
      </c>
      <c r="N23" s="56">
        <f t="shared" si="2"/>
        <v>1.4609765474817378E-3</v>
      </c>
      <c r="O23" s="53" t="s">
        <v>452</v>
      </c>
    </row>
    <row r="24" spans="1:15" x14ac:dyDescent="0.25">
      <c r="A24" s="58" t="s">
        <v>451</v>
      </c>
      <c r="B24" s="53" t="s">
        <v>444</v>
      </c>
      <c r="C24" s="53" t="s">
        <v>834</v>
      </c>
      <c r="D24" s="125">
        <v>44883</v>
      </c>
      <c r="E24" s="55">
        <v>230977</v>
      </c>
      <c r="F24" s="56">
        <f t="shared" si="0"/>
        <v>0.99904752421236742</v>
      </c>
      <c r="G24" s="55">
        <v>220</v>
      </c>
      <c r="H24" s="55">
        <v>104996</v>
      </c>
      <c r="I24" s="56">
        <f t="shared" si="1"/>
        <v>0.45457339908302558</v>
      </c>
      <c r="J24" s="55">
        <v>2103</v>
      </c>
      <c r="K24" s="56">
        <f t="shared" si="3"/>
        <v>9.1048026426873672E-3</v>
      </c>
      <c r="L24" s="56">
        <f t="shared" si="4"/>
        <v>2.0029334450836222E-2</v>
      </c>
      <c r="M24" s="55">
        <v>233</v>
      </c>
      <c r="N24" s="56">
        <f t="shared" si="2"/>
        <v>1.008758447810821E-3</v>
      </c>
      <c r="O24" s="53" t="s">
        <v>452</v>
      </c>
    </row>
    <row r="25" spans="1:15" x14ac:dyDescent="0.25">
      <c r="A25" s="58" t="s">
        <v>453</v>
      </c>
      <c r="B25" s="53" t="s">
        <v>444</v>
      </c>
      <c r="C25" s="53" t="s">
        <v>834</v>
      </c>
      <c r="D25" s="125">
        <v>44883</v>
      </c>
      <c r="E25" s="55">
        <v>291823</v>
      </c>
      <c r="F25" s="56">
        <f t="shared" si="0"/>
        <v>0.99540474876894558</v>
      </c>
      <c r="G25" s="55">
        <v>1341</v>
      </c>
      <c r="H25" s="55">
        <v>109724</v>
      </c>
      <c r="I25" s="56">
        <f t="shared" si="1"/>
        <v>0.37599503808815615</v>
      </c>
      <c r="J25" s="55">
        <v>2707</v>
      </c>
      <c r="K25" s="56">
        <f t="shared" si="3"/>
        <v>9.2761708295782033E-3</v>
      </c>
      <c r="L25" s="56">
        <f t="shared" si="4"/>
        <v>2.4670992672523786E-2</v>
      </c>
      <c r="M25" s="55">
        <v>205</v>
      </c>
      <c r="N25" s="56">
        <f t="shared" si="2"/>
        <v>7.0248061324844173E-4</v>
      </c>
      <c r="O25" s="53" t="s">
        <v>452</v>
      </c>
    </row>
    <row r="26" spans="1:15" hidden="1" x14ac:dyDescent="0.25">
      <c r="A26" s="58" t="s">
        <v>822</v>
      </c>
      <c r="B26" s="53" t="s">
        <v>835</v>
      </c>
      <c r="C26" s="53" t="s">
        <v>834</v>
      </c>
      <c r="D26" s="54">
        <v>44887</v>
      </c>
      <c r="E26" s="55">
        <v>1422</v>
      </c>
      <c r="F26" s="56">
        <f t="shared" si="0"/>
        <v>0.91983122362869196</v>
      </c>
      <c r="G26" s="55">
        <v>114</v>
      </c>
      <c r="H26" s="55">
        <v>353</v>
      </c>
      <c r="I26" s="56">
        <f t="shared" si="1"/>
        <v>0.24824191279887484</v>
      </c>
      <c r="J26" s="55">
        <v>43</v>
      </c>
      <c r="K26" s="56">
        <f t="shared" si="3"/>
        <v>3.0239099859353025E-2</v>
      </c>
      <c r="L26" s="56">
        <f t="shared" si="4"/>
        <v>0.12181303116147309</v>
      </c>
      <c r="M26" s="55">
        <v>13</v>
      </c>
      <c r="N26" s="56">
        <f t="shared" si="2"/>
        <v>9.1420534458509142E-3</v>
      </c>
      <c r="O26" s="53" t="s">
        <v>452</v>
      </c>
    </row>
    <row r="27" spans="1:15" hidden="1" x14ac:dyDescent="0.25">
      <c r="A27" s="58" t="s">
        <v>823</v>
      </c>
      <c r="B27" s="53" t="s">
        <v>444</v>
      </c>
      <c r="C27" s="53" t="s">
        <v>834</v>
      </c>
      <c r="D27" s="54">
        <v>44887</v>
      </c>
      <c r="E27" s="55">
        <v>174792</v>
      </c>
      <c r="F27" s="56">
        <f t="shared" si="0"/>
        <v>0.99887294613025768</v>
      </c>
      <c r="G27" s="55">
        <v>197</v>
      </c>
      <c r="H27" s="55">
        <v>83464</v>
      </c>
      <c r="I27" s="56">
        <f t="shared" si="1"/>
        <v>0.47750469129021922</v>
      </c>
      <c r="J27" s="55">
        <v>1505</v>
      </c>
      <c r="K27" s="56">
        <f t="shared" si="3"/>
        <v>8.6102338779806848E-3</v>
      </c>
      <c r="L27" s="56">
        <f t="shared" si="4"/>
        <v>1.8031726253234927E-2</v>
      </c>
      <c r="M27" s="55">
        <v>449</v>
      </c>
      <c r="N27" s="56">
        <f t="shared" si="2"/>
        <v>2.5687674493111812E-3</v>
      </c>
      <c r="O27" s="53" t="s">
        <v>452</v>
      </c>
    </row>
    <row r="28" spans="1:15" hidden="1" x14ac:dyDescent="0.25">
      <c r="A28" s="58" t="s">
        <v>823</v>
      </c>
      <c r="B28" s="53" t="s">
        <v>439</v>
      </c>
      <c r="C28" s="53" t="s">
        <v>834</v>
      </c>
      <c r="D28" s="54">
        <v>44887</v>
      </c>
      <c r="E28" s="55">
        <v>275428</v>
      </c>
      <c r="F28" s="56">
        <f t="shared" si="0"/>
        <v>0.99901244608391304</v>
      </c>
      <c r="G28" s="55">
        <v>272</v>
      </c>
      <c r="H28" s="55">
        <v>124819</v>
      </c>
      <c r="I28" s="56">
        <f t="shared" si="1"/>
        <v>0.453181956809039</v>
      </c>
      <c r="J28" s="55">
        <v>2143</v>
      </c>
      <c r="K28" s="56">
        <f t="shared" si="3"/>
        <v>7.7806178021116229E-3</v>
      </c>
      <c r="L28" s="56">
        <f t="shared" si="4"/>
        <v>1.7168860510018508E-2</v>
      </c>
      <c r="M28" s="55">
        <v>267</v>
      </c>
      <c r="N28" s="56">
        <f t="shared" si="2"/>
        <v>9.6940035145301126E-4</v>
      </c>
      <c r="O28" s="53" t="s">
        <v>452</v>
      </c>
    </row>
    <row r="29" spans="1:15" hidden="1" x14ac:dyDescent="0.25">
      <c r="A29" s="58" t="s">
        <v>824</v>
      </c>
      <c r="B29" s="53" t="s">
        <v>444</v>
      </c>
      <c r="C29" s="53" t="s">
        <v>834</v>
      </c>
      <c r="D29" s="54">
        <v>44888</v>
      </c>
      <c r="E29" s="55">
        <v>8891</v>
      </c>
      <c r="F29" s="56">
        <f t="shared" si="0"/>
        <v>0.99943763356202897</v>
      </c>
      <c r="G29" s="55">
        <v>5</v>
      </c>
      <c r="H29" s="55">
        <v>3009</v>
      </c>
      <c r="I29" s="56">
        <f t="shared" si="1"/>
        <v>0.33843212237093689</v>
      </c>
      <c r="J29" s="55">
        <v>183</v>
      </c>
      <c r="K29" s="56">
        <f t="shared" si="3"/>
        <v>2.0582611629737936E-2</v>
      </c>
      <c r="L29" s="56">
        <f t="shared" si="4"/>
        <v>6.0817547357926223E-2</v>
      </c>
      <c r="M29" s="55">
        <v>19</v>
      </c>
      <c r="N29" s="56">
        <f t="shared" si="2"/>
        <v>2.1369924642897311E-3</v>
      </c>
      <c r="O29" s="53" t="s">
        <v>452</v>
      </c>
    </row>
    <row r="30" spans="1:15" hidden="1" x14ac:dyDescent="0.25">
      <c r="A30" s="58" t="s">
        <v>824</v>
      </c>
      <c r="B30" s="53" t="s">
        <v>439</v>
      </c>
      <c r="C30" s="53" t="s">
        <v>834</v>
      </c>
      <c r="D30" s="54">
        <v>44888</v>
      </c>
      <c r="E30" s="55">
        <v>13873</v>
      </c>
      <c r="F30" s="56">
        <f t="shared" si="0"/>
        <v>0.99956750522597848</v>
      </c>
      <c r="G30" s="55">
        <v>6</v>
      </c>
      <c r="H30" s="55">
        <v>5028</v>
      </c>
      <c r="I30" s="56">
        <f t="shared" si="1"/>
        <v>0.3624306206300007</v>
      </c>
      <c r="J30" s="55">
        <v>264</v>
      </c>
      <c r="K30" s="56">
        <f t="shared" si="3"/>
        <v>1.9029770056945144E-2</v>
      </c>
      <c r="L30" s="56">
        <f t="shared" si="4"/>
        <v>5.2505966587112173E-2</v>
      </c>
      <c r="M30" s="55">
        <v>16</v>
      </c>
      <c r="N30" s="56">
        <f t="shared" si="2"/>
        <v>1.1533193973906149E-3</v>
      </c>
      <c r="O30" s="53" t="s">
        <v>452</v>
      </c>
    </row>
    <row r="31" spans="1:15" hidden="1" x14ac:dyDescent="0.25">
      <c r="A31" s="58" t="s">
        <v>825</v>
      </c>
      <c r="B31" s="53" t="s">
        <v>444</v>
      </c>
      <c r="C31" s="53" t="s">
        <v>834</v>
      </c>
      <c r="D31" s="54">
        <v>44888</v>
      </c>
      <c r="E31" s="55">
        <v>174745</v>
      </c>
      <c r="F31" s="56">
        <f t="shared" si="0"/>
        <v>0.9989527597356147</v>
      </c>
      <c r="G31" s="55">
        <v>183</v>
      </c>
      <c r="H31" s="55">
        <v>83531</v>
      </c>
      <c r="I31" s="56">
        <f t="shared" si="1"/>
        <v>0.47801653838450314</v>
      </c>
      <c r="J31" s="55">
        <v>2980</v>
      </c>
      <c r="K31" s="56">
        <f t="shared" si="3"/>
        <v>1.705342069873244E-2</v>
      </c>
      <c r="L31" s="56">
        <f t="shared" si="4"/>
        <v>3.5675378003375995E-2</v>
      </c>
      <c r="M31" s="55">
        <v>645</v>
      </c>
      <c r="N31" s="56">
        <f t="shared" si="2"/>
        <v>3.6910927351283297E-3</v>
      </c>
      <c r="O31" s="53" t="s">
        <v>452</v>
      </c>
    </row>
    <row r="32" spans="1:15" hidden="1" x14ac:dyDescent="0.25">
      <c r="A32" s="58" t="s">
        <v>825</v>
      </c>
      <c r="B32" s="53" t="s">
        <v>439</v>
      </c>
      <c r="C32" s="53" t="s">
        <v>834</v>
      </c>
      <c r="D32" s="54">
        <v>44888</v>
      </c>
      <c r="E32" s="55">
        <v>275027</v>
      </c>
      <c r="F32" s="56">
        <f t="shared" si="0"/>
        <v>0.99897828213229978</v>
      </c>
      <c r="G32" s="55">
        <v>281</v>
      </c>
      <c r="H32" s="55">
        <v>124382</v>
      </c>
      <c r="I32" s="56">
        <f t="shared" si="1"/>
        <v>0.45225377871990752</v>
      </c>
      <c r="J32" s="55">
        <v>4198</v>
      </c>
      <c r="K32" s="56">
        <f t="shared" si="3"/>
        <v>1.5263955902511389E-2</v>
      </c>
      <c r="L32" s="56">
        <f t="shared" si="4"/>
        <v>3.3750864272965544E-2</v>
      </c>
      <c r="M32" s="55">
        <v>325</v>
      </c>
      <c r="N32" s="56">
        <f t="shared" si="2"/>
        <v>1.1817021601515487E-3</v>
      </c>
      <c r="O32" s="53" t="s">
        <v>452</v>
      </c>
    </row>
    <row r="33" spans="1:15" hidden="1" x14ac:dyDescent="0.25">
      <c r="A33" s="58" t="s">
        <v>826</v>
      </c>
      <c r="B33" s="53" t="s">
        <v>444</v>
      </c>
      <c r="C33" s="53" t="s">
        <v>834</v>
      </c>
      <c r="D33" s="54">
        <v>44889</v>
      </c>
      <c r="E33" s="55">
        <v>8885</v>
      </c>
      <c r="F33" s="56">
        <f t="shared" si="0"/>
        <v>0.99954980303882945</v>
      </c>
      <c r="G33" s="55">
        <v>4</v>
      </c>
      <c r="H33" s="55">
        <v>2781</v>
      </c>
      <c r="I33" s="56">
        <f t="shared" si="1"/>
        <v>0.31299943725379853</v>
      </c>
      <c r="J33" s="55">
        <v>83</v>
      </c>
      <c r="K33" s="56">
        <f t="shared" si="3"/>
        <v>9.3415869442881258E-3</v>
      </c>
      <c r="L33" s="56">
        <f t="shared" si="4"/>
        <v>2.9845379359942466E-2</v>
      </c>
      <c r="M33" s="55">
        <v>35</v>
      </c>
      <c r="N33" s="56">
        <f t="shared" si="2"/>
        <v>3.9392234102419805E-3</v>
      </c>
      <c r="O33" s="53" t="s">
        <v>452</v>
      </c>
    </row>
    <row r="34" spans="1:15" hidden="1" x14ac:dyDescent="0.25">
      <c r="A34" s="58" t="s">
        <v>826</v>
      </c>
      <c r="B34" s="53" t="s">
        <v>439</v>
      </c>
      <c r="C34" s="53" t="s">
        <v>834</v>
      </c>
      <c r="D34" s="54">
        <v>44889</v>
      </c>
      <c r="E34" s="55">
        <v>13853</v>
      </c>
      <c r="F34" s="56">
        <f t="shared" si="0"/>
        <v>0.99956688082003897</v>
      </c>
      <c r="G34" s="55">
        <v>6</v>
      </c>
      <c r="H34" s="55">
        <v>4546</v>
      </c>
      <c r="I34" s="56">
        <f t="shared" si="1"/>
        <v>0.3281599653504656</v>
      </c>
      <c r="J34" s="55">
        <v>92</v>
      </c>
      <c r="K34" s="56">
        <f t="shared" si="3"/>
        <v>6.6411607594022955E-3</v>
      </c>
      <c r="L34" s="56">
        <f t="shared" si="4"/>
        <v>2.0237571491421028E-2</v>
      </c>
      <c r="M34" s="55">
        <v>17</v>
      </c>
      <c r="N34" s="56">
        <f t="shared" si="2"/>
        <v>1.2271710098895547E-3</v>
      </c>
      <c r="O34" s="53" t="s">
        <v>452</v>
      </c>
    </row>
    <row r="35" spans="1:15" x14ac:dyDescent="0.25">
      <c r="A35" s="58" t="s">
        <v>451</v>
      </c>
      <c r="B35" s="53" t="s">
        <v>444</v>
      </c>
      <c r="C35" s="53" t="s">
        <v>834</v>
      </c>
      <c r="D35" s="54">
        <v>44890</v>
      </c>
      <c r="E35" s="55">
        <v>229626</v>
      </c>
      <c r="F35" s="56">
        <f t="shared" si="0"/>
        <v>0.99888078876085462</v>
      </c>
      <c r="G35" s="55">
        <v>257</v>
      </c>
      <c r="H35" s="55">
        <v>88485</v>
      </c>
      <c r="I35" s="56">
        <f t="shared" si="1"/>
        <v>0.38534399414700427</v>
      </c>
      <c r="J35" s="55">
        <v>2072</v>
      </c>
      <c r="K35" s="56">
        <f t="shared" si="3"/>
        <v>9.023368433888148E-3</v>
      </c>
      <c r="L35" s="56">
        <f t="shared" si="4"/>
        <v>2.3416398259592023E-2</v>
      </c>
      <c r="M35" s="55">
        <v>294</v>
      </c>
      <c r="N35" s="56">
        <f t="shared" si="2"/>
        <v>1.2803428183219671E-3</v>
      </c>
      <c r="O35" s="53" t="s">
        <v>452</v>
      </c>
    </row>
    <row r="36" spans="1:15" x14ac:dyDescent="0.25">
      <c r="A36" s="58" t="s">
        <v>453</v>
      </c>
      <c r="B36" s="53" t="s">
        <v>444</v>
      </c>
      <c r="C36" s="53" t="s">
        <v>834</v>
      </c>
      <c r="D36" s="54">
        <v>44890</v>
      </c>
      <c r="E36" s="55">
        <v>291593</v>
      </c>
      <c r="F36" s="56">
        <f t="shared" si="0"/>
        <v>0.99526737610299287</v>
      </c>
      <c r="G36" s="55">
        <v>1380</v>
      </c>
      <c r="H36" s="55">
        <v>97633</v>
      </c>
      <c r="I36" s="56">
        <f t="shared" si="1"/>
        <v>0.33482628183804136</v>
      </c>
      <c r="J36" s="55">
        <v>2640</v>
      </c>
      <c r="K36" s="56">
        <f t="shared" si="3"/>
        <v>9.0537152812310302E-3</v>
      </c>
      <c r="L36" s="56">
        <f t="shared" si="4"/>
        <v>2.7040037692173752E-2</v>
      </c>
      <c r="M36" s="55">
        <v>343</v>
      </c>
      <c r="N36" s="56">
        <f t="shared" si="2"/>
        <v>1.1762970990387286E-3</v>
      </c>
      <c r="O36" s="53" t="s">
        <v>452</v>
      </c>
    </row>
    <row r="37" spans="1:15" x14ac:dyDescent="0.25">
      <c r="A37" s="58" t="s">
        <v>454</v>
      </c>
      <c r="B37" s="53" t="s">
        <v>444</v>
      </c>
      <c r="C37" s="53" t="s">
        <v>834</v>
      </c>
      <c r="D37" s="54">
        <v>44891</v>
      </c>
      <c r="E37" s="55">
        <v>12902</v>
      </c>
      <c r="F37" s="56">
        <f t="shared" si="0"/>
        <v>0.99922492636800497</v>
      </c>
      <c r="G37" s="55">
        <v>10</v>
      </c>
      <c r="H37" s="55">
        <v>3439</v>
      </c>
      <c r="I37" s="56">
        <f t="shared" si="1"/>
        <v>0.26654782204309407</v>
      </c>
      <c r="J37" s="55">
        <v>169</v>
      </c>
      <c r="K37" s="56">
        <f t="shared" si="3"/>
        <v>1.3098744380716168E-2</v>
      </c>
      <c r="L37" s="56">
        <f t="shared" si="4"/>
        <v>4.9142192497819134E-2</v>
      </c>
      <c r="M37" s="55">
        <v>21</v>
      </c>
      <c r="N37" s="56">
        <f t="shared" si="2"/>
        <v>1.6276546271895831E-3</v>
      </c>
      <c r="O37" s="53" t="s">
        <v>452</v>
      </c>
    </row>
    <row r="38" spans="1:15" x14ac:dyDescent="0.25">
      <c r="A38" s="58" t="s">
        <v>451</v>
      </c>
      <c r="B38" s="53" t="s">
        <v>444</v>
      </c>
      <c r="C38" s="53" t="s">
        <v>834</v>
      </c>
      <c r="D38" s="54">
        <v>44897</v>
      </c>
      <c r="E38" s="55">
        <v>228598</v>
      </c>
      <c r="F38" s="56">
        <f t="shared" si="0"/>
        <v>0.99890200264219287</v>
      </c>
      <c r="G38" s="55">
        <v>251</v>
      </c>
      <c r="H38" s="55">
        <v>102415</v>
      </c>
      <c r="I38" s="56">
        <f t="shared" si="1"/>
        <v>0.44801354342557675</v>
      </c>
      <c r="J38" s="55">
        <v>1330</v>
      </c>
      <c r="K38" s="56">
        <f t="shared" si="3"/>
        <v>5.8180736489383111E-3</v>
      </c>
      <c r="L38" s="56">
        <f t="shared" si="4"/>
        <v>1.2986378948396231E-2</v>
      </c>
      <c r="M38" s="55">
        <v>281</v>
      </c>
      <c r="N38" s="56">
        <f t="shared" si="2"/>
        <v>1.2292321017681694E-3</v>
      </c>
      <c r="O38" s="53" t="s">
        <v>452</v>
      </c>
    </row>
    <row r="39" spans="1:15" x14ac:dyDescent="0.25">
      <c r="A39" s="58" t="s">
        <v>453</v>
      </c>
      <c r="B39" s="53" t="s">
        <v>444</v>
      </c>
      <c r="C39" s="53" t="s">
        <v>834</v>
      </c>
      <c r="D39" s="54">
        <v>44897</v>
      </c>
      <c r="E39" s="55">
        <v>291178</v>
      </c>
      <c r="F39" s="56">
        <f t="shared" si="0"/>
        <v>0.99519881309714331</v>
      </c>
      <c r="G39" s="55">
        <v>1398</v>
      </c>
      <c r="H39" s="55">
        <v>107207</v>
      </c>
      <c r="I39" s="56">
        <f t="shared" si="1"/>
        <v>0.36818372267135568</v>
      </c>
      <c r="J39" s="55">
        <v>1774</v>
      </c>
      <c r="K39" s="56">
        <f t="shared" si="3"/>
        <v>6.0924932515505981E-3</v>
      </c>
      <c r="L39" s="56">
        <f t="shared" si="4"/>
        <v>1.6547426940405011E-2</v>
      </c>
      <c r="M39" s="55">
        <v>341</v>
      </c>
      <c r="N39" s="56">
        <f t="shared" si="2"/>
        <v>1.1711049598527362E-3</v>
      </c>
      <c r="O39" s="53" t="s">
        <v>452</v>
      </c>
    </row>
    <row r="40" spans="1:15" x14ac:dyDescent="0.25">
      <c r="A40" s="58" t="s">
        <v>451</v>
      </c>
      <c r="B40" s="53" t="s">
        <v>444</v>
      </c>
      <c r="C40" s="53" t="s">
        <v>834</v>
      </c>
      <c r="D40" s="54">
        <v>44904</v>
      </c>
      <c r="E40" s="55">
        <v>227605</v>
      </c>
      <c r="F40" s="56">
        <f t="shared" si="0"/>
        <v>0.9987741921311043</v>
      </c>
      <c r="G40" s="55">
        <v>279</v>
      </c>
      <c r="H40" s="55">
        <v>101834</v>
      </c>
      <c r="I40" s="56">
        <f t="shared" si="1"/>
        <v>0.44741547857033015</v>
      </c>
      <c r="J40" s="55">
        <v>1544</v>
      </c>
      <c r="K40" s="56">
        <f t="shared" si="3"/>
        <v>6.783682256540937E-3</v>
      </c>
      <c r="L40" s="56">
        <f t="shared" si="4"/>
        <v>1.5161930200129623E-2</v>
      </c>
      <c r="M40" s="55">
        <v>264</v>
      </c>
      <c r="N40" s="56">
        <f t="shared" si="2"/>
        <v>1.1599042200303156E-3</v>
      </c>
      <c r="O40" s="53" t="s">
        <v>452</v>
      </c>
    </row>
    <row r="41" spans="1:15" x14ac:dyDescent="0.25">
      <c r="A41" s="58" t="s">
        <v>453</v>
      </c>
      <c r="B41" s="53" t="s">
        <v>444</v>
      </c>
      <c r="C41" s="53" t="s">
        <v>834</v>
      </c>
      <c r="D41" s="54">
        <v>44904</v>
      </c>
      <c r="E41" s="55">
        <v>290400</v>
      </c>
      <c r="F41" s="56">
        <f t="shared" si="0"/>
        <v>0.99647727272727271</v>
      </c>
      <c r="G41" s="55">
        <v>1023</v>
      </c>
      <c r="H41" s="55">
        <v>107216</v>
      </c>
      <c r="I41" s="56">
        <f t="shared" si="1"/>
        <v>0.36920110192837463</v>
      </c>
      <c r="J41" s="55">
        <v>1932</v>
      </c>
      <c r="K41" s="56">
        <f t="shared" si="3"/>
        <v>6.6528925619834707E-3</v>
      </c>
      <c r="L41" s="56">
        <f t="shared" si="4"/>
        <v>1.8019698552454857E-2</v>
      </c>
      <c r="M41" s="55">
        <v>311</v>
      </c>
      <c r="N41" s="56">
        <f t="shared" si="2"/>
        <v>1.0709366391184574E-3</v>
      </c>
      <c r="O41" s="53" t="s">
        <v>452</v>
      </c>
    </row>
    <row r="42" spans="1:15" x14ac:dyDescent="0.25">
      <c r="A42" s="58" t="s">
        <v>454</v>
      </c>
      <c r="B42" s="53" t="s">
        <v>444</v>
      </c>
      <c r="C42" s="53" t="s">
        <v>834</v>
      </c>
      <c r="D42" s="54">
        <v>44905</v>
      </c>
      <c r="E42" s="55">
        <v>12839</v>
      </c>
      <c r="F42" s="56">
        <f t="shared" si="0"/>
        <v>0.99922112314043154</v>
      </c>
      <c r="G42" s="55">
        <v>10</v>
      </c>
      <c r="H42" s="55">
        <v>3530</v>
      </c>
      <c r="I42" s="56">
        <f t="shared" si="1"/>
        <v>0.2749435314276813</v>
      </c>
      <c r="J42" s="55">
        <v>154</v>
      </c>
      <c r="K42" s="56">
        <f t="shared" si="3"/>
        <v>1.1994703637354933E-2</v>
      </c>
      <c r="L42" s="56">
        <f t="shared" si="4"/>
        <v>4.3626062322946177E-2</v>
      </c>
      <c r="M42" s="55">
        <v>7</v>
      </c>
      <c r="N42" s="56">
        <f t="shared" si="2"/>
        <v>5.4521380169795153E-4</v>
      </c>
      <c r="O42" s="53" t="s">
        <v>452</v>
      </c>
    </row>
    <row r="43" spans="1:15" hidden="1" x14ac:dyDescent="0.25">
      <c r="A43" s="58" t="s">
        <v>827</v>
      </c>
      <c r="B43" s="53" t="s">
        <v>444</v>
      </c>
      <c r="C43" s="53" t="s">
        <v>834</v>
      </c>
      <c r="D43" s="54">
        <v>44908</v>
      </c>
      <c r="E43" s="55">
        <v>7753</v>
      </c>
      <c r="F43" s="56">
        <f t="shared" si="0"/>
        <v>0.99845221204694956</v>
      </c>
      <c r="G43" s="55">
        <v>12</v>
      </c>
      <c r="H43" s="55">
        <v>4159</v>
      </c>
      <c r="I43" s="56">
        <f t="shared" si="1"/>
        <v>0.53643750806139556</v>
      </c>
      <c r="J43" s="55">
        <v>62</v>
      </c>
      <c r="K43" s="56">
        <f t="shared" si="3"/>
        <v>7.9969044240938997E-3</v>
      </c>
      <c r="L43" s="56">
        <f t="shared" si="4"/>
        <v>1.4907429670593893E-2</v>
      </c>
      <c r="M43" s="55">
        <v>30</v>
      </c>
      <c r="N43" s="56">
        <f t="shared" si="2"/>
        <v>3.8694698826260802E-3</v>
      </c>
      <c r="O43" s="53" t="s">
        <v>452</v>
      </c>
    </row>
    <row r="44" spans="1:15" hidden="1" x14ac:dyDescent="0.25">
      <c r="A44" s="58" t="s">
        <v>827</v>
      </c>
      <c r="B44" s="53" t="s">
        <v>439</v>
      </c>
      <c r="C44" s="53" t="s">
        <v>834</v>
      </c>
      <c r="D44" s="54">
        <v>44908</v>
      </c>
      <c r="E44" s="55">
        <v>17018</v>
      </c>
      <c r="F44" s="56">
        <f t="shared" si="0"/>
        <v>0.99894229639205545</v>
      </c>
      <c r="G44" s="55">
        <v>18</v>
      </c>
      <c r="H44" s="55">
        <v>7672</v>
      </c>
      <c r="I44" s="56">
        <f t="shared" si="1"/>
        <v>0.45081678223057936</v>
      </c>
      <c r="J44" s="55">
        <v>126</v>
      </c>
      <c r="K44" s="56">
        <f t="shared" si="3"/>
        <v>7.403925255611705E-3</v>
      </c>
      <c r="L44" s="56">
        <f t="shared" si="4"/>
        <v>1.6423357664233577E-2</v>
      </c>
      <c r="M44" s="55">
        <v>12</v>
      </c>
      <c r="N44" s="56">
        <f t="shared" si="2"/>
        <v>7.0513573862968624E-4</v>
      </c>
      <c r="O44" s="53" t="s">
        <v>452</v>
      </c>
    </row>
    <row r="45" spans="1:15" hidden="1" x14ac:dyDescent="0.25">
      <c r="A45" s="58" t="s">
        <v>828</v>
      </c>
      <c r="B45" s="53" t="s">
        <v>444</v>
      </c>
      <c r="C45" s="53" t="s">
        <v>834</v>
      </c>
      <c r="D45" s="54">
        <v>44908</v>
      </c>
      <c r="E45" s="55">
        <v>519</v>
      </c>
      <c r="F45" s="56">
        <f t="shared" si="0"/>
        <v>0.9980732177263969</v>
      </c>
      <c r="G45" s="55">
        <v>1</v>
      </c>
      <c r="H45" s="55">
        <v>188</v>
      </c>
      <c r="I45" s="56">
        <f t="shared" si="1"/>
        <v>0.3622350674373796</v>
      </c>
      <c r="J45" s="55">
        <v>5</v>
      </c>
      <c r="K45" s="56">
        <f t="shared" si="3"/>
        <v>9.6339113680154135E-3</v>
      </c>
      <c r="L45" s="56">
        <f t="shared" si="4"/>
        <v>2.6595744680851064E-2</v>
      </c>
      <c r="M45" s="55">
        <v>1</v>
      </c>
      <c r="N45" s="56">
        <f t="shared" si="2"/>
        <v>1.9267822736030828E-3</v>
      </c>
      <c r="O45" s="53" t="s">
        <v>452</v>
      </c>
    </row>
    <row r="46" spans="1:15" hidden="1" x14ac:dyDescent="0.25">
      <c r="A46" s="58" t="s">
        <v>828</v>
      </c>
      <c r="B46" s="53" t="s">
        <v>439</v>
      </c>
      <c r="C46" s="53" t="s">
        <v>834</v>
      </c>
      <c r="D46" s="54">
        <v>44908</v>
      </c>
      <c r="E46" s="55">
        <v>1257</v>
      </c>
      <c r="F46" s="56">
        <f t="shared" si="0"/>
        <v>0.99920445505171041</v>
      </c>
      <c r="G46" s="55">
        <v>1</v>
      </c>
      <c r="H46" s="55">
        <v>455</v>
      </c>
      <c r="I46" s="56">
        <f t="shared" si="1"/>
        <v>0.36197295147175818</v>
      </c>
      <c r="J46" s="55">
        <v>13</v>
      </c>
      <c r="K46" s="56">
        <f t="shared" si="3"/>
        <v>1.0342084327764518E-2</v>
      </c>
      <c r="L46" s="56">
        <f t="shared" si="4"/>
        <v>2.8571428571428571E-2</v>
      </c>
      <c r="M46" s="55">
        <v>1</v>
      </c>
      <c r="N46" s="56">
        <f t="shared" si="2"/>
        <v>7.955449482895784E-4</v>
      </c>
      <c r="O46" s="53" t="s">
        <v>452</v>
      </c>
    </row>
    <row r="47" spans="1:15" x14ac:dyDescent="0.25">
      <c r="A47" s="58" t="s">
        <v>451</v>
      </c>
      <c r="B47" s="53" t="s">
        <v>444</v>
      </c>
      <c r="C47" s="53" t="s">
        <v>834</v>
      </c>
      <c r="D47" s="57">
        <v>44911</v>
      </c>
      <c r="E47" s="55">
        <v>238338</v>
      </c>
      <c r="F47" s="56">
        <f t="shared" si="0"/>
        <v>0.99859023739395314</v>
      </c>
      <c r="G47" s="55">
        <v>336</v>
      </c>
      <c r="H47" s="55">
        <v>107321</v>
      </c>
      <c r="I47" s="56">
        <f t="shared" si="1"/>
        <v>0.45028908524868044</v>
      </c>
      <c r="J47" s="55">
        <v>1880</v>
      </c>
      <c r="K47" s="56">
        <f t="shared" si="3"/>
        <v>7.8879574385956087E-3</v>
      </c>
      <c r="L47" s="56">
        <f t="shared" si="4"/>
        <v>1.7517540835437613E-2</v>
      </c>
      <c r="M47" s="55">
        <v>311</v>
      </c>
      <c r="N47" s="56">
        <f t="shared" si="2"/>
        <v>1.3048695550017203E-3</v>
      </c>
      <c r="O47" s="53" t="s">
        <v>452</v>
      </c>
    </row>
    <row r="48" spans="1:15" x14ac:dyDescent="0.25">
      <c r="A48" s="58" t="s">
        <v>453</v>
      </c>
      <c r="B48" s="53" t="s">
        <v>444</v>
      </c>
      <c r="C48" s="53" t="s">
        <v>834</v>
      </c>
      <c r="D48" s="57">
        <v>44911</v>
      </c>
      <c r="E48" s="55">
        <v>327256</v>
      </c>
      <c r="F48" s="56">
        <f t="shared" si="0"/>
        <v>0.99710929669738679</v>
      </c>
      <c r="G48" s="55">
        <v>946</v>
      </c>
      <c r="H48" s="55">
        <v>122143</v>
      </c>
      <c r="I48" s="56">
        <f t="shared" si="1"/>
        <v>0.37323379861637374</v>
      </c>
      <c r="J48" s="55">
        <v>2824</v>
      </c>
      <c r="K48" s="56">
        <f t="shared" si="3"/>
        <v>8.6293299435304463E-3</v>
      </c>
      <c r="L48" s="56">
        <f t="shared" si="4"/>
        <v>2.3120440794806088E-2</v>
      </c>
      <c r="M48" s="55">
        <v>485</v>
      </c>
      <c r="N48" s="56">
        <f t="shared" si="2"/>
        <v>1.4820201921431539E-3</v>
      </c>
      <c r="O48" s="53" t="s">
        <v>452</v>
      </c>
    </row>
    <row r="49" spans="1:15" hidden="1" x14ac:dyDescent="0.25">
      <c r="A49" s="126" t="s">
        <v>829</v>
      </c>
      <c r="B49" s="68" t="s">
        <v>439</v>
      </c>
      <c r="C49" s="68" t="s">
        <v>834</v>
      </c>
      <c r="D49" s="127">
        <v>44914</v>
      </c>
      <c r="E49" s="70">
        <v>13562</v>
      </c>
      <c r="F49" s="71">
        <f t="shared" si="0"/>
        <v>0.99933638106473976</v>
      </c>
      <c r="G49" s="70">
        <v>9</v>
      </c>
      <c r="H49" s="70">
        <v>4520</v>
      </c>
      <c r="I49" s="71">
        <f t="shared" si="1"/>
        <v>0.33328417637516589</v>
      </c>
      <c r="J49" s="70">
        <v>63</v>
      </c>
      <c r="K49" s="71">
        <f t="shared" si="3"/>
        <v>4.6453325468220029E-3</v>
      </c>
      <c r="L49" s="71">
        <f t="shared" si="4"/>
        <v>1.3938053097345133E-2</v>
      </c>
      <c r="M49" s="70">
        <v>11</v>
      </c>
      <c r="N49" s="71">
        <f t="shared" si="2"/>
        <v>8.1108980976257186E-4</v>
      </c>
      <c r="O49" s="68" t="s">
        <v>452</v>
      </c>
    </row>
    <row r="50" spans="1:15" hidden="1" x14ac:dyDescent="0.25">
      <c r="A50" s="126" t="s">
        <v>829</v>
      </c>
      <c r="B50" s="68" t="s">
        <v>444</v>
      </c>
      <c r="C50" s="68" t="s">
        <v>834</v>
      </c>
      <c r="D50" s="127">
        <v>44914</v>
      </c>
      <c r="E50" s="70">
        <v>9530</v>
      </c>
      <c r="F50" s="71">
        <f t="shared" si="0"/>
        <v>0.99916054564533052</v>
      </c>
      <c r="G50" s="70">
        <v>8</v>
      </c>
      <c r="H50" s="70">
        <v>3292</v>
      </c>
      <c r="I50" s="71">
        <f t="shared" si="1"/>
        <v>0.3454354669464848</v>
      </c>
      <c r="J50" s="70">
        <v>70</v>
      </c>
      <c r="K50" s="71">
        <f t="shared" si="3"/>
        <v>7.3452256033578172E-3</v>
      </c>
      <c r="L50" s="71">
        <f t="shared" si="4"/>
        <v>2.12636695018226E-2</v>
      </c>
      <c r="M50" s="70">
        <v>21</v>
      </c>
      <c r="N50" s="71">
        <f t="shared" si="2"/>
        <v>2.2035676810073452E-3</v>
      </c>
      <c r="O50" s="68" t="s">
        <v>452</v>
      </c>
    </row>
    <row r="51" spans="1:15" hidden="1" x14ac:dyDescent="0.25">
      <c r="A51" s="126" t="s">
        <v>830</v>
      </c>
      <c r="B51" s="68" t="s">
        <v>439</v>
      </c>
      <c r="C51" s="68" t="s">
        <v>834</v>
      </c>
      <c r="D51" s="127">
        <v>44914</v>
      </c>
      <c r="E51" s="70">
        <v>269719</v>
      </c>
      <c r="F51" s="71">
        <f t="shared" si="0"/>
        <v>0.99878021199841316</v>
      </c>
      <c r="G51" s="70">
        <v>329</v>
      </c>
      <c r="H51" s="70">
        <v>121299</v>
      </c>
      <c r="I51" s="71">
        <f t="shared" si="1"/>
        <v>0.44972360122942767</v>
      </c>
      <c r="J51" s="70">
        <v>1664</v>
      </c>
      <c r="K51" s="71">
        <f t="shared" si="3"/>
        <v>6.1693836919164023E-3</v>
      </c>
      <c r="L51" s="71">
        <f t="shared" si="4"/>
        <v>1.3718167503441908E-2</v>
      </c>
      <c r="M51" s="70">
        <v>296</v>
      </c>
      <c r="N51" s="71">
        <f t="shared" si="2"/>
        <v>1.0974384451966676E-3</v>
      </c>
      <c r="O51" s="68" t="s">
        <v>452</v>
      </c>
    </row>
    <row r="52" spans="1:15" hidden="1" x14ac:dyDescent="0.25">
      <c r="A52" s="126" t="s">
        <v>830</v>
      </c>
      <c r="B52" s="68" t="s">
        <v>444</v>
      </c>
      <c r="C52" s="68" t="s">
        <v>834</v>
      </c>
      <c r="D52" s="127">
        <v>44914</v>
      </c>
      <c r="E52" s="70">
        <v>181858</v>
      </c>
      <c r="F52" s="71">
        <f t="shared" si="0"/>
        <v>0.99851532514379349</v>
      </c>
      <c r="G52" s="70">
        <v>270</v>
      </c>
      <c r="H52" s="70">
        <v>86936</v>
      </c>
      <c r="I52" s="71">
        <f t="shared" si="1"/>
        <v>0.47804330851543514</v>
      </c>
      <c r="J52" s="70">
        <v>1497</v>
      </c>
      <c r="K52" s="71">
        <f t="shared" si="3"/>
        <v>8.2316972583004328E-3</v>
      </c>
      <c r="L52" s="71">
        <f t="shared" si="4"/>
        <v>1.7219563817060825E-2</v>
      </c>
      <c r="M52" s="70">
        <v>454</v>
      </c>
      <c r="N52" s="71">
        <f t="shared" si="2"/>
        <v>2.4964532767323957E-3</v>
      </c>
      <c r="O52" s="68" t="s">
        <v>452</v>
      </c>
    </row>
    <row r="53" spans="1:15" hidden="1" x14ac:dyDescent="0.25">
      <c r="A53" s="126" t="s">
        <v>831</v>
      </c>
      <c r="B53" s="68" t="s">
        <v>444</v>
      </c>
      <c r="C53" s="68" t="s">
        <v>834</v>
      </c>
      <c r="D53" s="127">
        <v>44916</v>
      </c>
      <c r="E53" s="70">
        <v>8190</v>
      </c>
      <c r="F53" s="71">
        <f t="shared" si="0"/>
        <v>0.99853479853479854</v>
      </c>
      <c r="G53" s="70">
        <v>12</v>
      </c>
      <c r="H53" s="70">
        <v>2880</v>
      </c>
      <c r="I53" s="71">
        <f t="shared" si="1"/>
        <v>0.35164835164835168</v>
      </c>
      <c r="J53" s="70">
        <v>62</v>
      </c>
      <c r="K53" s="71">
        <f t="shared" si="3"/>
        <v>7.5702075702075702E-3</v>
      </c>
      <c r="L53" s="71">
        <f t="shared" si="4"/>
        <v>2.1527777777777778E-2</v>
      </c>
      <c r="M53" s="70">
        <v>16</v>
      </c>
      <c r="N53" s="71">
        <f t="shared" si="2"/>
        <v>1.9536019536019536E-3</v>
      </c>
      <c r="O53" s="68" t="s">
        <v>452</v>
      </c>
    </row>
    <row r="54" spans="1:15" hidden="1" x14ac:dyDescent="0.25">
      <c r="A54" s="126" t="s">
        <v>831</v>
      </c>
      <c r="B54" s="68" t="s">
        <v>439</v>
      </c>
      <c r="C54" s="68" t="s">
        <v>834</v>
      </c>
      <c r="D54" s="127">
        <v>44916</v>
      </c>
      <c r="E54" s="70">
        <v>9515</v>
      </c>
      <c r="F54" s="71">
        <f t="shared" si="0"/>
        <v>0.9993694167104572</v>
      </c>
      <c r="G54" s="70">
        <v>6</v>
      </c>
      <c r="H54" s="70">
        <v>3219</v>
      </c>
      <c r="I54" s="71">
        <f t="shared" si="1"/>
        <v>0.33830793483972676</v>
      </c>
      <c r="J54" s="70">
        <v>70</v>
      </c>
      <c r="K54" s="71">
        <f t="shared" si="3"/>
        <v>7.3568050446663168E-3</v>
      </c>
      <c r="L54" s="71">
        <f t="shared" si="4"/>
        <v>2.1745883814849331E-2</v>
      </c>
      <c r="M54" s="70">
        <v>10</v>
      </c>
      <c r="N54" s="71">
        <f t="shared" si="2"/>
        <v>1.0509721492380452E-3</v>
      </c>
      <c r="O54" s="68" t="s">
        <v>452</v>
      </c>
    </row>
    <row r="55" spans="1:15" hidden="1" x14ac:dyDescent="0.25">
      <c r="A55" s="126" t="s">
        <v>832</v>
      </c>
      <c r="B55" s="68" t="s">
        <v>444</v>
      </c>
      <c r="C55" s="68" t="s">
        <v>834</v>
      </c>
      <c r="D55" s="127">
        <v>44916</v>
      </c>
      <c r="E55" s="70">
        <v>150857</v>
      </c>
      <c r="F55" s="71">
        <f t="shared" si="0"/>
        <v>0.99866761237463297</v>
      </c>
      <c r="G55" s="70">
        <v>201</v>
      </c>
      <c r="H55" s="70">
        <v>71111</v>
      </c>
      <c r="I55" s="71">
        <f t="shared" si="1"/>
        <v>0.47138018123123221</v>
      </c>
      <c r="J55" s="70">
        <v>1332</v>
      </c>
      <c r="K55" s="71">
        <f t="shared" si="3"/>
        <v>8.8295538158653566E-3</v>
      </c>
      <c r="L55" s="71">
        <f t="shared" si="4"/>
        <v>1.8731279267623857E-2</v>
      </c>
      <c r="M55" s="70">
        <v>256</v>
      </c>
      <c r="N55" s="71">
        <f t="shared" si="2"/>
        <v>1.6969713039500984E-3</v>
      </c>
      <c r="O55" s="68" t="s">
        <v>452</v>
      </c>
    </row>
    <row r="56" spans="1:15" hidden="1" x14ac:dyDescent="0.25">
      <c r="A56" s="126" t="s">
        <v>832</v>
      </c>
      <c r="B56" s="68" t="s">
        <v>439</v>
      </c>
      <c r="C56" s="68" t="s">
        <v>834</v>
      </c>
      <c r="D56" s="127">
        <v>44916</v>
      </c>
      <c r="E56" s="70">
        <v>185049</v>
      </c>
      <c r="F56" s="71">
        <f t="shared" si="0"/>
        <v>0.99881652967592371</v>
      </c>
      <c r="G56" s="70">
        <v>219</v>
      </c>
      <c r="H56" s="70">
        <v>79946</v>
      </c>
      <c r="I56" s="71">
        <f t="shared" si="1"/>
        <v>0.43202611200276686</v>
      </c>
      <c r="J56" s="70">
        <v>1421</v>
      </c>
      <c r="K56" s="71">
        <f t="shared" si="3"/>
        <v>7.6790471712897667E-3</v>
      </c>
      <c r="L56" s="71">
        <f t="shared" si="4"/>
        <v>1.7774497786005553E-2</v>
      </c>
      <c r="M56" s="70">
        <v>165</v>
      </c>
      <c r="N56" s="71">
        <f t="shared" si="2"/>
        <v>8.916557236191495E-4</v>
      </c>
      <c r="O56" s="68" t="s">
        <v>452</v>
      </c>
    </row>
    <row r="57" spans="1:15" x14ac:dyDescent="0.25">
      <c r="A57" s="126" t="s">
        <v>451</v>
      </c>
      <c r="B57" s="68" t="s">
        <v>444</v>
      </c>
      <c r="C57" s="68" t="s">
        <v>834</v>
      </c>
      <c r="D57" s="127">
        <v>44918</v>
      </c>
      <c r="E57" s="70">
        <v>236539</v>
      </c>
      <c r="F57" s="71">
        <f t="shared" si="0"/>
        <v>0.99861756412261826</v>
      </c>
      <c r="G57" s="70">
        <v>327</v>
      </c>
      <c r="H57" s="70">
        <v>105180</v>
      </c>
      <c r="I57" s="71">
        <f t="shared" si="1"/>
        <v>0.44466240239453114</v>
      </c>
      <c r="J57" s="70">
        <v>2038</v>
      </c>
      <c r="K57" s="71">
        <f t="shared" si="3"/>
        <v>8.6159153458837661E-3</v>
      </c>
      <c r="L57" s="71">
        <f t="shared" si="4"/>
        <v>1.9376307282753375E-2</v>
      </c>
      <c r="M57" s="70">
        <v>315</v>
      </c>
      <c r="N57" s="71">
        <f t="shared" si="2"/>
        <v>1.3317042855512198E-3</v>
      </c>
      <c r="O57" s="68" t="s">
        <v>452</v>
      </c>
    </row>
    <row r="58" spans="1:15" x14ac:dyDescent="0.25">
      <c r="A58" s="126" t="s">
        <v>453</v>
      </c>
      <c r="B58" s="68" t="s">
        <v>444</v>
      </c>
      <c r="C58" s="68" t="s">
        <v>834</v>
      </c>
      <c r="D58" s="127">
        <v>44918</v>
      </c>
      <c r="E58" s="70">
        <v>327024</v>
      </c>
      <c r="F58" s="71">
        <f t="shared" si="0"/>
        <v>0.99720815597631973</v>
      </c>
      <c r="G58" s="70">
        <v>913</v>
      </c>
      <c r="H58" s="70">
        <v>121200</v>
      </c>
      <c r="I58" s="71">
        <f t="shared" si="1"/>
        <v>0.37061500073389109</v>
      </c>
      <c r="J58" s="70">
        <v>2862</v>
      </c>
      <c r="K58" s="71">
        <f t="shared" si="3"/>
        <v>8.7516512549537656E-3</v>
      </c>
      <c r="L58" s="71">
        <f t="shared" si="4"/>
        <v>2.3613861386138614E-2</v>
      </c>
      <c r="M58" s="70">
        <v>425</v>
      </c>
      <c r="N58" s="71">
        <f t="shared" si="2"/>
        <v>1.299598806203826E-3</v>
      </c>
      <c r="O58" s="68" t="s">
        <v>452</v>
      </c>
    </row>
    <row r="59" spans="1:15" x14ac:dyDescent="0.25">
      <c r="A59" s="126" t="s">
        <v>454</v>
      </c>
      <c r="B59" s="68" t="s">
        <v>444</v>
      </c>
      <c r="C59" s="68" t="s">
        <v>834</v>
      </c>
      <c r="D59" s="127">
        <v>44919</v>
      </c>
      <c r="E59" s="70">
        <v>13558</v>
      </c>
      <c r="F59" s="71">
        <f t="shared" si="0"/>
        <v>0.99889364213010767</v>
      </c>
      <c r="G59" s="70">
        <v>15</v>
      </c>
      <c r="H59" s="70">
        <v>4197</v>
      </c>
      <c r="I59" s="71">
        <f t="shared" si="1"/>
        <v>0.30955893199586959</v>
      </c>
      <c r="J59" s="70">
        <v>148</v>
      </c>
      <c r="K59" s="71">
        <f t="shared" si="3"/>
        <v>1.0916064316270837E-2</v>
      </c>
      <c r="L59" s="71">
        <f t="shared" si="4"/>
        <v>3.5263283297593519E-2</v>
      </c>
      <c r="M59" s="70">
        <v>16</v>
      </c>
      <c r="N59" s="71">
        <f t="shared" si="2"/>
        <v>1.1801150612184689E-3</v>
      </c>
      <c r="O59" s="68" t="s">
        <v>452</v>
      </c>
    </row>
    <row r="60" spans="1:15" hidden="1" x14ac:dyDescent="0.25">
      <c r="A60" s="126" t="s">
        <v>833</v>
      </c>
      <c r="B60" s="68" t="s">
        <v>439</v>
      </c>
      <c r="C60" s="68" t="s">
        <v>834</v>
      </c>
      <c r="D60" s="69">
        <v>44921</v>
      </c>
      <c r="E60" s="70">
        <v>1795864</v>
      </c>
      <c r="F60" s="71">
        <f t="shared" si="0"/>
        <v>0.99829552794643694</v>
      </c>
      <c r="G60" s="70">
        <v>3061</v>
      </c>
      <c r="H60" s="70">
        <v>815895</v>
      </c>
      <c r="I60" s="71">
        <f t="shared" si="1"/>
        <v>0.45431892392742435</v>
      </c>
      <c r="J60" s="70">
        <v>8988</v>
      </c>
      <c r="K60" s="71">
        <f t="shared" si="3"/>
        <v>5.0048333281362059E-3</v>
      </c>
      <c r="L60" s="71">
        <f t="shared" si="4"/>
        <v>1.101612339823139E-2</v>
      </c>
      <c r="M60" s="70">
        <v>3569</v>
      </c>
      <c r="N60" s="71">
        <f t="shared" si="2"/>
        <v>1.987344253239666E-3</v>
      </c>
      <c r="O60" s="68" t="s">
        <v>452</v>
      </c>
    </row>
    <row r="61" spans="1:15" hidden="1" x14ac:dyDescent="0.25">
      <c r="A61" s="126" t="s">
        <v>833</v>
      </c>
      <c r="B61" s="68" t="s">
        <v>444</v>
      </c>
      <c r="C61" s="68" t="s">
        <v>834</v>
      </c>
      <c r="D61" s="69">
        <v>44921</v>
      </c>
      <c r="E61" s="70">
        <v>1118001</v>
      </c>
      <c r="F61" s="71">
        <f t="shared" si="0"/>
        <v>0.99823077081326406</v>
      </c>
      <c r="G61" s="70">
        <v>1978</v>
      </c>
      <c r="H61" s="70">
        <v>556274</v>
      </c>
      <c r="I61" s="71">
        <f t="shared" si="1"/>
        <v>0.49756127230655428</v>
      </c>
      <c r="J61" s="70">
        <v>9516</v>
      </c>
      <c r="K61" s="71">
        <f t="shared" si="3"/>
        <v>8.5116202937206668E-3</v>
      </c>
      <c r="L61" s="71">
        <f t="shared" si="4"/>
        <v>1.7106677644470172E-2</v>
      </c>
      <c r="M61" s="70">
        <v>6898</v>
      </c>
      <c r="N61" s="71">
        <f t="shared" si="2"/>
        <v>6.1699408140064279E-3</v>
      </c>
      <c r="O61" s="68" t="s">
        <v>452</v>
      </c>
    </row>
    <row r="62" spans="1:15" x14ac:dyDescent="0.25">
      <c r="A62" s="126" t="s">
        <v>451</v>
      </c>
      <c r="B62" s="68" t="s">
        <v>444</v>
      </c>
      <c r="C62" s="68" t="s">
        <v>834</v>
      </c>
      <c r="D62" s="69">
        <v>44925</v>
      </c>
      <c r="E62" s="70">
        <v>230931</v>
      </c>
      <c r="F62" s="71">
        <f t="shared" si="0"/>
        <v>0.99860564411014541</v>
      </c>
      <c r="G62" s="70">
        <v>322</v>
      </c>
      <c r="H62" s="70">
        <v>109744</v>
      </c>
      <c r="I62" s="71">
        <f t="shared" si="1"/>
        <v>0.47522420116831432</v>
      </c>
      <c r="J62" s="70">
        <v>2921</v>
      </c>
      <c r="K62" s="71">
        <f t="shared" si="3"/>
        <v>1.2648799857966232E-2</v>
      </c>
      <c r="L62" s="71">
        <f t="shared" si="4"/>
        <v>2.6616489284152209E-2</v>
      </c>
      <c r="M62" s="70">
        <v>345</v>
      </c>
      <c r="N62" s="71">
        <f t="shared" si="2"/>
        <v>1.4939527391298699E-3</v>
      </c>
      <c r="O62" s="68" t="s">
        <v>452</v>
      </c>
    </row>
    <row r="63" spans="1:15" x14ac:dyDescent="0.25">
      <c r="A63" s="126" t="s">
        <v>453</v>
      </c>
      <c r="B63" s="68" t="s">
        <v>444</v>
      </c>
      <c r="C63" s="68" t="s">
        <v>834</v>
      </c>
      <c r="D63" s="69">
        <v>44925</v>
      </c>
      <c r="E63" s="70">
        <v>327281</v>
      </c>
      <c r="F63" s="71">
        <f t="shared" si="0"/>
        <v>0.99707285176958027</v>
      </c>
      <c r="G63" s="70">
        <v>958</v>
      </c>
      <c r="H63" s="70">
        <v>128452</v>
      </c>
      <c r="I63" s="71">
        <f t="shared" si="1"/>
        <v>0.39248230114183225</v>
      </c>
      <c r="J63" s="70">
        <v>4232</v>
      </c>
      <c r="K63" s="71">
        <f t="shared" si="3"/>
        <v>1.2930784249620356E-2</v>
      </c>
      <c r="L63" s="71">
        <f t="shared" si="4"/>
        <v>3.2946158876467471E-2</v>
      </c>
      <c r="M63" s="70">
        <v>491</v>
      </c>
      <c r="N63" s="71">
        <f t="shared" si="2"/>
        <v>1.5002398550481085E-3</v>
      </c>
      <c r="O63" s="68" t="s">
        <v>452</v>
      </c>
    </row>
  </sheetData>
  <autoFilter ref="A1:O63" xr:uid="{6A0F3240-A737-497E-BD3A-9922202AEABB}">
    <filterColumn colId="0">
      <filters>
        <filter val="Movie Guide EN"/>
        <filter val="Movie Guide EN 24MT"/>
        <filter val="Movie Guide FR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93E89D5881D448099A1C25A60F885" ma:contentTypeVersion="18" ma:contentTypeDescription="Create a new document." ma:contentTypeScope="" ma:versionID="242d1cf077094bc611bd418e73e24a61">
  <xsd:schema xmlns:xsd="http://www.w3.org/2001/XMLSchema" xmlns:xs="http://www.w3.org/2001/XMLSchema" xmlns:p="http://schemas.microsoft.com/office/2006/metadata/properties" xmlns:ns2="6aa31b7e-7481-49ec-8bb1-408cc1f2dd86" xmlns:ns3="460d1c98-09f0-4d10-953e-dd5e4d478daa" targetNamespace="http://schemas.microsoft.com/office/2006/metadata/properties" ma:root="true" ma:fieldsID="f97265fdce8406038524cdda583b5723" ns2:_="" ns3:_="">
    <xsd:import namespace="6aa31b7e-7481-49ec-8bb1-408cc1f2dd86"/>
    <xsd:import namespace="460d1c98-09f0-4d10-953e-dd5e4d478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31b7e-7481-49ec-8bb1-408cc1f2dd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d1c98-09f0-4d10-953e-dd5e4d478da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242431-b9eb-46b4-8cbc-5028fbca96aa}" ma:internalName="TaxCatchAll" ma:showField="CatchAllData" ma:web="460d1c98-09f0-4d10-953e-dd5e4d478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d1c98-09f0-4d10-953e-dd5e4d478daa" xsi:nil="true"/>
    <lcf76f155ced4ddcb4097134ff3c332f xmlns="6aa31b7e-7481-49ec-8bb1-408cc1f2dd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ECA92B-F66A-44FF-9B03-73979375D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31b7e-7481-49ec-8bb1-408cc1f2dd86"/>
    <ds:schemaRef ds:uri="460d1c98-09f0-4d10-953e-dd5e4d478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88E430-647E-4BD5-AF94-275D537DAC2B}">
  <ds:schemaRefs>
    <ds:schemaRef ds:uri="http://schemas.microsoft.com/office/2006/metadata/properties"/>
    <ds:schemaRef ds:uri="http://schemas.microsoft.com/office/infopath/2007/PartnerControls"/>
    <ds:schemaRef ds:uri="460d1c98-09f0-4d10-953e-dd5e4d478daa"/>
    <ds:schemaRef ds:uri="6aa31b7e-7481-49ec-8bb1-408cc1f2dd86"/>
  </ds:schemaRefs>
</ds:datastoreItem>
</file>

<file path=customXml/itemProps3.xml><?xml version="1.0" encoding="utf-8"?>
<ds:datastoreItem xmlns:ds="http://schemas.openxmlformats.org/officeDocument/2006/customXml" ds:itemID="{5A774DA5-5D81-4A3D-B8B2-CD95118DAA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H2 2023 - All AJO Emails</vt:lpstr>
      <vt:lpstr>Salesforce Emails</vt:lpstr>
      <vt:lpstr>CineClub</vt:lpstr>
      <vt:lpstr>YTD Metrics</vt:lpstr>
      <vt:lpstr>Week of July 21-July 27</vt:lpstr>
      <vt:lpstr>Week of July 28-Aug 3</vt:lpstr>
      <vt:lpstr>Week of Aug 4-10</vt:lpstr>
      <vt:lpstr>Week of Aug 11-17</vt:lpstr>
      <vt:lpstr>Week of Aug 18-24</vt:lpstr>
      <vt:lpstr>Week of Aug 25-31</vt:lpstr>
      <vt:lpstr>Week of Sept 1-7</vt:lpstr>
      <vt:lpstr>Week of Sept 22-28</vt:lpstr>
      <vt:lpstr>Week of Sept 29-Oct 5</vt:lpstr>
      <vt:lpstr>Week of Oct 6-12</vt:lpstr>
      <vt:lpstr>Week of Oct 13-19</vt:lpstr>
      <vt:lpstr>Week of Oct 20-26</vt:lpstr>
      <vt:lpstr>Week of Oct 27-Nov 2</vt:lpstr>
      <vt:lpstr>Week of Nov 3-Nov 9</vt:lpstr>
      <vt:lpstr>Week of Nov 10-Nov 16</vt:lpstr>
      <vt:lpstr>Week of Nov 17-Nov 23</vt:lpstr>
      <vt:lpstr>Week of Nov 24-Nov 30</vt:lpstr>
      <vt:lpstr>Week of Dec 1-Dec 7</vt:lpstr>
      <vt:lpstr>Week of Dec 8-Dec 14</vt:lpstr>
      <vt:lpstr>Week of Dec 15-Dec 21</vt:lpstr>
      <vt:lpstr>Week of Dec 22-Dec 28</vt:lpstr>
      <vt:lpstr>Week of Dec 29-Jan 4</vt:lpstr>
      <vt:lpstr>Store Q4 2023</vt:lpstr>
      <vt:lpstr>Sheet2</vt:lpstr>
      <vt:lpstr>Store Q4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Sameeck Bhatia</cp:lastModifiedBy>
  <cp:revision/>
  <dcterms:created xsi:type="dcterms:W3CDTF">2016-07-06T08:22:49Z</dcterms:created>
  <dcterms:modified xsi:type="dcterms:W3CDTF">2025-06-04T19:37:25Z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0x010100B2693E89D5881D448099A1C25A60F885</vt:lpwstr>
  </property>
  <property fmtid="{D5CDD505-2E9C-101B-9397-08002B2CF9AE}" pid="3" name="MediaServiceImageTags">
    <vt:lpwstr/>
  </property>
</Properties>
</file>